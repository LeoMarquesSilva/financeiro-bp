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8"/>
  <workbookPr/>
  <mc:AlternateContent xmlns:mc="http://schemas.openxmlformats.org/markup-compatibility/2006">
    <mc:Choice Requires="x15">
      <x15ac:absPath xmlns:x15ac="http://schemas.microsoft.com/office/spreadsheetml/2010/11/ac" url="https://bpplaw2.sharepoint.com/sites/cupula/Documentos Compartilhados/10. Comitê de Inadimplentes/"/>
    </mc:Choice>
  </mc:AlternateContent>
  <xr:revisionPtr revIDLastSave="0" documentId="8_{1CA43307-BCBB-424A-B789-7ED9DED4A0A2}" xr6:coauthVersionLast="47" xr6:coauthVersionMax="47" xr10:uidLastSave="{00000000-0000-0000-0000-000000000000}"/>
  <bookViews>
    <workbookView xWindow="-120" yWindow="-120" windowWidth="20730" windowHeight="11040" xr2:uid="{B9EAA6DF-5CBB-4283-AC54-ABB16C741DE6}"/>
  </bookViews>
  <sheets>
    <sheet name="QUADRO RESUMO" sheetId="1" r:id="rId1"/>
    <sheet name="Planilha1" sheetId="33" r:id="rId2"/>
    <sheet name="3TM" sheetId="2" r:id="rId3"/>
    <sheet name="ABG" sheetId="3" r:id="rId4"/>
    <sheet name="AMERICAR" sheetId="4" r:id="rId5"/>
    <sheet name="BILATERAL" sheetId="5" r:id="rId6"/>
    <sheet name="CDA" sheetId="6" r:id="rId7"/>
    <sheet name="CRISTAL" sheetId="7" r:id="rId8"/>
    <sheet name="DMP" sheetId="8" r:id="rId9"/>
    <sheet name="DISEP" sheetId="9" r:id="rId10"/>
    <sheet name="FAVIFER" sheetId="10" r:id="rId11"/>
    <sheet name="FELICITA" sheetId="11" r:id="rId12"/>
    <sheet name="FERRAMENTARIA GASPEC" sheetId="12" r:id="rId13"/>
    <sheet name="FORM BOB" sheetId="13" r:id="rId14"/>
    <sheet name="GRUPO IBS" sheetId="14" r:id="rId15"/>
    <sheet name="LINOPLAST" sheetId="15" r:id="rId16"/>
    <sheet name="LIRA" sheetId="16" r:id="rId17"/>
    <sheet name="LIVRARIA CULTURA" sheetId="17" r:id="rId18"/>
    <sheet name="LOYAL" sheetId="18" r:id="rId19"/>
    <sheet name="MAZDA" sheetId="19" r:id="rId20"/>
    <sheet name="METALCASTY" sheetId="20" r:id="rId21"/>
    <sheet name="MOVENT" sheetId="21" r:id="rId22"/>
    <sheet name="OFFICER-LUCIANO" sheetId="22" r:id="rId23"/>
    <sheet name="PRISCILLA ROSSETTI" sheetId="23" r:id="rId24"/>
    <sheet name="RCG" sheetId="24" r:id="rId25"/>
    <sheet name="SPEL" sheetId="25" r:id="rId26"/>
    <sheet name="VERSOPLAS" sheetId="27" r:id="rId27"/>
    <sheet name="ANTONINI" sheetId="28" r:id="rId28"/>
    <sheet name="M.M.P." sheetId="29" r:id="rId29"/>
    <sheet name="BEATRIZ BALDO" sheetId="30" r:id="rId30"/>
    <sheet name="ROSI MARY" sheetId="31" r:id="rId31"/>
    <sheet name="LOREN SID" sheetId="32" r:id="rId32"/>
  </sheets>
  <definedNames>
    <definedName name="_xlnm._FilterDatabase" localSheetId="0" hidden="1">'QUADRO RESUMO'!$A$1:$G$32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22" l="1"/>
  <c r="F31" i="22"/>
  <c r="F11" i="16"/>
  <c r="F10" i="16"/>
  <c r="F14" i="12"/>
  <c r="F13" i="12"/>
  <c r="F12" i="12"/>
  <c r="F5" i="5"/>
  <c r="F4" i="5"/>
  <c r="F6" i="3"/>
  <c r="F5" i="3"/>
  <c r="F18" i="4" l="1"/>
  <c r="F31" i="4"/>
  <c r="G14" i="12" l="1"/>
  <c r="G105" i="17" l="1"/>
  <c r="F99" i="17"/>
  <c r="F85" i="17"/>
  <c r="F63" i="17"/>
  <c r="F50" i="17"/>
  <c r="F45" i="17"/>
  <c r="F42" i="17"/>
  <c r="F37" i="17"/>
  <c r="F34" i="17"/>
  <c r="F33" i="17"/>
  <c r="F30" i="17"/>
  <c r="F9" i="17"/>
  <c r="M30" i="4"/>
  <c r="M28" i="4"/>
  <c r="F105" i="17" l="1"/>
  <c r="M27" i="4"/>
  <c r="G32" i="22" l="1"/>
  <c r="G25" i="22" l="1"/>
  <c r="G34" i="22" s="1"/>
  <c r="G5" i="15"/>
  <c r="F5" i="8"/>
  <c r="G12" i="18"/>
  <c r="F3" i="13"/>
  <c r="G13" i="13"/>
  <c r="D11" i="1"/>
  <c r="G31" i="11"/>
  <c r="F30" i="11"/>
  <c r="F29" i="11"/>
  <c r="F28" i="11"/>
  <c r="F27" i="11"/>
  <c r="F26" i="11"/>
  <c r="F25" i="11"/>
  <c r="F24" i="11"/>
  <c r="F31" i="11" l="1"/>
  <c r="G46" i="10"/>
  <c r="F45" i="10"/>
  <c r="F44" i="10"/>
  <c r="F43" i="10"/>
  <c r="F42" i="10"/>
  <c r="F41" i="10"/>
  <c r="F37" i="10"/>
  <c r="F32" i="10"/>
  <c r="F28" i="10"/>
  <c r="F24" i="10"/>
  <c r="F20" i="10"/>
  <c r="F16" i="10"/>
  <c r="F15" i="10"/>
  <c r="F5" i="10"/>
  <c r="F3" i="10"/>
  <c r="F46" i="10" l="1"/>
  <c r="D10" i="1" s="1"/>
  <c r="G6" i="9"/>
  <c r="G6" i="7"/>
  <c r="G22" i="6"/>
  <c r="F19" i="6"/>
  <c r="F12" i="6"/>
  <c r="F10" i="6"/>
  <c r="F4" i="6"/>
  <c r="F3" i="6"/>
  <c r="G6" i="3"/>
  <c r="F35" i="4"/>
  <c r="F34" i="4"/>
  <c r="F33" i="4"/>
  <c r="G31" i="4"/>
  <c r="F25" i="4"/>
  <c r="F22" i="4"/>
  <c r="F14" i="4"/>
  <c r="F10" i="4"/>
  <c r="F6" i="4"/>
  <c r="F5" i="4"/>
  <c r="F4" i="4"/>
  <c r="F3" i="4"/>
  <c r="F36" i="4" l="1"/>
  <c r="F12" i="32"/>
  <c r="F9" i="19"/>
  <c r="F6" i="9"/>
  <c r="F9" i="8"/>
  <c r="G8" i="2" l="1"/>
  <c r="D32" i="1"/>
  <c r="D30" i="1"/>
  <c r="F5" i="31"/>
  <c r="D31" i="1" s="1"/>
  <c r="F5" i="29"/>
  <c r="D29" i="1" s="1"/>
  <c r="F6" i="30"/>
  <c r="F5" i="28"/>
  <c r="D28" i="1" s="1"/>
  <c r="F10" i="27" l="1"/>
  <c r="D27" i="1" s="1"/>
  <c r="D26" i="1"/>
  <c r="F9" i="25"/>
  <c r="D24" i="1"/>
  <c r="F16" i="24"/>
  <c r="D23" i="1" l="1"/>
  <c r="F12" i="23"/>
  <c r="F25" i="22"/>
  <c r="F34" i="22" s="1"/>
  <c r="D22" i="1" s="1"/>
  <c r="D21" i="1"/>
  <c r="F8" i="21"/>
  <c r="D20" i="1"/>
  <c r="F14" i="20"/>
  <c r="D19" i="1"/>
  <c r="D18" i="1"/>
  <c r="F12" i="18"/>
  <c r="D17" i="1" l="1"/>
  <c r="D16" i="1" l="1"/>
  <c r="D14" i="1" l="1"/>
  <c r="F16" i="14"/>
  <c r="F13" i="13"/>
  <c r="D13" i="1" s="1"/>
  <c r="F5" i="15"/>
  <c r="D15" i="1" s="1"/>
  <c r="D12" i="1"/>
  <c r="D9" i="1" l="1"/>
  <c r="D8" i="1"/>
  <c r="F6" i="7"/>
  <c r="D7" i="1" s="1"/>
  <c r="F22" i="6"/>
  <c r="D5" i="1" l="1"/>
  <c r="D4" i="1"/>
  <c r="D3" i="1"/>
  <c r="D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A22" authorId="0" shapeId="0" xr:uid="{51D5F498-D42C-4B81-A072-93C3BE6F4517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Gustavo e Jorge até aqui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A540EE87-5728-423F-88CA-05E3E3CE8CE2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Não achei base no contrato, cálculo considerando 1% de juros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2401FDFF-52D8-402A-8554-67F6F6ED3AEE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 
Juros 1% 
Atualizado em 05/02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18C07C24-BC12-42C5-9CD3-EA0A4ED60E8C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Não achei base no contrato, cálculo considerando juros 1%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B7301EEB-445D-4C5F-99E1-C504BFEE9A08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1%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C81CE28E-D86B-445A-91A9-36CC862DD36E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1%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5F8CA611-D5C5-4137-9FA5-2C0511C99CB4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1%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C726F056-CD78-4C0B-819E-E113A340BA7E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1%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3AC5B376-1891-4E3A-B471-0BFC238B4B13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Juros 1%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8F21A722-B2FF-45B0-8046-89405EAE0BE2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1%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 Bangart Pires</author>
  </authors>
  <commentList>
    <comment ref="G2" authorId="0" shapeId="0" xr:uid="{1B2CC7F7-28EB-4C4A-B61E-5C75F0F4A31C}">
      <text>
        <r>
          <rPr>
            <sz val="11"/>
            <color theme="1"/>
            <rFont val="Aptos Narrow"/>
            <family val="2"/>
            <scheme val="minor"/>
          </rPr>
          <t>Juliana Herculano Bangart Pires:
Multa 20%
Juros 1%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5CC42F2C-2213-4E9C-B91A-9EBFC8606D01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IPCA
Multa 2%
Juros 1%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3014B361-2B71-4EC0-B03B-1CBF4036873C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%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Juliana Herculano</author>
  </authors>
  <commentList>
    <comment ref="G2" authorId="0" shapeId="0" xr:uid="{459521DF-A5BD-4309-81D3-10787666D181}">
      <text>
        <r>
          <rPr>
            <b/>
            <sz val="9"/>
            <color indexed="81"/>
            <rFont val="Segoe UI"/>
            <family val="2"/>
          </rPr>
          <t>Juliana Herculano:</t>
        </r>
        <r>
          <rPr>
            <sz val="9"/>
            <color indexed="81"/>
            <rFont val="Segoe UI"/>
            <family val="2"/>
          </rPr>
          <t xml:space="preserve">
Multa 20%
Juros 1%</t>
        </r>
      </text>
    </comment>
  </commentList>
</comments>
</file>

<file path=xl/sharedStrings.xml><?xml version="1.0" encoding="utf-8"?>
<sst xmlns="http://schemas.openxmlformats.org/spreadsheetml/2006/main" count="1972" uniqueCount="394">
  <si>
    <t>CLIENTE</t>
  </si>
  <si>
    <t>CLASSIFICAÇÃO</t>
  </si>
  <si>
    <t>VALOR MENSAL</t>
  </si>
  <si>
    <t>SALDO EM ABERTO</t>
  </si>
  <si>
    <t>OBSERVAÇÕES GERAIS</t>
  </si>
  <si>
    <t>PLANO DE AÇÃO</t>
  </si>
  <si>
    <t>RESPONSÁVEL</t>
  </si>
  <si>
    <t>3TM</t>
  </si>
  <si>
    <t>GRAU B</t>
  </si>
  <si>
    <t xml:space="preserve">Acordo em atraso (parcela 30/01 prevista para 13/02). 10 parcelas de R$ 1.730,00, mas está pagando R$ 1.950,00 e o vencimento do mês. </t>
  </si>
  <si>
    <t>Aguardar prazo 13/02 e financeiro retornar com atualizações.</t>
  </si>
  <si>
    <t>GIAN</t>
  </si>
  <si>
    <t>ABG CORPORATE</t>
  </si>
  <si>
    <t>Cliente parou de retornar. Vencimento dezembro/2025 está na RJ. Advogado que acompanha o caso é o único que responde, mas sem informações concretas.</t>
  </si>
  <si>
    <t>Verificar com Guerini quem é o financeiro, entrar em contato e trazer retorno sobre o pagamento na próxima reunião. Tentar contato novamente hoje (11/02).</t>
  </si>
  <si>
    <t>LEONARDO</t>
  </si>
  <si>
    <t>AMERICAR</t>
  </si>
  <si>
    <t>GRAU C</t>
  </si>
  <si>
    <t>Disse que os pagamentos serão retomados em fevereiro.</t>
  </si>
  <si>
    <t>Cada área atualizar sua base. Verificar contato, informar que são 6 semanas desde o último pagamento. Fazer proposta de pagamento em 6 parcelas (chegar no máximo a 10). Prazo cliente até 13/02. Contato até amanhã (06/02). Pagamento de 5k semanal será retomado a partir de 13/02. Valor passado: 30k dia 13/02 + 6 parcelas 10k a partir de 13/03.</t>
  </si>
  <si>
    <t>RENATO</t>
  </si>
  <si>
    <t>BILATERAL</t>
  </si>
  <si>
    <t>Fez pagamentos semanais em janeiro e pretende manter o mesmo formato em fevereiro e pagar a do mês.</t>
  </si>
  <si>
    <t>Aguardar prazo 06/02 e financeiro retornar com atualizações na próxima reunião. Pagamento semana 06/02 ok, acompanhar próximo até 13/02.</t>
  </si>
  <si>
    <t>JORGE</t>
  </si>
  <si>
    <t>CDA</t>
  </si>
  <si>
    <t>Bruno sugeriu que o Gustavo entre em contato com Ali. Financeiro do cliente não tem atualizações. Estamos retendo valores de acordos para abatimento.</t>
  </si>
  <si>
    <t>Formalizar sobre valor retido. Gustavo entrar em contato com Ali. Enviar movimento completo e corrigido hoje. Prazo contato cliente, amanhã (06/02). A partir da próxima semana (16/02) começa a regularizar o mensal.</t>
  </si>
  <si>
    <t>CRISTAL &amp; CORES</t>
  </si>
  <si>
    <t xml:space="preserve">Aguardando envio de programação de pagamentos semanais. </t>
  </si>
  <si>
    <t>Fazer proposta de parcelamento semanal do atrasado para regularização no prazo máximo de 3 meses (término em abril). Atualizar valor. Tentar contato novamente hoje (11/02) e atualizar status.</t>
  </si>
  <si>
    <t>DMP</t>
  </si>
  <si>
    <t>Dificuldade no retorno, se responde, não informa programação.</t>
  </si>
  <si>
    <t>Entrar em contato com Daniela, propor pagamento corrente em dia nos próximos 6 meses e regularização do passado com desconto de 50% em 8x (forma de compensação do contrato atual, que está com valor acima). Feito no dia 06/02, aguardando retorno. Entrar em contato novamente hoje (11/02) e agendar reunião.</t>
  </si>
  <si>
    <t>DISEP</t>
  </si>
  <si>
    <t>Programação saldo final até dia 05/02.</t>
  </si>
  <si>
    <t>Acompanhar recebimento em 05/02. Enviar pendências para Gustavo, que vai propor pagamento dos 30k restantes (se ele fizer os 25k hoje) até o final de fevereiro. Não fez em 05/02. Programação de 30k até final do mês.</t>
  </si>
  <si>
    <t>GUSTAVO</t>
  </si>
  <si>
    <t>FAVIFER</t>
  </si>
  <si>
    <t>Aguardando atualização Wanessa. Guilherme parou de responder. Pagou 2k semana passada.</t>
  </si>
  <si>
    <t>Entrar em contato com Wanessa, verificar qual a proposta. Fez contato com Paulo, ainda sem retorno da proposta. Tentar contato novamente hoje (11/02).</t>
  </si>
  <si>
    <t>FELICITA</t>
  </si>
  <si>
    <t>Aguardando atualização Wanessa. Pagou 6k semana passada.</t>
  </si>
  <si>
    <t>Entrar em contato com Wanessa, verificar qual a proposta. Tentar contato novamente hoje (11/02).</t>
  </si>
  <si>
    <t>FERRAMENTARIA GASPEC</t>
  </si>
  <si>
    <t>Sem retorno com programação passada, mas pagou um mês em janeiro e um mês em fevereiro.</t>
  </si>
  <si>
    <t>Atualizar passado, somar ao % de êxito (ver com Ligia). Propor que na entrada do recurso de maquinário seja pago o valor em aberto. Ligia atualizar hoje (11/02).</t>
  </si>
  <si>
    <t>FINANCEIRO</t>
  </si>
  <si>
    <t>FORM BOB</t>
  </si>
  <si>
    <t>Sem retorno.</t>
  </si>
  <si>
    <t>Enviar proposta para Gabriel.</t>
  </si>
  <si>
    <t>GRUPO IBS</t>
  </si>
  <si>
    <t>Programação pagamento parcial até fim do mês. Não fez e não retorna.</t>
  </si>
  <si>
    <t>Falar com Dagoberto, ver quanto consegue. Agendar reunião. Manter em standby por enquanto (definição em 11/02).</t>
  </si>
  <si>
    <t>LINOPLAST</t>
  </si>
  <si>
    <t>Tem feito pelo menos um pagamento por mês.</t>
  </si>
  <si>
    <t>Fazer proposta para adicionar 3k por mês até zerar os 30k. Cobrar retorno hoje (11/02).</t>
  </si>
  <si>
    <t>LIRA</t>
  </si>
  <si>
    <t>Pagou um mês em janeiro.</t>
  </si>
  <si>
    <t>Falar com Ligia para propor pagamento até março. Retorna com atualizações hoje (11/02).</t>
  </si>
  <si>
    <t>LIVRARIA CULTURA</t>
  </si>
  <si>
    <t>Fez mil reais no fim de janeiro.</t>
  </si>
  <si>
    <t>Enviar saldo atualizado. Apresentar números e condicionar execução dos trabalhos ao pagamento semanal de 10k.</t>
  </si>
  <si>
    <t>LOYAL PROFIT</t>
  </si>
  <si>
    <t>Formalizar saldo, propor devolução dos processos e o pagamento do saldo em aberto em 6x. Reunião hoje (11/02) às 10h30.</t>
  </si>
  <si>
    <t>MAZDA</t>
  </si>
  <si>
    <t>Acordo em andamento. 11 parcelas de R$ 6.606,88 + vencimento do mês. Não pagou janeiro.</t>
  </si>
  <si>
    <t xml:space="preserve">Formalizar para colocar em dia. Pagou janeiro e acordo está em andamento. </t>
  </si>
  <si>
    <t>METALCASTY</t>
  </si>
  <si>
    <t>Fernanda pediu reunião com o Gustavo, não pagou janeiro. Temos valor de MLE 2k para repasse, podemos reter?</t>
  </si>
  <si>
    <t>Reunião com Gustavo na terça-feira (10/02). Formalizar qual o valor recebido pela liberação judicial. Retornar com atualizações na próxima semana.</t>
  </si>
  <si>
    <t>GUSTAVO/LEONARDO</t>
  </si>
  <si>
    <t>MOVENT</t>
  </si>
  <si>
    <t>Gustavo orientou aguardar fevereiro para verificar o passado. Janeiro está pago.</t>
  </si>
  <si>
    <t>Acompanhar pagamento em fevereiro. Valor em aberto do passado será tratado em março.</t>
  </si>
  <si>
    <t>OFFICER/LUCIANO</t>
  </si>
  <si>
    <t>Luciano disse que está aguardando assinatura de um distrato para ter atualizações.</t>
  </si>
  <si>
    <t>Falar com Wanessa para manter o mensal em dia.</t>
  </si>
  <si>
    <t>PRISCILLA ROSSETTI</t>
  </si>
  <si>
    <t>Praticamente toda semana diz que vai tentar, mas não faz.</t>
  </si>
  <si>
    <t>Junto com Officer</t>
  </si>
  <si>
    <t>RCG</t>
  </si>
  <si>
    <t>Renúncia? Proposta?</t>
  </si>
  <si>
    <t>Formalizar proposta enviada até a próxima reunião. Ajustado novo valor mensal, aguardando definição sobre o passado.</t>
  </si>
  <si>
    <t>SOLON</t>
  </si>
  <si>
    <t>Entender</t>
  </si>
  <si>
    <t>GIAN/LEONARDO</t>
  </si>
  <si>
    <t>SPEL EMBALAGENS</t>
  </si>
  <si>
    <t>Disse que vai pagar em dia (cumpriu janeiro) e envia programação para regularização do passado até dia 10/02.</t>
  </si>
  <si>
    <t>Verificar se já tem proposta para regularização do passado.</t>
  </si>
  <si>
    <t>VERSOPLAS/BMR</t>
  </si>
  <si>
    <t>Enviado relatório de pendências para Wanessa na semana passada.</t>
  </si>
  <si>
    <t>ANTONINI</t>
  </si>
  <si>
    <t>Deixou acumular 3 meses, enviou programações e não cumpriu. Proposta de acordo quinzenal, alinhada com Gian. Pagou primeira no dia 30/01.</t>
  </si>
  <si>
    <t>Acompanhar próximo pagamento mensal + atrasada que está prevista até o final do mês.</t>
  </si>
  <si>
    <t>M.M.P.</t>
  </si>
  <si>
    <t>GRAU A</t>
  </si>
  <si>
    <t>Sempre pagou em dia, mas em dezembro atrasou. Fez dois pagamentos em janeiro, ainda para abater em dezembro. Wanessa está tentando ajudar.</t>
  </si>
  <si>
    <t>BEATRIZ BALDO</t>
  </si>
  <si>
    <t>Atualmente paga êxito sobre pensão, está em dia, mas tem débitos do passado e não responde o financeiro. Responde o Felipe de vez em quando.</t>
  </si>
  <si>
    <t>Tentar contato novamente.</t>
  </si>
  <si>
    <t>FELIPE</t>
  </si>
  <si>
    <t>ROSI MARY SANTOS</t>
  </si>
  <si>
    <t>Ricardo Ungaro não responde o financeiro. Pagou 1.500,00 dia 04/02.</t>
  </si>
  <si>
    <t>Está com renúncia em andamento, verificar programação do saldo em aberto + último faturamento.</t>
  </si>
  <si>
    <t>LOREN SID</t>
  </si>
  <si>
    <t>Cliente com redução de 50% de maio até então, precisamos analisar proposta para regualarização do passado em aberto.</t>
  </si>
  <si>
    <t xml:space="preserve">Ajustar mensal para 15k primeiro e depois definir sobre a regularização do passado. </t>
  </si>
  <si>
    <t>STATUS</t>
  </si>
  <si>
    <t>PROVIDENCIA G</t>
  </si>
  <si>
    <t>DATA P G</t>
  </si>
  <si>
    <t>FU</t>
  </si>
  <si>
    <t>DATA UP</t>
  </si>
  <si>
    <t>GUSTAVO VAI FALAR COM GABRIEL</t>
  </si>
  <si>
    <t>VAI ENVIAR UMA PROPOSTA</t>
  </si>
  <si>
    <t>VERIFICAR PROPOSTA E DELIBERR EM COMITE</t>
  </si>
  <si>
    <t>Data Vencimento</t>
  </si>
  <si>
    <t>Cliente</t>
  </si>
  <si>
    <t>Descrição</t>
  </si>
  <si>
    <t>Valor Faturado</t>
  </si>
  <si>
    <t>Valor Pago</t>
  </si>
  <si>
    <t>Data PG</t>
  </si>
  <si>
    <t>Valor em Aberto</t>
  </si>
  <si>
    <t>Data Baixa</t>
  </si>
  <si>
    <t>30/08/2025</t>
  </si>
  <si>
    <t>3Tm Distribuidora de Embalagens Ltda</t>
  </si>
  <si>
    <t>SERVIÇOS ADVOCATÍCIOS</t>
  </si>
  <si>
    <t>00/00/0000</t>
  </si>
  <si>
    <t>30/09/2025</t>
  </si>
  <si>
    <t>30/10/2025</t>
  </si>
  <si>
    <t>Acordo em outubro/2025 - 10 parcelas de R$ 1.730,00 + honorário do mês, com primeiro vencimento em novembro/2025</t>
  </si>
  <si>
    <t>Valor Atualizado</t>
  </si>
  <si>
    <t>09/12/2025</t>
  </si>
  <si>
    <t>Abg Corporate Ltda</t>
  </si>
  <si>
    <t>09/01/2026</t>
  </si>
  <si>
    <t>Americar Equipamentos e Pecas Para Movimentacao de Materiais Ltda</t>
  </si>
  <si>
    <t>18/01/2025</t>
  </si>
  <si>
    <t>04/04/2025</t>
  </si>
  <si>
    <t>18/02/2025</t>
  </si>
  <si>
    <t>24/04/2025</t>
  </si>
  <si>
    <t>18/03/2025</t>
  </si>
  <si>
    <t>23/05/2025</t>
  </si>
  <si>
    <t>18/04/2025</t>
  </si>
  <si>
    <t>29/08/2025</t>
  </si>
  <si>
    <t>05/09/2025</t>
  </si>
  <si>
    <t>22/09/2025</t>
  </si>
  <si>
    <t>25/09/2025</t>
  </si>
  <si>
    <t>18/05/2025</t>
  </si>
  <si>
    <t>10/10/2025</t>
  </si>
  <si>
    <t>17/10/2025</t>
  </si>
  <si>
    <t>24/10/2025</t>
  </si>
  <si>
    <t>18/06/2025</t>
  </si>
  <si>
    <t>31/10/2025</t>
  </si>
  <si>
    <t>07/11/2025</t>
  </si>
  <si>
    <t>14/11/2025</t>
  </si>
  <si>
    <t>18/07/2025</t>
  </si>
  <si>
    <t>27/11/2025</t>
  </si>
  <si>
    <t>28/11/2025</t>
  </si>
  <si>
    <t>Valor corrente</t>
  </si>
  <si>
    <t>05/12/2025</t>
  </si>
  <si>
    <t>Proposta BP</t>
  </si>
  <si>
    <t>Retomada dos R$ 5.000</t>
  </si>
  <si>
    <t>18/08/2025</t>
  </si>
  <si>
    <t>Contraproposta Americar</t>
  </si>
  <si>
    <t>12/12/2025</t>
  </si>
  <si>
    <t>Valor em atrasado</t>
  </si>
  <si>
    <t>18/09/2025</t>
  </si>
  <si>
    <t>Valor</t>
  </si>
  <si>
    <t>Parcelas</t>
  </si>
  <si>
    <t>Valor parcelas</t>
  </si>
  <si>
    <t>18/10/2025</t>
  </si>
  <si>
    <t>18/11/2025</t>
  </si>
  <si>
    <t>18/12/2025</t>
  </si>
  <si>
    <t>Até 13/02</t>
  </si>
  <si>
    <t>18/01/2026</t>
  </si>
  <si>
    <t>A partir de 03/2026</t>
  </si>
  <si>
    <t>Rafael da besten voltará  semana que vem &gt; enviar e-mail ao Renato</t>
  </si>
  <si>
    <t>REEMBOLSO - AUDIENCIA TRAB. VARA DO TRABALHO DE MOGI MIRIM</t>
  </si>
  <si>
    <t>REEMBOLSO - COMITE SEDE AMERICAR E AUDIENCIA PRESENCIAL EM MOGI MIRIM</t>
  </si>
  <si>
    <t>Reembolsos</t>
  </si>
  <si>
    <t>05/01/2026</t>
  </si>
  <si>
    <t>Terral Prime Intermediacoes e Participacoes Em Negocios Ltda</t>
  </si>
  <si>
    <t>15/07/2025</t>
  </si>
  <si>
    <t>CDA COMERCIO INDUSTRIA DE METAIS LTDA</t>
  </si>
  <si>
    <t>15/08/2025</t>
  </si>
  <si>
    <t>26/08/2025</t>
  </si>
  <si>
    <t>15/09/2025</t>
  </si>
  <si>
    <t>23/10/2025</t>
  </si>
  <si>
    <t>20/10/2025</t>
  </si>
  <si>
    <t>Valor ref. processo área trabalhista que não foi repassado. Proc. 0002434-69.2016.5.17.0141</t>
  </si>
  <si>
    <t>05/11/2025</t>
  </si>
  <si>
    <t>Valor ref. acordo F.A. da Costa que não foi repassado (Valor total R$ 19.332,45)</t>
  </si>
  <si>
    <t>24/11/2025</t>
  </si>
  <si>
    <t>15/11/2025</t>
  </si>
  <si>
    <t>02/12/2025</t>
  </si>
  <si>
    <t>Valor ref. acordo F.A. da Costa que não foi repassado.</t>
  </si>
  <si>
    <t>26/01/2026</t>
  </si>
  <si>
    <t>15/12/2025</t>
  </si>
  <si>
    <t>15/01/2026</t>
  </si>
  <si>
    <t>Cristal &amp; Cores Chapas Acrilicas Ltda</t>
  </si>
  <si>
    <t>28/12/2025</t>
  </si>
  <si>
    <t>28/01/2026</t>
  </si>
  <si>
    <t>D.m.p.equipamentos Ltda.</t>
  </si>
  <si>
    <t>30/11/2025</t>
  </si>
  <si>
    <t>30/12/2025</t>
  </si>
  <si>
    <t>29/11/2025</t>
  </si>
  <si>
    <t>Disep Alimentos Ltda</t>
  </si>
  <si>
    <t>29/12/2025</t>
  </si>
  <si>
    <t>15/12/2024</t>
  </si>
  <si>
    <t>FAVIFER COMERCIO DE FERRO E ACO LTDA</t>
  </si>
  <si>
    <t>07/02/2025</t>
  </si>
  <si>
    <t>15/01/2025</t>
  </si>
  <si>
    <t>07/03/2025</t>
  </si>
  <si>
    <t>14/03/2025</t>
  </si>
  <si>
    <t>15/02/2025</t>
  </si>
  <si>
    <t>11/04/2025</t>
  </si>
  <si>
    <t>10/11/2025</t>
  </si>
  <si>
    <t>25/11/2025</t>
  </si>
  <si>
    <t>19/12/2025</t>
  </si>
  <si>
    <t>15/03/2025</t>
  </si>
  <si>
    <t>29/04/2025</t>
  </si>
  <si>
    <t>15/04/2025</t>
  </si>
  <si>
    <t>05/06/2025</t>
  </si>
  <si>
    <t>11/06/2025</t>
  </si>
  <si>
    <t>20/06/2025</t>
  </si>
  <si>
    <t>04/07/2025</t>
  </si>
  <si>
    <t>15/05/2025</t>
  </si>
  <si>
    <t>11/07/2025</t>
  </si>
  <si>
    <t>01/08/2025</t>
  </si>
  <si>
    <t>07/08/2025</t>
  </si>
  <si>
    <t>15/06/2025</t>
  </si>
  <si>
    <t>21/08/2025</t>
  </si>
  <si>
    <t>22/08/2025</t>
  </si>
  <si>
    <t>02/09/2025</t>
  </si>
  <si>
    <t>09/09/2025</t>
  </si>
  <si>
    <t>12/09/2025</t>
  </si>
  <si>
    <t>29/09/2025</t>
  </si>
  <si>
    <t>03/10/2025</t>
  </si>
  <si>
    <t>15/10/2025</t>
  </si>
  <si>
    <t>Felicita Importadora e Distribuidora de Alimentos</t>
  </si>
  <si>
    <t>29/01/2025</t>
  </si>
  <si>
    <t>30/01/2025</t>
  </si>
  <si>
    <t>19/02/2025</t>
  </si>
  <si>
    <t>26/02/2025</t>
  </si>
  <si>
    <t>26/03/2025</t>
  </si>
  <si>
    <t>03/04/2025</t>
  </si>
  <si>
    <t>26/05/2025</t>
  </si>
  <si>
    <t>29/05/2025</t>
  </si>
  <si>
    <t>08/07/2025</t>
  </si>
  <si>
    <t>24/09/2025</t>
  </si>
  <si>
    <t>02/10/2025</t>
  </si>
  <si>
    <t>04/11/2025</t>
  </si>
  <si>
    <t>REEMBOLSO</t>
  </si>
  <si>
    <t>28/07/2025</t>
  </si>
  <si>
    <t>Ferramentaria Gaspec Ltda Em Recuperacao Judicial</t>
  </si>
  <si>
    <t>ACORDO HONORÁRIOS REF. 2023 E 2024</t>
  </si>
  <si>
    <t>28/08/2025</t>
  </si>
  <si>
    <t>28/09/2025</t>
  </si>
  <si>
    <t>28/10/2025</t>
  </si>
  <si>
    <t>10/01/2026</t>
  </si>
  <si>
    <t>Form Bob Papeis Ltda</t>
  </si>
  <si>
    <t>20/01/2025</t>
  </si>
  <si>
    <t>IBS INDUSTRIA BRASILEIRA DE SUCOS S/A</t>
  </si>
  <si>
    <t>20/02/2025</t>
  </si>
  <si>
    <t>20/03/2025</t>
  </si>
  <si>
    <t>20/04/2025</t>
  </si>
  <si>
    <t>20/05/2025</t>
  </si>
  <si>
    <t>20/07/2025</t>
  </si>
  <si>
    <t>20/08/2025</t>
  </si>
  <si>
    <t>20/09/2025</t>
  </si>
  <si>
    <t>20/11/2025</t>
  </si>
  <si>
    <t>20/12/2025</t>
  </si>
  <si>
    <t>20/01/2026</t>
  </si>
  <si>
    <t>26/12/2025</t>
  </si>
  <si>
    <t>Linoplast Industria e Comercio Ltda</t>
  </si>
  <si>
    <t>05/07/2025</t>
  </si>
  <si>
    <t>LIRA ALIMENTOS INDUSTRIA E COMERCIO LTDA</t>
  </si>
  <si>
    <t>05/08/2025</t>
  </si>
  <si>
    <t>05/10/2025</t>
  </si>
  <si>
    <t xml:space="preserve">Saldo devedor aditivo: R$ 238.522,70, sendo R$ 2.000,00 de amortização por mês de outubro/2024 a fevereiro/2025 e R$ 12.000,00 de março/2025 em diante (20 parcelas?). </t>
  </si>
  <si>
    <t>15/10/2024</t>
  </si>
  <si>
    <t>Livraria Cultura Ltda. - Em Recuperacao Judicial Em Recuperacao Judicial</t>
  </si>
  <si>
    <t>10/10/2024</t>
  </si>
  <si>
    <t>22/10/2024</t>
  </si>
  <si>
    <t>25/10/2024</t>
  </si>
  <si>
    <t>28/10/2024</t>
  </si>
  <si>
    <t>01/11/2024</t>
  </si>
  <si>
    <t>04/11/2024</t>
  </si>
  <si>
    <t>12/11/2024</t>
  </si>
  <si>
    <t>15/11/2024</t>
  </si>
  <si>
    <t>19/11/2024</t>
  </si>
  <si>
    <t>22/11/2024</t>
  </si>
  <si>
    <t>29/11/2024</t>
  </si>
  <si>
    <t>10/12/2024</t>
  </si>
  <si>
    <t>17/12/2024</t>
  </si>
  <si>
    <t>24/12/2024</t>
  </si>
  <si>
    <t>06/01/2025</t>
  </si>
  <si>
    <t>13/01/2025</t>
  </si>
  <si>
    <t>14/01/2025</t>
  </si>
  <si>
    <t>17/01/2025</t>
  </si>
  <si>
    <t>21/01/2025</t>
  </si>
  <si>
    <t>07/01/2025</t>
  </si>
  <si>
    <t>16/01/2025</t>
  </si>
  <si>
    <t>12/02/2025</t>
  </si>
  <si>
    <t>13/02/2025</t>
  </si>
  <si>
    <t>11/03/2025</t>
  </si>
  <si>
    <t>21/03/2025</t>
  </si>
  <si>
    <t>24/03/2025</t>
  </si>
  <si>
    <t>25/03/2025</t>
  </si>
  <si>
    <t>31/03/2025</t>
  </si>
  <si>
    <t>08/04/2025</t>
  </si>
  <si>
    <t>30/04/2025</t>
  </si>
  <si>
    <t>27/05/2025</t>
  </si>
  <si>
    <t>28/05/2025</t>
  </si>
  <si>
    <t>30/05/2025</t>
  </si>
  <si>
    <t>02/06/2025</t>
  </si>
  <si>
    <t>24/06/2025</t>
  </si>
  <si>
    <t>27/06/2025</t>
  </si>
  <si>
    <t>01/07/2025</t>
  </si>
  <si>
    <t>09/07/2025</t>
  </si>
  <si>
    <t>10/07/2025</t>
  </si>
  <si>
    <t>16/07/2025</t>
  </si>
  <si>
    <t>21/07/2025</t>
  </si>
  <si>
    <t>22/07/2025</t>
  </si>
  <si>
    <t>23/07/2025</t>
  </si>
  <si>
    <t>25/07/2025</t>
  </si>
  <si>
    <t>29/07/2025</t>
  </si>
  <si>
    <t>04/08/2025</t>
  </si>
  <si>
    <t>08/08/2025</t>
  </si>
  <si>
    <t>11/08/2025</t>
  </si>
  <si>
    <t>12/08/2025</t>
  </si>
  <si>
    <t>14/08/2025</t>
  </si>
  <si>
    <t>25/08/2025</t>
  </si>
  <si>
    <t>27/08/2025</t>
  </si>
  <si>
    <t>01/09/2025</t>
  </si>
  <si>
    <t>04/09/2025</t>
  </si>
  <si>
    <t>08/09/2025</t>
  </si>
  <si>
    <t>10/09/2025</t>
  </si>
  <si>
    <t>16/09/2025</t>
  </si>
  <si>
    <t>23/09/2025</t>
  </si>
  <si>
    <t>26/09/2025</t>
  </si>
  <si>
    <t>29/10/2025</t>
  </si>
  <si>
    <t>LOYAL PROFIT CONSULTING LTDA</t>
  </si>
  <si>
    <t>29/06/2025</t>
  </si>
  <si>
    <t>MAZDA EMBALAGENS LTDA EM RECUPERACAO JUDICIAL</t>
  </si>
  <si>
    <t>Novo acordo em janeiro/2026 - 11 parcelas de R$ 6.606,88 com pagamento quinzenal + honorário do mês</t>
  </si>
  <si>
    <t>20/12/2024</t>
  </si>
  <si>
    <t>METALCASTY LTDA EM RECUPERACAO JUDICIAL</t>
  </si>
  <si>
    <t>DIFERENÇA REF. 2023 E 2024, APÓS CONFERÊNCIA FELIPE E JULIANA</t>
  </si>
  <si>
    <t>Movent Automotive Industria e Comercio de Autopecas Ltda</t>
  </si>
  <si>
    <t>OFFICER S. A. DISTRIBUIDORA DE PRODUTOS DE TECNOLOGIA</t>
  </si>
  <si>
    <t>SERVIÇOS ADVOCATÍCIOS - CONTRATO SOFISA</t>
  </si>
  <si>
    <t>12/03/2025</t>
  </si>
  <si>
    <t>12/04/2025</t>
  </si>
  <si>
    <t>12/10/2025</t>
  </si>
  <si>
    <t>12/11/2025</t>
  </si>
  <si>
    <t>12/01/2026</t>
  </si>
  <si>
    <t>17/11/2025</t>
  </si>
  <si>
    <t>Luciano Kubrusly</t>
  </si>
  <si>
    <t>17/12/2025</t>
  </si>
  <si>
    <t>17/01/2026</t>
  </si>
  <si>
    <t>Total grupo</t>
  </si>
  <si>
    <t>11/05/2025</t>
  </si>
  <si>
    <t>Priscilla dos Santos Rosseti</t>
  </si>
  <si>
    <t>SERVIÇOS ADVOCATICIOS</t>
  </si>
  <si>
    <t>11/09/2025</t>
  </si>
  <si>
    <t>11/10/2025</t>
  </si>
  <si>
    <t>11/11/2025</t>
  </si>
  <si>
    <t>11/12/2025</t>
  </si>
  <si>
    <t>11/01/2026</t>
  </si>
  <si>
    <t>25/01/2025</t>
  </si>
  <si>
    <t>Rcg Tecnologia Eletromecanica Ltda - Em Recuperacao Judicial</t>
  </si>
  <si>
    <t>25/02/2025</t>
  </si>
  <si>
    <t>25/04/2025</t>
  </si>
  <si>
    <t>25/05/2025</t>
  </si>
  <si>
    <t>25/06/2025</t>
  </si>
  <si>
    <t>25/10/2025</t>
  </si>
  <si>
    <t>25/12/2025</t>
  </si>
  <si>
    <t>25/01/2026</t>
  </si>
  <si>
    <t>Spel Embalagens Ltda</t>
  </si>
  <si>
    <t>Versoplas Industria e Comercio de Plasticos Ltda</t>
  </si>
  <si>
    <t>REEMBOLSO - DESPACHO FÓRUM DE RIBEIRÃO PRETO</t>
  </si>
  <si>
    <t>ANTONINI COMERCIAL E DISTRIBUIDORA LTDA EPP</t>
  </si>
  <si>
    <t>M.m.p Comercial Industrial de Plasticos Ltda</t>
  </si>
  <si>
    <t>30/01/2026</t>
  </si>
  <si>
    <t>Beatriz Baldo Toriani</t>
  </si>
  <si>
    <t>ÊXITO SOBRE PENSÃO - PARCELA 01</t>
  </si>
  <si>
    <t>ÊXITO SOBRE PENSÃO - PARCELA 02</t>
  </si>
  <si>
    <t>ÊXITO SOBRE PENSÃO - PARCELA 03</t>
  </si>
  <si>
    <t>Acordo em 7 parcelas de R$ 942,20, com início em janeiro/2026. Em atraso, mas está pagando o êxito do mês.</t>
  </si>
  <si>
    <t>Rosi Mary Santos D Almeida</t>
  </si>
  <si>
    <t>LOREN-SID LTDA</t>
  </si>
  <si>
    <t>30/06/2025</t>
  </si>
  <si>
    <t>30/07/2025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</si>
</sst>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1"/>
      <name val="Aptos Narrow"/>
      <family val="2"/>
      <scheme val="minor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/>
    <xf numFmtId="44" fontId="9" fillId="0" borderId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4" fontId="2" fillId="0" borderId="0" xfId="0" applyNumberFormat="1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44" fontId="3" fillId="0" borderId="0" xfId="0" applyNumberFormat="1" applyFont="1" applyAlignment="1">
      <alignment horizontal="left"/>
    </xf>
    <xf numFmtId="44" fontId="3" fillId="0" borderId="0" xfId="0" applyNumberFormat="1" applyFont="1"/>
    <xf numFmtId="0" fontId="2" fillId="0" borderId="0" xfId="0" applyFont="1" applyAlignment="1">
      <alignment horizontal="center"/>
    </xf>
    <xf numFmtId="44" fontId="2" fillId="0" borderId="0" xfId="0" applyNumberFormat="1" applyFont="1"/>
    <xf numFmtId="0" fontId="3" fillId="0" borderId="0" xfId="0" applyFont="1" applyAlignment="1">
      <alignment horizontal="center"/>
    </xf>
    <xf numFmtId="44" fontId="3" fillId="0" borderId="0" xfId="0" applyNumberFormat="1" applyFont="1" applyAlignment="1">
      <alignment horizontal="center"/>
    </xf>
    <xf numFmtId="44" fontId="2" fillId="0" borderId="0" xfId="0" applyNumberFormat="1" applyFont="1" applyAlignment="1">
      <alignment horizontal="center"/>
    </xf>
    <xf numFmtId="0" fontId="1" fillId="0" borderId="0" xfId="1" applyAlignment="1">
      <alignment horizontal="left"/>
    </xf>
    <xf numFmtId="44" fontId="1" fillId="0" borderId="0" xfId="1" applyNumberFormat="1" applyAlignment="1">
      <alignment horizontal="left"/>
    </xf>
    <xf numFmtId="44" fontId="1" fillId="0" borderId="0" xfId="1" applyNumberFormat="1" applyAlignment="1">
      <alignment horizontal="center"/>
    </xf>
    <xf numFmtId="14" fontId="1" fillId="0" borderId="0" xfId="1" applyNumberFormat="1" applyAlignment="1">
      <alignment horizontal="left"/>
    </xf>
    <xf numFmtId="0" fontId="5" fillId="0" borderId="0" xfId="2" applyAlignment="1">
      <alignment horizontal="left"/>
    </xf>
    <xf numFmtId="44" fontId="5" fillId="0" borderId="0" xfId="2" applyNumberFormat="1" applyAlignment="1">
      <alignment horizontal="center"/>
    </xf>
    <xf numFmtId="44" fontId="6" fillId="0" borderId="0" xfId="1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center"/>
    </xf>
    <xf numFmtId="44" fontId="2" fillId="2" borderId="0" xfId="0" applyNumberFormat="1" applyFont="1" applyFill="1" applyAlignment="1">
      <alignment horizontal="center"/>
    </xf>
    <xf numFmtId="0" fontId="2" fillId="2" borderId="0" xfId="0" applyFont="1" applyFill="1"/>
    <xf numFmtId="14" fontId="1" fillId="0" borderId="0" xfId="0" applyNumberFormat="1" applyFont="1" applyAlignment="1">
      <alignment horizontal="left"/>
    </xf>
    <xf numFmtId="4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/>
    <xf numFmtId="14" fontId="3" fillId="0" borderId="0" xfId="0" applyNumberFormat="1" applyFont="1" applyAlignment="1">
      <alignment horizontal="center"/>
    </xf>
    <xf numFmtId="4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4" fontId="3" fillId="0" borderId="0" xfId="3" applyFont="1"/>
    <xf numFmtId="44" fontId="3" fillId="0" borderId="0" xfId="3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4" fontId="3" fillId="3" borderId="0" xfId="3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3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3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44" fontId="10" fillId="0" borderId="0" xfId="3" applyFont="1" applyAlignment="1">
      <alignment horizontal="center" vertical="center"/>
    </xf>
    <xf numFmtId="44" fontId="3" fillId="3" borderId="0" xfId="0" applyNumberFormat="1" applyFont="1" applyFill="1" applyAlignment="1">
      <alignment horizontal="center"/>
    </xf>
    <xf numFmtId="0" fontId="2" fillId="0" borderId="0" xfId="0" applyFont="1"/>
    <xf numFmtId="0" fontId="3" fillId="2" borderId="0" xfId="0" applyFont="1" applyFill="1" applyAlignment="1">
      <alignment horizontal="center"/>
    </xf>
    <xf numFmtId="44" fontId="3" fillId="2" borderId="0" xfId="0" applyNumberFormat="1" applyFont="1" applyFill="1"/>
    <xf numFmtId="0" fontId="3" fillId="2" borderId="0" xfId="0" applyFont="1" applyFill="1"/>
    <xf numFmtId="0" fontId="12" fillId="4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6" fontId="0" fillId="0" borderId="0" xfId="0" applyNumberFormat="1"/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</cellXfs>
  <cellStyles count="4">
    <cellStyle name="Moeda" xfId="3" builtinId="4"/>
    <cellStyle name="Normal" xfId="0" builtinId="0"/>
    <cellStyle name="Normal 2" xfId="1" xr:uid="{C73ABE8D-6A7B-4161-8D55-53597F57E4DE}"/>
    <cellStyle name="Normal 3" xfId="2" xr:uid="{72FB2B3B-0E38-4A81-8B48-BAF45063F6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E836-B751-4300-B183-F25D019E5ACD}">
  <dimension ref="A1:G32"/>
  <sheetViews>
    <sheetView tabSelected="1" workbookViewId="0">
      <pane xSplit="1" topLeftCell="E1" activePane="topRight" state="frozen"/>
      <selection pane="topRight" activeCell="E9" sqref="E9"/>
    </sheetView>
  </sheetViews>
  <sheetFormatPr defaultRowHeight="15"/>
  <cols>
    <col min="1" max="1" width="23.7109375" style="11" bestFit="1" customWidth="1"/>
    <col min="2" max="2" width="16.28515625" style="11" customWidth="1"/>
    <col min="3" max="3" width="17.28515625" style="8" bestFit="1" customWidth="1"/>
    <col min="4" max="4" width="21.5703125" style="8" bestFit="1" customWidth="1"/>
    <col min="5" max="5" width="143.42578125" style="5" bestFit="1" customWidth="1"/>
    <col min="6" max="6" width="177.5703125" style="5" customWidth="1"/>
    <col min="7" max="7" width="20.5703125" style="5" bestFit="1" customWidth="1"/>
    <col min="8" max="16384" width="9.140625" style="5"/>
  </cols>
  <sheetData>
    <row r="1" spans="1:7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2" t="s">
        <v>5</v>
      </c>
      <c r="G1" s="24" t="s">
        <v>6</v>
      </c>
    </row>
    <row r="2" spans="1:7">
      <c r="A2" s="11" t="s">
        <v>7</v>
      </c>
      <c r="B2" s="11" t="s">
        <v>8</v>
      </c>
      <c r="C2" s="8">
        <v>5100</v>
      </c>
      <c r="D2" s="8">
        <f>'3TM'!G8</f>
        <v>17400</v>
      </c>
      <c r="E2" s="5" t="s">
        <v>9</v>
      </c>
      <c r="F2" s="5" t="s">
        <v>10</v>
      </c>
      <c r="G2" s="5" t="s">
        <v>11</v>
      </c>
    </row>
    <row r="3" spans="1:7">
      <c r="A3" s="11" t="s">
        <v>12</v>
      </c>
      <c r="B3" s="11" t="s">
        <v>8</v>
      </c>
      <c r="C3" s="8">
        <v>17964.07</v>
      </c>
      <c r="D3" s="8">
        <f>ABG!F6</f>
        <v>53892.21</v>
      </c>
      <c r="E3" s="5" t="s">
        <v>13</v>
      </c>
      <c r="F3" s="5" t="s">
        <v>14</v>
      </c>
      <c r="G3" s="5" t="s">
        <v>15</v>
      </c>
    </row>
    <row r="4" spans="1:7">
      <c r="A4" s="11" t="s">
        <v>16</v>
      </c>
      <c r="B4" s="11" t="s">
        <v>17</v>
      </c>
      <c r="C4" s="8">
        <v>16000</v>
      </c>
      <c r="D4" s="8">
        <f>AMERICAR!F31</f>
        <v>90000</v>
      </c>
      <c r="E4" s="5" t="s">
        <v>18</v>
      </c>
      <c r="F4" s="5" t="s">
        <v>19</v>
      </c>
      <c r="G4" s="5" t="s">
        <v>20</v>
      </c>
    </row>
    <row r="5" spans="1:7">
      <c r="A5" s="11" t="s">
        <v>21</v>
      </c>
      <c r="B5" s="11" t="s">
        <v>8</v>
      </c>
      <c r="C5" s="8">
        <v>8000</v>
      </c>
      <c r="D5" s="8">
        <f>BILATERAL!F5</f>
        <v>12000</v>
      </c>
      <c r="E5" s="5" t="s">
        <v>22</v>
      </c>
      <c r="F5" s="5" t="s">
        <v>23</v>
      </c>
      <c r="G5" s="5" t="s">
        <v>24</v>
      </c>
    </row>
    <row r="6" spans="1:7">
      <c r="A6" s="11" t="s">
        <v>25</v>
      </c>
      <c r="B6" s="11" t="s">
        <v>17</v>
      </c>
      <c r="C6" s="8">
        <v>45467.06</v>
      </c>
      <c r="D6" s="8">
        <v>92728.77</v>
      </c>
      <c r="E6" s="5" t="s">
        <v>26</v>
      </c>
      <c r="F6" s="5" t="s">
        <v>27</v>
      </c>
      <c r="G6" s="5" t="s">
        <v>15</v>
      </c>
    </row>
    <row r="7" spans="1:7">
      <c r="A7" s="11" t="s">
        <v>28</v>
      </c>
      <c r="B7" s="11" t="s">
        <v>8</v>
      </c>
      <c r="C7" s="8">
        <v>18000</v>
      </c>
      <c r="D7" s="8">
        <f>CRISTAL!F6</f>
        <v>44000</v>
      </c>
      <c r="E7" s="5" t="s">
        <v>29</v>
      </c>
      <c r="F7" s="5" t="s">
        <v>30</v>
      </c>
      <c r="G7" s="5" t="s">
        <v>24</v>
      </c>
    </row>
    <row r="8" spans="1:7">
      <c r="A8" s="11" t="s">
        <v>31</v>
      </c>
      <c r="B8" s="11" t="s">
        <v>8</v>
      </c>
      <c r="C8" s="8">
        <v>25000</v>
      </c>
      <c r="D8" s="8">
        <f>DMP!F9</f>
        <v>81000</v>
      </c>
      <c r="E8" s="5" t="s">
        <v>32</v>
      </c>
      <c r="F8" s="5" t="s">
        <v>33</v>
      </c>
      <c r="G8" s="5" t="s">
        <v>24</v>
      </c>
    </row>
    <row r="9" spans="1:7">
      <c r="A9" s="11" t="s">
        <v>34</v>
      </c>
      <c r="B9" s="11" t="s">
        <v>17</v>
      </c>
      <c r="C9" s="8">
        <v>25000</v>
      </c>
      <c r="D9" s="8">
        <f>DISEP!F6</f>
        <v>55000</v>
      </c>
      <c r="E9" s="5" t="s">
        <v>35</v>
      </c>
      <c r="F9" s="5" t="s">
        <v>36</v>
      </c>
      <c r="G9" s="5" t="s">
        <v>37</v>
      </c>
    </row>
    <row r="10" spans="1:7">
      <c r="A10" s="11" t="s">
        <v>38</v>
      </c>
      <c r="B10" s="11" t="s">
        <v>17</v>
      </c>
      <c r="C10" s="8">
        <v>23300</v>
      </c>
      <c r="D10" s="8">
        <f>FAVIFER!F46</f>
        <v>168100</v>
      </c>
      <c r="E10" s="5" t="s">
        <v>39</v>
      </c>
      <c r="F10" s="5" t="s">
        <v>40</v>
      </c>
      <c r="G10" s="5" t="s">
        <v>24</v>
      </c>
    </row>
    <row r="11" spans="1:7">
      <c r="A11" s="11" t="s">
        <v>41</v>
      </c>
      <c r="B11" s="11" t="s">
        <v>17</v>
      </c>
      <c r="C11" s="8">
        <v>15000</v>
      </c>
      <c r="D11" s="8">
        <f>FELICITA!F31</f>
        <v>83000</v>
      </c>
      <c r="E11" s="5" t="s">
        <v>42</v>
      </c>
      <c r="F11" s="5" t="s">
        <v>43</v>
      </c>
      <c r="G11" s="5" t="s">
        <v>24</v>
      </c>
    </row>
    <row r="12" spans="1:7">
      <c r="A12" s="11" t="s">
        <v>44</v>
      </c>
      <c r="B12" s="11" t="s">
        <v>17</v>
      </c>
      <c r="C12" s="8">
        <v>19506.71</v>
      </c>
      <c r="D12" s="8">
        <f>'FERRAMENTARIA GASPEC'!F14</f>
        <v>102616.12</v>
      </c>
      <c r="E12" s="5" t="s">
        <v>45</v>
      </c>
      <c r="F12" s="5" t="s">
        <v>46</v>
      </c>
      <c r="G12" s="5" t="s">
        <v>47</v>
      </c>
    </row>
    <row r="13" spans="1:7">
      <c r="A13" s="11" t="s">
        <v>48</v>
      </c>
      <c r="B13" s="11" t="s">
        <v>17</v>
      </c>
      <c r="C13" s="8">
        <v>10000</v>
      </c>
      <c r="D13" s="8">
        <f>'FORM BOB'!F13</f>
        <v>97000</v>
      </c>
      <c r="E13" s="5" t="s">
        <v>49</v>
      </c>
      <c r="F13" s="5" t="s">
        <v>50</v>
      </c>
      <c r="G13" s="5" t="s">
        <v>37</v>
      </c>
    </row>
    <row r="14" spans="1:7">
      <c r="A14" s="45" t="s">
        <v>51</v>
      </c>
      <c r="B14" s="45" t="s">
        <v>17</v>
      </c>
      <c r="C14" s="46">
        <v>10000</v>
      </c>
      <c r="D14" s="46">
        <f>'GRUPO IBS'!F16</f>
        <v>130000</v>
      </c>
      <c r="E14" s="47" t="s">
        <v>52</v>
      </c>
      <c r="F14" s="47" t="s">
        <v>53</v>
      </c>
      <c r="G14" s="47" t="s">
        <v>37</v>
      </c>
    </row>
    <row r="15" spans="1:7">
      <c r="A15" s="11" t="s">
        <v>54</v>
      </c>
      <c r="B15" s="11" t="s">
        <v>8</v>
      </c>
      <c r="C15" s="8">
        <v>15000</v>
      </c>
      <c r="D15" s="8">
        <f>LINOPLAST!F5</f>
        <v>30000</v>
      </c>
      <c r="E15" s="5" t="s">
        <v>55</v>
      </c>
      <c r="F15" s="5" t="s">
        <v>56</v>
      </c>
      <c r="G15" s="5" t="s">
        <v>15</v>
      </c>
    </row>
    <row r="16" spans="1:7">
      <c r="A16" s="11" t="s">
        <v>57</v>
      </c>
      <c r="B16" s="11" t="s">
        <v>17</v>
      </c>
      <c r="C16" s="8">
        <v>15000</v>
      </c>
      <c r="D16" s="8">
        <f>LIRA!F11</f>
        <v>110000</v>
      </c>
      <c r="E16" s="5" t="s">
        <v>58</v>
      </c>
      <c r="F16" s="5" t="s">
        <v>59</v>
      </c>
      <c r="G16" s="5" t="s">
        <v>37</v>
      </c>
    </row>
    <row r="17" spans="1:7">
      <c r="A17" s="11" t="s">
        <v>60</v>
      </c>
      <c r="B17" s="11" t="s">
        <v>17</v>
      </c>
      <c r="C17" s="8">
        <v>30000</v>
      </c>
      <c r="D17" s="8">
        <f>'LIVRARIA CULTURA'!F105</f>
        <v>209800</v>
      </c>
      <c r="E17" s="5" t="s">
        <v>61</v>
      </c>
      <c r="F17" s="5" t="s">
        <v>62</v>
      </c>
      <c r="G17" s="5" t="s">
        <v>15</v>
      </c>
    </row>
    <row r="18" spans="1:7">
      <c r="A18" s="11" t="s">
        <v>63</v>
      </c>
      <c r="B18" s="11" t="s">
        <v>17</v>
      </c>
      <c r="C18" s="8">
        <v>3237.02</v>
      </c>
      <c r="D18" s="8">
        <f>LOYAL!F12</f>
        <v>26318.280000000002</v>
      </c>
      <c r="E18" s="5" t="s">
        <v>49</v>
      </c>
      <c r="F18" s="5" t="s">
        <v>64</v>
      </c>
      <c r="G18" s="5" t="s">
        <v>37</v>
      </c>
    </row>
    <row r="19" spans="1:7">
      <c r="A19" s="11" t="s">
        <v>65</v>
      </c>
      <c r="B19" s="11" t="s">
        <v>17</v>
      </c>
      <c r="C19" s="8">
        <v>15648</v>
      </c>
      <c r="D19" s="8">
        <f>MAZDA!F9</f>
        <v>81356.820000000007</v>
      </c>
      <c r="E19" s="5" t="s">
        <v>66</v>
      </c>
      <c r="F19" s="5" t="s">
        <v>67</v>
      </c>
      <c r="G19" s="5" t="s">
        <v>24</v>
      </c>
    </row>
    <row r="20" spans="1:7">
      <c r="A20" s="11" t="s">
        <v>68</v>
      </c>
      <c r="B20" s="11" t="s">
        <v>17</v>
      </c>
      <c r="C20" s="8">
        <v>52925</v>
      </c>
      <c r="D20" s="8">
        <f>METALCASTY!F14</f>
        <v>240560.5</v>
      </c>
      <c r="E20" s="5" t="s">
        <v>69</v>
      </c>
      <c r="F20" s="5" t="s">
        <v>70</v>
      </c>
      <c r="G20" s="5" t="s">
        <v>71</v>
      </c>
    </row>
    <row r="21" spans="1:7">
      <c r="A21" s="11" t="s">
        <v>72</v>
      </c>
      <c r="B21" s="11" t="s">
        <v>17</v>
      </c>
      <c r="C21" s="8">
        <v>15000</v>
      </c>
      <c r="D21" s="8">
        <f>MOVENT!F8</f>
        <v>190000</v>
      </c>
      <c r="E21" s="5" t="s">
        <v>73</v>
      </c>
      <c r="F21" s="5" t="s">
        <v>74</v>
      </c>
      <c r="G21" s="5" t="s">
        <v>15</v>
      </c>
    </row>
    <row r="22" spans="1:7">
      <c r="A22" s="11" t="s">
        <v>75</v>
      </c>
      <c r="B22" s="11" t="s">
        <v>17</v>
      </c>
      <c r="C22" s="8">
        <v>26500</v>
      </c>
      <c r="D22" s="8">
        <f>'OFFICER-LUCIANO'!F34</f>
        <v>348421.25</v>
      </c>
      <c r="E22" s="5" t="s">
        <v>76</v>
      </c>
      <c r="F22" s="5" t="s">
        <v>77</v>
      </c>
      <c r="G22" s="5" t="s">
        <v>37</v>
      </c>
    </row>
    <row r="23" spans="1:7" ht="14.25" customHeight="1">
      <c r="A23" s="11" t="s">
        <v>78</v>
      </c>
      <c r="B23" s="11" t="s">
        <v>17</v>
      </c>
      <c r="C23" s="8">
        <v>650</v>
      </c>
      <c r="D23" s="8">
        <f>'PRISCILLA ROSSETTI'!F12</f>
        <v>5850</v>
      </c>
      <c r="E23" s="5" t="s">
        <v>79</v>
      </c>
      <c r="F23" s="5" t="s">
        <v>80</v>
      </c>
      <c r="G23" s="5" t="s">
        <v>37</v>
      </c>
    </row>
    <row r="24" spans="1:7" ht="14.25" customHeight="1">
      <c r="A24" s="11" t="s">
        <v>81</v>
      </c>
      <c r="B24" s="11" t="s">
        <v>17</v>
      </c>
      <c r="C24" s="8">
        <v>11700</v>
      </c>
      <c r="D24" s="8">
        <f>RCG!F16</f>
        <v>151171.65</v>
      </c>
      <c r="E24" s="5" t="s">
        <v>82</v>
      </c>
      <c r="F24" s="5" t="s">
        <v>83</v>
      </c>
      <c r="G24" s="5" t="s">
        <v>15</v>
      </c>
    </row>
    <row r="25" spans="1:7">
      <c r="A25" s="11" t="s">
        <v>84</v>
      </c>
      <c r="B25" s="11" t="s">
        <v>17</v>
      </c>
      <c r="D25" s="8">
        <v>6000</v>
      </c>
      <c r="E25" s="5" t="s">
        <v>85</v>
      </c>
      <c r="G25" s="5" t="s">
        <v>86</v>
      </c>
    </row>
    <row r="26" spans="1:7">
      <c r="A26" s="11" t="s">
        <v>87</v>
      </c>
      <c r="B26" s="11" t="s">
        <v>17</v>
      </c>
      <c r="C26" s="8">
        <v>28000</v>
      </c>
      <c r="D26" s="8">
        <f>SPEL!F9</f>
        <v>114154.84</v>
      </c>
      <c r="E26" s="5" t="s">
        <v>88</v>
      </c>
      <c r="F26" s="5" t="s">
        <v>89</v>
      </c>
      <c r="G26" s="5" t="s">
        <v>47</v>
      </c>
    </row>
    <row r="27" spans="1:7">
      <c r="A27" s="11" t="s">
        <v>90</v>
      </c>
      <c r="B27" s="11" t="s">
        <v>17</v>
      </c>
      <c r="C27" s="8">
        <v>18000</v>
      </c>
      <c r="D27" s="8">
        <f>VERSOPLAS!F10</f>
        <v>102195.28</v>
      </c>
      <c r="E27" s="5" t="s">
        <v>91</v>
      </c>
      <c r="F27" s="5" t="s">
        <v>43</v>
      </c>
      <c r="G27" s="5" t="s">
        <v>24</v>
      </c>
    </row>
    <row r="28" spans="1:7">
      <c r="A28" s="11" t="s">
        <v>92</v>
      </c>
      <c r="B28" s="11" t="s">
        <v>8</v>
      </c>
      <c r="C28" s="8">
        <v>2500</v>
      </c>
      <c r="D28" s="8">
        <f>ANTONINI!F5</f>
        <v>5000</v>
      </c>
      <c r="E28" s="5" t="s">
        <v>93</v>
      </c>
      <c r="F28" s="5" t="s">
        <v>94</v>
      </c>
      <c r="G28" s="5" t="s">
        <v>47</v>
      </c>
    </row>
    <row r="29" spans="1:7">
      <c r="A29" s="11" t="s">
        <v>95</v>
      </c>
      <c r="B29" s="11" t="s">
        <v>96</v>
      </c>
      <c r="C29" s="8">
        <v>28500</v>
      </c>
      <c r="D29" s="8">
        <f>'M.M.P.'!F5</f>
        <v>34750</v>
      </c>
      <c r="E29" s="5" t="s">
        <v>97</v>
      </c>
      <c r="G29" s="5" t="s">
        <v>24</v>
      </c>
    </row>
    <row r="30" spans="1:7">
      <c r="A30" s="11" t="s">
        <v>98</v>
      </c>
      <c r="B30" s="11" t="s">
        <v>8</v>
      </c>
      <c r="C30" s="8">
        <v>2311.4</v>
      </c>
      <c r="D30" s="8">
        <f>'BEATRIZ BALDO'!F6</f>
        <v>6595.4</v>
      </c>
      <c r="E30" s="5" t="s">
        <v>99</v>
      </c>
      <c r="F30" s="5" t="s">
        <v>100</v>
      </c>
      <c r="G30" s="5" t="s">
        <v>101</v>
      </c>
    </row>
    <row r="31" spans="1:7">
      <c r="A31" s="11" t="s">
        <v>102</v>
      </c>
      <c r="B31" s="11" t="s">
        <v>8</v>
      </c>
      <c r="C31" s="8">
        <v>1000</v>
      </c>
      <c r="D31" s="8">
        <f>'ROSI MARY'!F5</f>
        <v>1500</v>
      </c>
      <c r="E31" s="5" t="s">
        <v>103</v>
      </c>
      <c r="F31" s="5" t="s">
        <v>104</v>
      </c>
      <c r="G31" s="5" t="s">
        <v>20</v>
      </c>
    </row>
    <row r="32" spans="1:7">
      <c r="A32" s="11" t="s">
        <v>105</v>
      </c>
      <c r="B32" s="11" t="s">
        <v>96</v>
      </c>
      <c r="C32" s="8">
        <v>22972.400000000001</v>
      </c>
      <c r="D32" s="8">
        <f>'LOREN SID'!F12</f>
        <v>103375.79999999999</v>
      </c>
      <c r="E32" s="5" t="s">
        <v>106</v>
      </c>
      <c r="F32" s="5" t="s">
        <v>107</v>
      </c>
    </row>
  </sheetData>
  <autoFilter ref="A1:G32" xr:uid="{06E0E836-B751-4300-B183-F25D019E5ACD}"/>
  <dataValidations count="1">
    <dataValidation type="list" allowBlank="1" showInputMessage="1" showErrorMessage="1" sqref="B2:B32" xr:uid="{F3AE7D51-0C5A-40C5-9B85-E6A2047F0858}">
      <formula1>"GRAU A,GRAU B,GRAU C"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E25B-1FA3-4DD6-AAE8-8592EE31F2CE}">
  <dimension ref="A1:F3"/>
  <sheetViews>
    <sheetView workbookViewId="0">
      <selection activeCell="E3" sqref="E3"/>
    </sheetView>
  </sheetViews>
  <sheetFormatPr defaultRowHeight="15"/>
  <cols>
    <col min="2" max="2" width="16.7109375" customWidth="1"/>
    <col min="3" max="3" width="31.140625" bestFit="1" customWidth="1"/>
    <col min="4" max="4" width="16.7109375" customWidth="1"/>
    <col min="5" max="5" width="36.28515625" customWidth="1"/>
    <col min="6" max="6" width="50.85546875" customWidth="1"/>
  </cols>
  <sheetData>
    <row r="1" spans="1:6">
      <c r="A1" s="48" t="s">
        <v>0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>
      <c r="A2" s="49" t="s">
        <v>7</v>
      </c>
      <c r="C2" t="s">
        <v>113</v>
      </c>
      <c r="D2" s="50">
        <v>46065</v>
      </c>
      <c r="E2" t="s">
        <v>114</v>
      </c>
      <c r="F2" s="50">
        <v>46068</v>
      </c>
    </row>
    <row r="3" spans="1:6">
      <c r="A3" s="49" t="s">
        <v>7</v>
      </c>
      <c r="C3" t="s">
        <v>115</v>
      </c>
      <c r="D3" s="50">
        <v>46071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F091-4010-4A75-903D-128D7EC63CB6}">
  <dimension ref="A2:H13"/>
  <sheetViews>
    <sheetView workbookViewId="0">
      <selection activeCell="G17" sqref="G17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42578125" style="8" bestFit="1" customWidth="1"/>
    <col min="5" max="5" width="12.140625" style="8" bestFit="1" customWidth="1"/>
    <col min="6" max="6" width="12.140625" style="8" customWidth="1"/>
    <col min="7" max="7" width="16.85546875" style="8" bestFit="1" customWidth="1"/>
    <col min="8" max="8" width="10.42578125" style="5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4" t="s">
        <v>119</v>
      </c>
      <c r="E2" s="4" t="s">
        <v>120</v>
      </c>
      <c r="F2" s="4" t="s">
        <v>121</v>
      </c>
      <c r="G2" s="4" t="s">
        <v>122</v>
      </c>
      <c r="H2" s="3" t="s">
        <v>123</v>
      </c>
    </row>
    <row r="3" spans="1:8">
      <c r="A3" s="6" t="s">
        <v>124</v>
      </c>
      <c r="B3" s="6" t="s">
        <v>125</v>
      </c>
      <c r="C3" s="1" t="s">
        <v>126</v>
      </c>
      <c r="D3" s="7">
        <v>5100</v>
      </c>
      <c r="E3" s="7">
        <v>3000</v>
      </c>
      <c r="F3" s="7"/>
      <c r="G3" s="7">
        <v>2100</v>
      </c>
      <c r="H3" s="6" t="s">
        <v>127</v>
      </c>
    </row>
    <row r="4" spans="1:8">
      <c r="A4" s="6" t="s">
        <v>128</v>
      </c>
      <c r="B4" s="6" t="s">
        <v>125</v>
      </c>
      <c r="C4" s="2" t="s">
        <v>126</v>
      </c>
      <c r="D4" s="7">
        <v>5100</v>
      </c>
      <c r="E4" s="7">
        <v>0</v>
      </c>
      <c r="F4" s="7"/>
      <c r="G4" s="7">
        <v>5100</v>
      </c>
      <c r="H4" s="6" t="s">
        <v>127</v>
      </c>
    </row>
    <row r="5" spans="1:8">
      <c r="A5" s="6" t="s">
        <v>129</v>
      </c>
      <c r="B5" s="6" t="s">
        <v>125</v>
      </c>
      <c r="C5" s="2" t="s">
        <v>126</v>
      </c>
      <c r="D5" s="7">
        <v>5100</v>
      </c>
      <c r="E5" s="7">
        <v>0</v>
      </c>
      <c r="F5" s="7"/>
      <c r="G5" s="7">
        <v>5100</v>
      </c>
      <c r="H5" s="6" t="s">
        <v>127</v>
      </c>
    </row>
    <row r="6" spans="1:8">
      <c r="A6" s="21">
        <v>46052</v>
      </c>
      <c r="B6" s="6" t="s">
        <v>125</v>
      </c>
      <c r="C6" s="2" t="s">
        <v>126</v>
      </c>
      <c r="D6" s="7">
        <v>5100</v>
      </c>
      <c r="E6" s="7">
        <v>0</v>
      </c>
      <c r="F6" s="7"/>
      <c r="G6" s="7">
        <v>5100</v>
      </c>
      <c r="H6" s="6" t="s">
        <v>127</v>
      </c>
    </row>
    <row r="7" spans="1:8">
      <c r="A7" s="21"/>
      <c r="B7" s="6"/>
      <c r="C7" s="2"/>
      <c r="D7" s="7"/>
      <c r="E7" s="7"/>
      <c r="F7" s="7"/>
      <c r="G7" s="7"/>
      <c r="H7" s="6"/>
    </row>
    <row r="8" spans="1:8">
      <c r="G8" s="10">
        <f>SUM(G3:G6)</f>
        <v>17400</v>
      </c>
    </row>
    <row r="13" spans="1:8">
      <c r="A13" s="51" t="s">
        <v>130</v>
      </c>
      <c r="B13" s="51"/>
      <c r="C13" s="51"/>
      <c r="D13" s="51"/>
      <c r="E13" s="51"/>
      <c r="F13" s="51"/>
      <c r="G13" s="51"/>
      <c r="H13" s="51"/>
    </row>
  </sheetData>
  <mergeCells count="1">
    <mergeCell ref="A13:H13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09B82-EA4B-43C7-A208-493324CF15E1}">
  <dimension ref="A2:H6"/>
  <sheetViews>
    <sheetView workbookViewId="0">
      <selection activeCell="F7" sqref="F7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5703125" style="12" bestFit="1" customWidth="1"/>
    <col min="5" max="5" width="10.42578125" style="11" bestFit="1" customWidth="1"/>
    <col min="6" max="6" width="15.7109375" style="11" bestFit="1" customWidth="1"/>
    <col min="7" max="7" width="15.7109375" style="11" customWidth="1"/>
    <col min="8" max="8" width="10.4257812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9" t="s">
        <v>120</v>
      </c>
      <c r="F2" s="9" t="s">
        <v>122</v>
      </c>
      <c r="G2" s="9" t="s">
        <v>131</v>
      </c>
      <c r="H2" s="9" t="s">
        <v>123</v>
      </c>
    </row>
    <row r="3" spans="1:8">
      <c r="A3" s="6" t="s">
        <v>132</v>
      </c>
      <c r="B3" s="6" t="s">
        <v>133</v>
      </c>
      <c r="C3" s="1" t="s">
        <v>126</v>
      </c>
      <c r="D3" s="12">
        <v>17964.07</v>
      </c>
      <c r="E3" s="12">
        <v>0</v>
      </c>
      <c r="F3" s="12">
        <v>17964.07</v>
      </c>
      <c r="G3" s="12">
        <v>18405.900000000001</v>
      </c>
      <c r="H3" s="11" t="s">
        <v>127</v>
      </c>
    </row>
    <row r="4" spans="1:8">
      <c r="A4" s="6" t="s">
        <v>134</v>
      </c>
      <c r="B4" s="6" t="s">
        <v>133</v>
      </c>
      <c r="C4" s="2" t="s">
        <v>126</v>
      </c>
      <c r="D4" s="12">
        <v>17964.07</v>
      </c>
      <c r="E4" s="12">
        <v>0</v>
      </c>
      <c r="F4" s="12">
        <v>17964.07</v>
      </c>
      <c r="G4" s="12">
        <v>18180</v>
      </c>
      <c r="H4" s="11" t="s">
        <v>127</v>
      </c>
    </row>
    <row r="5" spans="1:8">
      <c r="A5" s="21">
        <v>46062</v>
      </c>
      <c r="B5" s="6" t="s">
        <v>133</v>
      </c>
      <c r="C5" s="2" t="s">
        <v>126</v>
      </c>
      <c r="D5" s="12">
        <v>17964.07</v>
      </c>
      <c r="E5" s="12">
        <v>0</v>
      </c>
      <c r="F5" s="12">
        <f>D5</f>
        <v>17964.07</v>
      </c>
      <c r="G5" s="12"/>
    </row>
    <row r="6" spans="1:8">
      <c r="F6" s="13">
        <f>SUM(F3:F5)</f>
        <v>53892.21</v>
      </c>
      <c r="G6" s="13">
        <f>SUM(G3:G4)</f>
        <v>36585.9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53391-8E71-4F26-BE5E-D00EAB3B22BB}">
  <dimension ref="A2:M36"/>
  <sheetViews>
    <sheetView workbookViewId="0">
      <pane ySplit="2" topLeftCell="A27" activePane="bottomLeft" state="frozen"/>
      <selection pane="bottomLeft" activeCell="G7" sqref="G7"/>
    </sheetView>
  </sheetViews>
  <sheetFormatPr defaultRowHeight="15"/>
  <cols>
    <col min="1" max="1" width="16.28515625" style="5" bestFit="1" customWidth="1"/>
    <col min="2" max="2" width="59" style="5" customWidth="1"/>
    <col min="3" max="3" width="23.85546875" style="5" bestFit="1" customWidth="1"/>
    <col min="4" max="4" width="15.7109375" style="12" bestFit="1" customWidth="1"/>
    <col min="5" max="5" width="16.28515625" style="12" customWidth="1"/>
    <col min="6" max="6" width="17.42578125" style="12" bestFit="1" customWidth="1"/>
    <col min="7" max="7" width="17.28515625" style="12" customWidth="1"/>
    <col min="8" max="8" width="12.5703125" style="11" customWidth="1"/>
    <col min="9" max="9" width="21.28515625" style="5" customWidth="1"/>
    <col min="10" max="10" width="30.7109375" style="5" customWidth="1"/>
    <col min="11" max="11" width="21.140625" style="33" customWidth="1"/>
    <col min="12" max="12" width="21.140625" style="5" customWidth="1"/>
    <col min="13" max="13" width="18.7109375" style="5" customWidth="1"/>
    <col min="14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25">
        <v>45644</v>
      </c>
      <c r="B3" s="2" t="s">
        <v>135</v>
      </c>
      <c r="C3" s="2" t="s">
        <v>126</v>
      </c>
      <c r="D3" s="26">
        <v>16000</v>
      </c>
      <c r="E3" s="26">
        <v>16000</v>
      </c>
      <c r="F3" s="26">
        <f>D3-E3</f>
        <v>0</v>
      </c>
      <c r="G3" s="26">
        <v>0</v>
      </c>
      <c r="H3" s="27">
        <v>45685</v>
      </c>
    </row>
    <row r="4" spans="1:8">
      <c r="A4" s="6" t="s">
        <v>136</v>
      </c>
      <c r="B4" s="6" t="s">
        <v>135</v>
      </c>
      <c r="C4" s="6" t="s">
        <v>126</v>
      </c>
      <c r="D4" s="12">
        <v>16000</v>
      </c>
      <c r="E4" s="12">
        <v>16000</v>
      </c>
      <c r="F4" s="12">
        <f>D4-E4</f>
        <v>0</v>
      </c>
      <c r="G4" s="26">
        <v>0</v>
      </c>
      <c r="H4" s="11" t="s">
        <v>137</v>
      </c>
    </row>
    <row r="5" spans="1:8">
      <c r="A5" s="6" t="s">
        <v>138</v>
      </c>
      <c r="B5" s="6" t="s">
        <v>135</v>
      </c>
      <c r="C5" s="6" t="s">
        <v>126</v>
      </c>
      <c r="D5" s="12">
        <v>16000</v>
      </c>
      <c r="E5" s="12">
        <v>16000</v>
      </c>
      <c r="F5" s="12">
        <f>D5-E5</f>
        <v>0</v>
      </c>
      <c r="G5" s="26">
        <v>0</v>
      </c>
      <c r="H5" s="11" t="s">
        <v>139</v>
      </c>
    </row>
    <row r="6" spans="1:8">
      <c r="A6" s="6" t="s">
        <v>140</v>
      </c>
      <c r="B6" s="6" t="s">
        <v>135</v>
      </c>
      <c r="C6" s="6" t="s">
        <v>126</v>
      </c>
      <c r="D6" s="12">
        <v>16000</v>
      </c>
      <c r="E6" s="12">
        <v>16000</v>
      </c>
      <c r="F6" s="12">
        <f>D6-E6</f>
        <v>0</v>
      </c>
      <c r="G6" s="26">
        <v>0</v>
      </c>
      <c r="H6" s="11" t="s">
        <v>141</v>
      </c>
    </row>
    <row r="7" spans="1:8">
      <c r="A7" s="6" t="s">
        <v>142</v>
      </c>
      <c r="B7" s="6" t="s">
        <v>135</v>
      </c>
      <c r="C7" s="6" t="s">
        <v>126</v>
      </c>
      <c r="D7" s="12">
        <v>16000</v>
      </c>
      <c r="E7" s="12">
        <v>5000</v>
      </c>
      <c r="G7" s="26"/>
      <c r="H7" s="11" t="s">
        <v>143</v>
      </c>
    </row>
    <row r="8" spans="1:8">
      <c r="A8" s="6" t="s">
        <v>142</v>
      </c>
      <c r="B8" s="6" t="s">
        <v>135</v>
      </c>
      <c r="C8" s="6" t="s">
        <v>126</v>
      </c>
      <c r="E8" s="12">
        <v>5000</v>
      </c>
      <c r="G8" s="26"/>
      <c r="H8" s="11" t="s">
        <v>144</v>
      </c>
    </row>
    <row r="9" spans="1:8">
      <c r="A9" s="6" t="s">
        <v>142</v>
      </c>
      <c r="B9" s="6" t="s">
        <v>135</v>
      </c>
      <c r="C9" s="6" t="s">
        <v>126</v>
      </c>
      <c r="E9" s="12">
        <v>5000</v>
      </c>
      <c r="G9" s="26"/>
      <c r="H9" s="11" t="s">
        <v>145</v>
      </c>
    </row>
    <row r="10" spans="1:8">
      <c r="A10" s="6" t="s">
        <v>142</v>
      </c>
      <c r="B10" s="6" t="s">
        <v>135</v>
      </c>
      <c r="C10" s="6" t="s">
        <v>126</v>
      </c>
      <c r="E10" s="12">
        <v>1000</v>
      </c>
      <c r="F10" s="12">
        <f>D7-SUM(E7:E10)</f>
        <v>0</v>
      </c>
      <c r="G10" s="26">
        <v>0</v>
      </c>
      <c r="H10" s="11" t="s">
        <v>146</v>
      </c>
    </row>
    <row r="11" spans="1:8">
      <c r="A11" s="6" t="s">
        <v>147</v>
      </c>
      <c r="B11" s="6" t="s">
        <v>135</v>
      </c>
      <c r="C11" s="6" t="s">
        <v>126</v>
      </c>
      <c r="D11" s="12">
        <v>16000</v>
      </c>
      <c r="E11" s="12">
        <v>4000</v>
      </c>
      <c r="G11" s="26"/>
      <c r="H11" s="11" t="s">
        <v>146</v>
      </c>
    </row>
    <row r="12" spans="1:8">
      <c r="A12" s="6" t="s">
        <v>147</v>
      </c>
      <c r="B12" s="6" t="s">
        <v>135</v>
      </c>
      <c r="C12" s="6" t="s">
        <v>126</v>
      </c>
      <c r="E12" s="12">
        <v>5000</v>
      </c>
      <c r="G12" s="26"/>
      <c r="H12" s="11" t="s">
        <v>148</v>
      </c>
    </row>
    <row r="13" spans="1:8">
      <c r="A13" s="6" t="s">
        <v>147</v>
      </c>
      <c r="B13" s="6" t="s">
        <v>135</v>
      </c>
      <c r="C13" s="6" t="s">
        <v>126</v>
      </c>
      <c r="E13" s="12">
        <v>5000</v>
      </c>
      <c r="G13" s="26"/>
      <c r="H13" s="11" t="s">
        <v>149</v>
      </c>
    </row>
    <row r="14" spans="1:8">
      <c r="A14" s="6" t="s">
        <v>147</v>
      </c>
      <c r="B14" s="6" t="s">
        <v>135</v>
      </c>
      <c r="C14" s="6" t="s">
        <v>126</v>
      </c>
      <c r="E14" s="12">
        <v>2000</v>
      </c>
      <c r="F14" s="12">
        <f>D11-SUM(E11:E14)</f>
        <v>0</v>
      </c>
      <c r="G14" s="26">
        <v>0</v>
      </c>
      <c r="H14" s="11" t="s">
        <v>150</v>
      </c>
    </row>
    <row r="15" spans="1:8">
      <c r="A15" s="6" t="s">
        <v>151</v>
      </c>
      <c r="B15" s="6" t="s">
        <v>135</v>
      </c>
      <c r="C15" s="6" t="s">
        <v>126</v>
      </c>
      <c r="D15" s="12">
        <v>16000</v>
      </c>
      <c r="E15" s="12">
        <v>3000</v>
      </c>
      <c r="G15" s="26"/>
      <c r="H15" s="11" t="s">
        <v>150</v>
      </c>
    </row>
    <row r="16" spans="1:8">
      <c r="A16" s="6" t="s">
        <v>151</v>
      </c>
      <c r="B16" s="6" t="s">
        <v>135</v>
      </c>
      <c r="C16" s="6" t="s">
        <v>126</v>
      </c>
      <c r="E16" s="12">
        <v>5000</v>
      </c>
      <c r="G16" s="26"/>
      <c r="H16" s="11" t="s">
        <v>152</v>
      </c>
    </row>
    <row r="17" spans="1:13">
      <c r="A17" s="6" t="s">
        <v>151</v>
      </c>
      <c r="B17" s="6" t="s">
        <v>135</v>
      </c>
      <c r="C17" s="6" t="s">
        <v>126</v>
      </c>
      <c r="E17" s="12">
        <v>5000</v>
      </c>
      <c r="G17" s="26"/>
      <c r="H17" s="11" t="s">
        <v>153</v>
      </c>
    </row>
    <row r="18" spans="1:13">
      <c r="A18" s="6" t="s">
        <v>151</v>
      </c>
      <c r="B18" s="6" t="s">
        <v>135</v>
      </c>
      <c r="C18" s="6" t="s">
        <v>126</v>
      </c>
      <c r="E18" s="12">
        <v>3000</v>
      </c>
      <c r="F18" s="12">
        <f>D15-SUM(E15:E18)</f>
        <v>0</v>
      </c>
      <c r="G18" s="26">
        <v>0</v>
      </c>
      <c r="H18" s="11" t="s">
        <v>154</v>
      </c>
    </row>
    <row r="19" spans="1:13">
      <c r="A19" s="6" t="s">
        <v>155</v>
      </c>
      <c r="B19" s="6" t="s">
        <v>135</v>
      </c>
      <c r="C19" s="6" t="s">
        <v>126</v>
      </c>
      <c r="D19" s="12">
        <v>16000</v>
      </c>
      <c r="E19" s="12">
        <v>2000</v>
      </c>
      <c r="G19" s="26"/>
      <c r="H19" s="11" t="s">
        <v>154</v>
      </c>
    </row>
    <row r="20" spans="1:13">
      <c r="A20" s="6" t="s">
        <v>155</v>
      </c>
      <c r="B20" s="6" t="s">
        <v>135</v>
      </c>
      <c r="C20" s="6" t="s">
        <v>126</v>
      </c>
      <c r="E20" s="12">
        <v>5000</v>
      </c>
      <c r="G20" s="26"/>
      <c r="H20" s="11" t="s">
        <v>156</v>
      </c>
    </row>
    <row r="21" spans="1:13">
      <c r="A21" s="6" t="s">
        <v>155</v>
      </c>
      <c r="B21" s="6" t="s">
        <v>135</v>
      </c>
      <c r="C21" s="6" t="s">
        <v>126</v>
      </c>
      <c r="E21" s="12">
        <v>5000</v>
      </c>
      <c r="G21" s="26"/>
      <c r="H21" s="11" t="s">
        <v>157</v>
      </c>
      <c r="J21" s="52" t="s">
        <v>158</v>
      </c>
      <c r="K21" s="52"/>
      <c r="L21" s="52"/>
      <c r="M21" s="52"/>
    </row>
    <row r="22" spans="1:13">
      <c r="A22" s="6" t="s">
        <v>155</v>
      </c>
      <c r="B22" s="6" t="s">
        <v>135</v>
      </c>
      <c r="C22" s="6" t="s">
        <v>126</v>
      </c>
      <c r="E22" s="12">
        <v>4000</v>
      </c>
      <c r="F22" s="12">
        <f>D19-SUM(E19:E22)</f>
        <v>0</v>
      </c>
      <c r="G22" s="26">
        <v>0</v>
      </c>
      <c r="H22" s="11" t="s">
        <v>159</v>
      </c>
      <c r="J22" s="37" t="s">
        <v>160</v>
      </c>
      <c r="K22" s="38" t="s">
        <v>161</v>
      </c>
      <c r="L22" s="39">
        <v>46059</v>
      </c>
      <c r="M22" s="39">
        <v>46065</v>
      </c>
    </row>
    <row r="23" spans="1:13">
      <c r="A23" s="6" t="s">
        <v>162</v>
      </c>
      <c r="B23" s="6" t="s">
        <v>135</v>
      </c>
      <c r="C23" s="6" t="s">
        <v>126</v>
      </c>
      <c r="D23" s="12">
        <v>16000</v>
      </c>
      <c r="E23" s="12">
        <v>1000</v>
      </c>
      <c r="G23" s="26"/>
      <c r="H23" s="11" t="s">
        <v>159</v>
      </c>
      <c r="J23" s="35" t="s">
        <v>163</v>
      </c>
      <c r="K23" s="36">
        <v>5000</v>
      </c>
      <c r="L23" s="40">
        <v>46066</v>
      </c>
      <c r="M23" s="35"/>
    </row>
    <row r="24" spans="1:13">
      <c r="A24" s="6" t="s">
        <v>162</v>
      </c>
      <c r="B24" s="6" t="s">
        <v>135</v>
      </c>
      <c r="C24" s="6" t="s">
        <v>126</v>
      </c>
      <c r="E24" s="12">
        <v>5000</v>
      </c>
      <c r="G24" s="26"/>
      <c r="H24" s="11" t="s">
        <v>164</v>
      </c>
      <c r="J24" s="32"/>
      <c r="K24" s="34"/>
      <c r="L24" s="32"/>
      <c r="M24" s="32"/>
    </row>
    <row r="25" spans="1:13">
      <c r="A25" s="6" t="s">
        <v>162</v>
      </c>
      <c r="B25" s="6" t="s">
        <v>135</v>
      </c>
      <c r="C25" s="6" t="s">
        <v>126</v>
      </c>
      <c r="E25" s="12">
        <v>0</v>
      </c>
      <c r="F25" s="12">
        <f>D23-SUM(E23:E25)</f>
        <v>10000</v>
      </c>
      <c r="G25" s="26">
        <v>12748.01</v>
      </c>
      <c r="H25" s="11" t="s">
        <v>127</v>
      </c>
      <c r="J25" s="53" t="s">
        <v>165</v>
      </c>
      <c r="K25" s="53"/>
      <c r="L25" s="53"/>
      <c r="M25" s="53"/>
    </row>
    <row r="26" spans="1:13">
      <c r="A26" s="14" t="s">
        <v>166</v>
      </c>
      <c r="B26" s="14" t="s">
        <v>135</v>
      </c>
      <c r="C26" s="1" t="s">
        <v>126</v>
      </c>
      <c r="D26" s="16">
        <v>16000</v>
      </c>
      <c r="E26" s="12">
        <v>0</v>
      </c>
      <c r="F26" s="16">
        <v>16000</v>
      </c>
      <c r="G26" s="26">
        <v>20263.310000000001</v>
      </c>
      <c r="H26" s="11" t="s">
        <v>127</v>
      </c>
      <c r="J26" s="41"/>
      <c r="K26" s="42" t="s">
        <v>167</v>
      </c>
      <c r="L26" s="41" t="s">
        <v>168</v>
      </c>
      <c r="M26" s="41" t="s">
        <v>169</v>
      </c>
    </row>
    <row r="27" spans="1:13">
      <c r="A27" s="14" t="s">
        <v>170</v>
      </c>
      <c r="B27" s="14" t="s">
        <v>135</v>
      </c>
      <c r="C27" s="1" t="s">
        <v>126</v>
      </c>
      <c r="D27" s="16">
        <v>16000</v>
      </c>
      <c r="E27" s="12">
        <v>0</v>
      </c>
      <c r="F27" s="16">
        <v>16000</v>
      </c>
      <c r="G27" s="26">
        <v>20005.18</v>
      </c>
      <c r="H27" s="11" t="s">
        <v>127</v>
      </c>
      <c r="J27" s="37" t="s">
        <v>160</v>
      </c>
      <c r="K27" s="38">
        <v>90000</v>
      </c>
      <c r="L27" s="37">
        <v>6</v>
      </c>
      <c r="M27" s="38">
        <f>K27/L27</f>
        <v>15000</v>
      </c>
    </row>
    <row r="28" spans="1:13">
      <c r="A28" s="14" t="s">
        <v>171</v>
      </c>
      <c r="B28" s="14" t="s">
        <v>135</v>
      </c>
      <c r="C28" s="1" t="s">
        <v>126</v>
      </c>
      <c r="D28" s="16">
        <v>16000</v>
      </c>
      <c r="E28" s="12">
        <v>0</v>
      </c>
      <c r="F28" s="16">
        <v>16000</v>
      </c>
      <c r="G28" s="26">
        <v>19808.189999999999</v>
      </c>
      <c r="H28" s="11" t="s">
        <v>127</v>
      </c>
      <c r="J28" s="35" t="s">
        <v>163</v>
      </c>
      <c r="K28" s="36">
        <v>0</v>
      </c>
      <c r="L28" s="35"/>
      <c r="M28" s="36" t="e">
        <f>K28/L28</f>
        <v>#DIV/0!</v>
      </c>
    </row>
    <row r="29" spans="1:13">
      <c r="A29" s="14" t="s">
        <v>172</v>
      </c>
      <c r="B29" s="14" t="s">
        <v>135</v>
      </c>
      <c r="C29" s="1" t="s">
        <v>126</v>
      </c>
      <c r="D29" s="16">
        <v>16000</v>
      </c>
      <c r="E29" s="12">
        <v>0</v>
      </c>
      <c r="F29" s="16">
        <v>16000</v>
      </c>
      <c r="G29" s="26">
        <v>19607.939999999999</v>
      </c>
      <c r="H29" s="11" t="s">
        <v>127</v>
      </c>
      <c r="J29" s="32" t="s">
        <v>173</v>
      </c>
      <c r="K29" s="34">
        <v>30000</v>
      </c>
      <c r="L29" s="32">
        <v>1</v>
      </c>
      <c r="M29" s="34">
        <v>30000</v>
      </c>
    </row>
    <row r="30" spans="1:13">
      <c r="A30" s="14" t="s">
        <v>174</v>
      </c>
      <c r="B30" s="14" t="s">
        <v>135</v>
      </c>
      <c r="C30" s="1" t="s">
        <v>126</v>
      </c>
      <c r="D30" s="16">
        <v>16000</v>
      </c>
      <c r="E30" s="12">
        <v>0</v>
      </c>
      <c r="F30" s="16">
        <v>16000</v>
      </c>
      <c r="G30" s="26">
        <v>19398.72</v>
      </c>
      <c r="H30" s="11" t="s">
        <v>127</v>
      </c>
      <c r="J30" s="32" t="s">
        <v>175</v>
      </c>
      <c r="K30" s="34">
        <v>60000</v>
      </c>
      <c r="L30" s="32">
        <v>6</v>
      </c>
      <c r="M30" s="34">
        <f>K30/L30</f>
        <v>10000</v>
      </c>
    </row>
    <row r="31" spans="1:13">
      <c r="F31" s="13">
        <f>SUM(F25:F30)</f>
        <v>90000</v>
      </c>
      <c r="G31" s="13">
        <f>SUM(G25:G30)</f>
        <v>111831.35</v>
      </c>
    </row>
    <row r="32" spans="1:13">
      <c r="J32" s="35" t="s">
        <v>176</v>
      </c>
    </row>
    <row r="33" spans="1:8">
      <c r="A33" s="21">
        <v>45957</v>
      </c>
      <c r="B33" s="6" t="s">
        <v>135</v>
      </c>
      <c r="C33" s="2" t="s">
        <v>177</v>
      </c>
      <c r="D33" s="12">
        <v>84.04</v>
      </c>
      <c r="E33" s="12">
        <v>0</v>
      </c>
      <c r="F33" s="12">
        <f t="shared" ref="F33:F35" si="0">D33-E33</f>
        <v>84.04</v>
      </c>
      <c r="G33" s="11"/>
      <c r="H33" s="11" t="s">
        <v>127</v>
      </c>
    </row>
    <row r="34" spans="1:8">
      <c r="A34" s="21">
        <v>46013</v>
      </c>
      <c r="B34" s="2" t="s">
        <v>135</v>
      </c>
      <c r="C34" s="2" t="s">
        <v>177</v>
      </c>
      <c r="D34" s="12">
        <v>84.04</v>
      </c>
      <c r="E34" s="12">
        <v>0</v>
      </c>
      <c r="F34" s="12">
        <f t="shared" si="0"/>
        <v>84.04</v>
      </c>
      <c r="G34" s="11"/>
      <c r="H34" s="11" t="s">
        <v>127</v>
      </c>
    </row>
    <row r="35" spans="1:8">
      <c r="A35" s="21">
        <v>46021</v>
      </c>
      <c r="B35" s="2" t="s">
        <v>135</v>
      </c>
      <c r="C35" s="28" t="s">
        <v>178</v>
      </c>
      <c r="D35" s="12">
        <v>258.52</v>
      </c>
      <c r="E35" s="12">
        <v>0</v>
      </c>
      <c r="F35" s="12">
        <f t="shared" si="0"/>
        <v>258.52</v>
      </c>
      <c r="G35" s="11"/>
      <c r="H35" s="11" t="s">
        <v>127</v>
      </c>
    </row>
    <row r="36" spans="1:8">
      <c r="E36" s="13" t="s">
        <v>179</v>
      </c>
      <c r="F36" s="13">
        <f>SUM(F33:F35)</f>
        <v>426.6</v>
      </c>
    </row>
  </sheetData>
  <mergeCells count="2">
    <mergeCell ref="J21:M21"/>
    <mergeCell ref="J25:M25"/>
  </mergeCells>
  <phoneticPr fontId="4" type="noConversion"/>
  <pageMargins left="0.51181102362204722" right="0.51181102362204722" top="0.78740157480314965" bottom="0.78740157480314965" header="0.31496062992125984" footer="0.31496062992125984"/>
  <pageSetup paperSize="9" scale="8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66F5C-D5F0-420F-90A8-D37B2A662BEB}">
  <dimension ref="A2:G5"/>
  <sheetViews>
    <sheetView workbookViewId="0">
      <selection activeCell="F6" sqref="F6"/>
    </sheetView>
  </sheetViews>
  <sheetFormatPr defaultRowHeight="15"/>
  <cols>
    <col min="1" max="1" width="16.140625" style="5" bestFit="1" customWidth="1"/>
    <col min="2" max="2" width="57.28515625" style="5" bestFit="1" customWidth="1"/>
    <col min="3" max="3" width="23.85546875" style="5" bestFit="1" customWidth="1"/>
    <col min="4" max="4" width="15.5703125" style="12" bestFit="1" customWidth="1"/>
    <col min="5" max="5" width="12.140625" style="12" bestFit="1" customWidth="1"/>
    <col min="6" max="6" width="17.28515625" style="12" bestFit="1" customWidth="1"/>
    <col min="7" max="7" width="10.4257812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180</v>
      </c>
      <c r="B3" s="14" t="s">
        <v>181</v>
      </c>
      <c r="C3" s="2" t="s">
        <v>126</v>
      </c>
      <c r="D3" s="12">
        <v>8000</v>
      </c>
      <c r="E3" s="12">
        <v>4000</v>
      </c>
      <c r="F3" s="12">
        <v>4000</v>
      </c>
      <c r="G3" s="11" t="s">
        <v>127</v>
      </c>
    </row>
    <row r="4" spans="1:7">
      <c r="A4" s="17">
        <v>46058</v>
      </c>
      <c r="B4" s="14" t="s">
        <v>181</v>
      </c>
      <c r="C4" s="2" t="s">
        <v>126</v>
      </c>
      <c r="D4" s="12">
        <v>8000</v>
      </c>
      <c r="E4" s="12">
        <v>0</v>
      </c>
      <c r="F4" s="12">
        <f>D4-E4</f>
        <v>8000</v>
      </c>
    </row>
    <row r="5" spans="1:7">
      <c r="F5" s="13">
        <f>SUM(F3:F4)</f>
        <v>12000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C319-F65A-441B-A705-1079DD8CA6D9}">
  <dimension ref="A2:I22"/>
  <sheetViews>
    <sheetView workbookViewId="0">
      <pane ySplit="2" topLeftCell="A12" activePane="bottomLeft" state="frozen"/>
      <selection pane="bottomLeft" activeCell="G8" sqref="G8"/>
    </sheetView>
  </sheetViews>
  <sheetFormatPr defaultRowHeight="15"/>
  <cols>
    <col min="1" max="1" width="16.140625" style="5" bestFit="1" customWidth="1"/>
    <col min="2" max="2" width="40.28515625" style="5" bestFit="1" customWidth="1"/>
    <col min="3" max="3" width="23.85546875" style="5" bestFit="1" customWidth="1"/>
    <col min="4" max="4" width="15.570312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42578125" style="11" bestFit="1" customWidth="1"/>
    <col min="9" max="9" width="82.85546875" style="5" bestFit="1" customWidth="1"/>
    <col min="10" max="16384" width="9.140625" style="5"/>
  </cols>
  <sheetData>
    <row r="2" spans="1:9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9">
      <c r="A3" s="6" t="s">
        <v>182</v>
      </c>
      <c r="B3" s="6" t="s">
        <v>183</v>
      </c>
      <c r="C3" s="6" t="s">
        <v>126</v>
      </c>
      <c r="D3" s="12">
        <v>45467.06</v>
      </c>
      <c r="E3" s="12">
        <v>45467.06</v>
      </c>
      <c r="F3" s="12">
        <f>D3-E3</f>
        <v>0</v>
      </c>
      <c r="G3" s="12">
        <v>0</v>
      </c>
      <c r="H3" s="11" t="s">
        <v>182</v>
      </c>
    </row>
    <row r="4" spans="1:9">
      <c r="A4" s="6" t="s">
        <v>184</v>
      </c>
      <c r="B4" s="6" t="s">
        <v>183</v>
      </c>
      <c r="C4" s="6" t="s">
        <v>126</v>
      </c>
      <c r="D4" s="12">
        <v>45467.06</v>
      </c>
      <c r="E4" s="12">
        <v>45467.06</v>
      </c>
      <c r="F4" s="12">
        <f>D4-E4</f>
        <v>0</v>
      </c>
      <c r="G4" s="12">
        <v>0</v>
      </c>
      <c r="H4" s="11" t="s">
        <v>185</v>
      </c>
    </row>
    <row r="5" spans="1:9">
      <c r="A5" s="6" t="s">
        <v>186</v>
      </c>
      <c r="B5" s="6" t="s">
        <v>183</v>
      </c>
      <c r="C5" s="6" t="s">
        <v>126</v>
      </c>
      <c r="D5" s="12">
        <v>45467.06</v>
      </c>
      <c r="E5" s="12">
        <v>30000</v>
      </c>
      <c r="H5" s="11" t="s">
        <v>187</v>
      </c>
    </row>
    <row r="6" spans="1:9">
      <c r="A6" s="6" t="s">
        <v>186</v>
      </c>
      <c r="B6" s="6" t="s">
        <v>183</v>
      </c>
      <c r="C6" s="6" t="s">
        <v>126</v>
      </c>
      <c r="E6" s="12">
        <v>346.61</v>
      </c>
      <c r="H6" s="11" t="s">
        <v>188</v>
      </c>
      <c r="I6" s="5" t="s">
        <v>189</v>
      </c>
    </row>
    <row r="7" spans="1:9">
      <c r="A7" s="6" t="s">
        <v>186</v>
      </c>
      <c r="B7" s="6" t="s">
        <v>183</v>
      </c>
      <c r="C7" s="6" t="s">
        <v>126</v>
      </c>
      <c r="E7" s="12">
        <v>132.09</v>
      </c>
      <c r="H7" s="11" t="s">
        <v>188</v>
      </c>
      <c r="I7" s="5" t="s">
        <v>189</v>
      </c>
    </row>
    <row r="8" spans="1:9">
      <c r="A8" s="6" t="s">
        <v>186</v>
      </c>
      <c r="B8" s="6" t="s">
        <v>183</v>
      </c>
      <c r="C8" s="6" t="s">
        <v>126</v>
      </c>
      <c r="E8" s="12">
        <v>132.97999999999999</v>
      </c>
      <c r="H8" s="11" t="s">
        <v>188</v>
      </c>
      <c r="I8" s="5" t="s">
        <v>189</v>
      </c>
    </row>
    <row r="9" spans="1:9">
      <c r="A9" s="6" t="s">
        <v>186</v>
      </c>
      <c r="B9" s="6" t="s">
        <v>183</v>
      </c>
      <c r="C9" s="6" t="s">
        <v>126</v>
      </c>
      <c r="E9" s="12">
        <v>133.87</v>
      </c>
      <c r="H9" s="11" t="s">
        <v>188</v>
      </c>
      <c r="I9" s="5" t="s">
        <v>189</v>
      </c>
    </row>
    <row r="10" spans="1:9">
      <c r="A10" s="6" t="s">
        <v>186</v>
      </c>
      <c r="B10" s="6" t="s">
        <v>183</v>
      </c>
      <c r="C10" s="6" t="s">
        <v>126</v>
      </c>
      <c r="E10" s="12">
        <v>14721.51</v>
      </c>
      <c r="F10" s="12">
        <f>D5-SUM(E5:E10)</f>
        <v>0</v>
      </c>
      <c r="G10" s="12">
        <v>0</v>
      </c>
      <c r="H10" s="11" t="s">
        <v>190</v>
      </c>
      <c r="I10" s="5" t="s">
        <v>191</v>
      </c>
    </row>
    <row r="11" spans="1:9">
      <c r="A11" s="21">
        <v>45945</v>
      </c>
      <c r="B11" s="6" t="s">
        <v>183</v>
      </c>
      <c r="C11" s="6" t="s">
        <v>126</v>
      </c>
      <c r="D11" s="12">
        <v>45467.06</v>
      </c>
      <c r="E11" s="12">
        <v>4610.9399999999996</v>
      </c>
      <c r="H11" s="11" t="s">
        <v>190</v>
      </c>
      <c r="I11" s="5" t="s">
        <v>191</v>
      </c>
    </row>
    <row r="12" spans="1:9">
      <c r="A12" s="21">
        <v>45945</v>
      </c>
      <c r="B12" s="6" t="s">
        <v>183</v>
      </c>
      <c r="C12" s="6" t="s">
        <v>126</v>
      </c>
      <c r="E12" s="12">
        <v>40856.120000000003</v>
      </c>
      <c r="F12" s="12">
        <f>D11-SUM(E11:E12)</f>
        <v>0</v>
      </c>
      <c r="G12" s="12">
        <v>0</v>
      </c>
      <c r="H12" s="11" t="s">
        <v>192</v>
      </c>
    </row>
    <row r="13" spans="1:9">
      <c r="A13" s="21">
        <v>45976</v>
      </c>
      <c r="B13" s="6" t="s">
        <v>183</v>
      </c>
      <c r="C13" s="6" t="s">
        <v>126</v>
      </c>
      <c r="D13" s="12">
        <v>45467.06</v>
      </c>
      <c r="E13" s="12">
        <v>4610.9399999999996</v>
      </c>
      <c r="H13" s="6" t="s">
        <v>192</v>
      </c>
    </row>
    <row r="14" spans="1:9">
      <c r="A14" s="14" t="s">
        <v>193</v>
      </c>
      <c r="B14" s="6" t="s">
        <v>183</v>
      </c>
      <c r="C14" s="6" t="s">
        <v>126</v>
      </c>
      <c r="E14" s="12">
        <v>132.41999999999999</v>
      </c>
      <c r="H14" s="6" t="s">
        <v>194</v>
      </c>
      <c r="I14" s="5" t="s">
        <v>189</v>
      </c>
    </row>
    <row r="15" spans="1:9">
      <c r="A15" s="14" t="s">
        <v>193</v>
      </c>
      <c r="B15" s="6" t="s">
        <v>183</v>
      </c>
      <c r="C15" s="6" t="s">
        <v>126</v>
      </c>
      <c r="E15" s="12">
        <v>19332.45</v>
      </c>
      <c r="H15" s="6" t="s">
        <v>159</v>
      </c>
      <c r="I15" s="5" t="s">
        <v>195</v>
      </c>
    </row>
    <row r="16" spans="1:9">
      <c r="A16" s="14" t="s">
        <v>193</v>
      </c>
      <c r="B16" s="6" t="s">
        <v>183</v>
      </c>
      <c r="C16" s="6" t="s">
        <v>126</v>
      </c>
      <c r="E16" s="12">
        <v>131.88</v>
      </c>
      <c r="H16" s="6" t="s">
        <v>164</v>
      </c>
      <c r="I16" s="5" t="s">
        <v>189</v>
      </c>
    </row>
    <row r="17" spans="1:9">
      <c r="A17" s="14" t="s">
        <v>193</v>
      </c>
      <c r="B17" s="6" t="s">
        <v>183</v>
      </c>
      <c r="C17" s="6" t="s">
        <v>126</v>
      </c>
      <c r="E17" s="12">
        <v>19332.45</v>
      </c>
      <c r="H17" s="6" t="s">
        <v>196</v>
      </c>
      <c r="I17" s="5" t="s">
        <v>195</v>
      </c>
    </row>
    <row r="18" spans="1:9">
      <c r="A18" s="14" t="s">
        <v>193</v>
      </c>
      <c r="B18" s="6" t="s">
        <v>183</v>
      </c>
      <c r="C18" s="6" t="s">
        <v>126</v>
      </c>
      <c r="E18" s="12">
        <v>132.27000000000001</v>
      </c>
      <c r="H18" s="6" t="s">
        <v>196</v>
      </c>
      <c r="I18" s="5" t="s">
        <v>189</v>
      </c>
    </row>
    <row r="19" spans="1:9">
      <c r="A19" s="14" t="s">
        <v>193</v>
      </c>
      <c r="B19" s="14" t="s">
        <v>183</v>
      </c>
      <c r="C19" s="1" t="s">
        <v>126</v>
      </c>
      <c r="E19" s="12">
        <v>0</v>
      </c>
      <c r="F19" s="12">
        <f>D13-SUM(E13:E18)</f>
        <v>1794.6500000000015</v>
      </c>
      <c r="G19" s="12">
        <v>1860.53</v>
      </c>
      <c r="H19" s="11" t="s">
        <v>127</v>
      </c>
    </row>
    <row r="20" spans="1:9">
      <c r="A20" s="14" t="s">
        <v>197</v>
      </c>
      <c r="B20" s="14" t="s">
        <v>183</v>
      </c>
      <c r="C20" s="2" t="s">
        <v>126</v>
      </c>
      <c r="D20" s="12">
        <v>45467.06</v>
      </c>
      <c r="E20" s="12">
        <v>0</v>
      </c>
      <c r="F20" s="12">
        <v>45467.06</v>
      </c>
      <c r="G20" s="12">
        <v>46585.33</v>
      </c>
      <c r="H20" s="11" t="s">
        <v>127</v>
      </c>
    </row>
    <row r="21" spans="1:9">
      <c r="A21" s="14" t="s">
        <v>198</v>
      </c>
      <c r="B21" s="14" t="s">
        <v>183</v>
      </c>
      <c r="C21" s="2" t="s">
        <v>126</v>
      </c>
      <c r="D21" s="12">
        <v>45467.06</v>
      </c>
      <c r="E21" s="12">
        <v>0</v>
      </c>
      <c r="F21" s="12">
        <v>45467.06</v>
      </c>
      <c r="G21" s="12">
        <v>46013.57</v>
      </c>
      <c r="H21" s="11" t="s">
        <v>127</v>
      </c>
    </row>
    <row r="22" spans="1:9">
      <c r="F22" s="13">
        <f>SUM(F19:F21)</f>
        <v>92728.76999999999</v>
      </c>
      <c r="G22" s="13">
        <f>SUM(G3:G21)</f>
        <v>94459.43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24C7B-CAC6-49FA-ADCE-FCEE999D5341}">
  <dimension ref="A2:H6"/>
  <sheetViews>
    <sheetView workbookViewId="0">
      <selection activeCell="G2" sqref="G2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570312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4257812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4" t="s">
        <v>157</v>
      </c>
      <c r="B3" s="14" t="s">
        <v>199</v>
      </c>
      <c r="C3" s="1" t="s">
        <v>126</v>
      </c>
      <c r="D3" s="12">
        <v>18000</v>
      </c>
      <c r="E3" s="12">
        <v>10000</v>
      </c>
      <c r="F3" s="16">
        <v>8000</v>
      </c>
      <c r="G3" s="16">
        <v>9904.09</v>
      </c>
      <c r="H3" s="11" t="s">
        <v>127</v>
      </c>
    </row>
    <row r="4" spans="1:8">
      <c r="A4" s="14" t="s">
        <v>200</v>
      </c>
      <c r="B4" s="14" t="s">
        <v>199</v>
      </c>
      <c r="C4" s="2" t="s">
        <v>126</v>
      </c>
      <c r="D4" s="12">
        <v>18000</v>
      </c>
      <c r="E4" s="12">
        <v>0</v>
      </c>
      <c r="F4" s="16">
        <v>18000</v>
      </c>
      <c r="G4" s="16">
        <v>22058.93</v>
      </c>
      <c r="H4" s="11" t="s">
        <v>127</v>
      </c>
    </row>
    <row r="5" spans="1:8">
      <c r="A5" s="14" t="s">
        <v>201</v>
      </c>
      <c r="B5" s="14" t="s">
        <v>199</v>
      </c>
      <c r="C5" s="2" t="s">
        <v>126</v>
      </c>
      <c r="D5" s="12">
        <v>18000</v>
      </c>
      <c r="E5" s="12">
        <v>0</v>
      </c>
      <c r="F5" s="16">
        <v>18000</v>
      </c>
      <c r="G5" s="16">
        <v>21823.56</v>
      </c>
      <c r="H5" s="11" t="s">
        <v>127</v>
      </c>
    </row>
    <row r="6" spans="1:8">
      <c r="F6" s="13">
        <f>SUM(F3:F5)</f>
        <v>44000</v>
      </c>
      <c r="G6" s="13">
        <f>SUM(G3:G5)</f>
        <v>53786.58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F8D7-4307-4F10-BE5C-9DE951F3D260}">
  <dimension ref="A2:G9"/>
  <sheetViews>
    <sheetView workbookViewId="0">
      <selection activeCell="F6" sqref="F6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4.4257812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129</v>
      </c>
      <c r="B3" s="14" t="s">
        <v>202</v>
      </c>
      <c r="C3" s="1" t="s">
        <v>126</v>
      </c>
      <c r="D3" s="12">
        <v>23000</v>
      </c>
      <c r="E3" s="12">
        <v>6000</v>
      </c>
      <c r="F3" s="16"/>
      <c r="G3" s="29">
        <v>46013</v>
      </c>
    </row>
    <row r="4" spans="1:7">
      <c r="A4" s="14" t="s">
        <v>129</v>
      </c>
      <c r="B4" s="14" t="s">
        <v>202</v>
      </c>
      <c r="C4" s="1" t="s">
        <v>126</v>
      </c>
      <c r="E4" s="12">
        <v>7000</v>
      </c>
      <c r="F4" s="16"/>
      <c r="G4" s="29">
        <v>46048</v>
      </c>
    </row>
    <row r="5" spans="1:7">
      <c r="A5" s="14" t="s">
        <v>129</v>
      </c>
      <c r="B5" s="14" t="s">
        <v>202</v>
      </c>
      <c r="C5" s="1" t="s">
        <v>126</v>
      </c>
      <c r="E5" s="12">
        <v>0</v>
      </c>
      <c r="F5" s="16">
        <f>D3-SUM(E3:E5)</f>
        <v>10000</v>
      </c>
      <c r="G5" s="11" t="s">
        <v>127</v>
      </c>
    </row>
    <row r="6" spans="1:7">
      <c r="A6" s="14" t="s">
        <v>203</v>
      </c>
      <c r="B6" s="14" t="s">
        <v>202</v>
      </c>
      <c r="C6" s="2" t="s">
        <v>126</v>
      </c>
      <c r="D6" s="12">
        <v>23000</v>
      </c>
      <c r="E6" s="12">
        <v>0</v>
      </c>
      <c r="F6" s="16">
        <v>23000</v>
      </c>
      <c r="G6" s="11" t="s">
        <v>127</v>
      </c>
    </row>
    <row r="7" spans="1:7">
      <c r="A7" s="14" t="s">
        <v>204</v>
      </c>
      <c r="B7" s="14" t="s">
        <v>202</v>
      </c>
      <c r="C7" s="2" t="s">
        <v>126</v>
      </c>
      <c r="D7" s="12">
        <v>23000</v>
      </c>
      <c r="E7" s="12">
        <v>0</v>
      </c>
      <c r="F7" s="16">
        <v>23000</v>
      </c>
      <c r="G7" s="11" t="s">
        <v>127</v>
      </c>
    </row>
    <row r="8" spans="1:7">
      <c r="A8" s="17">
        <v>46052</v>
      </c>
      <c r="B8" s="14" t="s">
        <v>202</v>
      </c>
      <c r="C8" s="2" t="s">
        <v>126</v>
      </c>
      <c r="D8" s="12">
        <v>25000</v>
      </c>
      <c r="E8" s="12">
        <v>0</v>
      </c>
      <c r="F8" s="16">
        <v>25000</v>
      </c>
      <c r="G8" s="11" t="s">
        <v>127</v>
      </c>
    </row>
    <row r="9" spans="1:7">
      <c r="F9" s="13">
        <f>SUM(F3:F8)</f>
        <v>81000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E9B05-6063-4372-8474-22D5201335BD}">
  <dimension ref="A2:H6"/>
  <sheetViews>
    <sheetView workbookViewId="0">
      <selection activeCell="G6" sqref="G6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7109375" style="8" bestFit="1" customWidth="1"/>
    <col min="5" max="5" width="13.28515625" style="8" bestFit="1" customWidth="1"/>
    <col min="6" max="6" width="17.28515625" style="8" bestFit="1" customWidth="1"/>
    <col min="7" max="7" width="17.28515625" style="8" customWidth="1"/>
    <col min="8" max="8" width="10.42578125" style="5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4" t="s">
        <v>119</v>
      </c>
      <c r="E2" s="4" t="s">
        <v>120</v>
      </c>
      <c r="F2" s="4" t="s">
        <v>122</v>
      </c>
      <c r="G2" s="4" t="s">
        <v>131</v>
      </c>
      <c r="H2" s="3" t="s">
        <v>123</v>
      </c>
    </row>
    <row r="3" spans="1:8">
      <c r="A3" s="14" t="s">
        <v>205</v>
      </c>
      <c r="B3" s="14" t="s">
        <v>206</v>
      </c>
      <c r="C3" s="1" t="s">
        <v>126</v>
      </c>
      <c r="D3" s="7">
        <v>25000</v>
      </c>
      <c r="E3" s="7">
        <v>20000</v>
      </c>
      <c r="F3" s="15">
        <v>5000</v>
      </c>
      <c r="G3" s="15">
        <v>6190.06</v>
      </c>
      <c r="H3" s="6" t="s">
        <v>127</v>
      </c>
    </row>
    <row r="4" spans="1:8">
      <c r="A4" s="14" t="s">
        <v>207</v>
      </c>
      <c r="B4" s="14" t="s">
        <v>206</v>
      </c>
      <c r="C4" s="2" t="s">
        <v>126</v>
      </c>
      <c r="D4" s="7">
        <v>25000</v>
      </c>
      <c r="E4" s="7">
        <v>0</v>
      </c>
      <c r="F4" s="15">
        <v>25000</v>
      </c>
      <c r="G4" s="15">
        <v>30637.39</v>
      </c>
      <c r="H4" s="6" t="s">
        <v>127</v>
      </c>
    </row>
    <row r="5" spans="1:8">
      <c r="A5" s="17">
        <v>46051</v>
      </c>
      <c r="B5" s="14" t="s">
        <v>206</v>
      </c>
      <c r="C5" s="2" t="s">
        <v>126</v>
      </c>
      <c r="D5" s="7">
        <v>25000</v>
      </c>
      <c r="E5" s="7">
        <v>0</v>
      </c>
      <c r="F5" s="15">
        <v>25000</v>
      </c>
      <c r="G5" s="15">
        <v>30310.5</v>
      </c>
      <c r="H5" s="6" t="s">
        <v>127</v>
      </c>
    </row>
    <row r="6" spans="1:8">
      <c r="F6" s="10">
        <f>SUM(F3:F5)</f>
        <v>55000</v>
      </c>
      <c r="G6" s="10">
        <f>SUM(G3:G5)</f>
        <v>67137.95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0B42-4B04-4ABB-8B9A-3B99971BE86B}">
  <dimension ref="A2:H46"/>
  <sheetViews>
    <sheetView workbookViewId="0">
      <pane ySplit="2" topLeftCell="A36" activePane="bottomLeft" state="frozen"/>
      <selection pane="bottomLeft" activeCell="F49" sqref="F49"/>
    </sheetView>
  </sheetViews>
  <sheetFormatPr defaultRowHeight="15"/>
  <cols>
    <col min="1" max="1" width="16.140625" style="5" bestFit="1" customWidth="1"/>
    <col min="2" max="2" width="38.7109375" style="5" bestFit="1" customWidth="1"/>
    <col min="3" max="3" width="23.85546875" style="5" bestFit="1" customWidth="1"/>
    <col min="4" max="4" width="15.5703125" style="12" bestFit="1" customWidth="1"/>
    <col min="5" max="5" width="14.28515625" style="12" bestFit="1" customWidth="1"/>
    <col min="6" max="6" width="17.28515625" style="12" bestFit="1" customWidth="1"/>
    <col min="7" max="7" width="17.28515625" style="12" customWidth="1"/>
    <col min="8" max="8" width="12.140625" style="12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13" t="s">
        <v>123</v>
      </c>
    </row>
    <row r="3" spans="1:8">
      <c r="A3" s="11" t="s">
        <v>208</v>
      </c>
      <c r="B3" s="6" t="s">
        <v>209</v>
      </c>
      <c r="C3" s="6" t="s">
        <v>126</v>
      </c>
      <c r="D3" s="12">
        <v>23300</v>
      </c>
      <c r="E3" s="12">
        <v>23300</v>
      </c>
      <c r="F3" s="12">
        <f>D3-E3</f>
        <v>0</v>
      </c>
      <c r="G3" s="12">
        <v>0</v>
      </c>
      <c r="H3" s="11" t="s">
        <v>210</v>
      </c>
    </row>
    <row r="4" spans="1:8">
      <c r="A4" s="11" t="s">
        <v>211</v>
      </c>
      <c r="B4" s="6" t="s">
        <v>209</v>
      </c>
      <c r="C4" s="6" t="s">
        <v>126</v>
      </c>
      <c r="D4" s="12">
        <v>23300</v>
      </c>
      <c r="E4" s="12">
        <v>11650</v>
      </c>
      <c r="H4" s="11" t="s">
        <v>212</v>
      </c>
    </row>
    <row r="5" spans="1:8">
      <c r="A5" s="11" t="s">
        <v>211</v>
      </c>
      <c r="B5" s="6" t="s">
        <v>209</v>
      </c>
      <c r="C5" s="6" t="s">
        <v>126</v>
      </c>
      <c r="E5" s="12">
        <v>11650</v>
      </c>
      <c r="F5" s="12">
        <f>D4-E4-E5</f>
        <v>0</v>
      </c>
      <c r="G5" s="12">
        <v>0</v>
      </c>
      <c r="H5" s="11" t="s">
        <v>213</v>
      </c>
    </row>
    <row r="6" spans="1:8">
      <c r="A6" s="11" t="s">
        <v>214</v>
      </c>
      <c r="B6" s="6" t="s">
        <v>209</v>
      </c>
      <c r="C6" s="6" t="s">
        <v>126</v>
      </c>
      <c r="D6" s="12">
        <v>23300</v>
      </c>
      <c r="E6" s="12">
        <v>11650</v>
      </c>
      <c r="H6" s="11" t="s">
        <v>215</v>
      </c>
    </row>
    <row r="7" spans="1:8">
      <c r="A7" s="11" t="s">
        <v>214</v>
      </c>
      <c r="B7" s="6" t="s">
        <v>209</v>
      </c>
      <c r="C7" s="6" t="s">
        <v>126</v>
      </c>
      <c r="E7" s="12">
        <v>537.5</v>
      </c>
      <c r="H7" s="11" t="s">
        <v>149</v>
      </c>
    </row>
    <row r="8" spans="1:8">
      <c r="A8" s="11" t="s">
        <v>214</v>
      </c>
      <c r="B8" s="6" t="s">
        <v>209</v>
      </c>
      <c r="C8" s="1" t="s">
        <v>126</v>
      </c>
      <c r="E8" s="12">
        <v>537.5</v>
      </c>
      <c r="H8" s="11" t="s">
        <v>150</v>
      </c>
    </row>
    <row r="9" spans="1:8">
      <c r="A9" s="11" t="s">
        <v>214</v>
      </c>
      <c r="B9" s="6" t="s">
        <v>209</v>
      </c>
      <c r="C9" s="6" t="s">
        <v>126</v>
      </c>
      <c r="E9" s="12">
        <v>537.5</v>
      </c>
      <c r="H9" s="11" t="s">
        <v>152</v>
      </c>
    </row>
    <row r="10" spans="1:8">
      <c r="A10" s="11" t="s">
        <v>214</v>
      </c>
      <c r="B10" s="6" t="s">
        <v>209</v>
      </c>
      <c r="C10" s="6" t="s">
        <v>126</v>
      </c>
      <c r="E10" s="12">
        <v>537.5</v>
      </c>
      <c r="H10" s="11" t="s">
        <v>216</v>
      </c>
    </row>
    <row r="11" spans="1:8">
      <c r="A11" s="11" t="s">
        <v>214</v>
      </c>
      <c r="B11" s="6" t="s">
        <v>209</v>
      </c>
      <c r="C11" s="6" t="s">
        <v>126</v>
      </c>
      <c r="E11" s="12">
        <v>537.5</v>
      </c>
      <c r="H11" s="11" t="s">
        <v>154</v>
      </c>
    </row>
    <row r="12" spans="1:8">
      <c r="A12" s="11" t="s">
        <v>214</v>
      </c>
      <c r="B12" s="6" t="s">
        <v>209</v>
      </c>
      <c r="C12" s="6" t="s">
        <v>126</v>
      </c>
      <c r="E12" s="12">
        <v>537.5</v>
      </c>
      <c r="H12" s="11" t="s">
        <v>217</v>
      </c>
    </row>
    <row r="13" spans="1:8">
      <c r="A13" s="11" t="s">
        <v>214</v>
      </c>
      <c r="B13" s="6" t="s">
        <v>209</v>
      </c>
      <c r="C13" s="6" t="s">
        <v>126</v>
      </c>
      <c r="E13" s="12">
        <v>537.5</v>
      </c>
      <c r="H13" s="11" t="s">
        <v>157</v>
      </c>
    </row>
    <row r="14" spans="1:8">
      <c r="A14" s="11" t="s">
        <v>214</v>
      </c>
      <c r="B14" s="6" t="s">
        <v>209</v>
      </c>
      <c r="C14" s="6" t="s">
        <v>126</v>
      </c>
      <c r="E14" s="12">
        <v>537.5</v>
      </c>
      <c r="H14" s="11" t="s">
        <v>218</v>
      </c>
    </row>
    <row r="15" spans="1:8">
      <c r="A15" s="11" t="s">
        <v>214</v>
      </c>
      <c r="B15" s="6" t="s">
        <v>209</v>
      </c>
      <c r="C15" s="6" t="s">
        <v>126</v>
      </c>
      <c r="E15" s="12">
        <v>2000</v>
      </c>
      <c r="F15" s="12">
        <f>D6-(SUM(E6:E15))</f>
        <v>5350</v>
      </c>
      <c r="G15" s="12">
        <v>7380.1</v>
      </c>
      <c r="H15" s="29">
        <v>46050</v>
      </c>
    </row>
    <row r="16" spans="1:8">
      <c r="A16" s="11" t="s">
        <v>219</v>
      </c>
      <c r="B16" s="6" t="s">
        <v>209</v>
      </c>
      <c r="C16" s="6" t="s">
        <v>126</v>
      </c>
      <c r="D16" s="12">
        <v>23300</v>
      </c>
      <c r="E16" s="12">
        <v>11650</v>
      </c>
      <c r="F16" s="12">
        <f>D16-E16</f>
        <v>11650</v>
      </c>
      <c r="G16" s="12">
        <v>15755.15</v>
      </c>
      <c r="H16" s="11" t="s">
        <v>220</v>
      </c>
    </row>
    <row r="17" spans="1:8">
      <c r="A17" s="11" t="s">
        <v>221</v>
      </c>
      <c r="B17" s="6" t="s">
        <v>209</v>
      </c>
      <c r="C17" s="6" t="s">
        <v>126</v>
      </c>
      <c r="D17" s="12">
        <v>23300</v>
      </c>
      <c r="E17" s="12">
        <v>2912.5</v>
      </c>
      <c r="H17" s="11" t="s">
        <v>222</v>
      </c>
    </row>
    <row r="18" spans="1:8">
      <c r="A18" s="11" t="s">
        <v>221</v>
      </c>
      <c r="B18" s="6" t="s">
        <v>209</v>
      </c>
      <c r="C18" s="6" t="s">
        <v>126</v>
      </c>
      <c r="E18" s="12">
        <v>2912.5</v>
      </c>
      <c r="H18" s="11" t="s">
        <v>223</v>
      </c>
    </row>
    <row r="19" spans="1:8">
      <c r="A19" s="11" t="s">
        <v>221</v>
      </c>
      <c r="B19" s="6" t="s">
        <v>209</v>
      </c>
      <c r="C19" s="6" t="s">
        <v>126</v>
      </c>
      <c r="E19" s="12">
        <v>2912.5</v>
      </c>
      <c r="H19" s="11" t="s">
        <v>224</v>
      </c>
    </row>
    <row r="20" spans="1:8">
      <c r="A20" s="11" t="s">
        <v>221</v>
      </c>
      <c r="B20" s="6" t="s">
        <v>209</v>
      </c>
      <c r="C20" s="6" t="s">
        <v>126</v>
      </c>
      <c r="E20" s="12">
        <v>2912.5</v>
      </c>
      <c r="F20" s="12">
        <f>D17-(SUM(E17:E20))</f>
        <v>11650</v>
      </c>
      <c r="G20" s="12">
        <v>15535.46</v>
      </c>
      <c r="H20" s="11" t="s">
        <v>225</v>
      </c>
    </row>
    <row r="21" spans="1:8">
      <c r="A21" s="11" t="s">
        <v>226</v>
      </c>
      <c r="B21" s="6" t="s">
        <v>209</v>
      </c>
      <c r="C21" s="6" t="s">
        <v>126</v>
      </c>
      <c r="D21" s="12">
        <v>23300</v>
      </c>
      <c r="E21" s="12">
        <v>2912.5</v>
      </c>
      <c r="H21" s="11" t="s">
        <v>227</v>
      </c>
    </row>
    <row r="22" spans="1:8">
      <c r="A22" s="11" t="s">
        <v>226</v>
      </c>
      <c r="B22" s="6" t="s">
        <v>209</v>
      </c>
      <c r="C22" s="6" t="s">
        <v>126</v>
      </c>
      <c r="E22" s="12">
        <v>2912.5</v>
      </c>
      <c r="H22" s="11" t="s">
        <v>155</v>
      </c>
    </row>
    <row r="23" spans="1:8">
      <c r="A23" s="11" t="s">
        <v>226</v>
      </c>
      <c r="B23" s="6" t="s">
        <v>209</v>
      </c>
      <c r="C23" s="6" t="s">
        <v>126</v>
      </c>
      <c r="E23" s="12">
        <v>2912.5</v>
      </c>
      <c r="H23" s="11" t="s">
        <v>228</v>
      </c>
    </row>
    <row r="24" spans="1:8">
      <c r="A24" s="11" t="s">
        <v>226</v>
      </c>
      <c r="B24" s="6" t="s">
        <v>209</v>
      </c>
      <c r="C24" s="6" t="s">
        <v>126</v>
      </c>
      <c r="E24" s="12">
        <v>2912.5</v>
      </c>
      <c r="F24" s="12">
        <f>D21-(SUM(E21:E24))</f>
        <v>11650</v>
      </c>
      <c r="G24" s="12">
        <v>15349.95</v>
      </c>
      <c r="H24" s="11" t="s">
        <v>229</v>
      </c>
    </row>
    <row r="25" spans="1:8">
      <c r="A25" s="11" t="s">
        <v>230</v>
      </c>
      <c r="B25" s="6" t="s">
        <v>209</v>
      </c>
      <c r="C25" s="6" t="s">
        <v>126</v>
      </c>
      <c r="D25" s="12">
        <v>23300</v>
      </c>
      <c r="E25" s="12">
        <v>3662.5</v>
      </c>
      <c r="H25" s="11" t="s">
        <v>231</v>
      </c>
    </row>
    <row r="26" spans="1:8">
      <c r="A26" s="11" t="s">
        <v>230</v>
      </c>
      <c r="B26" s="6" t="s">
        <v>209</v>
      </c>
      <c r="C26" s="6" t="s">
        <v>126</v>
      </c>
      <c r="E26" s="12">
        <v>3662.5</v>
      </c>
      <c r="H26" s="11" t="s">
        <v>232</v>
      </c>
    </row>
    <row r="27" spans="1:8">
      <c r="A27" s="11" t="s">
        <v>230</v>
      </c>
      <c r="B27" s="6" t="s">
        <v>209</v>
      </c>
      <c r="C27" s="6" t="s">
        <v>126</v>
      </c>
      <c r="E27" s="12">
        <v>3662.5</v>
      </c>
      <c r="H27" s="11" t="s">
        <v>233</v>
      </c>
    </row>
    <row r="28" spans="1:8">
      <c r="A28" s="11" t="s">
        <v>230</v>
      </c>
      <c r="B28" s="6" t="s">
        <v>209</v>
      </c>
      <c r="C28" s="6" t="s">
        <v>126</v>
      </c>
      <c r="E28" s="12">
        <v>3662.5</v>
      </c>
      <c r="F28" s="12">
        <f>D25-(SUM(E25:E28))</f>
        <v>8650</v>
      </c>
      <c r="G28" s="12">
        <v>11268.25</v>
      </c>
      <c r="H28" s="11" t="s">
        <v>234</v>
      </c>
    </row>
    <row r="29" spans="1:8">
      <c r="A29" s="11" t="s">
        <v>182</v>
      </c>
      <c r="B29" s="6" t="s">
        <v>209</v>
      </c>
      <c r="C29" s="6" t="s">
        <v>126</v>
      </c>
      <c r="D29" s="12">
        <v>23300</v>
      </c>
      <c r="E29" s="12">
        <v>3662.5</v>
      </c>
      <c r="H29" s="11" t="s">
        <v>235</v>
      </c>
    </row>
    <row r="30" spans="1:8">
      <c r="A30" s="11" t="s">
        <v>182</v>
      </c>
      <c r="B30" s="6" t="s">
        <v>209</v>
      </c>
      <c r="C30" s="6" t="s">
        <v>126</v>
      </c>
      <c r="E30" s="12">
        <v>3662.5</v>
      </c>
      <c r="H30" s="11" t="s">
        <v>236</v>
      </c>
    </row>
    <row r="31" spans="1:8">
      <c r="A31" s="11" t="s">
        <v>182</v>
      </c>
      <c r="B31" s="6" t="s">
        <v>209</v>
      </c>
      <c r="C31" s="6" t="s">
        <v>126</v>
      </c>
      <c r="E31" s="12">
        <v>3662.5</v>
      </c>
      <c r="H31" s="11" t="s">
        <v>237</v>
      </c>
    </row>
    <row r="32" spans="1:8">
      <c r="A32" s="11" t="s">
        <v>182</v>
      </c>
      <c r="B32" s="6" t="s">
        <v>209</v>
      </c>
      <c r="C32" s="6" t="s">
        <v>126</v>
      </c>
      <c r="E32" s="12">
        <v>3662.5</v>
      </c>
      <c r="F32" s="12">
        <f>D29-(SUM(E29:E32))</f>
        <v>8650</v>
      </c>
      <c r="G32" s="12">
        <v>11151.22</v>
      </c>
      <c r="H32" s="11" t="s">
        <v>148</v>
      </c>
    </row>
    <row r="33" spans="1:8">
      <c r="A33" s="11" t="s">
        <v>184</v>
      </c>
      <c r="B33" s="6" t="s">
        <v>209</v>
      </c>
      <c r="C33" s="6" t="s">
        <v>126</v>
      </c>
      <c r="D33" s="12">
        <v>23300</v>
      </c>
      <c r="E33" s="12">
        <v>3662.5</v>
      </c>
      <c r="H33" s="11" t="s">
        <v>149</v>
      </c>
    </row>
    <row r="34" spans="1:8">
      <c r="A34" s="11" t="s">
        <v>184</v>
      </c>
      <c r="B34" s="6" t="s">
        <v>209</v>
      </c>
      <c r="C34" s="6" t="s">
        <v>126</v>
      </c>
      <c r="E34" s="12">
        <v>3662.5</v>
      </c>
      <c r="H34" s="11" t="s">
        <v>150</v>
      </c>
    </row>
    <row r="35" spans="1:8">
      <c r="A35" s="11" t="s">
        <v>184</v>
      </c>
      <c r="B35" s="6" t="s">
        <v>209</v>
      </c>
      <c r="C35" s="6" t="s">
        <v>126</v>
      </c>
      <c r="E35" s="12">
        <v>3662.5</v>
      </c>
      <c r="H35" s="11" t="s">
        <v>152</v>
      </c>
    </row>
    <row r="36" spans="1:8">
      <c r="A36" s="11" t="s">
        <v>184</v>
      </c>
      <c r="B36" s="6" t="s">
        <v>209</v>
      </c>
      <c r="C36" s="6" t="s">
        <v>126</v>
      </c>
      <c r="E36" s="12">
        <v>2000</v>
      </c>
      <c r="H36" s="11" t="s">
        <v>153</v>
      </c>
    </row>
    <row r="37" spans="1:8">
      <c r="A37" s="11" t="s">
        <v>184</v>
      </c>
      <c r="B37" s="6" t="s">
        <v>209</v>
      </c>
      <c r="C37" s="6" t="s">
        <v>126</v>
      </c>
      <c r="E37" s="12">
        <v>1662.5</v>
      </c>
      <c r="F37" s="12">
        <f>D33-(SUM(E33:E37))</f>
        <v>8650</v>
      </c>
      <c r="G37" s="12">
        <v>11027.03</v>
      </c>
      <c r="H37" s="11" t="s">
        <v>216</v>
      </c>
    </row>
    <row r="38" spans="1:8">
      <c r="A38" s="11" t="s">
        <v>186</v>
      </c>
      <c r="B38" s="6" t="s">
        <v>209</v>
      </c>
      <c r="C38" s="6" t="s">
        <v>126</v>
      </c>
      <c r="D38" s="12">
        <v>23300</v>
      </c>
      <c r="E38" s="12">
        <v>3662.5</v>
      </c>
      <c r="H38" s="11" t="s">
        <v>154</v>
      </c>
    </row>
    <row r="39" spans="1:8">
      <c r="A39" s="11" t="s">
        <v>186</v>
      </c>
      <c r="B39" s="6" t="s">
        <v>209</v>
      </c>
      <c r="C39" s="6" t="s">
        <v>126</v>
      </c>
      <c r="E39" s="12">
        <v>3662.5</v>
      </c>
      <c r="H39" s="11" t="s">
        <v>217</v>
      </c>
    </row>
    <row r="40" spans="1:8">
      <c r="A40" s="11" t="s">
        <v>186</v>
      </c>
      <c r="B40" s="6" t="s">
        <v>209</v>
      </c>
      <c r="C40" s="6" t="s">
        <v>126</v>
      </c>
      <c r="E40" s="12">
        <v>3662.5</v>
      </c>
      <c r="H40" s="11" t="s">
        <v>157</v>
      </c>
    </row>
    <row r="41" spans="1:8">
      <c r="A41" s="11" t="s">
        <v>186</v>
      </c>
      <c r="B41" s="6" t="s">
        <v>209</v>
      </c>
      <c r="C41" s="6" t="s">
        <v>126</v>
      </c>
      <c r="E41" s="12">
        <v>3662.5</v>
      </c>
      <c r="F41" s="12">
        <f>D38-(SUM(E38:E41))</f>
        <v>8650</v>
      </c>
      <c r="G41" s="12">
        <v>10954.85</v>
      </c>
      <c r="H41" s="11" t="s">
        <v>218</v>
      </c>
    </row>
    <row r="42" spans="1:8">
      <c r="A42" s="11" t="s">
        <v>238</v>
      </c>
      <c r="B42" s="6" t="s">
        <v>209</v>
      </c>
      <c r="C42" s="6" t="s">
        <v>126</v>
      </c>
      <c r="D42" s="12">
        <v>23300</v>
      </c>
      <c r="E42" s="12">
        <v>0</v>
      </c>
      <c r="F42" s="12">
        <f t="shared" ref="F42:F45" si="0">D42-E42</f>
        <v>23300</v>
      </c>
      <c r="G42" s="12">
        <v>29132.55</v>
      </c>
      <c r="H42" s="11" t="s">
        <v>127</v>
      </c>
    </row>
    <row r="43" spans="1:8">
      <c r="A43" s="11" t="s">
        <v>193</v>
      </c>
      <c r="B43" s="6" t="s">
        <v>209</v>
      </c>
      <c r="C43" s="6" t="s">
        <v>126</v>
      </c>
      <c r="D43" s="12">
        <v>23300</v>
      </c>
      <c r="E43" s="12">
        <v>0</v>
      </c>
      <c r="F43" s="12">
        <f t="shared" si="0"/>
        <v>23300</v>
      </c>
      <c r="G43" s="12">
        <v>28845.69</v>
      </c>
      <c r="H43" s="11" t="s">
        <v>127</v>
      </c>
    </row>
    <row r="44" spans="1:8">
      <c r="A44" s="11" t="s">
        <v>197</v>
      </c>
      <c r="B44" s="6" t="s">
        <v>209</v>
      </c>
      <c r="C44" s="6" t="s">
        <v>126</v>
      </c>
      <c r="D44" s="12">
        <v>23300</v>
      </c>
      <c r="E44" s="12">
        <v>0</v>
      </c>
      <c r="F44" s="12">
        <f t="shared" si="0"/>
        <v>23300</v>
      </c>
      <c r="G44" s="12">
        <v>28554.06</v>
      </c>
      <c r="H44" s="11" t="s">
        <v>127</v>
      </c>
    </row>
    <row r="45" spans="1:8">
      <c r="A45" s="11" t="s">
        <v>198</v>
      </c>
      <c r="B45" s="6" t="s">
        <v>209</v>
      </c>
      <c r="C45" s="6" t="s">
        <v>126</v>
      </c>
      <c r="D45" s="12">
        <v>23300</v>
      </c>
      <c r="E45" s="12">
        <v>0</v>
      </c>
      <c r="F45" s="12">
        <f t="shared" si="0"/>
        <v>23300</v>
      </c>
      <c r="G45" s="12">
        <v>28249.39</v>
      </c>
      <c r="H45" s="11" t="s">
        <v>127</v>
      </c>
    </row>
    <row r="46" spans="1:8">
      <c r="A46" s="11"/>
      <c r="D46" s="30"/>
      <c r="E46" s="30"/>
      <c r="F46" s="30">
        <f>SUM(F3:F45)</f>
        <v>168100</v>
      </c>
      <c r="G46" s="30">
        <f>SUM(G3:G45)</f>
        <v>213203.7</v>
      </c>
      <c r="H46" s="11"/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A6D63-DA93-4546-AA82-F75EAA46373B}">
  <dimension ref="A2:H32"/>
  <sheetViews>
    <sheetView workbookViewId="0">
      <pane ySplit="2" topLeftCell="A18" activePane="bottomLeft" state="frozen"/>
      <selection pane="bottomLeft" activeCell="D33" sqref="D33"/>
    </sheetView>
  </sheetViews>
  <sheetFormatPr defaultRowHeight="15"/>
  <cols>
    <col min="1" max="1" width="16.140625" style="5" bestFit="1" customWidth="1"/>
    <col min="2" max="2" width="45.855468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710937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1" t="s">
        <v>211</v>
      </c>
      <c r="B3" s="6" t="s">
        <v>239</v>
      </c>
      <c r="C3" s="6" t="s">
        <v>126</v>
      </c>
      <c r="D3" s="12">
        <v>12500</v>
      </c>
      <c r="E3" s="7">
        <v>10000</v>
      </c>
      <c r="H3" s="11" t="s">
        <v>240</v>
      </c>
    </row>
    <row r="4" spans="1:8">
      <c r="A4" s="11" t="s">
        <v>211</v>
      </c>
      <c r="B4" s="6" t="s">
        <v>239</v>
      </c>
      <c r="C4" s="6" t="s">
        <v>126</v>
      </c>
      <c r="E4" s="7">
        <v>2500</v>
      </c>
      <c r="F4" s="12">
        <v>0</v>
      </c>
      <c r="G4" s="12">
        <v>0</v>
      </c>
      <c r="H4" s="11" t="s">
        <v>241</v>
      </c>
    </row>
    <row r="5" spans="1:8">
      <c r="A5" s="11" t="s">
        <v>214</v>
      </c>
      <c r="B5" s="6" t="s">
        <v>239</v>
      </c>
      <c r="C5" s="6" t="s">
        <v>126</v>
      </c>
      <c r="D5" s="12">
        <v>12500</v>
      </c>
      <c r="E5" s="7">
        <v>6500</v>
      </c>
      <c r="H5" s="11" t="s">
        <v>242</v>
      </c>
    </row>
    <row r="6" spans="1:8">
      <c r="A6" s="11" t="s">
        <v>214</v>
      </c>
      <c r="B6" s="6" t="s">
        <v>239</v>
      </c>
      <c r="C6" s="6" t="s">
        <v>126</v>
      </c>
      <c r="E6" s="7">
        <v>6000</v>
      </c>
      <c r="F6" s="12">
        <v>0</v>
      </c>
      <c r="G6" s="12">
        <v>0</v>
      </c>
      <c r="H6" s="11" t="s">
        <v>243</v>
      </c>
    </row>
    <row r="7" spans="1:8">
      <c r="A7" s="11" t="s">
        <v>219</v>
      </c>
      <c r="B7" s="6" t="s">
        <v>239</v>
      </c>
      <c r="C7" s="6" t="s">
        <v>126</v>
      </c>
      <c r="D7" s="12">
        <v>12500</v>
      </c>
      <c r="E7" s="7">
        <v>6500</v>
      </c>
      <c r="H7" s="11" t="s">
        <v>244</v>
      </c>
    </row>
    <row r="8" spans="1:8">
      <c r="A8" s="11" t="s">
        <v>219</v>
      </c>
      <c r="B8" s="6" t="s">
        <v>239</v>
      </c>
      <c r="C8" s="6" t="s">
        <v>126</v>
      </c>
      <c r="E8" s="7">
        <v>6000</v>
      </c>
      <c r="F8" s="12">
        <v>0</v>
      </c>
      <c r="G8" s="12">
        <v>0</v>
      </c>
      <c r="H8" s="11" t="s">
        <v>245</v>
      </c>
    </row>
    <row r="9" spans="1:8">
      <c r="A9" s="11" t="s">
        <v>221</v>
      </c>
      <c r="B9" s="6" t="s">
        <v>239</v>
      </c>
      <c r="C9" s="6" t="s">
        <v>126</v>
      </c>
      <c r="D9" s="12">
        <v>15000</v>
      </c>
      <c r="E9" s="7">
        <v>500</v>
      </c>
      <c r="H9" s="11" t="s">
        <v>245</v>
      </c>
    </row>
    <row r="10" spans="1:8">
      <c r="A10" s="11" t="s">
        <v>221</v>
      </c>
      <c r="B10" s="6" t="s">
        <v>239</v>
      </c>
      <c r="C10" s="6" t="s">
        <v>126</v>
      </c>
      <c r="E10" s="7">
        <v>14500</v>
      </c>
      <c r="F10" s="12">
        <v>0</v>
      </c>
      <c r="G10" s="12">
        <v>0</v>
      </c>
      <c r="H10" s="11" t="s">
        <v>246</v>
      </c>
    </row>
    <row r="11" spans="1:8">
      <c r="A11" s="11" t="s">
        <v>226</v>
      </c>
      <c r="B11" s="6" t="s">
        <v>239</v>
      </c>
      <c r="C11" s="6" t="s">
        <v>126</v>
      </c>
      <c r="D11" s="12">
        <v>15000</v>
      </c>
      <c r="E11" s="7">
        <v>500</v>
      </c>
      <c r="H11" s="11" t="s">
        <v>246</v>
      </c>
    </row>
    <row r="12" spans="1:8">
      <c r="A12" s="11" t="s">
        <v>226</v>
      </c>
      <c r="B12" s="6" t="s">
        <v>239</v>
      </c>
      <c r="C12" s="6" t="s">
        <v>126</v>
      </c>
      <c r="E12" s="7">
        <v>7500</v>
      </c>
      <c r="H12" s="11" t="s">
        <v>247</v>
      </c>
    </row>
    <row r="13" spans="1:8">
      <c r="A13" s="11" t="s">
        <v>226</v>
      </c>
      <c r="B13" s="6" t="s">
        <v>239</v>
      </c>
      <c r="C13" s="6" t="s">
        <v>126</v>
      </c>
      <c r="E13" s="7">
        <v>2000</v>
      </c>
      <c r="H13" s="11" t="s">
        <v>248</v>
      </c>
    </row>
    <row r="14" spans="1:8">
      <c r="A14" s="11" t="s">
        <v>226</v>
      </c>
      <c r="B14" s="6" t="s">
        <v>239</v>
      </c>
      <c r="C14" s="6" t="s">
        <v>126</v>
      </c>
      <c r="D14" s="31"/>
      <c r="E14" s="7">
        <v>4000</v>
      </c>
      <c r="H14" s="11" t="s">
        <v>249</v>
      </c>
    </row>
    <row r="15" spans="1:8">
      <c r="A15" s="11" t="s">
        <v>226</v>
      </c>
      <c r="B15" s="6" t="s">
        <v>239</v>
      </c>
      <c r="C15" s="6" t="s">
        <v>126</v>
      </c>
      <c r="D15" s="11"/>
      <c r="E15" s="7">
        <v>1000</v>
      </c>
      <c r="F15" s="12">
        <v>0</v>
      </c>
      <c r="G15" s="12">
        <v>0</v>
      </c>
      <c r="H15" s="11" t="s">
        <v>250</v>
      </c>
    </row>
    <row r="16" spans="1:8">
      <c r="A16" s="11" t="s">
        <v>230</v>
      </c>
      <c r="B16" s="6" t="s">
        <v>239</v>
      </c>
      <c r="C16" s="6" t="s">
        <v>126</v>
      </c>
      <c r="D16" s="12">
        <v>15000</v>
      </c>
      <c r="E16" s="7">
        <v>3000</v>
      </c>
      <c r="H16" s="11" t="s">
        <v>250</v>
      </c>
    </row>
    <row r="17" spans="1:8">
      <c r="A17" s="11" t="s">
        <v>230</v>
      </c>
      <c r="B17" s="6" t="s">
        <v>239</v>
      </c>
      <c r="C17" s="6" t="s">
        <v>126</v>
      </c>
      <c r="D17" s="11"/>
      <c r="E17" s="7">
        <v>4000</v>
      </c>
      <c r="H17" s="11" t="s">
        <v>148</v>
      </c>
    </row>
    <row r="18" spans="1:8">
      <c r="A18" s="11" t="s">
        <v>230</v>
      </c>
      <c r="B18" s="6" t="s">
        <v>239</v>
      </c>
      <c r="C18" s="6" t="s">
        <v>126</v>
      </c>
      <c r="D18" s="11"/>
      <c r="E18" s="7">
        <v>5000</v>
      </c>
      <c r="H18" s="11" t="s">
        <v>154</v>
      </c>
    </row>
    <row r="19" spans="1:8">
      <c r="A19" s="11" t="s">
        <v>230</v>
      </c>
      <c r="B19" s="6" t="s">
        <v>239</v>
      </c>
      <c r="C19" s="6" t="s">
        <v>126</v>
      </c>
      <c r="D19" s="11"/>
      <c r="E19" s="7">
        <v>3000</v>
      </c>
      <c r="F19" s="12">
        <v>0</v>
      </c>
      <c r="G19" s="12">
        <v>0</v>
      </c>
      <c r="H19" s="11" t="s">
        <v>192</v>
      </c>
    </row>
    <row r="20" spans="1:8">
      <c r="A20" s="11" t="s">
        <v>182</v>
      </c>
      <c r="B20" s="6" t="s">
        <v>239</v>
      </c>
      <c r="C20" s="6" t="s">
        <v>126</v>
      </c>
      <c r="D20" s="12">
        <v>15000</v>
      </c>
      <c r="E20" s="7">
        <v>1000</v>
      </c>
      <c r="H20" s="11" t="s">
        <v>192</v>
      </c>
    </row>
    <row r="21" spans="1:8">
      <c r="A21" s="11" t="s">
        <v>182</v>
      </c>
      <c r="B21" s="6" t="s">
        <v>239</v>
      </c>
      <c r="C21" s="6" t="s">
        <v>126</v>
      </c>
      <c r="D21" s="11"/>
      <c r="E21" s="7">
        <v>14000</v>
      </c>
      <c r="F21" s="12">
        <v>0</v>
      </c>
      <c r="G21" s="12">
        <v>0</v>
      </c>
      <c r="H21" s="11" t="s">
        <v>172</v>
      </c>
    </row>
    <row r="22" spans="1:8">
      <c r="A22" s="11" t="s">
        <v>184</v>
      </c>
      <c r="B22" s="6" t="s">
        <v>239</v>
      </c>
      <c r="C22" s="6" t="s">
        <v>126</v>
      </c>
      <c r="D22" s="12">
        <v>15000</v>
      </c>
      <c r="E22" s="7">
        <v>1000</v>
      </c>
      <c r="H22" s="11" t="s">
        <v>172</v>
      </c>
    </row>
    <row r="23" spans="1:8">
      <c r="A23" s="11" t="s">
        <v>184</v>
      </c>
      <c r="B23" s="6" t="s">
        <v>239</v>
      </c>
      <c r="C23" s="6" t="s">
        <v>126</v>
      </c>
      <c r="D23" s="11"/>
      <c r="E23" s="7">
        <v>6000</v>
      </c>
      <c r="H23" s="11" t="s">
        <v>196</v>
      </c>
    </row>
    <row r="24" spans="1:8">
      <c r="A24" s="11" t="s">
        <v>184</v>
      </c>
      <c r="B24" s="6" t="s">
        <v>239</v>
      </c>
      <c r="C24" s="6" t="s">
        <v>126</v>
      </c>
      <c r="D24" s="11"/>
      <c r="E24" s="7">
        <v>0</v>
      </c>
      <c r="F24" s="12">
        <f>D22-E22-E23</f>
        <v>8000</v>
      </c>
      <c r="G24" s="12">
        <v>10198.42</v>
      </c>
      <c r="H24" s="11" t="s">
        <v>127</v>
      </c>
    </row>
    <row r="25" spans="1:8">
      <c r="A25" s="11" t="s">
        <v>186</v>
      </c>
      <c r="B25" s="6" t="s">
        <v>239</v>
      </c>
      <c r="C25" s="6" t="s">
        <v>126</v>
      </c>
      <c r="D25" s="12">
        <v>15000</v>
      </c>
      <c r="E25" s="7">
        <v>0</v>
      </c>
      <c r="F25" s="12">
        <f>D25-E25</f>
        <v>15000</v>
      </c>
      <c r="G25" s="12">
        <v>18996.86</v>
      </c>
      <c r="H25" s="11" t="s">
        <v>127</v>
      </c>
    </row>
    <row r="26" spans="1:8">
      <c r="A26" s="11" t="s">
        <v>238</v>
      </c>
      <c r="B26" s="6" t="s">
        <v>239</v>
      </c>
      <c r="C26" s="6" t="s">
        <v>126</v>
      </c>
      <c r="D26" s="12">
        <v>15000</v>
      </c>
      <c r="E26" s="7">
        <v>0</v>
      </c>
      <c r="F26" s="12">
        <f t="shared" ref="F26:F30" si="0">D26-E26</f>
        <v>15000</v>
      </c>
      <c r="G26" s="12">
        <v>18754.87</v>
      </c>
      <c r="H26" s="11" t="s">
        <v>127</v>
      </c>
    </row>
    <row r="27" spans="1:8">
      <c r="A27" s="11" t="s">
        <v>251</v>
      </c>
      <c r="B27" s="6" t="s">
        <v>239</v>
      </c>
      <c r="C27" s="2" t="s">
        <v>252</v>
      </c>
      <c r="D27" s="7">
        <v>938.6</v>
      </c>
      <c r="E27" s="7">
        <v>938.6</v>
      </c>
      <c r="F27" s="12">
        <f t="shared" si="0"/>
        <v>0</v>
      </c>
      <c r="G27" s="12">
        <v>0</v>
      </c>
      <c r="H27" s="11" t="s">
        <v>251</v>
      </c>
    </row>
    <row r="28" spans="1:8">
      <c r="A28" s="11" t="s">
        <v>193</v>
      </c>
      <c r="B28" s="6" t="s">
        <v>239</v>
      </c>
      <c r="C28" s="6" t="s">
        <v>126</v>
      </c>
      <c r="D28" s="12">
        <v>15000</v>
      </c>
      <c r="E28" s="7">
        <v>0</v>
      </c>
      <c r="F28" s="12">
        <f t="shared" si="0"/>
        <v>15000</v>
      </c>
      <c r="G28" s="12">
        <v>18570.18</v>
      </c>
      <c r="H28" s="11" t="s">
        <v>127</v>
      </c>
    </row>
    <row r="29" spans="1:8">
      <c r="A29" s="11" t="s">
        <v>197</v>
      </c>
      <c r="B29" s="6" t="s">
        <v>239</v>
      </c>
      <c r="C29" s="6" t="s">
        <v>126</v>
      </c>
      <c r="D29" s="12">
        <v>15000</v>
      </c>
      <c r="E29" s="7">
        <v>0</v>
      </c>
      <c r="F29" s="12">
        <f t="shared" si="0"/>
        <v>15000</v>
      </c>
      <c r="G29" s="12">
        <v>18382.45</v>
      </c>
      <c r="H29" s="11" t="s">
        <v>127</v>
      </c>
    </row>
    <row r="30" spans="1:8">
      <c r="A30" s="11" t="s">
        <v>198</v>
      </c>
      <c r="B30" s="6" t="s">
        <v>239</v>
      </c>
      <c r="C30" s="6" t="s">
        <v>126</v>
      </c>
      <c r="D30" s="12">
        <v>15000</v>
      </c>
      <c r="E30" s="7">
        <v>0</v>
      </c>
      <c r="F30" s="12">
        <f t="shared" si="0"/>
        <v>15000</v>
      </c>
      <c r="G30" s="12">
        <v>18186.3</v>
      </c>
      <c r="H30" s="11" t="s">
        <v>127</v>
      </c>
    </row>
    <row r="31" spans="1:8">
      <c r="A31" s="11"/>
      <c r="E31" s="11"/>
      <c r="F31" s="30">
        <f>SUM(F3:F30)</f>
        <v>83000</v>
      </c>
      <c r="G31" s="30">
        <f>SUM(G3:G30)</f>
        <v>103089.07999999999</v>
      </c>
    </row>
    <row r="32" spans="1:8">
      <c r="A32" s="3"/>
      <c r="B32" s="3"/>
      <c r="C32" s="3"/>
      <c r="D32" s="13"/>
      <c r="E32" s="13"/>
      <c r="F32" s="13"/>
      <c r="G32" s="13"/>
      <c r="H32" s="9"/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A63E-1D9C-4F5D-B992-E9A8BA04704B}">
  <dimension ref="A2:H14"/>
  <sheetViews>
    <sheetView workbookViewId="0">
      <selection activeCell="F15" sqref="F15"/>
    </sheetView>
  </sheetViews>
  <sheetFormatPr defaultRowHeight="15"/>
  <cols>
    <col min="1" max="1" width="16.140625" style="5" bestFit="1" customWidth="1"/>
    <col min="2" max="2" width="47.5703125" style="5" bestFit="1" customWidth="1"/>
    <col min="3" max="3" width="36.140625" style="5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2.140625" style="12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13" t="s">
        <v>123</v>
      </c>
    </row>
    <row r="3" spans="1:8">
      <c r="A3" s="14" t="s">
        <v>253</v>
      </c>
      <c r="B3" s="14" t="s">
        <v>254</v>
      </c>
      <c r="C3" s="14" t="s">
        <v>255</v>
      </c>
      <c r="D3" s="16">
        <v>9086.1</v>
      </c>
      <c r="E3" s="12">
        <v>0</v>
      </c>
      <c r="F3" s="16">
        <v>9086.1</v>
      </c>
      <c r="G3" s="16">
        <v>9868.7900000000009</v>
      </c>
      <c r="H3" s="12" t="s">
        <v>127</v>
      </c>
    </row>
    <row r="4" spans="1:8">
      <c r="A4" s="14" t="s">
        <v>256</v>
      </c>
      <c r="B4" s="14" t="s">
        <v>254</v>
      </c>
      <c r="C4" s="14" t="s">
        <v>255</v>
      </c>
      <c r="D4" s="16">
        <v>9086.1</v>
      </c>
      <c r="E4" s="12">
        <v>0</v>
      </c>
      <c r="F4" s="16">
        <v>9086.1</v>
      </c>
      <c r="G4" s="16">
        <v>9744.41</v>
      </c>
      <c r="H4" s="12" t="s">
        <v>127</v>
      </c>
    </row>
    <row r="5" spans="1:8">
      <c r="A5" s="14" t="s">
        <v>257</v>
      </c>
      <c r="B5" s="14" t="s">
        <v>254</v>
      </c>
      <c r="C5" s="14" t="s">
        <v>255</v>
      </c>
      <c r="D5" s="16">
        <v>9086.1</v>
      </c>
      <c r="E5" s="12">
        <v>0</v>
      </c>
      <c r="F5" s="16">
        <v>9086.1</v>
      </c>
      <c r="G5" s="16">
        <v>9666.01</v>
      </c>
      <c r="H5" s="12" t="s">
        <v>127</v>
      </c>
    </row>
    <row r="6" spans="1:8">
      <c r="A6" s="14" t="s">
        <v>258</v>
      </c>
      <c r="B6" s="14" t="s">
        <v>254</v>
      </c>
      <c r="C6" s="14" t="s">
        <v>255</v>
      </c>
      <c r="D6" s="16">
        <v>9086.1</v>
      </c>
      <c r="E6" s="12">
        <v>0</v>
      </c>
      <c r="F6" s="16">
        <v>9086.1</v>
      </c>
      <c r="G6" s="16">
        <v>9528.2199999999993</v>
      </c>
      <c r="H6" s="12" t="s">
        <v>127</v>
      </c>
    </row>
    <row r="7" spans="1:8">
      <c r="A7" s="14" t="s">
        <v>157</v>
      </c>
      <c r="B7" s="14" t="s">
        <v>254</v>
      </c>
      <c r="C7" s="14" t="s">
        <v>255</v>
      </c>
      <c r="D7" s="16">
        <v>9086.1</v>
      </c>
      <c r="E7" s="12">
        <v>0</v>
      </c>
      <c r="F7" s="16">
        <v>9086.1</v>
      </c>
      <c r="G7" s="16">
        <v>9419.65</v>
      </c>
      <c r="H7" s="12" t="s">
        <v>127</v>
      </c>
    </row>
    <row r="8" spans="1:8">
      <c r="A8" s="14" t="s">
        <v>200</v>
      </c>
      <c r="B8" s="14" t="s">
        <v>254</v>
      </c>
      <c r="C8" s="14" t="s">
        <v>255</v>
      </c>
      <c r="D8" s="16">
        <v>9086.1</v>
      </c>
      <c r="E8" s="12">
        <v>0</v>
      </c>
      <c r="F8" s="16">
        <v>9086.1</v>
      </c>
      <c r="G8" s="16">
        <v>9309.57</v>
      </c>
      <c r="H8" s="12" t="s">
        <v>127</v>
      </c>
    </row>
    <row r="9" spans="1:8">
      <c r="A9" s="14" t="s">
        <v>259</v>
      </c>
      <c r="B9" s="14" t="s">
        <v>254</v>
      </c>
      <c r="C9" s="14" t="s">
        <v>126</v>
      </c>
      <c r="D9" s="16">
        <v>15913.9</v>
      </c>
      <c r="E9" s="12">
        <v>0</v>
      </c>
      <c r="F9" s="16">
        <v>15913.9</v>
      </c>
      <c r="G9" s="16">
        <v>16105.19</v>
      </c>
      <c r="H9" s="12" t="s">
        <v>127</v>
      </c>
    </row>
    <row r="10" spans="1:8">
      <c r="A10" s="14" t="s">
        <v>259</v>
      </c>
      <c r="B10" s="14" t="s">
        <v>254</v>
      </c>
      <c r="C10" s="14" t="s">
        <v>126</v>
      </c>
      <c r="D10" s="16">
        <v>3592.81</v>
      </c>
      <c r="E10" s="12">
        <v>0</v>
      </c>
      <c r="F10" s="16">
        <v>3592.81</v>
      </c>
      <c r="G10" s="16">
        <v>3636</v>
      </c>
      <c r="H10" s="12" t="s">
        <v>127</v>
      </c>
    </row>
    <row r="11" spans="1:8">
      <c r="A11" s="14" t="s">
        <v>201</v>
      </c>
      <c r="B11" s="14" t="s">
        <v>254</v>
      </c>
      <c r="C11" s="14" t="s">
        <v>255</v>
      </c>
      <c r="D11" s="16">
        <v>9086.1</v>
      </c>
      <c r="E11" s="12">
        <v>0</v>
      </c>
      <c r="F11" s="16">
        <v>9086.1</v>
      </c>
      <c r="G11" s="16">
        <v>9195.31</v>
      </c>
      <c r="H11" s="12" t="s">
        <v>127</v>
      </c>
    </row>
    <row r="12" spans="1:8">
      <c r="A12" s="17">
        <v>46063</v>
      </c>
      <c r="B12" s="14" t="s">
        <v>254</v>
      </c>
      <c r="C12" s="14" t="s">
        <v>126</v>
      </c>
      <c r="D12" s="16">
        <v>15913.9</v>
      </c>
      <c r="E12" s="12">
        <v>0</v>
      </c>
      <c r="F12" s="16">
        <f>D12-E12</f>
        <v>15913.9</v>
      </c>
      <c r="G12" s="16"/>
    </row>
    <row r="13" spans="1:8">
      <c r="A13" s="17">
        <v>46063</v>
      </c>
      <c r="B13" s="14" t="s">
        <v>254</v>
      </c>
      <c r="C13" s="14" t="s">
        <v>126</v>
      </c>
      <c r="D13" s="16">
        <v>3592.81</v>
      </c>
      <c r="E13" s="12">
        <v>0</v>
      </c>
      <c r="F13" s="16">
        <f>D13-E13</f>
        <v>3592.81</v>
      </c>
      <c r="G13" s="16"/>
    </row>
    <row r="14" spans="1:8">
      <c r="F14" s="13">
        <f>SUM(F3:F13)</f>
        <v>102616.12</v>
      </c>
      <c r="G14" s="13">
        <f>SUM(G3:G11)</f>
        <v>86473.15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77877-70D5-4613-8666-6157076BF88C}">
  <dimension ref="A2:H13"/>
  <sheetViews>
    <sheetView workbookViewId="0">
      <selection activeCell="G16" sqref="G16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710937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4" t="s">
        <v>142</v>
      </c>
      <c r="B3" s="14" t="s">
        <v>260</v>
      </c>
      <c r="C3" s="1" t="s">
        <v>126</v>
      </c>
      <c r="D3" s="16">
        <v>10000</v>
      </c>
      <c r="E3" s="12">
        <v>3000</v>
      </c>
      <c r="F3" s="16">
        <f>D3-E3</f>
        <v>7000</v>
      </c>
      <c r="G3" s="16">
        <v>9334.61</v>
      </c>
      <c r="H3" s="11" t="s">
        <v>127</v>
      </c>
    </row>
    <row r="4" spans="1:8">
      <c r="A4" s="17">
        <v>45795</v>
      </c>
      <c r="B4" s="14" t="s">
        <v>260</v>
      </c>
      <c r="C4" s="1" t="s">
        <v>126</v>
      </c>
      <c r="D4" s="16">
        <v>10000</v>
      </c>
      <c r="E4" s="12">
        <v>0</v>
      </c>
      <c r="F4" s="16">
        <v>10000</v>
      </c>
      <c r="G4" s="16">
        <v>13175.92</v>
      </c>
      <c r="H4" s="11" t="s">
        <v>127</v>
      </c>
    </row>
    <row r="5" spans="1:8">
      <c r="A5" s="14" t="s">
        <v>151</v>
      </c>
      <c r="B5" s="14" t="s">
        <v>260</v>
      </c>
      <c r="C5" s="1" t="s">
        <v>126</v>
      </c>
      <c r="D5" s="16">
        <v>10000</v>
      </c>
      <c r="E5" s="12">
        <v>0</v>
      </c>
      <c r="F5" s="16">
        <v>10000</v>
      </c>
      <c r="G5" s="16">
        <v>13026.88</v>
      </c>
      <c r="H5" s="11" t="s">
        <v>127</v>
      </c>
    </row>
    <row r="6" spans="1:8">
      <c r="A6" s="14" t="s">
        <v>155</v>
      </c>
      <c r="B6" s="14" t="s">
        <v>260</v>
      </c>
      <c r="C6" s="1" t="s">
        <v>126</v>
      </c>
      <c r="D6" s="16">
        <v>10000</v>
      </c>
      <c r="E6" s="12">
        <v>0</v>
      </c>
      <c r="F6" s="16">
        <v>10000</v>
      </c>
      <c r="G6" s="16">
        <v>12891.59</v>
      </c>
      <c r="H6" s="11" t="s">
        <v>127</v>
      </c>
    </row>
    <row r="7" spans="1:8">
      <c r="A7" s="14" t="s">
        <v>162</v>
      </c>
      <c r="B7" s="14" t="s">
        <v>260</v>
      </c>
      <c r="C7" s="1" t="s">
        <v>126</v>
      </c>
      <c r="D7" s="16">
        <v>10000</v>
      </c>
      <c r="E7" s="12">
        <v>0</v>
      </c>
      <c r="F7" s="16">
        <v>10000</v>
      </c>
      <c r="G7" s="16">
        <v>12748.01</v>
      </c>
      <c r="H7" s="11" t="s">
        <v>127</v>
      </c>
    </row>
    <row r="8" spans="1:8">
      <c r="A8" s="14" t="s">
        <v>166</v>
      </c>
      <c r="B8" s="14" t="s">
        <v>260</v>
      </c>
      <c r="C8" s="1" t="s">
        <v>126</v>
      </c>
      <c r="D8" s="16">
        <v>10000</v>
      </c>
      <c r="E8" s="12">
        <v>0</v>
      </c>
      <c r="F8" s="16">
        <v>10000</v>
      </c>
      <c r="G8" s="16">
        <v>12664.57</v>
      </c>
      <c r="H8" s="11" t="s">
        <v>127</v>
      </c>
    </row>
    <row r="9" spans="1:8">
      <c r="A9" s="14" t="s">
        <v>170</v>
      </c>
      <c r="B9" s="14" t="s">
        <v>260</v>
      </c>
      <c r="C9" s="1" t="s">
        <v>126</v>
      </c>
      <c r="D9" s="16">
        <v>10000</v>
      </c>
      <c r="E9" s="12">
        <v>0</v>
      </c>
      <c r="F9" s="16">
        <v>10000</v>
      </c>
      <c r="G9" s="16">
        <v>12503.24</v>
      </c>
      <c r="H9" s="11" t="s">
        <v>127</v>
      </c>
    </row>
    <row r="10" spans="1:8">
      <c r="A10" s="14" t="s">
        <v>171</v>
      </c>
      <c r="B10" s="14" t="s">
        <v>260</v>
      </c>
      <c r="C10" s="1" t="s">
        <v>126</v>
      </c>
      <c r="D10" s="16">
        <v>10000</v>
      </c>
      <c r="E10" s="12">
        <v>0</v>
      </c>
      <c r="F10" s="16">
        <v>10000</v>
      </c>
      <c r="G10" s="16">
        <v>12380.12</v>
      </c>
      <c r="H10" s="11" t="s">
        <v>127</v>
      </c>
    </row>
    <row r="11" spans="1:8">
      <c r="A11" s="14" t="s">
        <v>172</v>
      </c>
      <c r="B11" s="14" t="s">
        <v>260</v>
      </c>
      <c r="C11" s="1" t="s">
        <v>126</v>
      </c>
      <c r="D11" s="16">
        <v>10000</v>
      </c>
      <c r="E11" s="12">
        <v>0</v>
      </c>
      <c r="F11" s="16">
        <v>10000</v>
      </c>
      <c r="G11" s="16">
        <v>12254.96</v>
      </c>
      <c r="H11" s="11" t="s">
        <v>127</v>
      </c>
    </row>
    <row r="12" spans="1:8">
      <c r="A12" s="14" t="s">
        <v>174</v>
      </c>
      <c r="B12" s="14" t="s">
        <v>260</v>
      </c>
      <c r="C12" s="1" t="s">
        <v>126</v>
      </c>
      <c r="D12" s="16">
        <v>10000</v>
      </c>
      <c r="E12" s="12">
        <v>0</v>
      </c>
      <c r="F12" s="16">
        <v>10000</v>
      </c>
      <c r="G12" s="16">
        <v>12124.2</v>
      </c>
      <c r="H12" s="11" t="s">
        <v>127</v>
      </c>
    </row>
    <row r="13" spans="1:8">
      <c r="F13" s="13">
        <f>SUM(F3:F12)</f>
        <v>97000</v>
      </c>
      <c r="G13" s="13">
        <f>SUM(G3:G12)</f>
        <v>123104.09999999999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C501-689B-42CD-9FF7-9827D7050ED2}">
  <dimension ref="A2:G16"/>
  <sheetViews>
    <sheetView workbookViewId="0">
      <selection activeCell="D17" sqref="D17"/>
    </sheetView>
  </sheetViews>
  <sheetFormatPr defaultRowHeight="15"/>
  <cols>
    <col min="1" max="1" width="16.140625" style="5" bestFit="1" customWidth="1"/>
    <col min="2" max="2" width="37.570312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261</v>
      </c>
      <c r="B3" s="14" t="s">
        <v>262</v>
      </c>
      <c r="C3" s="1" t="s">
        <v>126</v>
      </c>
      <c r="D3" s="16">
        <v>10000</v>
      </c>
      <c r="E3" s="12">
        <v>0</v>
      </c>
      <c r="F3" s="16">
        <v>10000</v>
      </c>
      <c r="G3" s="11" t="s">
        <v>127</v>
      </c>
    </row>
    <row r="4" spans="1:7">
      <c r="A4" s="14" t="s">
        <v>263</v>
      </c>
      <c r="B4" s="14" t="s">
        <v>262</v>
      </c>
      <c r="C4" s="2" t="s">
        <v>126</v>
      </c>
      <c r="D4" s="16">
        <v>10000</v>
      </c>
      <c r="E4" s="12">
        <v>0</v>
      </c>
      <c r="F4" s="16">
        <v>10000</v>
      </c>
      <c r="G4" s="11" t="s">
        <v>127</v>
      </c>
    </row>
    <row r="5" spans="1:7">
      <c r="A5" s="14" t="s">
        <v>264</v>
      </c>
      <c r="B5" s="14" t="s">
        <v>262</v>
      </c>
      <c r="C5" s="1" t="s">
        <v>126</v>
      </c>
      <c r="D5" s="16">
        <v>10000</v>
      </c>
      <c r="E5" s="12">
        <v>0</v>
      </c>
      <c r="F5" s="16">
        <v>10000</v>
      </c>
      <c r="G5" s="11" t="s">
        <v>127</v>
      </c>
    </row>
    <row r="6" spans="1:7">
      <c r="A6" s="14" t="s">
        <v>265</v>
      </c>
      <c r="B6" s="14" t="s">
        <v>262</v>
      </c>
      <c r="C6" s="2" t="s">
        <v>126</v>
      </c>
      <c r="D6" s="16">
        <v>10000</v>
      </c>
      <c r="E6" s="12">
        <v>0</v>
      </c>
      <c r="F6" s="16">
        <v>10000</v>
      </c>
      <c r="G6" s="11" t="s">
        <v>127</v>
      </c>
    </row>
    <row r="7" spans="1:7">
      <c r="A7" s="14" t="s">
        <v>266</v>
      </c>
      <c r="B7" s="14" t="s">
        <v>262</v>
      </c>
      <c r="C7" s="1" t="s">
        <v>126</v>
      </c>
      <c r="D7" s="16">
        <v>10000</v>
      </c>
      <c r="E7" s="12">
        <v>0</v>
      </c>
      <c r="F7" s="16">
        <v>10000</v>
      </c>
      <c r="G7" s="11" t="s">
        <v>127</v>
      </c>
    </row>
    <row r="8" spans="1:7">
      <c r="A8" s="14" t="s">
        <v>224</v>
      </c>
      <c r="B8" s="14" t="s">
        <v>262</v>
      </c>
      <c r="C8" s="2" t="s">
        <v>126</v>
      </c>
      <c r="D8" s="16">
        <v>10000</v>
      </c>
      <c r="E8" s="12">
        <v>0</v>
      </c>
      <c r="F8" s="16">
        <v>10000</v>
      </c>
      <c r="G8" s="11" t="s">
        <v>127</v>
      </c>
    </row>
    <row r="9" spans="1:7">
      <c r="A9" s="14" t="s">
        <v>267</v>
      </c>
      <c r="B9" s="14" t="s">
        <v>262</v>
      </c>
      <c r="C9" s="1" t="s">
        <v>126</v>
      </c>
      <c r="D9" s="16">
        <v>10000</v>
      </c>
      <c r="E9" s="12">
        <v>0</v>
      </c>
      <c r="F9" s="16">
        <v>10000</v>
      </c>
      <c r="G9" s="11" t="s">
        <v>127</v>
      </c>
    </row>
    <row r="10" spans="1:7">
      <c r="A10" s="14" t="s">
        <v>268</v>
      </c>
      <c r="B10" s="14" t="s">
        <v>262</v>
      </c>
      <c r="C10" s="2" t="s">
        <v>126</v>
      </c>
      <c r="D10" s="16">
        <v>10000</v>
      </c>
      <c r="E10" s="12">
        <v>0</v>
      </c>
      <c r="F10" s="16">
        <v>10000</v>
      </c>
      <c r="G10" s="11" t="s">
        <v>127</v>
      </c>
    </row>
    <row r="11" spans="1:7">
      <c r="A11" s="14" t="s">
        <v>269</v>
      </c>
      <c r="B11" s="14" t="s">
        <v>262</v>
      </c>
      <c r="C11" s="1" t="s">
        <v>126</v>
      </c>
      <c r="D11" s="16">
        <v>10000</v>
      </c>
      <c r="E11" s="12">
        <v>0</v>
      </c>
      <c r="F11" s="16">
        <v>10000</v>
      </c>
      <c r="G11" s="11" t="s">
        <v>127</v>
      </c>
    </row>
    <row r="12" spans="1:7">
      <c r="A12" s="14" t="s">
        <v>188</v>
      </c>
      <c r="B12" s="14" t="s">
        <v>262</v>
      </c>
      <c r="C12" s="2" t="s">
        <v>126</v>
      </c>
      <c r="D12" s="16">
        <v>10000</v>
      </c>
      <c r="E12" s="12">
        <v>0</v>
      </c>
      <c r="F12" s="16">
        <v>10000</v>
      </c>
      <c r="G12" s="11" t="s">
        <v>127</v>
      </c>
    </row>
    <row r="13" spans="1:7">
      <c r="A13" s="14" t="s">
        <v>270</v>
      </c>
      <c r="B13" s="14" t="s">
        <v>262</v>
      </c>
      <c r="C13" s="1" t="s">
        <v>126</v>
      </c>
      <c r="D13" s="16">
        <v>10000</v>
      </c>
      <c r="E13" s="12">
        <v>0</v>
      </c>
      <c r="F13" s="16">
        <v>10000</v>
      </c>
      <c r="G13" s="11" t="s">
        <v>127</v>
      </c>
    </row>
    <row r="14" spans="1:7">
      <c r="A14" s="14" t="s">
        <v>271</v>
      </c>
      <c r="B14" s="14" t="s">
        <v>262</v>
      </c>
      <c r="C14" s="2" t="s">
        <v>126</v>
      </c>
      <c r="D14" s="16">
        <v>10000</v>
      </c>
      <c r="E14" s="12">
        <v>0</v>
      </c>
      <c r="F14" s="16">
        <v>10000</v>
      </c>
      <c r="G14" s="11" t="s">
        <v>127</v>
      </c>
    </row>
    <row r="15" spans="1:7">
      <c r="A15" s="14" t="s">
        <v>272</v>
      </c>
      <c r="B15" s="14" t="s">
        <v>262</v>
      </c>
      <c r="C15" s="1" t="s">
        <v>126</v>
      </c>
      <c r="D15" s="16">
        <v>10000</v>
      </c>
      <c r="E15" s="12">
        <v>0</v>
      </c>
      <c r="F15" s="16">
        <v>10000</v>
      </c>
      <c r="G15" s="11" t="s">
        <v>127</v>
      </c>
    </row>
    <row r="16" spans="1:7">
      <c r="F16" s="13">
        <f>SUM(F3:F15)</f>
        <v>130000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DC12C-5FF9-4F03-B341-92B242A015F0}">
  <dimension ref="A2:H5"/>
  <sheetViews>
    <sheetView workbookViewId="0">
      <selection activeCell="C14" sqref="C14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710937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4" t="s">
        <v>273</v>
      </c>
      <c r="B3" s="14" t="s">
        <v>274</v>
      </c>
      <c r="C3" s="1" t="s">
        <v>126</v>
      </c>
      <c r="D3" s="12">
        <v>15000</v>
      </c>
      <c r="E3" s="12">
        <v>0</v>
      </c>
      <c r="F3" s="16">
        <v>15000</v>
      </c>
      <c r="G3" s="16">
        <v>18382.45</v>
      </c>
      <c r="H3" s="11" t="s">
        <v>127</v>
      </c>
    </row>
    <row r="4" spans="1:8">
      <c r="A4" s="14" t="s">
        <v>196</v>
      </c>
      <c r="B4" s="14" t="s">
        <v>274</v>
      </c>
      <c r="C4" s="2" t="s">
        <v>126</v>
      </c>
      <c r="D4" s="12">
        <v>15000</v>
      </c>
      <c r="E4" s="12">
        <v>0</v>
      </c>
      <c r="F4" s="16">
        <v>15000</v>
      </c>
      <c r="G4" s="16">
        <v>18186.3</v>
      </c>
      <c r="H4" s="11" t="s">
        <v>127</v>
      </c>
    </row>
    <row r="5" spans="1:8">
      <c r="F5" s="13">
        <f>SUM(F3:F4)</f>
        <v>30000</v>
      </c>
      <c r="G5" s="13">
        <f>SUM(G3:G4)</f>
        <v>36568.75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FF3C7-457B-4494-B0D9-D312BDC37F5B}">
  <dimension ref="A2:G11"/>
  <sheetViews>
    <sheetView workbookViewId="0">
      <selection activeCell="F12" sqref="F12"/>
    </sheetView>
  </sheetViews>
  <sheetFormatPr defaultRowHeight="15"/>
  <cols>
    <col min="1" max="1" width="16.140625" style="5" bestFit="1" customWidth="1"/>
    <col min="2" max="2" width="43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275</v>
      </c>
      <c r="B3" s="14" t="s">
        <v>276</v>
      </c>
      <c r="C3" s="1" t="s">
        <v>126</v>
      </c>
      <c r="D3" s="12">
        <v>15000</v>
      </c>
      <c r="E3" s="12">
        <v>10000</v>
      </c>
      <c r="F3" s="16">
        <v>5000</v>
      </c>
      <c r="G3" s="11" t="s">
        <v>127</v>
      </c>
    </row>
    <row r="4" spans="1:7">
      <c r="A4" s="14" t="s">
        <v>277</v>
      </c>
      <c r="B4" s="14" t="s">
        <v>276</v>
      </c>
      <c r="C4" s="2" t="s">
        <v>126</v>
      </c>
      <c r="D4" s="12">
        <v>15000</v>
      </c>
      <c r="E4" s="12">
        <v>0</v>
      </c>
      <c r="F4" s="16">
        <v>15000</v>
      </c>
      <c r="G4" s="11" t="s">
        <v>127</v>
      </c>
    </row>
    <row r="5" spans="1:7">
      <c r="A5" s="14" t="s">
        <v>144</v>
      </c>
      <c r="B5" s="14" t="s">
        <v>276</v>
      </c>
      <c r="C5" s="2" t="s">
        <v>126</v>
      </c>
      <c r="D5" s="12">
        <v>15000</v>
      </c>
      <c r="E5" s="12">
        <v>0</v>
      </c>
      <c r="F5" s="16">
        <v>15000</v>
      </c>
      <c r="G5" s="11" t="s">
        <v>127</v>
      </c>
    </row>
    <row r="6" spans="1:7">
      <c r="A6" s="14" t="s">
        <v>278</v>
      </c>
      <c r="B6" s="14" t="s">
        <v>276</v>
      </c>
      <c r="C6" s="2" t="s">
        <v>126</v>
      </c>
      <c r="D6" s="12">
        <v>15000</v>
      </c>
      <c r="E6" s="12">
        <v>0</v>
      </c>
      <c r="F6" s="16">
        <v>15000</v>
      </c>
      <c r="G6" s="11" t="s">
        <v>127</v>
      </c>
    </row>
    <row r="7" spans="1:7">
      <c r="A7" s="14" t="s">
        <v>190</v>
      </c>
      <c r="B7" s="14" t="s">
        <v>276</v>
      </c>
      <c r="C7" s="2" t="s">
        <v>126</v>
      </c>
      <c r="D7" s="12">
        <v>15000</v>
      </c>
      <c r="E7" s="12">
        <v>0</v>
      </c>
      <c r="F7" s="16">
        <v>15000</v>
      </c>
      <c r="G7" s="11" t="s">
        <v>127</v>
      </c>
    </row>
    <row r="8" spans="1:7">
      <c r="A8" s="14" t="s">
        <v>159</v>
      </c>
      <c r="B8" s="14" t="s">
        <v>276</v>
      </c>
      <c r="C8" s="2" t="s">
        <v>126</v>
      </c>
      <c r="D8" s="12">
        <v>15000</v>
      </c>
      <c r="E8" s="12">
        <v>0</v>
      </c>
      <c r="F8" s="16">
        <v>15000</v>
      </c>
      <c r="G8" s="11" t="s">
        <v>127</v>
      </c>
    </row>
    <row r="9" spans="1:7">
      <c r="A9" s="14" t="s">
        <v>180</v>
      </c>
      <c r="B9" s="14" t="s">
        <v>276</v>
      </c>
      <c r="C9" s="2" t="s">
        <v>126</v>
      </c>
      <c r="D9" s="12">
        <v>15000</v>
      </c>
      <c r="E9" s="12">
        <v>0</v>
      </c>
      <c r="F9" s="16">
        <v>15000</v>
      </c>
      <c r="G9" s="11" t="s">
        <v>127</v>
      </c>
    </row>
    <row r="10" spans="1:7">
      <c r="A10" s="17">
        <v>46058</v>
      </c>
      <c r="B10" s="14" t="s">
        <v>276</v>
      </c>
      <c r="C10" s="2" t="s">
        <v>126</v>
      </c>
      <c r="D10" s="12">
        <v>15000</v>
      </c>
      <c r="E10" s="12">
        <v>0</v>
      </c>
      <c r="F10" s="16">
        <f>D10-E10</f>
        <v>15000</v>
      </c>
    </row>
    <row r="11" spans="1:7">
      <c r="F11" s="13">
        <f>SUM(F3:F10)</f>
        <v>110000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14C9-3260-46AF-8342-16B67420AEED}">
  <dimension ref="A1:H105"/>
  <sheetViews>
    <sheetView workbookViewId="0">
      <pane ySplit="2" topLeftCell="A30" activePane="bottomLeft" state="frozen"/>
      <selection pane="bottomLeft" activeCell="G6" sqref="G6"/>
    </sheetView>
  </sheetViews>
  <sheetFormatPr defaultRowHeight="15"/>
  <cols>
    <col min="1" max="1" width="16.140625" style="5" bestFit="1" customWidth="1"/>
    <col min="2" max="2" width="65.7109375" style="5" bestFit="1" customWidth="1"/>
    <col min="3" max="3" width="23.85546875" style="5" bestFit="1" customWidth="1"/>
    <col min="4" max="4" width="15.570312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7109375" style="11" bestFit="1" customWidth="1"/>
    <col min="9" max="16384" width="9.140625" style="5"/>
  </cols>
  <sheetData>
    <row r="1" spans="1:8">
      <c r="A1" s="44" t="s">
        <v>279</v>
      </c>
    </row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4" t="s">
        <v>280</v>
      </c>
      <c r="B3" s="14" t="s">
        <v>281</v>
      </c>
      <c r="C3" s="14" t="s">
        <v>126</v>
      </c>
      <c r="D3" s="12">
        <v>20000</v>
      </c>
      <c r="E3" s="15">
        <v>5000</v>
      </c>
      <c r="H3" s="14" t="s">
        <v>282</v>
      </c>
    </row>
    <row r="4" spans="1:8">
      <c r="A4" s="14" t="s">
        <v>280</v>
      </c>
      <c r="B4" s="14" t="s">
        <v>281</v>
      </c>
      <c r="C4" s="14" t="s">
        <v>126</v>
      </c>
      <c r="E4" s="15">
        <v>5000</v>
      </c>
      <c r="H4" s="14" t="s">
        <v>283</v>
      </c>
    </row>
    <row r="5" spans="1:8">
      <c r="A5" s="14" t="s">
        <v>280</v>
      </c>
      <c r="B5" s="14" t="s">
        <v>281</v>
      </c>
      <c r="C5" s="14" t="s">
        <v>126</v>
      </c>
      <c r="E5" s="15">
        <v>6000</v>
      </c>
      <c r="H5" s="14" t="s">
        <v>284</v>
      </c>
    </row>
    <row r="6" spans="1:8">
      <c r="A6" s="14" t="s">
        <v>280</v>
      </c>
      <c r="B6" s="14" t="s">
        <v>281</v>
      </c>
      <c r="C6" s="14" t="s">
        <v>126</v>
      </c>
      <c r="E6" s="15">
        <v>1000</v>
      </c>
      <c r="H6" s="14" t="s">
        <v>285</v>
      </c>
    </row>
    <row r="7" spans="1:8">
      <c r="A7" s="14" t="s">
        <v>280</v>
      </c>
      <c r="B7" s="14" t="s">
        <v>281</v>
      </c>
      <c r="C7" s="14" t="s">
        <v>126</v>
      </c>
      <c r="E7" s="15">
        <v>1000</v>
      </c>
      <c r="H7" s="14" t="s">
        <v>286</v>
      </c>
    </row>
    <row r="8" spans="1:8">
      <c r="A8" s="14" t="s">
        <v>280</v>
      </c>
      <c r="B8" s="14" t="s">
        <v>281</v>
      </c>
      <c r="C8" s="14" t="s">
        <v>126</v>
      </c>
      <c r="E8" s="15">
        <v>1000</v>
      </c>
      <c r="H8" s="14" t="s">
        <v>287</v>
      </c>
    </row>
    <row r="9" spans="1:8">
      <c r="A9" s="14" t="s">
        <v>280</v>
      </c>
      <c r="B9" s="14" t="s">
        <v>281</v>
      </c>
      <c r="C9" s="14" t="s">
        <v>126</v>
      </c>
      <c r="E9" s="15">
        <v>1000</v>
      </c>
      <c r="F9" s="12">
        <f>D3-SUM(E3:E9)</f>
        <v>0</v>
      </c>
      <c r="G9" s="12">
        <v>0</v>
      </c>
      <c r="H9" s="14" t="s">
        <v>288</v>
      </c>
    </row>
    <row r="10" spans="1:8">
      <c r="A10" s="14" t="s">
        <v>289</v>
      </c>
      <c r="B10" s="14" t="s">
        <v>281</v>
      </c>
      <c r="C10" s="14" t="s">
        <v>126</v>
      </c>
      <c r="D10" s="12">
        <v>20000</v>
      </c>
      <c r="E10" s="15">
        <v>1000</v>
      </c>
      <c r="F10" s="14"/>
      <c r="G10" s="14"/>
      <c r="H10" s="14" t="s">
        <v>290</v>
      </c>
    </row>
    <row r="11" spans="1:8">
      <c r="A11" s="14" t="s">
        <v>289</v>
      </c>
      <c r="B11" s="14" t="s">
        <v>281</v>
      </c>
      <c r="C11" s="14" t="s">
        <v>126</v>
      </c>
      <c r="E11" s="15">
        <v>500</v>
      </c>
      <c r="F11" s="14"/>
      <c r="G11" s="14"/>
      <c r="H11" s="14" t="s">
        <v>291</v>
      </c>
    </row>
    <row r="12" spans="1:8">
      <c r="A12" s="14" t="s">
        <v>289</v>
      </c>
      <c r="B12" s="14" t="s">
        <v>281</v>
      </c>
      <c r="C12" s="14" t="s">
        <v>126</v>
      </c>
      <c r="E12" s="15">
        <v>700</v>
      </c>
      <c r="F12" s="14"/>
      <c r="G12" s="14"/>
      <c r="H12" s="14" t="s">
        <v>292</v>
      </c>
    </row>
    <row r="13" spans="1:8">
      <c r="A13" s="14" t="s">
        <v>289</v>
      </c>
      <c r="B13" s="14" t="s">
        <v>281</v>
      </c>
      <c r="C13" s="14" t="s">
        <v>126</v>
      </c>
      <c r="E13" s="15">
        <v>1000</v>
      </c>
      <c r="F13" s="14"/>
      <c r="G13" s="14"/>
      <c r="H13" s="14" t="s">
        <v>293</v>
      </c>
    </row>
    <row r="14" spans="1:8">
      <c r="A14" s="14" t="s">
        <v>289</v>
      </c>
      <c r="B14" s="14" t="s">
        <v>281</v>
      </c>
      <c r="C14" s="14" t="s">
        <v>126</v>
      </c>
      <c r="E14" s="15">
        <v>1000</v>
      </c>
      <c r="F14" s="14"/>
      <c r="G14" s="14"/>
      <c r="H14" s="14" t="s">
        <v>294</v>
      </c>
    </row>
    <row r="15" spans="1:8">
      <c r="A15" s="14" t="s">
        <v>289</v>
      </c>
      <c r="B15" s="14" t="s">
        <v>281</v>
      </c>
      <c r="C15" s="14" t="s">
        <v>126</v>
      </c>
      <c r="E15" s="15">
        <v>1000</v>
      </c>
      <c r="F15" s="14"/>
      <c r="G15" s="14"/>
      <c r="H15" s="14" t="s">
        <v>295</v>
      </c>
    </row>
    <row r="16" spans="1:8">
      <c r="A16" s="14" t="s">
        <v>289</v>
      </c>
      <c r="B16" s="14" t="s">
        <v>281</v>
      </c>
      <c r="C16" s="14" t="s">
        <v>126</v>
      </c>
      <c r="E16" s="15">
        <v>500</v>
      </c>
      <c r="F16" s="14"/>
      <c r="G16" s="14"/>
      <c r="H16" s="14" t="s">
        <v>296</v>
      </c>
    </row>
    <row r="17" spans="1:8">
      <c r="A17" s="14" t="s">
        <v>289</v>
      </c>
      <c r="B17" s="14" t="s">
        <v>281</v>
      </c>
      <c r="C17" s="14" t="s">
        <v>126</v>
      </c>
      <c r="E17" s="15">
        <v>1000</v>
      </c>
      <c r="F17" s="14"/>
      <c r="G17" s="14"/>
      <c r="H17" s="14" t="s">
        <v>297</v>
      </c>
    </row>
    <row r="18" spans="1:8">
      <c r="A18" s="14" t="s">
        <v>289</v>
      </c>
      <c r="B18" s="14" t="s">
        <v>281</v>
      </c>
      <c r="C18" s="14" t="s">
        <v>126</v>
      </c>
      <c r="E18" s="15">
        <v>1000</v>
      </c>
      <c r="F18" s="14"/>
      <c r="G18" s="14"/>
      <c r="H18" s="14" t="s">
        <v>298</v>
      </c>
    </row>
    <row r="19" spans="1:8">
      <c r="A19" s="14" t="s">
        <v>289</v>
      </c>
      <c r="B19" s="14" t="s">
        <v>281</v>
      </c>
      <c r="C19" s="14" t="s">
        <v>126</v>
      </c>
      <c r="E19" s="15">
        <v>1000</v>
      </c>
      <c r="F19" s="14"/>
      <c r="G19" s="14"/>
      <c r="H19" s="14" t="s">
        <v>299</v>
      </c>
    </row>
    <row r="20" spans="1:8">
      <c r="A20" s="14" t="s">
        <v>289</v>
      </c>
      <c r="B20" s="14" t="s">
        <v>281</v>
      </c>
      <c r="C20" s="14" t="s">
        <v>126</v>
      </c>
      <c r="D20" s="13"/>
      <c r="E20" s="15">
        <v>500</v>
      </c>
      <c r="F20" s="14"/>
      <c r="G20" s="14"/>
      <c r="H20" s="14" t="s">
        <v>300</v>
      </c>
    </row>
    <row r="21" spans="1:8">
      <c r="A21" s="14" t="s">
        <v>289</v>
      </c>
      <c r="B21" s="14" t="s">
        <v>281</v>
      </c>
      <c r="C21" s="14" t="s">
        <v>126</v>
      </c>
      <c r="D21" s="13"/>
      <c r="E21" s="15">
        <v>1000</v>
      </c>
      <c r="F21" s="14"/>
      <c r="G21" s="14"/>
      <c r="H21" s="14" t="s">
        <v>301</v>
      </c>
    </row>
    <row r="22" spans="1:8">
      <c r="A22" s="14" t="s">
        <v>289</v>
      </c>
      <c r="B22" s="14" t="s">
        <v>281</v>
      </c>
      <c r="C22" s="14" t="s">
        <v>126</v>
      </c>
      <c r="D22" s="13"/>
      <c r="E22" s="15">
        <v>500</v>
      </c>
      <c r="F22" s="14"/>
      <c r="G22" s="14"/>
      <c r="H22" s="14" t="s">
        <v>302</v>
      </c>
    </row>
    <row r="23" spans="1:8">
      <c r="A23" s="14" t="s">
        <v>289</v>
      </c>
      <c r="B23" s="14" t="s">
        <v>281</v>
      </c>
      <c r="C23" s="14" t="s">
        <v>126</v>
      </c>
      <c r="D23" s="13"/>
      <c r="E23" s="15">
        <v>500</v>
      </c>
      <c r="F23" s="14"/>
      <c r="G23" s="14"/>
      <c r="H23" s="14" t="s">
        <v>303</v>
      </c>
    </row>
    <row r="24" spans="1:8">
      <c r="A24" s="14" t="s">
        <v>289</v>
      </c>
      <c r="B24" s="14" t="s">
        <v>281</v>
      </c>
      <c r="C24" s="14" t="s">
        <v>126</v>
      </c>
      <c r="D24" s="13"/>
      <c r="E24" s="15">
        <v>500</v>
      </c>
      <c r="F24" s="14"/>
      <c r="G24" s="14"/>
      <c r="H24" s="14" t="s">
        <v>304</v>
      </c>
    </row>
    <row r="25" spans="1:8">
      <c r="A25" s="14" t="s">
        <v>289</v>
      </c>
      <c r="B25" s="14" t="s">
        <v>281</v>
      </c>
      <c r="C25" s="14" t="s">
        <v>126</v>
      </c>
      <c r="D25" s="13"/>
      <c r="E25" s="15">
        <v>1000</v>
      </c>
      <c r="F25" s="14"/>
      <c r="G25" s="14"/>
      <c r="H25" s="14" t="s">
        <v>305</v>
      </c>
    </row>
    <row r="26" spans="1:8">
      <c r="A26" s="14" t="s">
        <v>289</v>
      </c>
      <c r="B26" s="14" t="s">
        <v>281</v>
      </c>
      <c r="C26" s="14" t="s">
        <v>126</v>
      </c>
      <c r="D26" s="13"/>
      <c r="E26" s="15">
        <v>1000</v>
      </c>
      <c r="F26" s="14"/>
      <c r="G26" s="14"/>
      <c r="H26" s="14" t="s">
        <v>264</v>
      </c>
    </row>
    <row r="27" spans="1:8">
      <c r="A27" s="14" t="s">
        <v>289</v>
      </c>
      <c r="B27" s="14" t="s">
        <v>281</v>
      </c>
      <c r="C27" s="14" t="s">
        <v>126</v>
      </c>
      <c r="D27" s="13"/>
      <c r="E27" s="15">
        <v>1000</v>
      </c>
      <c r="F27" s="14"/>
      <c r="G27" s="14"/>
      <c r="H27" s="14" t="s">
        <v>306</v>
      </c>
    </row>
    <row r="28" spans="1:8">
      <c r="A28" s="14" t="s">
        <v>289</v>
      </c>
      <c r="B28" s="14" t="s">
        <v>281</v>
      </c>
      <c r="C28" s="14" t="s">
        <v>126</v>
      </c>
      <c r="D28" s="13"/>
      <c r="E28" s="15">
        <v>500</v>
      </c>
      <c r="F28" s="14"/>
      <c r="G28" s="14"/>
      <c r="H28" s="14" t="s">
        <v>307</v>
      </c>
    </row>
    <row r="29" spans="1:8">
      <c r="A29" s="14" t="s">
        <v>289</v>
      </c>
      <c r="B29" s="14" t="s">
        <v>281</v>
      </c>
      <c r="C29" s="14" t="s">
        <v>126</v>
      </c>
      <c r="D29" s="13"/>
      <c r="E29" s="15">
        <v>1000</v>
      </c>
      <c r="F29" s="14"/>
      <c r="G29" s="14"/>
      <c r="H29" s="14" t="s">
        <v>308</v>
      </c>
    </row>
    <row r="30" spans="1:8">
      <c r="A30" s="14" t="s">
        <v>289</v>
      </c>
      <c r="B30" s="14" t="s">
        <v>281</v>
      </c>
      <c r="C30" s="14" t="s">
        <v>126</v>
      </c>
      <c r="D30" s="13"/>
      <c r="E30" s="15">
        <v>3800</v>
      </c>
      <c r="F30" s="15">
        <f>D10-SUM(E10:E30)</f>
        <v>0</v>
      </c>
      <c r="G30" s="15">
        <v>0</v>
      </c>
      <c r="H30" s="14" t="s">
        <v>309</v>
      </c>
    </row>
    <row r="31" spans="1:8">
      <c r="A31" s="14" t="s">
        <v>208</v>
      </c>
      <c r="B31" s="14" t="s">
        <v>281</v>
      </c>
      <c r="C31" s="14" t="s">
        <v>126</v>
      </c>
      <c r="D31" s="12">
        <v>20000</v>
      </c>
      <c r="E31" s="15">
        <v>10700</v>
      </c>
      <c r="F31" s="13"/>
      <c r="G31" s="13"/>
      <c r="H31" s="14" t="s">
        <v>309</v>
      </c>
    </row>
    <row r="32" spans="1:8">
      <c r="A32" s="14" t="s">
        <v>208</v>
      </c>
      <c r="B32" s="14" t="s">
        <v>281</v>
      </c>
      <c r="C32" s="14" t="s">
        <v>126</v>
      </c>
      <c r="D32" s="13"/>
      <c r="E32" s="15">
        <v>1000</v>
      </c>
      <c r="F32" s="13"/>
      <c r="G32" s="13"/>
      <c r="H32" s="14" t="s">
        <v>310</v>
      </c>
    </row>
    <row r="33" spans="1:8">
      <c r="A33" s="14" t="s">
        <v>208</v>
      </c>
      <c r="B33" s="14" t="s">
        <v>281</v>
      </c>
      <c r="C33" s="14" t="s">
        <v>126</v>
      </c>
      <c r="D33" s="13"/>
      <c r="E33" s="15">
        <v>8300</v>
      </c>
      <c r="F33" s="12">
        <f>D31-SUM(E31:E33)</f>
        <v>0</v>
      </c>
      <c r="G33" s="12">
        <v>0</v>
      </c>
      <c r="H33" s="14" t="s">
        <v>311</v>
      </c>
    </row>
    <row r="34" spans="1:8">
      <c r="A34" s="14" t="s">
        <v>211</v>
      </c>
      <c r="B34" s="14" t="s">
        <v>281</v>
      </c>
      <c r="C34" s="14" t="s">
        <v>126</v>
      </c>
      <c r="D34" s="12">
        <v>20000</v>
      </c>
      <c r="E34" s="15">
        <v>20000</v>
      </c>
      <c r="F34" s="12">
        <f>D34-E34</f>
        <v>0</v>
      </c>
      <c r="G34" s="12">
        <v>0</v>
      </c>
      <c r="H34" s="14" t="s">
        <v>311</v>
      </c>
    </row>
    <row r="35" spans="1:8">
      <c r="A35" s="14" t="s">
        <v>214</v>
      </c>
      <c r="B35" s="14" t="s">
        <v>281</v>
      </c>
      <c r="C35" s="14" t="s">
        <v>126</v>
      </c>
      <c r="D35" s="12">
        <v>20000</v>
      </c>
      <c r="E35" s="15">
        <v>1700</v>
      </c>
      <c r="H35" s="14" t="s">
        <v>311</v>
      </c>
    </row>
    <row r="36" spans="1:8">
      <c r="A36" s="14" t="s">
        <v>214</v>
      </c>
      <c r="B36" s="14" t="s">
        <v>281</v>
      </c>
      <c r="C36" s="14" t="s">
        <v>126</v>
      </c>
      <c r="D36" s="13"/>
      <c r="E36" s="15">
        <v>12000</v>
      </c>
      <c r="H36" s="14" t="s">
        <v>246</v>
      </c>
    </row>
    <row r="37" spans="1:8">
      <c r="A37" s="14" t="s">
        <v>214</v>
      </c>
      <c r="B37" s="14" t="s">
        <v>281</v>
      </c>
      <c r="C37" s="14" t="s">
        <v>126</v>
      </c>
      <c r="D37" s="13"/>
      <c r="E37" s="15">
        <v>6300</v>
      </c>
      <c r="F37" s="12">
        <f>D35-SUM(E35:E37)</f>
        <v>0</v>
      </c>
      <c r="G37" s="12">
        <v>0</v>
      </c>
      <c r="H37" s="14" t="s">
        <v>312</v>
      </c>
    </row>
    <row r="38" spans="1:8">
      <c r="A38" s="14" t="s">
        <v>219</v>
      </c>
      <c r="B38" s="14" t="s">
        <v>281</v>
      </c>
      <c r="C38" s="14" t="s">
        <v>126</v>
      </c>
      <c r="D38" s="43">
        <v>30000</v>
      </c>
      <c r="E38" s="15">
        <v>3700</v>
      </c>
      <c r="H38" s="14" t="s">
        <v>312</v>
      </c>
    </row>
    <row r="39" spans="1:8">
      <c r="A39" s="14" t="s">
        <v>219</v>
      </c>
      <c r="B39" s="14" t="s">
        <v>281</v>
      </c>
      <c r="C39" s="14" t="s">
        <v>126</v>
      </c>
      <c r="D39" s="13"/>
      <c r="E39" s="15">
        <v>10000</v>
      </c>
      <c r="H39" s="14" t="s">
        <v>313</v>
      </c>
    </row>
    <row r="40" spans="1:8">
      <c r="A40" s="14" t="s">
        <v>219</v>
      </c>
      <c r="B40" s="14" t="s">
        <v>281</v>
      </c>
      <c r="C40" s="14" t="s">
        <v>126</v>
      </c>
      <c r="D40" s="13"/>
      <c r="E40" s="15">
        <v>5000</v>
      </c>
      <c r="H40" s="14" t="s">
        <v>247</v>
      </c>
    </row>
    <row r="41" spans="1:8">
      <c r="A41" s="14" t="s">
        <v>219</v>
      </c>
      <c r="B41" s="14" t="s">
        <v>281</v>
      </c>
      <c r="C41" s="14" t="s">
        <v>126</v>
      </c>
      <c r="D41" s="13"/>
      <c r="E41" s="15">
        <v>1300</v>
      </c>
      <c r="H41" s="14" t="s">
        <v>314</v>
      </c>
    </row>
    <row r="42" spans="1:8">
      <c r="A42" s="14" t="s">
        <v>219</v>
      </c>
      <c r="B42" s="14" t="s">
        <v>281</v>
      </c>
      <c r="C42" s="14" t="s">
        <v>126</v>
      </c>
      <c r="D42" s="13"/>
      <c r="E42" s="15">
        <v>0</v>
      </c>
      <c r="F42" s="12">
        <f>D38-SUM(E38:E42)</f>
        <v>10000</v>
      </c>
      <c r="G42" s="12">
        <v>11665.51</v>
      </c>
      <c r="H42" s="11" t="s">
        <v>127</v>
      </c>
    </row>
    <row r="43" spans="1:8">
      <c r="A43" s="14" t="s">
        <v>221</v>
      </c>
      <c r="B43" s="14" t="s">
        <v>281</v>
      </c>
      <c r="C43" s="14" t="s">
        <v>126</v>
      </c>
      <c r="D43" s="12">
        <v>30000</v>
      </c>
      <c r="E43" s="15">
        <v>8700</v>
      </c>
      <c r="H43" s="14" t="s">
        <v>314</v>
      </c>
    </row>
    <row r="44" spans="1:8">
      <c r="A44" s="14" t="s">
        <v>221</v>
      </c>
      <c r="B44" s="14" t="s">
        <v>281</v>
      </c>
      <c r="C44" s="14" t="s">
        <v>126</v>
      </c>
      <c r="D44" s="13"/>
      <c r="E44" s="15">
        <v>11300</v>
      </c>
      <c r="H44" s="14" t="s">
        <v>315</v>
      </c>
    </row>
    <row r="45" spans="1:8">
      <c r="A45" s="14" t="s">
        <v>221</v>
      </c>
      <c r="B45" s="14" t="s">
        <v>281</v>
      </c>
      <c r="C45" s="14" t="s">
        <v>126</v>
      </c>
      <c r="D45" s="13"/>
      <c r="E45" s="15">
        <v>0</v>
      </c>
      <c r="F45" s="12">
        <f>D43-SUM(E43:E45)</f>
        <v>10000</v>
      </c>
      <c r="G45" s="12">
        <v>11488.75</v>
      </c>
      <c r="H45" s="11" t="s">
        <v>127</v>
      </c>
    </row>
    <row r="46" spans="1:8">
      <c r="A46" s="14" t="s">
        <v>226</v>
      </c>
      <c r="B46" s="14" t="s">
        <v>281</v>
      </c>
      <c r="C46" s="14" t="s">
        <v>126</v>
      </c>
      <c r="D46" s="12">
        <v>30000</v>
      </c>
      <c r="E46" s="15">
        <v>9700</v>
      </c>
      <c r="H46" s="14" t="s">
        <v>315</v>
      </c>
    </row>
    <row r="47" spans="1:8">
      <c r="A47" s="14" t="s">
        <v>226</v>
      </c>
      <c r="B47" s="14" t="s">
        <v>281</v>
      </c>
      <c r="C47" s="14" t="s">
        <v>126</v>
      </c>
      <c r="D47" s="13"/>
      <c r="E47" s="15">
        <v>4000</v>
      </c>
      <c r="H47" s="14" t="s">
        <v>224</v>
      </c>
    </row>
    <row r="48" spans="1:8">
      <c r="A48" s="14" t="s">
        <v>226</v>
      </c>
      <c r="B48" s="14" t="s">
        <v>281</v>
      </c>
      <c r="C48" s="14" t="s">
        <v>126</v>
      </c>
      <c r="D48" s="13"/>
      <c r="E48" s="15">
        <v>5000</v>
      </c>
      <c r="H48" s="14" t="s">
        <v>316</v>
      </c>
    </row>
    <row r="49" spans="1:8">
      <c r="A49" s="14" t="s">
        <v>226</v>
      </c>
      <c r="B49" s="14" t="s">
        <v>281</v>
      </c>
      <c r="C49" s="14" t="s">
        <v>126</v>
      </c>
      <c r="D49" s="13"/>
      <c r="E49" s="15">
        <v>1300</v>
      </c>
      <c r="H49" s="14" t="s">
        <v>317</v>
      </c>
    </row>
    <row r="50" spans="1:8">
      <c r="A50" s="14" t="s">
        <v>226</v>
      </c>
      <c r="B50" s="14" t="s">
        <v>281</v>
      </c>
      <c r="C50" s="1" t="s">
        <v>126</v>
      </c>
      <c r="E50" s="12">
        <v>0</v>
      </c>
      <c r="F50" s="16">
        <f>D46-SUM(E46:E50)</f>
        <v>10000</v>
      </c>
      <c r="G50" s="16">
        <v>11337.42</v>
      </c>
      <c r="H50" s="11" t="s">
        <v>127</v>
      </c>
    </row>
    <row r="51" spans="1:8">
      <c r="A51" s="14" t="s">
        <v>230</v>
      </c>
      <c r="B51" s="14" t="s">
        <v>281</v>
      </c>
      <c r="C51" s="1" t="s">
        <v>126</v>
      </c>
      <c r="D51" s="12">
        <v>30000</v>
      </c>
      <c r="E51" s="15">
        <v>3700</v>
      </c>
      <c r="F51" s="16"/>
      <c r="G51" s="16"/>
      <c r="H51" s="14" t="s">
        <v>317</v>
      </c>
    </row>
    <row r="52" spans="1:8">
      <c r="A52" s="14" t="s">
        <v>230</v>
      </c>
      <c r="B52" s="14" t="s">
        <v>281</v>
      </c>
      <c r="C52" s="1" t="s">
        <v>126</v>
      </c>
      <c r="E52" s="15">
        <v>2000</v>
      </c>
      <c r="F52" s="16"/>
      <c r="G52" s="16"/>
      <c r="H52" s="14" t="s">
        <v>318</v>
      </c>
    </row>
    <row r="53" spans="1:8">
      <c r="A53" s="14" t="s">
        <v>230</v>
      </c>
      <c r="B53" s="14" t="s">
        <v>281</v>
      </c>
      <c r="C53" s="1" t="s">
        <v>126</v>
      </c>
      <c r="E53" s="15">
        <v>1000</v>
      </c>
      <c r="F53" s="16"/>
      <c r="G53" s="16"/>
      <c r="H53" s="14" t="s">
        <v>319</v>
      </c>
    </row>
    <row r="54" spans="1:8">
      <c r="A54" s="14" t="s">
        <v>230</v>
      </c>
      <c r="B54" s="14" t="s">
        <v>281</v>
      </c>
      <c r="C54" s="1" t="s">
        <v>126</v>
      </c>
      <c r="E54" s="15">
        <v>1000</v>
      </c>
      <c r="F54" s="16"/>
      <c r="G54" s="16"/>
      <c r="H54" s="14" t="s">
        <v>320</v>
      </c>
    </row>
    <row r="55" spans="1:8">
      <c r="A55" s="14" t="s">
        <v>230</v>
      </c>
      <c r="B55" s="14" t="s">
        <v>281</v>
      </c>
      <c r="C55" s="1" t="s">
        <v>126</v>
      </c>
      <c r="E55" s="15">
        <v>1000</v>
      </c>
      <c r="F55" s="16"/>
      <c r="G55" s="16"/>
      <c r="H55" s="14" t="s">
        <v>182</v>
      </c>
    </row>
    <row r="56" spans="1:8">
      <c r="A56" s="14" t="s">
        <v>230</v>
      </c>
      <c r="B56" s="14" t="s">
        <v>281</v>
      </c>
      <c r="C56" s="1" t="s">
        <v>126</v>
      </c>
      <c r="E56" s="15">
        <v>1500</v>
      </c>
      <c r="F56" s="16"/>
      <c r="G56" s="16"/>
      <c r="H56" s="14" t="s">
        <v>321</v>
      </c>
    </row>
    <row r="57" spans="1:8">
      <c r="A57" s="14" t="s">
        <v>230</v>
      </c>
      <c r="B57" s="14" t="s">
        <v>281</v>
      </c>
      <c r="C57" s="1" t="s">
        <v>126</v>
      </c>
      <c r="E57" s="15">
        <v>1000</v>
      </c>
      <c r="F57" s="16"/>
      <c r="G57" s="16"/>
      <c r="H57" s="14" t="s">
        <v>155</v>
      </c>
    </row>
    <row r="58" spans="1:8">
      <c r="A58" s="14" t="s">
        <v>230</v>
      </c>
      <c r="B58" s="14" t="s">
        <v>281</v>
      </c>
      <c r="C58" s="1" t="s">
        <v>126</v>
      </c>
      <c r="E58" s="15">
        <v>2000</v>
      </c>
      <c r="F58" s="16"/>
      <c r="G58" s="16"/>
      <c r="H58" s="14" t="s">
        <v>322</v>
      </c>
    </row>
    <row r="59" spans="1:8">
      <c r="A59" s="14" t="s">
        <v>230</v>
      </c>
      <c r="B59" s="14" t="s">
        <v>281</v>
      </c>
      <c r="C59" s="1" t="s">
        <v>126</v>
      </c>
      <c r="E59" s="15">
        <v>1000</v>
      </c>
      <c r="F59" s="16"/>
      <c r="G59" s="16"/>
      <c r="H59" s="14" t="s">
        <v>323</v>
      </c>
    </row>
    <row r="60" spans="1:8">
      <c r="A60" s="14" t="s">
        <v>230</v>
      </c>
      <c r="B60" s="14" t="s">
        <v>281</v>
      </c>
      <c r="C60" s="1" t="s">
        <v>126</v>
      </c>
      <c r="E60" s="15">
        <v>2000</v>
      </c>
      <c r="F60" s="16"/>
      <c r="G60" s="16"/>
      <c r="H60" s="14" t="s">
        <v>324</v>
      </c>
    </row>
    <row r="61" spans="1:8">
      <c r="A61" s="14" t="s">
        <v>230</v>
      </c>
      <c r="B61" s="14" t="s">
        <v>281</v>
      </c>
      <c r="C61" s="1" t="s">
        <v>126</v>
      </c>
      <c r="E61" s="15">
        <v>2000</v>
      </c>
      <c r="F61" s="16"/>
      <c r="G61" s="16"/>
      <c r="H61" s="14" t="s">
        <v>325</v>
      </c>
    </row>
    <row r="62" spans="1:8">
      <c r="A62" s="14" t="s">
        <v>230</v>
      </c>
      <c r="B62" s="14" t="s">
        <v>281</v>
      </c>
      <c r="C62" s="1" t="s">
        <v>126</v>
      </c>
      <c r="E62" s="15">
        <v>1800</v>
      </c>
      <c r="F62" s="16"/>
      <c r="G62" s="16"/>
      <c r="H62" s="14" t="s">
        <v>325</v>
      </c>
    </row>
    <row r="63" spans="1:8">
      <c r="A63" s="14" t="s">
        <v>230</v>
      </c>
      <c r="B63" s="14" t="s">
        <v>281</v>
      </c>
      <c r="C63" s="1" t="s">
        <v>126</v>
      </c>
      <c r="E63" s="15">
        <v>0</v>
      </c>
      <c r="F63" s="16">
        <f>D51-SUM(E51:E63)</f>
        <v>10000</v>
      </c>
      <c r="G63" s="16">
        <v>11194.98</v>
      </c>
      <c r="H63" s="14" t="s">
        <v>127</v>
      </c>
    </row>
    <row r="64" spans="1:8">
      <c r="A64" s="14" t="s">
        <v>182</v>
      </c>
      <c r="B64" s="14" t="s">
        <v>281</v>
      </c>
      <c r="C64" s="1" t="s">
        <v>126</v>
      </c>
      <c r="D64" s="12">
        <v>30000</v>
      </c>
      <c r="E64" s="15">
        <v>200</v>
      </c>
      <c r="F64" s="16"/>
      <c r="G64" s="16"/>
      <c r="H64" s="14" t="s">
        <v>325</v>
      </c>
    </row>
    <row r="65" spans="1:8">
      <c r="A65" s="14" t="s">
        <v>182</v>
      </c>
      <c r="B65" s="14" t="s">
        <v>281</v>
      </c>
      <c r="C65" s="1" t="s">
        <v>126</v>
      </c>
      <c r="E65" s="15">
        <v>1000</v>
      </c>
      <c r="F65" s="16"/>
      <c r="G65" s="16"/>
      <c r="H65" s="14" t="s">
        <v>253</v>
      </c>
    </row>
    <row r="66" spans="1:8">
      <c r="A66" s="14" t="s">
        <v>182</v>
      </c>
      <c r="B66" s="14" t="s">
        <v>281</v>
      </c>
      <c r="C66" s="1" t="s">
        <v>126</v>
      </c>
      <c r="E66" s="15">
        <v>1000</v>
      </c>
      <c r="F66" s="16"/>
      <c r="G66" s="16"/>
      <c r="H66" s="14" t="s">
        <v>326</v>
      </c>
    </row>
    <row r="67" spans="1:8">
      <c r="A67" s="14" t="s">
        <v>182</v>
      </c>
      <c r="B67" s="14" t="s">
        <v>281</v>
      </c>
      <c r="C67" s="1" t="s">
        <v>126</v>
      </c>
      <c r="E67" s="15">
        <v>1000</v>
      </c>
      <c r="F67" s="16"/>
      <c r="G67" s="16"/>
      <c r="H67" s="14" t="s">
        <v>327</v>
      </c>
    </row>
    <row r="68" spans="1:8">
      <c r="A68" s="14" t="s">
        <v>182</v>
      </c>
      <c r="B68" s="14" t="s">
        <v>281</v>
      </c>
      <c r="C68" s="1" t="s">
        <v>126</v>
      </c>
      <c r="E68" s="15">
        <v>1000</v>
      </c>
      <c r="F68" s="16"/>
      <c r="G68" s="16"/>
      <c r="H68" s="14" t="s">
        <v>277</v>
      </c>
    </row>
    <row r="69" spans="1:8">
      <c r="A69" s="14" t="s">
        <v>182</v>
      </c>
      <c r="B69" s="14" t="s">
        <v>281</v>
      </c>
      <c r="C69" s="1" t="s">
        <v>126</v>
      </c>
      <c r="E69" s="15">
        <v>1000</v>
      </c>
      <c r="F69" s="16"/>
      <c r="G69" s="16"/>
      <c r="H69" s="14" t="s">
        <v>328</v>
      </c>
    </row>
    <row r="70" spans="1:8">
      <c r="A70" s="14" t="s">
        <v>182</v>
      </c>
      <c r="B70" s="14" t="s">
        <v>281</v>
      </c>
      <c r="C70" s="1" t="s">
        <v>126</v>
      </c>
      <c r="E70" s="15">
        <v>1000</v>
      </c>
      <c r="F70" s="16"/>
      <c r="G70" s="16"/>
      <c r="H70" s="14" t="s">
        <v>329</v>
      </c>
    </row>
    <row r="71" spans="1:8">
      <c r="A71" s="14" t="s">
        <v>182</v>
      </c>
      <c r="B71" s="14" t="s">
        <v>281</v>
      </c>
      <c r="C71" s="1" t="s">
        <v>126</v>
      </c>
      <c r="E71" s="15">
        <v>1000</v>
      </c>
      <c r="F71" s="16"/>
      <c r="G71" s="16"/>
      <c r="H71" s="14" t="s">
        <v>330</v>
      </c>
    </row>
    <row r="72" spans="1:8">
      <c r="A72" s="14" t="s">
        <v>182</v>
      </c>
      <c r="B72" s="14" t="s">
        <v>281</v>
      </c>
      <c r="C72" s="1" t="s">
        <v>126</v>
      </c>
      <c r="E72" s="15">
        <v>1000</v>
      </c>
      <c r="F72" s="16"/>
      <c r="G72" s="16"/>
      <c r="H72" s="14" t="s">
        <v>331</v>
      </c>
    </row>
    <row r="73" spans="1:8">
      <c r="A73" s="14" t="s">
        <v>182</v>
      </c>
      <c r="B73" s="14" t="s">
        <v>281</v>
      </c>
      <c r="C73" s="1" t="s">
        <v>126</v>
      </c>
      <c r="E73" s="15">
        <v>1000</v>
      </c>
      <c r="F73" s="16"/>
      <c r="G73" s="16"/>
      <c r="H73" s="14" t="s">
        <v>331</v>
      </c>
    </row>
    <row r="74" spans="1:8">
      <c r="A74" s="14" t="s">
        <v>182</v>
      </c>
      <c r="B74" s="14" t="s">
        <v>281</v>
      </c>
      <c r="C74" s="1" t="s">
        <v>126</v>
      </c>
      <c r="E74" s="15">
        <v>1000</v>
      </c>
      <c r="F74" s="16"/>
      <c r="G74" s="16"/>
      <c r="H74" s="14" t="s">
        <v>184</v>
      </c>
    </row>
    <row r="75" spans="1:8">
      <c r="A75" s="14" t="s">
        <v>182</v>
      </c>
      <c r="B75" s="14" t="s">
        <v>281</v>
      </c>
      <c r="C75" s="1" t="s">
        <v>126</v>
      </c>
      <c r="E75" s="15">
        <v>1000</v>
      </c>
      <c r="F75" s="16"/>
      <c r="G75" s="16"/>
      <c r="H75" s="14" t="s">
        <v>268</v>
      </c>
    </row>
    <row r="76" spans="1:8">
      <c r="A76" s="14" t="s">
        <v>182</v>
      </c>
      <c r="B76" s="14" t="s">
        <v>281</v>
      </c>
      <c r="C76" s="1" t="s">
        <v>126</v>
      </c>
      <c r="E76" s="15">
        <v>1000</v>
      </c>
      <c r="F76" s="16"/>
      <c r="G76" s="16"/>
      <c r="H76" s="14" t="s">
        <v>332</v>
      </c>
    </row>
    <row r="77" spans="1:8">
      <c r="A77" s="14" t="s">
        <v>182</v>
      </c>
      <c r="B77" s="14" t="s">
        <v>281</v>
      </c>
      <c r="C77" s="1" t="s">
        <v>126</v>
      </c>
      <c r="E77" s="15">
        <v>1000</v>
      </c>
      <c r="F77" s="16"/>
      <c r="G77" s="16"/>
      <c r="H77" s="14" t="s">
        <v>185</v>
      </c>
    </row>
    <row r="78" spans="1:8">
      <c r="A78" s="14" t="s">
        <v>182</v>
      </c>
      <c r="B78" s="14" t="s">
        <v>281</v>
      </c>
      <c r="C78" s="1" t="s">
        <v>126</v>
      </c>
      <c r="E78" s="15">
        <v>1000</v>
      </c>
      <c r="F78" s="16"/>
      <c r="G78" s="16"/>
      <c r="H78" s="14" t="s">
        <v>333</v>
      </c>
    </row>
    <row r="79" spans="1:8">
      <c r="A79" s="14" t="s">
        <v>182</v>
      </c>
      <c r="B79" s="14" t="s">
        <v>281</v>
      </c>
      <c r="C79" s="1" t="s">
        <v>126</v>
      </c>
      <c r="E79" s="15">
        <v>1000</v>
      </c>
      <c r="F79" s="16"/>
      <c r="G79" s="16"/>
      <c r="H79" s="14" t="s">
        <v>334</v>
      </c>
    </row>
    <row r="80" spans="1:8">
      <c r="A80" s="14" t="s">
        <v>182</v>
      </c>
      <c r="B80" s="14" t="s">
        <v>281</v>
      </c>
      <c r="C80" s="1" t="s">
        <v>126</v>
      </c>
      <c r="E80" s="15">
        <v>1000</v>
      </c>
      <c r="F80" s="16"/>
      <c r="G80" s="16"/>
      <c r="H80" s="14" t="s">
        <v>335</v>
      </c>
    </row>
    <row r="81" spans="1:8">
      <c r="A81" s="14" t="s">
        <v>182</v>
      </c>
      <c r="B81" s="14" t="s">
        <v>281</v>
      </c>
      <c r="C81" s="1" t="s">
        <v>126</v>
      </c>
      <c r="E81" s="15">
        <v>1000</v>
      </c>
      <c r="F81" s="16"/>
      <c r="G81" s="16"/>
      <c r="H81" s="14" t="s">
        <v>144</v>
      </c>
    </row>
    <row r="82" spans="1:8">
      <c r="A82" s="14" t="s">
        <v>182</v>
      </c>
      <c r="B82" s="14" t="s">
        <v>281</v>
      </c>
      <c r="C82" s="1" t="s">
        <v>126</v>
      </c>
      <c r="E82" s="15">
        <v>1000</v>
      </c>
      <c r="F82" s="16"/>
      <c r="G82" s="16"/>
      <c r="H82" s="14" t="s">
        <v>336</v>
      </c>
    </row>
    <row r="83" spans="1:8">
      <c r="A83" s="14" t="s">
        <v>182</v>
      </c>
      <c r="B83" s="14" t="s">
        <v>281</v>
      </c>
      <c r="C83" s="1" t="s">
        <v>126</v>
      </c>
      <c r="E83" s="15">
        <v>1000</v>
      </c>
      <c r="F83" s="16"/>
      <c r="G83" s="16"/>
      <c r="H83" s="14" t="s">
        <v>234</v>
      </c>
    </row>
    <row r="84" spans="1:8">
      <c r="A84" s="14" t="s">
        <v>182</v>
      </c>
      <c r="B84" s="14" t="s">
        <v>281</v>
      </c>
      <c r="C84" s="1" t="s">
        <v>126</v>
      </c>
      <c r="E84" s="15">
        <v>800</v>
      </c>
      <c r="F84" s="16"/>
      <c r="G84" s="16"/>
      <c r="H84" s="14" t="s">
        <v>337</v>
      </c>
    </row>
    <row r="85" spans="1:8">
      <c r="A85" s="14" t="s">
        <v>182</v>
      </c>
      <c r="B85" s="14" t="s">
        <v>281</v>
      </c>
      <c r="C85" s="1" t="s">
        <v>126</v>
      </c>
      <c r="E85" s="15">
        <v>0</v>
      </c>
      <c r="F85" s="16">
        <f>D64-SUM(E64:E85)</f>
        <v>10000</v>
      </c>
      <c r="G85" s="16">
        <v>11064.44</v>
      </c>
      <c r="H85" s="14" t="s">
        <v>127</v>
      </c>
    </row>
    <row r="86" spans="1:8">
      <c r="A86" s="17">
        <v>45884</v>
      </c>
      <c r="B86" s="14" t="s">
        <v>281</v>
      </c>
      <c r="C86" s="1" t="s">
        <v>126</v>
      </c>
      <c r="D86" s="12">
        <v>30000</v>
      </c>
      <c r="E86" s="15">
        <v>200</v>
      </c>
      <c r="F86" s="14"/>
      <c r="G86" s="14"/>
      <c r="H86" s="14" t="s">
        <v>337</v>
      </c>
    </row>
    <row r="87" spans="1:8">
      <c r="A87" s="17">
        <v>45884</v>
      </c>
      <c r="B87" s="14" t="s">
        <v>281</v>
      </c>
      <c r="C87" s="1" t="s">
        <v>126</v>
      </c>
      <c r="E87" s="15">
        <v>1000</v>
      </c>
      <c r="F87" s="14"/>
      <c r="G87" s="14"/>
      <c r="H87" s="14" t="s">
        <v>186</v>
      </c>
    </row>
    <row r="88" spans="1:8">
      <c r="A88" s="17">
        <v>45884</v>
      </c>
      <c r="B88" s="14" t="s">
        <v>281</v>
      </c>
      <c r="C88" s="1" t="s">
        <v>126</v>
      </c>
      <c r="E88" s="15">
        <v>1000</v>
      </c>
      <c r="F88" s="14"/>
      <c r="G88" s="14"/>
      <c r="H88" s="14" t="s">
        <v>338</v>
      </c>
    </row>
    <row r="89" spans="1:8">
      <c r="A89" s="17">
        <v>45884</v>
      </c>
      <c r="B89" s="14" t="s">
        <v>281</v>
      </c>
      <c r="C89" s="1" t="s">
        <v>126</v>
      </c>
      <c r="E89" s="15">
        <v>1000</v>
      </c>
      <c r="F89" s="14"/>
      <c r="G89" s="14"/>
      <c r="H89" s="14" t="s">
        <v>145</v>
      </c>
    </row>
    <row r="90" spans="1:8">
      <c r="A90" s="17">
        <v>45884</v>
      </c>
      <c r="B90" s="14" t="s">
        <v>281</v>
      </c>
      <c r="C90" s="1" t="s">
        <v>126</v>
      </c>
      <c r="E90" s="15">
        <v>1000</v>
      </c>
      <c r="F90" s="14"/>
      <c r="G90" s="14"/>
      <c r="H90" s="14" t="s">
        <v>339</v>
      </c>
    </row>
    <row r="91" spans="1:8">
      <c r="A91" s="17">
        <v>45884</v>
      </c>
      <c r="B91" s="14" t="s">
        <v>281</v>
      </c>
      <c r="C91" s="1" t="s">
        <v>126</v>
      </c>
      <c r="E91" s="15">
        <v>1000</v>
      </c>
      <c r="F91" s="14"/>
      <c r="G91" s="14"/>
      <c r="H91" s="14" t="s">
        <v>340</v>
      </c>
    </row>
    <row r="92" spans="1:8">
      <c r="A92" s="17">
        <v>45884</v>
      </c>
      <c r="B92" s="14" t="s">
        <v>281</v>
      </c>
      <c r="C92" s="1" t="s">
        <v>126</v>
      </c>
      <c r="E92" s="15">
        <v>1000</v>
      </c>
      <c r="F92" s="14"/>
      <c r="G92" s="14"/>
      <c r="H92" s="14" t="s">
        <v>128</v>
      </c>
    </row>
    <row r="93" spans="1:8">
      <c r="A93" s="17">
        <v>45884</v>
      </c>
      <c r="B93" s="14" t="s">
        <v>281</v>
      </c>
      <c r="C93" s="1" t="s">
        <v>126</v>
      </c>
      <c r="E93" s="15">
        <v>3000</v>
      </c>
      <c r="F93" s="14"/>
      <c r="G93" s="14"/>
      <c r="H93" s="14" t="s">
        <v>258</v>
      </c>
    </row>
    <row r="94" spans="1:8">
      <c r="A94" s="17">
        <v>45884</v>
      </c>
      <c r="B94" s="14" t="s">
        <v>281</v>
      </c>
      <c r="C94" s="1" t="s">
        <v>126</v>
      </c>
      <c r="E94" s="15">
        <v>2000</v>
      </c>
      <c r="F94" s="14"/>
      <c r="G94" s="14"/>
      <c r="H94" s="14" t="s">
        <v>341</v>
      </c>
    </row>
    <row r="95" spans="1:8">
      <c r="A95" s="17">
        <v>45884</v>
      </c>
      <c r="B95" s="14" t="s">
        <v>281</v>
      </c>
      <c r="C95" s="1" t="s">
        <v>126</v>
      </c>
      <c r="E95" s="15">
        <v>1000</v>
      </c>
      <c r="F95" s="14"/>
      <c r="G95" s="14"/>
      <c r="H95" s="14" t="s">
        <v>129</v>
      </c>
    </row>
    <row r="96" spans="1:8">
      <c r="A96" s="17">
        <v>45884</v>
      </c>
      <c r="B96" s="14" t="s">
        <v>281</v>
      </c>
      <c r="C96" s="1" t="s">
        <v>126</v>
      </c>
      <c r="E96" s="15">
        <v>2000</v>
      </c>
      <c r="F96" s="14"/>
      <c r="G96" s="14"/>
      <c r="H96" s="14" t="s">
        <v>152</v>
      </c>
    </row>
    <row r="97" spans="1:8">
      <c r="A97" s="17">
        <v>45884</v>
      </c>
      <c r="B97" s="14" t="s">
        <v>281</v>
      </c>
      <c r="C97" s="1" t="s">
        <v>126</v>
      </c>
      <c r="E97" s="15">
        <v>5000</v>
      </c>
      <c r="F97" s="14"/>
      <c r="G97" s="14"/>
      <c r="H97" s="14" t="s">
        <v>273</v>
      </c>
    </row>
    <row r="98" spans="1:8">
      <c r="A98" s="17">
        <v>45884</v>
      </c>
      <c r="B98" s="14" t="s">
        <v>281</v>
      </c>
      <c r="C98" s="1" t="s">
        <v>126</v>
      </c>
      <c r="E98" s="15">
        <v>1000</v>
      </c>
      <c r="F98" s="16"/>
      <c r="G98" s="16"/>
      <c r="H98" s="17">
        <v>46052</v>
      </c>
    </row>
    <row r="99" spans="1:8">
      <c r="A99" s="17">
        <v>45884</v>
      </c>
      <c r="B99" s="14" t="s">
        <v>281</v>
      </c>
      <c r="C99" s="1" t="s">
        <v>126</v>
      </c>
      <c r="E99" s="15">
        <v>0</v>
      </c>
      <c r="F99" s="16">
        <f>D86-SUM(E86:E98)</f>
        <v>9800</v>
      </c>
      <c r="G99" s="16">
        <v>10708.33</v>
      </c>
      <c r="H99" s="11" t="s">
        <v>127</v>
      </c>
    </row>
    <row r="100" spans="1:8">
      <c r="A100" s="14" t="s">
        <v>186</v>
      </c>
      <c r="B100" s="14" t="s">
        <v>281</v>
      </c>
      <c r="C100" s="1" t="s">
        <v>126</v>
      </c>
      <c r="D100" s="12">
        <v>30000</v>
      </c>
      <c r="E100" s="12">
        <v>0</v>
      </c>
      <c r="F100" s="16">
        <v>30000</v>
      </c>
      <c r="G100" s="16">
        <v>32522.62</v>
      </c>
      <c r="H100" s="11" t="s">
        <v>127</v>
      </c>
    </row>
    <row r="101" spans="1:8">
      <c r="A101" s="14" t="s">
        <v>238</v>
      </c>
      <c r="B101" s="14" t="s">
        <v>281</v>
      </c>
      <c r="C101" s="2" t="s">
        <v>126</v>
      </c>
      <c r="D101" s="12">
        <v>30000</v>
      </c>
      <c r="E101" s="12">
        <v>0</v>
      </c>
      <c r="F101" s="16">
        <v>30000</v>
      </c>
      <c r="G101" s="16">
        <v>32064.76</v>
      </c>
      <c r="H101" s="11" t="s">
        <v>127</v>
      </c>
    </row>
    <row r="102" spans="1:8">
      <c r="A102" s="14" t="s">
        <v>193</v>
      </c>
      <c r="B102" s="14" t="s">
        <v>281</v>
      </c>
      <c r="C102" s="1" t="s">
        <v>126</v>
      </c>
      <c r="D102" s="12">
        <v>30000</v>
      </c>
      <c r="E102" s="12">
        <v>0</v>
      </c>
      <c r="F102" s="16">
        <v>30000</v>
      </c>
      <c r="G102" s="16">
        <v>31705.19</v>
      </c>
      <c r="H102" s="11" t="s">
        <v>127</v>
      </c>
    </row>
    <row r="103" spans="1:8">
      <c r="A103" s="14" t="s">
        <v>197</v>
      </c>
      <c r="B103" s="14" t="s">
        <v>281</v>
      </c>
      <c r="C103" s="2" t="s">
        <v>126</v>
      </c>
      <c r="D103" s="12">
        <v>30000</v>
      </c>
      <c r="E103" s="12">
        <v>0</v>
      </c>
      <c r="F103" s="16">
        <v>30000</v>
      </c>
      <c r="G103" s="16">
        <v>31340.55</v>
      </c>
      <c r="H103" s="11" t="s">
        <v>127</v>
      </c>
    </row>
    <row r="104" spans="1:8">
      <c r="A104" s="17">
        <v>46037</v>
      </c>
      <c r="B104" s="14" t="s">
        <v>281</v>
      </c>
      <c r="C104" s="2" t="s">
        <v>126</v>
      </c>
      <c r="D104" s="12">
        <v>30000</v>
      </c>
      <c r="E104" s="12">
        <v>0</v>
      </c>
      <c r="F104" s="16">
        <v>30000</v>
      </c>
      <c r="G104" s="16">
        <v>30961.8</v>
      </c>
      <c r="H104" s="11" t="s">
        <v>127</v>
      </c>
    </row>
    <row r="105" spans="1:8">
      <c r="F105" s="13">
        <f>SUM(F3:F104)</f>
        <v>209800</v>
      </c>
      <c r="G105" s="13">
        <f>SUM(G3:G104)</f>
        <v>226054.34999999998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BA927-78A4-49E2-AE8D-4281A8D8644A}">
  <dimension ref="A2:H12"/>
  <sheetViews>
    <sheetView workbookViewId="0">
      <selection activeCell="F12" sqref="F12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710937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4" t="s">
        <v>247</v>
      </c>
      <c r="B3" s="14" t="s">
        <v>342</v>
      </c>
      <c r="C3" s="1" t="s">
        <v>126</v>
      </c>
      <c r="D3" s="12">
        <v>3237.02</v>
      </c>
      <c r="E3" s="12">
        <v>2814.9</v>
      </c>
      <c r="F3" s="16">
        <v>422.12</v>
      </c>
      <c r="G3" s="16">
        <v>556.17999999999995</v>
      </c>
      <c r="H3" s="11" t="s">
        <v>127</v>
      </c>
    </row>
    <row r="4" spans="1:8">
      <c r="A4" s="14" t="s">
        <v>343</v>
      </c>
      <c r="B4" s="14" t="s">
        <v>342</v>
      </c>
      <c r="C4" s="2" t="s">
        <v>126</v>
      </c>
      <c r="D4" s="12">
        <v>3237.02</v>
      </c>
      <c r="E4" s="12">
        <v>0</v>
      </c>
      <c r="F4" s="16">
        <v>3237.02</v>
      </c>
      <c r="G4" s="16">
        <v>4216.83</v>
      </c>
      <c r="H4" s="11" t="s">
        <v>127</v>
      </c>
    </row>
    <row r="5" spans="1:8">
      <c r="A5" s="14" t="s">
        <v>326</v>
      </c>
      <c r="B5" s="14" t="s">
        <v>342</v>
      </c>
      <c r="C5" s="1" t="s">
        <v>126</v>
      </c>
      <c r="D5" s="12">
        <v>3237.02</v>
      </c>
      <c r="E5" s="12">
        <v>0</v>
      </c>
      <c r="F5" s="16">
        <v>3237.02</v>
      </c>
      <c r="G5" s="16">
        <v>4173.03</v>
      </c>
      <c r="H5" s="11" t="s">
        <v>127</v>
      </c>
    </row>
    <row r="6" spans="1:8">
      <c r="A6" s="14" t="s">
        <v>143</v>
      </c>
      <c r="B6" s="14" t="s">
        <v>342</v>
      </c>
      <c r="C6" s="2" t="s">
        <v>126</v>
      </c>
      <c r="D6" s="12">
        <v>3237.02</v>
      </c>
      <c r="E6" s="12">
        <v>0</v>
      </c>
      <c r="F6" s="16">
        <v>3237.02</v>
      </c>
      <c r="G6" s="16">
        <v>4126.5600000000004</v>
      </c>
      <c r="H6" s="11" t="s">
        <v>127</v>
      </c>
    </row>
    <row r="7" spans="1:8">
      <c r="A7" s="14" t="s">
        <v>236</v>
      </c>
      <c r="B7" s="14" t="s">
        <v>342</v>
      </c>
      <c r="C7" s="1" t="s">
        <v>126</v>
      </c>
      <c r="D7" s="12">
        <v>3237.02</v>
      </c>
      <c r="E7" s="12">
        <v>0</v>
      </c>
      <c r="F7" s="16">
        <v>3237.02</v>
      </c>
      <c r="G7" s="16">
        <v>4099.55</v>
      </c>
      <c r="H7" s="11" t="s">
        <v>127</v>
      </c>
    </row>
    <row r="8" spans="1:8">
      <c r="A8" s="14" t="s">
        <v>341</v>
      </c>
      <c r="B8" s="14" t="s">
        <v>342</v>
      </c>
      <c r="C8" s="2" t="s">
        <v>126</v>
      </c>
      <c r="D8" s="12">
        <v>3237.02</v>
      </c>
      <c r="E8" s="12">
        <v>0</v>
      </c>
      <c r="F8" s="16">
        <v>3237.02</v>
      </c>
      <c r="G8" s="16">
        <v>4047.32</v>
      </c>
      <c r="H8" s="11" t="s">
        <v>127</v>
      </c>
    </row>
    <row r="9" spans="1:8">
      <c r="A9" s="14" t="s">
        <v>205</v>
      </c>
      <c r="B9" s="14" t="s">
        <v>342</v>
      </c>
      <c r="C9" s="1" t="s">
        <v>126</v>
      </c>
      <c r="D9" s="12">
        <v>3237.02</v>
      </c>
      <c r="E9" s="12">
        <v>0</v>
      </c>
      <c r="F9" s="16">
        <v>3237.02</v>
      </c>
      <c r="G9" s="16">
        <v>4007.47</v>
      </c>
      <c r="H9" s="11" t="s">
        <v>127</v>
      </c>
    </row>
    <row r="10" spans="1:8">
      <c r="A10" s="14" t="s">
        <v>207</v>
      </c>
      <c r="B10" s="14" t="s">
        <v>342</v>
      </c>
      <c r="C10" s="2" t="s">
        <v>126</v>
      </c>
      <c r="D10" s="12">
        <v>3237.02</v>
      </c>
      <c r="E10" s="12">
        <v>0</v>
      </c>
      <c r="F10" s="16">
        <v>3237.02</v>
      </c>
      <c r="G10" s="16">
        <v>3966.95</v>
      </c>
      <c r="H10" s="11" t="s">
        <v>127</v>
      </c>
    </row>
    <row r="11" spans="1:8">
      <c r="A11" s="17">
        <v>46051</v>
      </c>
      <c r="B11" s="14" t="s">
        <v>342</v>
      </c>
      <c r="C11" s="2" t="s">
        <v>126</v>
      </c>
      <c r="D11" s="12">
        <v>3237.02</v>
      </c>
      <c r="E11" s="12">
        <v>0</v>
      </c>
      <c r="F11" s="16">
        <v>3237.02</v>
      </c>
      <c r="G11" s="16">
        <v>3924.62</v>
      </c>
      <c r="H11" s="11" t="s">
        <v>127</v>
      </c>
    </row>
    <row r="12" spans="1:8">
      <c r="F12" s="13">
        <f>SUM(F3:F11)</f>
        <v>26318.280000000002</v>
      </c>
      <c r="G12" s="13">
        <f>SUM(G3:G11)</f>
        <v>33118.51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D6B4-9ECD-4152-BB7C-E5CCB6B51A8B}">
  <dimension ref="A2:G12"/>
  <sheetViews>
    <sheetView workbookViewId="0">
      <selection activeCell="C19" sqref="C19"/>
    </sheetView>
  </sheetViews>
  <sheetFormatPr defaultRowHeight="15"/>
  <cols>
    <col min="1" max="1" width="16.140625" style="5" bestFit="1" customWidth="1"/>
    <col min="2" max="2" width="51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2.140625" style="12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123</v>
      </c>
    </row>
    <row r="3" spans="1:7">
      <c r="A3" s="14" t="s">
        <v>124</v>
      </c>
      <c r="B3" s="14" t="s">
        <v>344</v>
      </c>
      <c r="C3" s="1" t="s">
        <v>126</v>
      </c>
      <c r="D3" s="12">
        <v>16800</v>
      </c>
      <c r="E3" s="12">
        <v>14619.18</v>
      </c>
      <c r="F3" s="16">
        <v>2180.8200000000002</v>
      </c>
      <c r="G3" s="12" t="s">
        <v>127</v>
      </c>
    </row>
    <row r="4" spans="1:7">
      <c r="A4" s="14" t="s">
        <v>128</v>
      </c>
      <c r="B4" s="14" t="s">
        <v>344</v>
      </c>
      <c r="C4" s="1" t="s">
        <v>126</v>
      </c>
      <c r="D4" s="16">
        <v>16800</v>
      </c>
      <c r="E4" s="12">
        <v>0</v>
      </c>
      <c r="F4" s="16">
        <v>16800</v>
      </c>
      <c r="G4" s="12" t="s">
        <v>127</v>
      </c>
    </row>
    <row r="5" spans="1:7">
      <c r="A5" s="14" t="s">
        <v>129</v>
      </c>
      <c r="B5" s="14" t="s">
        <v>344</v>
      </c>
      <c r="C5" s="1" t="s">
        <v>126</v>
      </c>
      <c r="D5" s="16">
        <v>15720</v>
      </c>
      <c r="E5" s="12">
        <v>0</v>
      </c>
      <c r="F5" s="16">
        <v>15720</v>
      </c>
      <c r="G5" s="12" t="s">
        <v>127</v>
      </c>
    </row>
    <row r="6" spans="1:7">
      <c r="A6" s="14" t="s">
        <v>203</v>
      </c>
      <c r="B6" s="14" t="s">
        <v>344</v>
      </c>
      <c r="C6" s="1" t="s">
        <v>126</v>
      </c>
      <c r="D6" s="16">
        <v>15720</v>
      </c>
      <c r="E6" s="12">
        <v>0</v>
      </c>
      <c r="F6" s="16">
        <v>15720</v>
      </c>
      <c r="G6" s="12" t="s">
        <v>127</v>
      </c>
    </row>
    <row r="7" spans="1:7">
      <c r="A7" s="14" t="s">
        <v>204</v>
      </c>
      <c r="B7" s="14" t="s">
        <v>344</v>
      </c>
      <c r="C7" s="1" t="s">
        <v>126</v>
      </c>
      <c r="D7" s="16">
        <v>15648</v>
      </c>
      <c r="E7" s="12">
        <v>0</v>
      </c>
      <c r="F7" s="16">
        <v>15648</v>
      </c>
      <c r="G7" s="12" t="s">
        <v>127</v>
      </c>
    </row>
    <row r="8" spans="1:7">
      <c r="A8" s="17">
        <v>46052</v>
      </c>
      <c r="B8" s="14" t="s">
        <v>344</v>
      </c>
      <c r="C8" s="1" t="s">
        <v>126</v>
      </c>
      <c r="D8" s="16">
        <v>15288</v>
      </c>
      <c r="E8" s="12">
        <v>0</v>
      </c>
      <c r="F8" s="16">
        <v>15288</v>
      </c>
      <c r="G8" s="12" t="s">
        <v>127</v>
      </c>
    </row>
    <row r="9" spans="1:7">
      <c r="F9" s="13">
        <f>SUM(F3:F8)</f>
        <v>81356.820000000007</v>
      </c>
    </row>
    <row r="12" spans="1:7">
      <c r="A12" s="51" t="s">
        <v>345</v>
      </c>
      <c r="B12" s="51"/>
      <c r="C12" s="51"/>
      <c r="D12" s="51"/>
      <c r="E12" s="51"/>
      <c r="F12" s="51"/>
      <c r="G12" s="51"/>
    </row>
  </sheetData>
  <mergeCells count="1">
    <mergeCell ref="A12:G12"/>
  </mergeCells>
  <phoneticPr fontId="4" type="noConversion"/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73F8-AD15-43B2-A4F9-70C8B0DA97E3}">
  <dimension ref="A2:G14"/>
  <sheetViews>
    <sheetView workbookViewId="0">
      <selection activeCell="C16" sqref="C16"/>
    </sheetView>
  </sheetViews>
  <sheetFormatPr defaultRowHeight="15"/>
  <cols>
    <col min="1" max="1" width="16.140625" style="5" bestFit="1" customWidth="1"/>
    <col min="2" max="2" width="43" style="5" bestFit="1" customWidth="1"/>
    <col min="3" max="3" width="59.28515625" style="5" customWidth="1"/>
    <col min="4" max="4" width="15.7109375" style="8" bestFit="1" customWidth="1"/>
    <col min="5" max="5" width="13.28515625" style="8" bestFit="1" customWidth="1"/>
    <col min="6" max="6" width="17.28515625" style="8" bestFit="1" customWidth="1"/>
    <col min="7" max="7" width="10.7109375" style="5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4" t="s">
        <v>119</v>
      </c>
      <c r="E2" s="4" t="s">
        <v>120</v>
      </c>
      <c r="F2" s="4" t="s">
        <v>122</v>
      </c>
      <c r="G2" s="3" t="s">
        <v>123</v>
      </c>
    </row>
    <row r="3" spans="1:7">
      <c r="A3" s="14" t="s">
        <v>346</v>
      </c>
      <c r="B3" s="14" t="s">
        <v>347</v>
      </c>
      <c r="C3" s="14" t="s">
        <v>348</v>
      </c>
      <c r="D3" s="15">
        <v>18819.25</v>
      </c>
      <c r="E3" s="7">
        <v>0</v>
      </c>
      <c r="F3" s="15">
        <v>18819.25</v>
      </c>
      <c r="G3" s="6" t="s">
        <v>127</v>
      </c>
    </row>
    <row r="4" spans="1:7">
      <c r="A4" s="14" t="s">
        <v>269</v>
      </c>
      <c r="B4" s="14" t="s">
        <v>347</v>
      </c>
      <c r="C4" s="14" t="s">
        <v>126</v>
      </c>
      <c r="D4" s="15">
        <v>1080</v>
      </c>
      <c r="E4" s="7">
        <v>0</v>
      </c>
      <c r="F4" s="15">
        <v>1080</v>
      </c>
      <c r="G4" s="6" t="s">
        <v>127</v>
      </c>
    </row>
    <row r="5" spans="1:7">
      <c r="A5" s="14" t="s">
        <v>269</v>
      </c>
      <c r="B5" s="14" t="s">
        <v>347</v>
      </c>
      <c r="C5" s="14" t="s">
        <v>126</v>
      </c>
      <c r="D5" s="15">
        <v>8961.25</v>
      </c>
      <c r="E5" s="7">
        <v>0</v>
      </c>
      <c r="F5" s="15">
        <v>8961.25</v>
      </c>
      <c r="G5" s="6" t="s">
        <v>127</v>
      </c>
    </row>
    <row r="6" spans="1:7">
      <c r="A6" s="14" t="s">
        <v>188</v>
      </c>
      <c r="B6" s="14" t="s">
        <v>347</v>
      </c>
      <c r="C6" s="14" t="s">
        <v>126</v>
      </c>
      <c r="D6" s="15">
        <v>51845</v>
      </c>
      <c r="E6" s="7">
        <v>0</v>
      </c>
      <c r="F6" s="15">
        <v>51845</v>
      </c>
      <c r="G6" s="6" t="s">
        <v>127</v>
      </c>
    </row>
    <row r="7" spans="1:7">
      <c r="A7" s="14" t="s">
        <v>188</v>
      </c>
      <c r="B7" s="14" t="s">
        <v>347</v>
      </c>
      <c r="C7" s="14" t="s">
        <v>126</v>
      </c>
      <c r="D7" s="15">
        <v>1080</v>
      </c>
      <c r="E7" s="7">
        <v>0</v>
      </c>
      <c r="F7" s="15">
        <v>1080</v>
      </c>
      <c r="G7" s="6" t="s">
        <v>127</v>
      </c>
    </row>
    <row r="8" spans="1:7">
      <c r="A8" s="14" t="s">
        <v>270</v>
      </c>
      <c r="B8" s="14" t="s">
        <v>347</v>
      </c>
      <c r="C8" s="14" t="s">
        <v>126</v>
      </c>
      <c r="D8" s="15">
        <v>51845</v>
      </c>
      <c r="E8" s="7">
        <v>0</v>
      </c>
      <c r="F8" s="15">
        <v>51845</v>
      </c>
      <c r="G8" s="6" t="s">
        <v>127</v>
      </c>
    </row>
    <row r="9" spans="1:7">
      <c r="A9" s="14" t="s">
        <v>270</v>
      </c>
      <c r="B9" s="14" t="s">
        <v>347</v>
      </c>
      <c r="C9" s="14" t="s">
        <v>126</v>
      </c>
      <c r="D9" s="15">
        <v>1080</v>
      </c>
      <c r="E9" s="7">
        <v>0</v>
      </c>
      <c r="F9" s="15">
        <v>1080</v>
      </c>
      <c r="G9" s="6" t="s">
        <v>127</v>
      </c>
    </row>
    <row r="10" spans="1:7">
      <c r="A10" s="14" t="s">
        <v>271</v>
      </c>
      <c r="B10" s="14" t="s">
        <v>347</v>
      </c>
      <c r="C10" s="14" t="s">
        <v>126</v>
      </c>
      <c r="D10" s="15">
        <v>51845</v>
      </c>
      <c r="E10" s="7">
        <v>0</v>
      </c>
      <c r="F10" s="15">
        <v>51845</v>
      </c>
      <c r="G10" s="6" t="s">
        <v>127</v>
      </c>
    </row>
    <row r="11" spans="1:7">
      <c r="A11" s="14" t="s">
        <v>271</v>
      </c>
      <c r="B11" s="14" t="s">
        <v>347</v>
      </c>
      <c r="C11" s="14" t="s">
        <v>126</v>
      </c>
      <c r="D11" s="15">
        <v>1080</v>
      </c>
      <c r="E11" s="7">
        <v>0</v>
      </c>
      <c r="F11" s="15">
        <v>1080</v>
      </c>
      <c r="G11" s="6" t="s">
        <v>127</v>
      </c>
    </row>
    <row r="12" spans="1:7">
      <c r="A12" s="14" t="s">
        <v>272</v>
      </c>
      <c r="B12" s="14" t="s">
        <v>347</v>
      </c>
      <c r="C12" s="14" t="s">
        <v>126</v>
      </c>
      <c r="D12" s="15">
        <v>1080</v>
      </c>
      <c r="E12" s="7">
        <v>0</v>
      </c>
      <c r="F12" s="15">
        <v>1080</v>
      </c>
      <c r="G12" s="6" t="s">
        <v>127</v>
      </c>
    </row>
    <row r="13" spans="1:7">
      <c r="A13" s="14" t="s">
        <v>272</v>
      </c>
      <c r="B13" s="14" t="s">
        <v>347</v>
      </c>
      <c r="C13" s="14" t="s">
        <v>126</v>
      </c>
      <c r="D13" s="15">
        <v>51845</v>
      </c>
      <c r="E13" s="7">
        <v>0</v>
      </c>
      <c r="F13" s="15">
        <v>51845</v>
      </c>
      <c r="G13" s="6" t="s">
        <v>127</v>
      </c>
    </row>
    <row r="14" spans="1:7">
      <c r="F14" s="10">
        <f>SUM(F3:F13)</f>
        <v>240560.5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2FC0-B38B-43D7-8D79-C91E14062813}">
  <dimension ref="A2:G8"/>
  <sheetViews>
    <sheetView workbookViewId="0">
      <selection activeCell="E9" sqref="E9"/>
    </sheetView>
  </sheetViews>
  <sheetFormatPr defaultRowHeight="15"/>
  <cols>
    <col min="1" max="1" width="16.140625" style="5" bestFit="1" customWidth="1"/>
    <col min="2" max="2" width="55.7109375" style="5" bestFit="1" customWidth="1"/>
    <col min="3" max="3" width="23.85546875" style="5" bestFit="1" customWidth="1"/>
    <col min="4" max="4" width="15.7109375" style="8" bestFit="1" customWidth="1"/>
    <col min="5" max="5" width="13.28515625" style="8" bestFit="1" customWidth="1"/>
    <col min="6" max="6" width="17.28515625" style="8" bestFit="1" customWidth="1"/>
    <col min="7" max="7" width="10.42578125" style="5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4" t="s">
        <v>119</v>
      </c>
      <c r="E2" s="4" t="s">
        <v>120</v>
      </c>
      <c r="F2" s="4" t="s">
        <v>122</v>
      </c>
      <c r="G2" s="3" t="s">
        <v>123</v>
      </c>
    </row>
    <row r="3" spans="1:7" ht="15" customHeight="1">
      <c r="A3" s="14" t="s">
        <v>124</v>
      </c>
      <c r="B3" s="14" t="s">
        <v>349</v>
      </c>
      <c r="C3" s="14" t="s">
        <v>126</v>
      </c>
      <c r="D3" s="15">
        <v>38000</v>
      </c>
      <c r="E3" s="7">
        <v>0</v>
      </c>
      <c r="F3" s="15">
        <v>38000</v>
      </c>
      <c r="G3" s="6" t="s">
        <v>127</v>
      </c>
    </row>
    <row r="4" spans="1:7">
      <c r="A4" s="14" t="s">
        <v>128</v>
      </c>
      <c r="B4" s="14" t="s">
        <v>349</v>
      </c>
      <c r="C4" s="14" t="s">
        <v>126</v>
      </c>
      <c r="D4" s="15">
        <v>38000</v>
      </c>
      <c r="E4" s="7">
        <v>0</v>
      </c>
      <c r="F4" s="15">
        <v>38000</v>
      </c>
      <c r="G4" s="6" t="s">
        <v>127</v>
      </c>
    </row>
    <row r="5" spans="1:7">
      <c r="A5" s="14" t="s">
        <v>129</v>
      </c>
      <c r="B5" s="14" t="s">
        <v>349</v>
      </c>
      <c r="C5" s="14" t="s">
        <v>126</v>
      </c>
      <c r="D5" s="15">
        <v>38000</v>
      </c>
      <c r="E5" s="7">
        <v>0</v>
      </c>
      <c r="F5" s="15">
        <v>38000</v>
      </c>
      <c r="G5" s="6" t="s">
        <v>127</v>
      </c>
    </row>
    <row r="6" spans="1:7">
      <c r="A6" s="14" t="s">
        <v>203</v>
      </c>
      <c r="B6" s="14" t="s">
        <v>349</v>
      </c>
      <c r="C6" s="14" t="s">
        <v>126</v>
      </c>
      <c r="D6" s="15">
        <v>38000</v>
      </c>
      <c r="E6" s="7">
        <v>0</v>
      </c>
      <c r="F6" s="15">
        <v>38000</v>
      </c>
      <c r="G6" s="6" t="s">
        <v>127</v>
      </c>
    </row>
    <row r="7" spans="1:7">
      <c r="A7" s="14" t="s">
        <v>204</v>
      </c>
      <c r="B7" s="14" t="s">
        <v>349</v>
      </c>
      <c r="C7" s="14" t="s">
        <v>126</v>
      </c>
      <c r="D7" s="15">
        <v>38000</v>
      </c>
      <c r="E7" s="7">
        <v>0</v>
      </c>
      <c r="F7" s="15">
        <v>38000</v>
      </c>
      <c r="G7" s="6" t="s">
        <v>127</v>
      </c>
    </row>
    <row r="8" spans="1:7">
      <c r="F8" s="10">
        <f>SUM(F3:F7)</f>
        <v>190000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866A6-07AB-48E8-9415-7B1DED0ABA7B}">
  <dimension ref="A2:H34"/>
  <sheetViews>
    <sheetView workbookViewId="0">
      <selection activeCell="F33" sqref="F33"/>
    </sheetView>
  </sheetViews>
  <sheetFormatPr defaultRowHeight="15"/>
  <cols>
    <col min="1" max="1" width="16.140625" style="5" bestFit="1" customWidth="1"/>
    <col min="2" max="2" width="55.7109375" style="5" bestFit="1" customWidth="1"/>
    <col min="3" max="3" width="42.71093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7.28515625" style="12" customWidth="1"/>
    <col min="8" max="8" width="10.42578125" style="11" bestFit="1" customWidth="1"/>
    <col min="9" max="16384" width="9.140625" style="5"/>
  </cols>
  <sheetData>
    <row r="2" spans="1:8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131</v>
      </c>
      <c r="H2" s="9" t="s">
        <v>123</v>
      </c>
    </row>
    <row r="3" spans="1:8">
      <c r="A3" s="14" t="s">
        <v>211</v>
      </c>
      <c r="B3" s="14" t="s">
        <v>350</v>
      </c>
      <c r="C3" s="14" t="s">
        <v>126</v>
      </c>
      <c r="D3" s="12">
        <v>17000</v>
      </c>
      <c r="E3" s="12">
        <v>5078.75</v>
      </c>
      <c r="F3" s="16">
        <v>11921.25</v>
      </c>
      <c r="G3" s="16">
        <v>16587.669999999998</v>
      </c>
      <c r="H3" s="11" t="s">
        <v>127</v>
      </c>
    </row>
    <row r="4" spans="1:8">
      <c r="A4" s="14" t="s">
        <v>303</v>
      </c>
      <c r="B4" s="14" t="s">
        <v>350</v>
      </c>
      <c r="C4" s="14" t="s">
        <v>351</v>
      </c>
      <c r="D4" s="16">
        <v>24000</v>
      </c>
      <c r="E4" s="12">
        <v>0</v>
      </c>
      <c r="F4" s="16">
        <v>24000</v>
      </c>
      <c r="G4" s="16">
        <v>33106.99</v>
      </c>
      <c r="H4" s="11" t="s">
        <v>127</v>
      </c>
    </row>
    <row r="5" spans="1:8">
      <c r="A5" s="14" t="s">
        <v>214</v>
      </c>
      <c r="B5" s="14" t="s">
        <v>350</v>
      </c>
      <c r="C5" s="14" t="s">
        <v>126</v>
      </c>
      <c r="D5" s="16">
        <v>17000</v>
      </c>
      <c r="E5" s="12">
        <v>0</v>
      </c>
      <c r="F5" s="16">
        <v>17000</v>
      </c>
      <c r="G5" s="16">
        <v>23450.79</v>
      </c>
      <c r="H5" s="11" t="s">
        <v>127</v>
      </c>
    </row>
    <row r="6" spans="1:8">
      <c r="A6" s="14" t="s">
        <v>352</v>
      </c>
      <c r="B6" s="14" t="s">
        <v>350</v>
      </c>
      <c r="C6" s="14" t="s">
        <v>351</v>
      </c>
      <c r="D6" s="16">
        <v>24000</v>
      </c>
      <c r="E6" s="12">
        <v>0</v>
      </c>
      <c r="F6" s="16">
        <v>24000</v>
      </c>
      <c r="G6" s="16">
        <v>32456.95</v>
      </c>
      <c r="H6" s="11" t="s">
        <v>127</v>
      </c>
    </row>
    <row r="7" spans="1:8">
      <c r="A7" s="14" t="s">
        <v>219</v>
      </c>
      <c r="B7" s="14" t="s">
        <v>350</v>
      </c>
      <c r="C7" s="14" t="s">
        <v>126</v>
      </c>
      <c r="D7" s="16">
        <v>17000</v>
      </c>
      <c r="E7" s="12">
        <v>0</v>
      </c>
      <c r="F7" s="16">
        <v>17000</v>
      </c>
      <c r="G7" s="16">
        <v>22990.35</v>
      </c>
      <c r="H7" s="11" t="s">
        <v>127</v>
      </c>
    </row>
    <row r="8" spans="1:8">
      <c r="A8" s="14" t="s">
        <v>353</v>
      </c>
      <c r="B8" s="14" t="s">
        <v>350</v>
      </c>
      <c r="C8" s="14" t="s">
        <v>351</v>
      </c>
      <c r="D8" s="16">
        <v>24000</v>
      </c>
      <c r="E8" s="12">
        <v>0</v>
      </c>
      <c r="F8" s="16">
        <v>24000</v>
      </c>
      <c r="G8" s="16">
        <v>32004.36</v>
      </c>
      <c r="H8" s="11" t="s">
        <v>127</v>
      </c>
    </row>
    <row r="9" spans="1:8">
      <c r="A9" s="14" t="s">
        <v>221</v>
      </c>
      <c r="B9" s="14" t="s">
        <v>350</v>
      </c>
      <c r="C9" s="14" t="s">
        <v>126</v>
      </c>
      <c r="D9" s="16">
        <v>17000</v>
      </c>
      <c r="E9" s="12">
        <v>0</v>
      </c>
      <c r="F9" s="16">
        <v>17000</v>
      </c>
      <c r="G9" s="16">
        <v>22669.77</v>
      </c>
      <c r="H9" s="11" t="s">
        <v>127</v>
      </c>
    </row>
    <row r="10" spans="1:8">
      <c r="A10" s="14" t="s">
        <v>226</v>
      </c>
      <c r="B10" s="14" t="s">
        <v>350</v>
      </c>
      <c r="C10" s="14" t="s">
        <v>126</v>
      </c>
      <c r="D10" s="16">
        <v>17000</v>
      </c>
      <c r="E10" s="12">
        <v>0</v>
      </c>
      <c r="F10" s="16">
        <v>17000</v>
      </c>
      <c r="G10" s="16">
        <v>22399.05</v>
      </c>
      <c r="H10" s="11" t="s">
        <v>127</v>
      </c>
    </row>
    <row r="11" spans="1:8">
      <c r="A11" s="14" t="s">
        <v>230</v>
      </c>
      <c r="B11" s="14" t="s">
        <v>350</v>
      </c>
      <c r="C11" s="14" t="s">
        <v>126</v>
      </c>
      <c r="D11" s="16">
        <v>17000</v>
      </c>
      <c r="E11" s="12">
        <v>0</v>
      </c>
      <c r="F11" s="16">
        <v>17000</v>
      </c>
      <c r="G11" s="16">
        <v>22145.71</v>
      </c>
      <c r="H11" s="11" t="s">
        <v>127</v>
      </c>
    </row>
    <row r="12" spans="1:8">
      <c r="A12" s="14" t="s">
        <v>182</v>
      </c>
      <c r="B12" s="14" t="s">
        <v>350</v>
      </c>
      <c r="C12" s="14" t="s">
        <v>126</v>
      </c>
      <c r="D12" s="16">
        <v>17000</v>
      </c>
      <c r="E12" s="12">
        <v>0</v>
      </c>
      <c r="F12" s="16">
        <v>17000</v>
      </c>
      <c r="G12" s="16">
        <v>21915.7</v>
      </c>
      <c r="H12" s="11" t="s">
        <v>127</v>
      </c>
    </row>
    <row r="13" spans="1:8">
      <c r="A13" s="14" t="s">
        <v>330</v>
      </c>
      <c r="B13" s="14" t="s">
        <v>350</v>
      </c>
      <c r="C13" s="14" t="s">
        <v>126</v>
      </c>
      <c r="D13" s="16">
        <v>10000</v>
      </c>
      <c r="E13" s="12">
        <v>0</v>
      </c>
      <c r="F13" s="16">
        <v>10000</v>
      </c>
      <c r="G13" s="16">
        <v>12748.01</v>
      </c>
      <c r="H13" s="11" t="s">
        <v>127</v>
      </c>
    </row>
    <row r="14" spans="1:8">
      <c r="A14" s="14" t="s">
        <v>184</v>
      </c>
      <c r="B14" s="14" t="s">
        <v>350</v>
      </c>
      <c r="C14" s="14" t="s">
        <v>126</v>
      </c>
      <c r="D14" s="16">
        <v>17000</v>
      </c>
      <c r="E14" s="12">
        <v>0</v>
      </c>
      <c r="F14" s="16">
        <v>17000</v>
      </c>
      <c r="G14" s="16">
        <v>21671.62</v>
      </c>
      <c r="H14" s="11" t="s">
        <v>127</v>
      </c>
    </row>
    <row r="15" spans="1:8">
      <c r="A15" s="14" t="s">
        <v>235</v>
      </c>
      <c r="B15" s="14" t="s">
        <v>350</v>
      </c>
      <c r="C15" s="14" t="s">
        <v>126</v>
      </c>
      <c r="D15" s="16">
        <v>5400</v>
      </c>
      <c r="E15" s="12">
        <v>0</v>
      </c>
      <c r="F15" s="16">
        <v>5400</v>
      </c>
      <c r="G15" s="16">
        <v>6838.86</v>
      </c>
      <c r="H15" s="11" t="s">
        <v>127</v>
      </c>
    </row>
    <row r="16" spans="1:8">
      <c r="A16" s="14" t="s">
        <v>186</v>
      </c>
      <c r="B16" s="14" t="s">
        <v>350</v>
      </c>
      <c r="C16" s="14" t="s">
        <v>126</v>
      </c>
      <c r="D16" s="16">
        <v>17000</v>
      </c>
      <c r="E16" s="12">
        <v>0</v>
      </c>
      <c r="F16" s="16">
        <v>17000</v>
      </c>
      <c r="G16" s="16">
        <v>21529.77</v>
      </c>
      <c r="H16" s="11" t="s">
        <v>127</v>
      </c>
    </row>
    <row r="17" spans="1:8">
      <c r="A17" s="14" t="s">
        <v>354</v>
      </c>
      <c r="B17" s="14" t="s">
        <v>350</v>
      </c>
      <c r="C17" s="14" t="s">
        <v>126</v>
      </c>
      <c r="D17" s="16">
        <v>5400</v>
      </c>
      <c r="E17" s="12">
        <v>0</v>
      </c>
      <c r="F17" s="16">
        <v>5400</v>
      </c>
      <c r="G17" s="16">
        <v>6751.75</v>
      </c>
      <c r="H17" s="11" t="s">
        <v>127</v>
      </c>
    </row>
    <row r="18" spans="1:8">
      <c r="A18" s="14" t="s">
        <v>238</v>
      </c>
      <c r="B18" s="14" t="s">
        <v>350</v>
      </c>
      <c r="C18" s="14" t="s">
        <v>126</v>
      </c>
      <c r="D18" s="16">
        <v>17000</v>
      </c>
      <c r="E18" s="12">
        <v>0</v>
      </c>
      <c r="F18" s="16">
        <v>17000</v>
      </c>
      <c r="G18" s="16">
        <v>21255.51</v>
      </c>
      <c r="H18" s="11" t="s">
        <v>127</v>
      </c>
    </row>
    <row r="19" spans="1:8">
      <c r="A19" s="14" t="s">
        <v>355</v>
      </c>
      <c r="B19" s="14" t="s">
        <v>350</v>
      </c>
      <c r="C19" s="14" t="s">
        <v>126</v>
      </c>
      <c r="D19" s="16">
        <v>5400</v>
      </c>
      <c r="E19" s="12">
        <v>0</v>
      </c>
      <c r="F19" s="16">
        <v>5400</v>
      </c>
      <c r="G19" s="16">
        <v>6685.28</v>
      </c>
      <c r="H19" s="11" t="s">
        <v>127</v>
      </c>
    </row>
    <row r="20" spans="1:8">
      <c r="A20" s="14" t="s">
        <v>193</v>
      </c>
      <c r="B20" s="14" t="s">
        <v>350</v>
      </c>
      <c r="C20" s="14" t="s">
        <v>126</v>
      </c>
      <c r="D20" s="16">
        <v>17000</v>
      </c>
      <c r="E20" s="12">
        <v>0</v>
      </c>
      <c r="F20" s="16">
        <v>17000</v>
      </c>
      <c r="G20" s="16">
        <v>21046.21</v>
      </c>
      <c r="H20" s="11" t="s">
        <v>127</v>
      </c>
    </row>
    <row r="21" spans="1:8">
      <c r="A21" s="14" t="s">
        <v>164</v>
      </c>
      <c r="B21" s="14" t="s">
        <v>350</v>
      </c>
      <c r="C21" s="14" t="s">
        <v>126</v>
      </c>
      <c r="D21" s="16">
        <v>5400</v>
      </c>
      <c r="E21" s="12">
        <v>0</v>
      </c>
      <c r="F21" s="16">
        <v>5400</v>
      </c>
      <c r="G21" s="16">
        <v>6617.69</v>
      </c>
      <c r="H21" s="11" t="s">
        <v>127</v>
      </c>
    </row>
    <row r="22" spans="1:8">
      <c r="A22" s="14" t="s">
        <v>197</v>
      </c>
      <c r="B22" s="14" t="s">
        <v>350</v>
      </c>
      <c r="C22" s="14" t="s">
        <v>126</v>
      </c>
      <c r="D22" s="16">
        <v>17000</v>
      </c>
      <c r="E22" s="12">
        <v>0</v>
      </c>
      <c r="F22" s="16">
        <v>17000</v>
      </c>
      <c r="G22" s="16">
        <v>20833.43</v>
      </c>
      <c r="H22" s="11" t="s">
        <v>127</v>
      </c>
    </row>
    <row r="23" spans="1:8">
      <c r="A23" s="14" t="s">
        <v>356</v>
      </c>
      <c r="B23" s="14" t="s">
        <v>350</v>
      </c>
      <c r="C23" s="14" t="s">
        <v>126</v>
      </c>
      <c r="D23" s="16">
        <v>5400</v>
      </c>
      <c r="E23" s="12">
        <v>0</v>
      </c>
      <c r="F23" s="16">
        <v>5400</v>
      </c>
      <c r="G23" s="16">
        <v>6547.07</v>
      </c>
      <c r="H23" s="11" t="s">
        <v>127</v>
      </c>
    </row>
    <row r="24" spans="1:8">
      <c r="A24" s="14" t="s">
        <v>198</v>
      </c>
      <c r="B24" s="14" t="s">
        <v>350</v>
      </c>
      <c r="C24" s="14" t="s">
        <v>126</v>
      </c>
      <c r="D24" s="16">
        <v>17000</v>
      </c>
      <c r="E24" s="12">
        <v>0</v>
      </c>
      <c r="F24" s="16">
        <v>17000</v>
      </c>
      <c r="G24" s="16">
        <v>20611.14</v>
      </c>
      <c r="H24" s="11" t="s">
        <v>127</v>
      </c>
    </row>
    <row r="25" spans="1:8">
      <c r="F25" s="13">
        <f>SUM(F3:F24)</f>
        <v>324921.25</v>
      </c>
      <c r="G25" s="13">
        <f>SUM(G3:G24)</f>
        <v>422863.68000000005</v>
      </c>
    </row>
    <row r="27" spans="1:8">
      <c r="A27" s="14" t="s">
        <v>357</v>
      </c>
      <c r="B27" s="14" t="s">
        <v>358</v>
      </c>
      <c r="C27" s="14" t="s">
        <v>126</v>
      </c>
      <c r="D27" s="16">
        <v>4500</v>
      </c>
      <c r="E27" s="12">
        <v>0</v>
      </c>
      <c r="F27" s="16">
        <v>4500</v>
      </c>
      <c r="G27" s="16">
        <v>5571.05</v>
      </c>
      <c r="H27" s="11" t="s">
        <v>127</v>
      </c>
    </row>
    <row r="28" spans="1:8">
      <c r="A28" s="14" t="s">
        <v>359</v>
      </c>
      <c r="B28" s="14" t="s">
        <v>358</v>
      </c>
      <c r="C28" s="14" t="s">
        <v>126</v>
      </c>
      <c r="D28" s="16">
        <v>4500</v>
      </c>
      <c r="E28" s="12">
        <v>0</v>
      </c>
      <c r="F28" s="16">
        <v>4500</v>
      </c>
      <c r="G28" s="16">
        <v>5514.73</v>
      </c>
      <c r="H28" s="11" t="s">
        <v>127</v>
      </c>
    </row>
    <row r="29" spans="1:8">
      <c r="A29" s="14" t="s">
        <v>134</v>
      </c>
      <c r="B29" s="14" t="s">
        <v>358</v>
      </c>
      <c r="C29" s="14" t="s">
        <v>126</v>
      </c>
      <c r="D29" s="16">
        <v>5000</v>
      </c>
      <c r="E29" s="12">
        <v>0</v>
      </c>
      <c r="F29" s="16">
        <v>5000</v>
      </c>
      <c r="G29" s="16">
        <v>6062.1</v>
      </c>
      <c r="H29" s="11" t="s">
        <v>127</v>
      </c>
    </row>
    <row r="30" spans="1:8">
      <c r="A30" s="14" t="s">
        <v>360</v>
      </c>
      <c r="B30" s="14" t="s">
        <v>358</v>
      </c>
      <c r="C30" s="14" t="s">
        <v>126</v>
      </c>
      <c r="D30" s="16">
        <v>4500</v>
      </c>
      <c r="E30" s="12">
        <v>0</v>
      </c>
      <c r="F30" s="16">
        <v>4500</v>
      </c>
      <c r="G30" s="16">
        <v>5455.89</v>
      </c>
      <c r="H30" s="11" t="s">
        <v>127</v>
      </c>
    </row>
    <row r="31" spans="1:8">
      <c r="A31" s="17">
        <v>46062</v>
      </c>
      <c r="B31" s="14" t="s">
        <v>358</v>
      </c>
      <c r="C31" s="14" t="s">
        <v>126</v>
      </c>
      <c r="D31" s="16">
        <v>5000</v>
      </c>
      <c r="E31" s="12">
        <v>0</v>
      </c>
      <c r="F31" s="16">
        <f>D31-E31</f>
        <v>5000</v>
      </c>
      <c r="G31" s="16"/>
    </row>
    <row r="32" spans="1:8">
      <c r="F32" s="13">
        <f>SUM(F27:F31)</f>
        <v>23500</v>
      </c>
      <c r="G32" s="13">
        <f>SUM(G27:G30)</f>
        <v>22603.769999999997</v>
      </c>
    </row>
    <row r="34" spans="5:7">
      <c r="E34" s="13" t="s">
        <v>361</v>
      </c>
      <c r="F34" s="13">
        <f>F25+F32</f>
        <v>348421.25</v>
      </c>
      <c r="G34" s="13">
        <f>G25+G32</f>
        <v>445467.45000000007</v>
      </c>
    </row>
  </sheetData>
  <phoneticPr fontId="4" type="noConversion"/>
  <pageMargins left="0.511811024" right="0.511811024" top="0.78740157499999996" bottom="0.78740157499999996" header="0.31496062000000002" footer="0.3149606200000000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A6137-FAE6-490E-B46F-62080B78A83A}">
  <dimension ref="A2:G12"/>
  <sheetViews>
    <sheetView workbookViewId="0">
      <selection activeCell="C19" sqref="C19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2.140625" style="12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13" t="s">
        <v>123</v>
      </c>
    </row>
    <row r="3" spans="1:7">
      <c r="A3" s="18" t="s">
        <v>362</v>
      </c>
      <c r="B3" s="18" t="s">
        <v>363</v>
      </c>
      <c r="C3" s="18" t="s">
        <v>126</v>
      </c>
      <c r="D3" s="19">
        <v>650</v>
      </c>
      <c r="E3" s="12">
        <v>0</v>
      </c>
      <c r="F3" s="19">
        <v>650</v>
      </c>
      <c r="G3" s="12" t="s">
        <v>127</v>
      </c>
    </row>
    <row r="4" spans="1:7">
      <c r="A4" s="18" t="s">
        <v>223</v>
      </c>
      <c r="B4" s="18" t="s">
        <v>363</v>
      </c>
      <c r="C4" s="18" t="s">
        <v>126</v>
      </c>
      <c r="D4" s="19">
        <v>650</v>
      </c>
      <c r="E4" s="12">
        <v>0</v>
      </c>
      <c r="F4" s="19">
        <v>650</v>
      </c>
      <c r="G4" s="12" t="s">
        <v>127</v>
      </c>
    </row>
    <row r="5" spans="1:7">
      <c r="A5" s="18" t="s">
        <v>227</v>
      </c>
      <c r="B5" s="18" t="s">
        <v>363</v>
      </c>
      <c r="C5" s="18" t="s">
        <v>126</v>
      </c>
      <c r="D5" s="19">
        <v>650</v>
      </c>
      <c r="E5" s="12">
        <v>0</v>
      </c>
      <c r="F5" s="19">
        <v>650</v>
      </c>
      <c r="G5" s="12" t="s">
        <v>127</v>
      </c>
    </row>
    <row r="6" spans="1:7">
      <c r="A6" s="18" t="s">
        <v>329</v>
      </c>
      <c r="B6" s="18" t="s">
        <v>363</v>
      </c>
      <c r="C6" s="18" t="s">
        <v>364</v>
      </c>
      <c r="D6" s="19">
        <v>650</v>
      </c>
      <c r="E6" s="12">
        <v>0</v>
      </c>
      <c r="F6" s="19">
        <v>650</v>
      </c>
      <c r="G6" s="12" t="s">
        <v>127</v>
      </c>
    </row>
    <row r="7" spans="1:7">
      <c r="A7" s="18" t="s">
        <v>365</v>
      </c>
      <c r="B7" s="18" t="s">
        <v>363</v>
      </c>
      <c r="C7" s="18" t="s">
        <v>364</v>
      </c>
      <c r="D7" s="19">
        <v>650</v>
      </c>
      <c r="E7" s="12">
        <v>0</v>
      </c>
      <c r="F7" s="19">
        <v>650</v>
      </c>
      <c r="G7" s="12" t="s">
        <v>127</v>
      </c>
    </row>
    <row r="8" spans="1:7">
      <c r="A8" s="18" t="s">
        <v>366</v>
      </c>
      <c r="B8" s="18" t="s">
        <v>363</v>
      </c>
      <c r="C8" s="18" t="s">
        <v>364</v>
      </c>
      <c r="D8" s="19">
        <v>650</v>
      </c>
      <c r="E8" s="12">
        <v>0</v>
      </c>
      <c r="F8" s="19">
        <v>650</v>
      </c>
      <c r="G8" s="12" t="s">
        <v>127</v>
      </c>
    </row>
    <row r="9" spans="1:7">
      <c r="A9" s="18" t="s">
        <v>367</v>
      </c>
      <c r="B9" s="18" t="s">
        <v>363</v>
      </c>
      <c r="C9" s="18" t="s">
        <v>364</v>
      </c>
      <c r="D9" s="19">
        <v>650</v>
      </c>
      <c r="E9" s="12">
        <v>0</v>
      </c>
      <c r="F9" s="19">
        <v>650</v>
      </c>
      <c r="G9" s="12" t="s">
        <v>127</v>
      </c>
    </row>
    <row r="10" spans="1:7">
      <c r="A10" s="18" t="s">
        <v>368</v>
      </c>
      <c r="B10" s="18" t="s">
        <v>363</v>
      </c>
      <c r="C10" s="18" t="s">
        <v>364</v>
      </c>
      <c r="D10" s="19">
        <v>650</v>
      </c>
      <c r="E10" s="12">
        <v>0</v>
      </c>
      <c r="F10" s="19">
        <v>650</v>
      </c>
      <c r="G10" s="12" t="s">
        <v>127</v>
      </c>
    </row>
    <row r="11" spans="1:7">
      <c r="A11" s="18" t="s">
        <v>369</v>
      </c>
      <c r="B11" s="18" t="s">
        <v>363</v>
      </c>
      <c r="C11" s="18" t="s">
        <v>126</v>
      </c>
      <c r="D11" s="19">
        <v>650</v>
      </c>
      <c r="E11" s="12">
        <v>0</v>
      </c>
      <c r="F11" s="19">
        <v>650</v>
      </c>
      <c r="G11" s="12" t="s">
        <v>127</v>
      </c>
    </row>
    <row r="12" spans="1:7">
      <c r="F12" s="13">
        <f>SUM(F3:F11)</f>
        <v>5850</v>
      </c>
    </row>
  </sheetData>
  <phoneticPr fontId="4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3F74E-DB4E-4A43-9D98-81A87857CFFD}">
  <dimension ref="A2:G16"/>
  <sheetViews>
    <sheetView workbookViewId="0">
      <selection activeCell="C19" sqref="C19"/>
    </sheetView>
  </sheetViews>
  <sheetFormatPr defaultRowHeight="15"/>
  <cols>
    <col min="1" max="1" width="16.140625" style="5" bestFit="1" customWidth="1"/>
    <col min="2" max="2" width="56.71093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4257812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370</v>
      </c>
      <c r="B3" s="14" t="s">
        <v>371</v>
      </c>
      <c r="C3" s="1" t="s">
        <v>126</v>
      </c>
      <c r="D3" s="12">
        <v>11700</v>
      </c>
      <c r="E3" s="12">
        <v>928.35</v>
      </c>
      <c r="F3" s="16">
        <v>10771.65</v>
      </c>
      <c r="G3" s="11" t="s">
        <v>127</v>
      </c>
    </row>
    <row r="4" spans="1:7">
      <c r="A4" s="14" t="s">
        <v>372</v>
      </c>
      <c r="B4" s="14" t="s">
        <v>371</v>
      </c>
      <c r="C4" s="2" t="s">
        <v>126</v>
      </c>
      <c r="D4" s="16">
        <v>11700</v>
      </c>
      <c r="E4" s="12">
        <v>0</v>
      </c>
      <c r="F4" s="16">
        <v>11700</v>
      </c>
      <c r="G4" s="11" t="s">
        <v>127</v>
      </c>
    </row>
    <row r="5" spans="1:7">
      <c r="A5" s="14" t="s">
        <v>308</v>
      </c>
      <c r="B5" s="14" t="s">
        <v>371</v>
      </c>
      <c r="C5" s="1" t="s">
        <v>126</v>
      </c>
      <c r="D5" s="16">
        <v>11700</v>
      </c>
      <c r="E5" s="12">
        <v>0</v>
      </c>
      <c r="F5" s="16">
        <v>11700</v>
      </c>
      <c r="G5" s="11" t="s">
        <v>127</v>
      </c>
    </row>
    <row r="6" spans="1:7">
      <c r="A6" s="14" t="s">
        <v>373</v>
      </c>
      <c r="B6" s="14" t="s">
        <v>371</v>
      </c>
      <c r="C6" s="2" t="s">
        <v>126</v>
      </c>
      <c r="D6" s="16">
        <v>11700</v>
      </c>
      <c r="E6" s="12">
        <v>0</v>
      </c>
      <c r="F6" s="16">
        <v>11700</v>
      </c>
      <c r="G6" s="11" t="s">
        <v>127</v>
      </c>
    </row>
    <row r="7" spans="1:7">
      <c r="A7" s="14" t="s">
        <v>374</v>
      </c>
      <c r="B7" s="14" t="s">
        <v>371</v>
      </c>
      <c r="C7" s="1" t="s">
        <v>126</v>
      </c>
      <c r="D7" s="16">
        <v>11700</v>
      </c>
      <c r="E7" s="12">
        <v>0</v>
      </c>
      <c r="F7" s="16">
        <v>11700</v>
      </c>
      <c r="G7" s="11" t="s">
        <v>127</v>
      </c>
    </row>
    <row r="8" spans="1:7">
      <c r="A8" s="14" t="s">
        <v>375</v>
      </c>
      <c r="B8" s="14" t="s">
        <v>371</v>
      </c>
      <c r="C8" s="2" t="s">
        <v>126</v>
      </c>
      <c r="D8" s="16">
        <v>11700</v>
      </c>
      <c r="E8" s="12">
        <v>0</v>
      </c>
      <c r="F8" s="16">
        <v>11700</v>
      </c>
      <c r="G8" s="11" t="s">
        <v>127</v>
      </c>
    </row>
    <row r="9" spans="1:7">
      <c r="A9" s="14" t="s">
        <v>325</v>
      </c>
      <c r="B9" s="14" t="s">
        <v>371</v>
      </c>
      <c r="C9" s="1" t="s">
        <v>126</v>
      </c>
      <c r="D9" s="16">
        <v>11700</v>
      </c>
      <c r="E9" s="12">
        <v>0</v>
      </c>
      <c r="F9" s="16">
        <v>11700</v>
      </c>
      <c r="G9" s="11" t="s">
        <v>127</v>
      </c>
    </row>
    <row r="10" spans="1:7">
      <c r="A10" s="14" t="s">
        <v>332</v>
      </c>
      <c r="B10" s="14" t="s">
        <v>371</v>
      </c>
      <c r="C10" s="2" t="s">
        <v>126</v>
      </c>
      <c r="D10" s="16">
        <v>11700</v>
      </c>
      <c r="E10" s="12">
        <v>0</v>
      </c>
      <c r="F10" s="16">
        <v>11700</v>
      </c>
      <c r="G10" s="11" t="s">
        <v>127</v>
      </c>
    </row>
    <row r="11" spans="1:7">
      <c r="A11" s="14" t="s">
        <v>146</v>
      </c>
      <c r="B11" s="14" t="s">
        <v>371</v>
      </c>
      <c r="C11" s="1" t="s">
        <v>126</v>
      </c>
      <c r="D11" s="16">
        <v>11700</v>
      </c>
      <c r="E11" s="12">
        <v>0</v>
      </c>
      <c r="F11" s="16">
        <v>11700</v>
      </c>
      <c r="G11" s="11" t="s">
        <v>127</v>
      </c>
    </row>
    <row r="12" spans="1:7">
      <c r="A12" s="14" t="s">
        <v>376</v>
      </c>
      <c r="B12" s="14" t="s">
        <v>371</v>
      </c>
      <c r="C12" s="2" t="s">
        <v>126</v>
      </c>
      <c r="D12" s="16">
        <v>11700</v>
      </c>
      <c r="E12" s="12">
        <v>0</v>
      </c>
      <c r="F12" s="16">
        <v>11700</v>
      </c>
      <c r="G12" s="11" t="s">
        <v>127</v>
      </c>
    </row>
    <row r="13" spans="1:7">
      <c r="A13" s="14" t="s">
        <v>217</v>
      </c>
      <c r="B13" s="14" t="s">
        <v>371</v>
      </c>
      <c r="C13" s="1" t="s">
        <v>126</v>
      </c>
      <c r="D13" s="16">
        <v>11700</v>
      </c>
      <c r="E13" s="12">
        <v>0</v>
      </c>
      <c r="F13" s="16">
        <v>11700</v>
      </c>
      <c r="G13" s="11" t="s">
        <v>127</v>
      </c>
    </row>
    <row r="14" spans="1:7">
      <c r="A14" s="14" t="s">
        <v>377</v>
      </c>
      <c r="B14" s="14" t="s">
        <v>371</v>
      </c>
      <c r="C14" s="2" t="s">
        <v>126</v>
      </c>
      <c r="D14" s="16">
        <v>11700</v>
      </c>
      <c r="E14" s="12">
        <v>0</v>
      </c>
      <c r="F14" s="16">
        <v>11700</v>
      </c>
      <c r="G14" s="11" t="s">
        <v>127</v>
      </c>
    </row>
    <row r="15" spans="1:7">
      <c r="A15" s="14" t="s">
        <v>378</v>
      </c>
      <c r="B15" s="14" t="s">
        <v>371</v>
      </c>
      <c r="C15" s="1" t="s">
        <v>126</v>
      </c>
      <c r="D15" s="16">
        <v>11700</v>
      </c>
      <c r="E15" s="12">
        <v>0</v>
      </c>
      <c r="F15" s="16">
        <v>11700</v>
      </c>
      <c r="G15" s="11" t="s">
        <v>127</v>
      </c>
    </row>
    <row r="16" spans="1:7">
      <c r="F16" s="13">
        <f>SUM(F3:F15)</f>
        <v>151171.65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0D34-AA78-4A76-8221-1B1AE896BF58}">
  <dimension ref="A2:G9"/>
  <sheetViews>
    <sheetView workbookViewId="0">
      <selection activeCell="C15" sqref="C15"/>
    </sheetView>
  </sheetViews>
  <sheetFormatPr defaultRowHeight="15"/>
  <cols>
    <col min="1" max="1" width="16.140625" style="5" bestFit="1" customWidth="1"/>
    <col min="2" max="2" width="35.710937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4257812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182</v>
      </c>
      <c r="B3" s="14" t="s">
        <v>379</v>
      </c>
      <c r="C3" s="14" t="s">
        <v>126</v>
      </c>
      <c r="D3" s="16">
        <v>20000</v>
      </c>
      <c r="E3" s="12">
        <v>0</v>
      </c>
      <c r="F3" s="16">
        <v>14154.84</v>
      </c>
      <c r="G3" s="11" t="s">
        <v>127</v>
      </c>
    </row>
    <row r="4" spans="1:7">
      <c r="A4" s="14" t="s">
        <v>184</v>
      </c>
      <c r="B4" s="14" t="s">
        <v>379</v>
      </c>
      <c r="C4" s="14" t="s">
        <v>126</v>
      </c>
      <c r="D4" s="16">
        <v>20000</v>
      </c>
      <c r="E4" s="12">
        <v>0</v>
      </c>
      <c r="F4" s="16">
        <v>20000</v>
      </c>
      <c r="G4" s="11" t="s">
        <v>127</v>
      </c>
    </row>
    <row r="5" spans="1:7">
      <c r="A5" s="14" t="s">
        <v>186</v>
      </c>
      <c r="B5" s="14" t="s">
        <v>379</v>
      </c>
      <c r="C5" s="14" t="s">
        <v>126</v>
      </c>
      <c r="D5" s="16">
        <v>20000</v>
      </c>
      <c r="E5" s="12">
        <v>0</v>
      </c>
      <c r="F5" s="16">
        <v>20000</v>
      </c>
      <c r="G5" s="11" t="s">
        <v>127</v>
      </c>
    </row>
    <row r="6" spans="1:7">
      <c r="A6" s="14" t="s">
        <v>238</v>
      </c>
      <c r="B6" s="14" t="s">
        <v>379</v>
      </c>
      <c r="C6" s="14" t="s">
        <v>126</v>
      </c>
      <c r="D6" s="16">
        <v>20000</v>
      </c>
      <c r="E6" s="12">
        <v>0</v>
      </c>
      <c r="F6" s="16">
        <v>20000</v>
      </c>
      <c r="G6" s="11" t="s">
        <v>127</v>
      </c>
    </row>
    <row r="7" spans="1:7">
      <c r="A7" s="14" t="s">
        <v>193</v>
      </c>
      <c r="B7" s="14" t="s">
        <v>379</v>
      </c>
      <c r="C7" s="14" t="s">
        <v>126</v>
      </c>
      <c r="D7" s="16">
        <v>20000</v>
      </c>
      <c r="E7" s="12">
        <v>0</v>
      </c>
      <c r="F7" s="16">
        <v>20000</v>
      </c>
      <c r="G7" s="11" t="s">
        <v>127</v>
      </c>
    </row>
    <row r="8" spans="1:7">
      <c r="A8" s="14" t="s">
        <v>197</v>
      </c>
      <c r="B8" s="14" t="s">
        <v>379</v>
      </c>
      <c r="C8" s="14" t="s">
        <v>126</v>
      </c>
      <c r="D8" s="16">
        <v>20000</v>
      </c>
      <c r="E8" s="12">
        <v>0</v>
      </c>
      <c r="F8" s="16">
        <v>20000</v>
      </c>
      <c r="G8" s="11" t="s">
        <v>127</v>
      </c>
    </row>
    <row r="9" spans="1:7">
      <c r="F9" s="13">
        <f>SUM(F3:F8)</f>
        <v>114154.84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72D6-9ABE-4ACF-BF0D-F14038D7AE7B}">
  <dimension ref="A2:G10"/>
  <sheetViews>
    <sheetView workbookViewId="0">
      <selection activeCell="C15" sqref="C15"/>
    </sheetView>
  </sheetViews>
  <sheetFormatPr defaultRowHeight="15"/>
  <cols>
    <col min="1" max="1" width="16.140625" style="5" bestFit="1" customWidth="1"/>
    <col min="2" max="2" width="44.5703125" style="5" bestFit="1" customWidth="1"/>
    <col min="3" max="3" width="48.71093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162</v>
      </c>
      <c r="B3" s="14" t="s">
        <v>380</v>
      </c>
      <c r="C3" s="1" t="s">
        <v>126</v>
      </c>
      <c r="D3" s="16">
        <v>18000</v>
      </c>
      <c r="E3" s="12">
        <v>0</v>
      </c>
      <c r="F3" s="16">
        <v>12000</v>
      </c>
      <c r="G3" s="11" t="s">
        <v>127</v>
      </c>
    </row>
    <row r="4" spans="1:7">
      <c r="A4" s="14" t="s">
        <v>166</v>
      </c>
      <c r="B4" s="14" t="s">
        <v>380</v>
      </c>
      <c r="C4" s="2" t="s">
        <v>126</v>
      </c>
      <c r="D4" s="16">
        <v>18000</v>
      </c>
      <c r="E4" s="12">
        <v>0</v>
      </c>
      <c r="F4" s="16">
        <v>18000</v>
      </c>
      <c r="G4" s="11" t="s">
        <v>127</v>
      </c>
    </row>
    <row r="5" spans="1:7">
      <c r="A5" s="14" t="s">
        <v>170</v>
      </c>
      <c r="B5" s="14" t="s">
        <v>380</v>
      </c>
      <c r="C5" s="1" t="s">
        <v>126</v>
      </c>
      <c r="D5" s="16">
        <v>18000</v>
      </c>
      <c r="E5" s="12">
        <v>0</v>
      </c>
      <c r="F5" s="16">
        <v>18000</v>
      </c>
      <c r="G5" s="11" t="s">
        <v>127</v>
      </c>
    </row>
    <row r="6" spans="1:7">
      <c r="A6" s="14" t="s">
        <v>171</v>
      </c>
      <c r="B6" s="14" t="s">
        <v>380</v>
      </c>
      <c r="C6" s="2" t="s">
        <v>126</v>
      </c>
      <c r="D6" s="16">
        <v>18000</v>
      </c>
      <c r="E6" s="12">
        <v>0</v>
      </c>
      <c r="F6" s="16">
        <v>18000</v>
      </c>
      <c r="G6" s="11" t="s">
        <v>127</v>
      </c>
    </row>
    <row r="7" spans="1:7">
      <c r="A7" s="14" t="s">
        <v>172</v>
      </c>
      <c r="B7" s="14" t="s">
        <v>380</v>
      </c>
      <c r="C7" s="1" t="s">
        <v>126</v>
      </c>
      <c r="D7" s="16">
        <v>18000</v>
      </c>
      <c r="E7" s="12">
        <v>0</v>
      </c>
      <c r="F7" s="16">
        <v>18000</v>
      </c>
      <c r="G7" s="11" t="s">
        <v>127</v>
      </c>
    </row>
    <row r="8" spans="1:7">
      <c r="A8" s="17">
        <v>46021</v>
      </c>
      <c r="B8" s="14" t="s">
        <v>380</v>
      </c>
      <c r="C8" s="14" t="s">
        <v>381</v>
      </c>
      <c r="D8" s="16">
        <v>1073.28</v>
      </c>
      <c r="E8" s="16">
        <v>878</v>
      </c>
      <c r="F8" s="16">
        <v>195.28</v>
      </c>
      <c r="G8" s="11" t="s">
        <v>127</v>
      </c>
    </row>
    <row r="9" spans="1:7">
      <c r="A9" s="14" t="s">
        <v>174</v>
      </c>
      <c r="B9" s="14" t="s">
        <v>380</v>
      </c>
      <c r="C9" s="2" t="s">
        <v>126</v>
      </c>
      <c r="D9" s="16">
        <v>18000</v>
      </c>
      <c r="E9" s="12">
        <v>0</v>
      </c>
      <c r="F9" s="16">
        <v>18000</v>
      </c>
      <c r="G9" s="11" t="s">
        <v>127</v>
      </c>
    </row>
    <row r="10" spans="1:7">
      <c r="F10" s="13">
        <f>SUM(F3:F9)</f>
        <v>102195.28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DACA2-EC11-4348-9105-EAAD89621287}">
  <dimension ref="A2:G9"/>
  <sheetViews>
    <sheetView workbookViewId="0">
      <selection activeCell="B11" sqref="B11"/>
    </sheetView>
  </sheetViews>
  <sheetFormatPr defaultRowHeight="15"/>
  <cols>
    <col min="1" max="1" width="16.140625" style="5" bestFit="1" customWidth="1"/>
    <col min="2" max="2" width="46.2851562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197</v>
      </c>
      <c r="B3" s="14" t="s">
        <v>382</v>
      </c>
      <c r="C3" s="2" t="s">
        <v>126</v>
      </c>
      <c r="D3" s="16">
        <v>2500</v>
      </c>
      <c r="E3" s="12">
        <v>0</v>
      </c>
      <c r="F3" s="16">
        <v>2500</v>
      </c>
      <c r="G3" s="11" t="s">
        <v>127</v>
      </c>
    </row>
    <row r="4" spans="1:7">
      <c r="A4" s="14" t="s">
        <v>198</v>
      </c>
      <c r="B4" s="14" t="s">
        <v>382</v>
      </c>
      <c r="C4" s="1" t="s">
        <v>126</v>
      </c>
      <c r="D4" s="16">
        <v>2500</v>
      </c>
      <c r="E4" s="12">
        <v>0</v>
      </c>
      <c r="F4" s="16">
        <v>2500</v>
      </c>
      <c r="G4" s="11" t="s">
        <v>127</v>
      </c>
    </row>
    <row r="5" spans="1:7">
      <c r="A5" s="14"/>
      <c r="B5" s="14"/>
      <c r="C5" s="2"/>
      <c r="D5" s="16"/>
      <c r="F5" s="20">
        <f>SUM(F3:F4)</f>
        <v>5000</v>
      </c>
    </row>
    <row r="6" spans="1:7">
      <c r="A6" s="14"/>
      <c r="B6" s="14"/>
      <c r="C6" s="1"/>
      <c r="D6" s="16"/>
      <c r="F6" s="16"/>
    </row>
    <row r="7" spans="1:7">
      <c r="A7" s="17"/>
      <c r="B7" s="14"/>
      <c r="C7" s="14"/>
      <c r="D7" s="16"/>
      <c r="E7" s="16"/>
      <c r="F7" s="16"/>
    </row>
    <row r="8" spans="1:7">
      <c r="A8" s="14"/>
      <c r="B8" s="14"/>
      <c r="C8" s="2"/>
      <c r="D8" s="16"/>
      <c r="F8" s="16"/>
    </row>
    <row r="9" spans="1:7">
      <c r="F9" s="13"/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9C8F-3FE1-4EEF-89B0-F4C73725F76B}">
  <dimension ref="A2:G9"/>
  <sheetViews>
    <sheetView workbookViewId="0">
      <selection activeCell="E10" sqref="E10"/>
    </sheetView>
  </sheetViews>
  <sheetFormatPr defaultRowHeight="15"/>
  <cols>
    <col min="1" max="1" width="16.140625" style="5" bestFit="1" customWidth="1"/>
    <col min="2" max="2" width="46.2851562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7">
        <v>46021</v>
      </c>
      <c r="B3" s="14" t="s">
        <v>383</v>
      </c>
      <c r="C3" s="1" t="s">
        <v>126</v>
      </c>
      <c r="D3" s="16">
        <v>28500</v>
      </c>
      <c r="E3" s="12">
        <v>22250</v>
      </c>
      <c r="F3" s="15">
        <v>6250</v>
      </c>
      <c r="G3" s="11" t="s">
        <v>127</v>
      </c>
    </row>
    <row r="4" spans="1:7">
      <c r="A4" s="14" t="s">
        <v>384</v>
      </c>
      <c r="B4" s="14" t="s">
        <v>383</v>
      </c>
      <c r="C4" s="2" t="s">
        <v>126</v>
      </c>
      <c r="D4" s="16">
        <v>28500</v>
      </c>
      <c r="E4" s="12">
        <v>0</v>
      </c>
      <c r="F4" s="15">
        <v>28500</v>
      </c>
      <c r="G4" s="11" t="s">
        <v>127</v>
      </c>
    </row>
    <row r="5" spans="1:7">
      <c r="A5" s="14"/>
      <c r="B5" s="14"/>
      <c r="C5" s="2"/>
      <c r="D5" s="16"/>
      <c r="F5" s="20">
        <f>SUM(F3:F4)</f>
        <v>34750</v>
      </c>
    </row>
    <row r="6" spans="1:7">
      <c r="A6" s="14"/>
      <c r="B6" s="14"/>
      <c r="C6" s="1"/>
      <c r="D6" s="16"/>
      <c r="F6" s="16"/>
    </row>
    <row r="7" spans="1:7">
      <c r="A7" s="17"/>
      <c r="B7" s="14"/>
      <c r="C7" s="14"/>
      <c r="D7" s="16"/>
      <c r="E7" s="16"/>
      <c r="F7" s="16"/>
    </row>
    <row r="8" spans="1:7">
      <c r="A8" s="14"/>
      <c r="B8" s="14"/>
      <c r="C8" s="2"/>
      <c r="D8" s="16"/>
      <c r="F8" s="16"/>
    </row>
    <row r="9" spans="1:7">
      <c r="F9" s="13"/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27A3-B83F-4376-BD1A-8FF4990DBB3F}">
  <dimension ref="A2:G11"/>
  <sheetViews>
    <sheetView workbookViewId="0">
      <selection activeCell="F6" sqref="F6"/>
    </sheetView>
  </sheetViews>
  <sheetFormatPr defaultRowHeight="15"/>
  <cols>
    <col min="1" max="1" width="16.140625" style="5" bestFit="1" customWidth="1"/>
    <col min="2" max="2" width="19.42578125" style="5" bestFit="1" customWidth="1"/>
    <col min="3" max="3" width="32.570312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203</v>
      </c>
      <c r="B3" s="14" t="s">
        <v>385</v>
      </c>
      <c r="C3" s="14" t="s">
        <v>386</v>
      </c>
      <c r="D3" s="15">
        <v>2484</v>
      </c>
      <c r="E3" s="12">
        <v>0</v>
      </c>
      <c r="F3" s="15">
        <v>2484</v>
      </c>
      <c r="G3" s="11" t="s">
        <v>127</v>
      </c>
    </row>
    <row r="4" spans="1:7">
      <c r="A4" s="14" t="s">
        <v>203</v>
      </c>
      <c r="B4" s="14" t="s">
        <v>385</v>
      </c>
      <c r="C4" s="14" t="s">
        <v>387</v>
      </c>
      <c r="D4" s="15">
        <v>1800</v>
      </c>
      <c r="E4" s="12">
        <v>0</v>
      </c>
      <c r="F4" s="15">
        <v>1800</v>
      </c>
      <c r="G4" s="11" t="s">
        <v>127</v>
      </c>
    </row>
    <row r="5" spans="1:7">
      <c r="A5" s="14" t="s">
        <v>203</v>
      </c>
      <c r="B5" s="14" t="s">
        <v>385</v>
      </c>
      <c r="C5" s="14" t="s">
        <v>388</v>
      </c>
      <c r="D5" s="15">
        <v>2311.4</v>
      </c>
      <c r="E5" s="12">
        <v>0</v>
      </c>
      <c r="F5" s="15">
        <v>2311.4</v>
      </c>
      <c r="G5" s="11" t="s">
        <v>127</v>
      </c>
    </row>
    <row r="6" spans="1:7">
      <c r="A6" s="14"/>
      <c r="B6" s="14"/>
      <c r="C6" s="2"/>
      <c r="D6" s="16"/>
      <c r="F6" s="20">
        <f>SUM(F3:F5)</f>
        <v>6595.4</v>
      </c>
    </row>
    <row r="7" spans="1:7">
      <c r="A7" s="14"/>
      <c r="B7" s="14"/>
      <c r="C7" s="1"/>
      <c r="D7" s="16"/>
      <c r="F7" s="16"/>
    </row>
    <row r="8" spans="1:7">
      <c r="A8" s="17"/>
      <c r="B8" s="14"/>
      <c r="C8" s="14"/>
      <c r="D8" s="16"/>
      <c r="E8" s="16"/>
      <c r="F8" s="16"/>
    </row>
    <row r="9" spans="1:7">
      <c r="A9" s="14"/>
      <c r="B9" s="14" t="s">
        <v>389</v>
      </c>
      <c r="C9" s="2"/>
      <c r="D9" s="16"/>
      <c r="F9" s="16"/>
    </row>
    <row r="10" spans="1:7">
      <c r="F10" s="13"/>
    </row>
    <row r="11" spans="1:7">
      <c r="C11" s="8"/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F9DDF-7326-48EE-BDA1-5CF8C50AD396}">
  <dimension ref="A2:G9"/>
  <sheetViews>
    <sheetView workbookViewId="0">
      <selection activeCell="F4" sqref="F4"/>
    </sheetView>
  </sheetViews>
  <sheetFormatPr defaultRowHeight="15"/>
  <cols>
    <col min="1" max="1" width="16.140625" style="5" bestFit="1" customWidth="1"/>
    <col min="2" max="2" width="26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271</v>
      </c>
      <c r="B3" s="14" t="s">
        <v>390</v>
      </c>
      <c r="C3" s="2" t="s">
        <v>126</v>
      </c>
      <c r="D3" s="15">
        <v>1000</v>
      </c>
      <c r="E3" s="12">
        <v>500</v>
      </c>
      <c r="F3" s="15">
        <v>500</v>
      </c>
      <c r="G3" s="11" t="s">
        <v>127</v>
      </c>
    </row>
    <row r="4" spans="1:7">
      <c r="A4" s="14" t="s">
        <v>272</v>
      </c>
      <c r="B4" s="14" t="s">
        <v>390</v>
      </c>
      <c r="C4" s="1" t="s">
        <v>126</v>
      </c>
      <c r="D4" s="15">
        <v>1000</v>
      </c>
      <c r="E4" s="12">
        <v>0</v>
      </c>
      <c r="F4" s="15">
        <v>1000</v>
      </c>
      <c r="G4" s="11" t="s">
        <v>127</v>
      </c>
    </row>
    <row r="5" spans="1:7">
      <c r="A5" s="14"/>
      <c r="B5" s="14"/>
      <c r="C5" s="2"/>
      <c r="D5" s="16"/>
      <c r="F5" s="20">
        <f>SUM(F3:F4)</f>
        <v>1500</v>
      </c>
    </row>
    <row r="6" spans="1:7">
      <c r="A6" s="14"/>
      <c r="B6" s="14"/>
      <c r="C6" s="1"/>
      <c r="D6" s="16"/>
      <c r="F6" s="16"/>
    </row>
    <row r="7" spans="1:7">
      <c r="A7" s="17"/>
      <c r="B7" s="14"/>
      <c r="C7" s="14"/>
      <c r="D7" s="16"/>
      <c r="E7" s="16"/>
      <c r="F7" s="16"/>
    </row>
    <row r="8" spans="1:7">
      <c r="A8" s="14"/>
      <c r="B8" s="14"/>
      <c r="C8" s="2"/>
      <c r="D8" s="16"/>
      <c r="F8" s="16"/>
    </row>
    <row r="9" spans="1:7">
      <c r="F9" s="13"/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5776-7EF3-4C95-8294-A8FB24D5E48C}">
  <dimension ref="A2:G12"/>
  <sheetViews>
    <sheetView workbookViewId="0">
      <selection activeCell="G15" sqref="G15"/>
    </sheetView>
  </sheetViews>
  <sheetFormatPr defaultRowHeight="15"/>
  <cols>
    <col min="1" max="1" width="16.140625" style="5" bestFit="1" customWidth="1"/>
    <col min="2" max="2" width="46.28515625" style="5" bestFit="1" customWidth="1"/>
    <col min="3" max="3" width="23.85546875" style="5" bestFit="1" customWidth="1"/>
    <col min="4" max="4" width="15.7109375" style="12" bestFit="1" customWidth="1"/>
    <col min="5" max="5" width="13.28515625" style="12" bestFit="1" customWidth="1"/>
    <col min="6" max="6" width="17.28515625" style="12" bestFit="1" customWidth="1"/>
    <col min="7" max="7" width="10.7109375" style="11" bestFit="1" customWidth="1"/>
    <col min="8" max="16384" width="9.140625" style="5"/>
  </cols>
  <sheetData>
    <row r="2" spans="1:7">
      <c r="A2" s="3" t="s">
        <v>116</v>
      </c>
      <c r="B2" s="3" t="s">
        <v>117</v>
      </c>
      <c r="C2" s="3" t="s">
        <v>118</v>
      </c>
      <c r="D2" s="13" t="s">
        <v>119</v>
      </c>
      <c r="E2" s="13" t="s">
        <v>120</v>
      </c>
      <c r="F2" s="13" t="s">
        <v>122</v>
      </c>
      <c r="G2" s="9" t="s">
        <v>123</v>
      </c>
    </row>
    <row r="3" spans="1:7">
      <c r="A3" s="14" t="s">
        <v>314</v>
      </c>
      <c r="B3" s="14" t="s">
        <v>391</v>
      </c>
      <c r="C3" s="1" t="s">
        <v>126</v>
      </c>
      <c r="D3" s="16">
        <v>22972.400000000001</v>
      </c>
      <c r="E3" s="16">
        <v>11486.2</v>
      </c>
      <c r="F3" s="16">
        <v>11486.2</v>
      </c>
      <c r="G3" s="11" t="s">
        <v>127</v>
      </c>
    </row>
    <row r="4" spans="1:7">
      <c r="A4" s="14" t="s">
        <v>392</v>
      </c>
      <c r="B4" s="14" t="s">
        <v>391</v>
      </c>
      <c r="C4" s="1" t="s">
        <v>126</v>
      </c>
      <c r="D4" s="16">
        <v>22972.400000000001</v>
      </c>
      <c r="E4" s="16">
        <v>11486.2</v>
      </c>
      <c r="F4" s="16">
        <v>11486.2</v>
      </c>
      <c r="G4" s="11" t="s">
        <v>127</v>
      </c>
    </row>
    <row r="5" spans="1:7">
      <c r="A5" s="14" t="s">
        <v>393</v>
      </c>
      <c r="B5" s="14" t="s">
        <v>391</v>
      </c>
      <c r="C5" s="1" t="s">
        <v>126</v>
      </c>
      <c r="D5" s="16">
        <v>22972.400000000001</v>
      </c>
      <c r="E5" s="16">
        <v>11486.2</v>
      </c>
      <c r="F5" s="16">
        <v>11486.2</v>
      </c>
      <c r="G5" s="11" t="s">
        <v>127</v>
      </c>
    </row>
    <row r="6" spans="1:7">
      <c r="A6" s="14" t="s">
        <v>124</v>
      </c>
      <c r="B6" s="14" t="s">
        <v>391</v>
      </c>
      <c r="C6" s="1" t="s">
        <v>126</v>
      </c>
      <c r="D6" s="16">
        <v>22972.400000000001</v>
      </c>
      <c r="E6" s="16">
        <v>11486.2</v>
      </c>
      <c r="F6" s="16">
        <v>11486.2</v>
      </c>
      <c r="G6" s="11" t="s">
        <v>127</v>
      </c>
    </row>
    <row r="7" spans="1:7">
      <c r="A7" s="14" t="s">
        <v>128</v>
      </c>
      <c r="B7" s="14" t="s">
        <v>391</v>
      </c>
      <c r="C7" s="1" t="s">
        <v>126</v>
      </c>
      <c r="D7" s="16">
        <v>22972.400000000001</v>
      </c>
      <c r="E7" s="16">
        <v>11486.2</v>
      </c>
      <c r="F7" s="16">
        <v>11486.2</v>
      </c>
      <c r="G7" s="11" t="s">
        <v>127</v>
      </c>
    </row>
    <row r="8" spans="1:7">
      <c r="A8" s="14" t="s">
        <v>129</v>
      </c>
      <c r="B8" s="14" t="s">
        <v>391</v>
      </c>
      <c r="C8" s="1" t="s">
        <v>126</v>
      </c>
      <c r="D8" s="16">
        <v>22972.400000000001</v>
      </c>
      <c r="E8" s="16">
        <v>11486.2</v>
      </c>
      <c r="F8" s="16">
        <v>11486.2</v>
      </c>
      <c r="G8" s="11" t="s">
        <v>127</v>
      </c>
    </row>
    <row r="9" spans="1:7">
      <c r="A9" s="14" t="s">
        <v>203</v>
      </c>
      <c r="B9" s="14" t="s">
        <v>391</v>
      </c>
      <c r="C9" s="1" t="s">
        <v>126</v>
      </c>
      <c r="D9" s="16">
        <v>22972.400000000001</v>
      </c>
      <c r="E9" s="16">
        <v>11486.2</v>
      </c>
      <c r="F9" s="16">
        <v>11486.2</v>
      </c>
      <c r="G9" s="11" t="s">
        <v>127</v>
      </c>
    </row>
    <row r="10" spans="1:7">
      <c r="A10" s="14" t="s">
        <v>204</v>
      </c>
      <c r="B10" s="14" t="s">
        <v>391</v>
      </c>
      <c r="C10" s="1" t="s">
        <v>126</v>
      </c>
      <c r="D10" s="16">
        <v>22972.400000000001</v>
      </c>
      <c r="E10" s="16">
        <v>11486.2</v>
      </c>
      <c r="F10" s="16">
        <v>11486.2</v>
      </c>
      <c r="G10" s="11" t="s">
        <v>127</v>
      </c>
    </row>
    <row r="11" spans="1:7">
      <c r="A11" s="17">
        <v>46052</v>
      </c>
      <c r="B11" s="14" t="s">
        <v>391</v>
      </c>
      <c r="C11" s="1" t="s">
        <v>126</v>
      </c>
      <c r="D11" s="16">
        <v>22972.400000000001</v>
      </c>
      <c r="E11" s="16">
        <v>11486.2</v>
      </c>
      <c r="F11" s="16">
        <v>11486.2</v>
      </c>
      <c r="G11" s="11" t="s">
        <v>127</v>
      </c>
    </row>
    <row r="12" spans="1:7">
      <c r="F12" s="13">
        <f>SUM(F3:F11)</f>
        <v>103375.79999999999</v>
      </c>
    </row>
  </sheetData>
  <phoneticPr fontId="4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98243BF07E9DA41B761BCF98AA9D7E7" ma:contentTypeVersion="11" ma:contentTypeDescription="Crie um novo documento." ma:contentTypeScope="" ma:versionID="1b091ba967b1fa3fd7ad10e55226260c">
  <xsd:schema xmlns:xsd="http://www.w3.org/2001/XMLSchema" xmlns:xs="http://www.w3.org/2001/XMLSchema" xmlns:p="http://schemas.microsoft.com/office/2006/metadata/properties" xmlns:ns2="a9774cfc-bdb6-4040-a3ab-fb8afc19de94" xmlns:ns3="edc630bb-eda2-4287-8c9e-976e67b302d9" targetNamespace="http://schemas.microsoft.com/office/2006/metadata/properties" ma:root="true" ma:fieldsID="24bbb7c93671aa44556485cb9d93b9f6" ns2:_="" ns3:_="">
    <xsd:import namespace="a9774cfc-bdb6-4040-a3ab-fb8afc19de94"/>
    <xsd:import namespace="edc630bb-eda2-4287-8c9e-976e67b302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74cfc-bdb6-4040-a3ab-fb8afc19de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6ea828-ee11-446e-95b9-ad31c686fb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630bb-eda2-4287-8c9e-976e67b302d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64c72f6-2611-4a3b-a62f-b40a56f3db40}" ma:internalName="TaxCatchAll" ma:showField="CatchAllData" ma:web="edc630bb-eda2-4287-8c9e-976e67b302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774cfc-bdb6-4040-a3ab-fb8afc19de94">
      <Terms xmlns="http://schemas.microsoft.com/office/infopath/2007/PartnerControls"/>
    </lcf76f155ced4ddcb4097134ff3c332f>
    <TaxCatchAll xmlns="edc630bb-eda2-4287-8c9e-976e67b302d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D30E2D6-DB4F-41ED-A563-FF8AC29F1EB3}"/>
</file>

<file path=customXml/itemProps2.xml><?xml version="1.0" encoding="utf-8"?>
<ds:datastoreItem xmlns:ds="http://schemas.openxmlformats.org/officeDocument/2006/customXml" ds:itemID="{6CBB56A0-684A-4F33-8B7C-B3F6C0A3C70A}"/>
</file>

<file path=customXml/itemProps3.xml><?xml version="1.0" encoding="utf-8"?>
<ds:datastoreItem xmlns:ds="http://schemas.openxmlformats.org/officeDocument/2006/customXml" ds:itemID="{B662AE3A-D72A-4656-9191-3AFCE9C20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 Herculano Bangart Pires</dc:creator>
  <cp:keywords/>
  <dc:description/>
  <cp:lastModifiedBy/>
  <cp:revision/>
  <dcterms:created xsi:type="dcterms:W3CDTF">2026-01-28T14:23:35Z</dcterms:created>
  <dcterms:modified xsi:type="dcterms:W3CDTF">2026-02-12T13:55:03Z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0x010100A98243BF07E9DA41B761BCF98AA9D7E7</vt:lpwstr>
  </property>
  <property fmtid="{D5CDD505-2E9C-101B-9397-08002B2CF9AE}" pid="3" name="MediaServiceImageTags">
    <vt:lpwstr/>
  </property>
</Properties>
</file>