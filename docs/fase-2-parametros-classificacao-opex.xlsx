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onfiguracao" state="visible" r:id="rId5"/>
    <sheet sheetId="3" name="Exclusoes" state="visible" r:id="rId6"/>
    <sheet sheetId="4" name="Classificacao_contas" state="visible" r:id="rId7"/>
    <sheet sheetId="5" name="Lancamentos" state="visible" r:id="rId8"/>
    <sheet sheetId="6" name="Reconciliacao" state="visible" r:id="rId9"/>
    <sheet sheetId="7" name="Excluidos_por_motivo" state="visible" r:id="rId10"/>
    <sheet sheetId="8" name="Reembolsaveis_por_depto" state="visible" r:id="rId11"/>
    <sheet sheetId="9" name="Controle_reembolso" state="visible" r:id="rId12"/>
    <sheet sheetId="10" name="Repasse" state="visible" r:id="rId13"/>
    <sheet sheetId="11" name="Repasse_lancamentos" state="visible" r:id="rId14"/>
    <sheet sheetId="12" name="Repasse_sem_vinculo" state="visible" r:id="rId15"/>
    <sheet sheetId="13" name="Tributos_mensal" state="visible" r:id="rId16"/>
    <sheet sheetId="14" name="Socios_capital" state="visible" r:id="rId17"/>
    <sheet sheetId="15" name="Provisao_13_ferias" state="visible" r:id="rId18"/>
    <sheet sheetId="16" name="Alerta_outros" state="visible" r:id="rId19"/>
    <sheet sheetId="17" name="Referencia_2026" state="visible" r:id="rId20"/>
    <sheet sheetId="18" name="Pessoas_fte" state="visible" r:id="rId21"/>
  </sheets>
  <calcPr calcId="171027"/>
</workbook>
</file>

<file path=xl/sharedStrings.xml><?xml version="1.0" encoding="utf-8"?>
<sst xmlns="http://schemas.openxmlformats.org/spreadsheetml/2006/main" count="73292" uniqueCount="1897">
  <si>
    <t>Tópico</t>
  </si>
  <si>
    <t>Conteúdo</t>
  </si>
  <si>
    <t>O que é este arquivo</t>
  </si>
  <si>
    <t>Configuração e classificação da Fase 2. Nada aqui é o indicador final. Os limiares de materialidade estão em branco para você preencher.</t>
  </si>
  <si>
    <t>Período</t>
  </si>
  <si>
    <t>2026-01 a 2026-08. Agosto é o último mês fechado em 23/09/2026. Edite em Configuracao; os números desta geração usam esse recorte.</t>
  </si>
  <si>
    <t>Regime</t>
  </si>
  <si>
    <t>Eixo = competência (competencia_titulo, valor do item). Caixa (data_pagamento, valor pago) entra na conciliação. Os dois estão calculados.</t>
  </si>
  <si>
    <t>Referência 2026</t>
  </si>
  <si>
    <t>Não é orçamento aprovado. Referência montada em jul/2026 a partir do realizado até ago. Aba Referencia_2026.</t>
  </si>
  <si>
    <t>Sócios de capital</t>
  </si>
  <si>
    <t>Pró-labore 8.1.03, contas nominais de sócios e distribuição de lucros ficam FORA do OPEX, na linha Remuneração de sócios de capital, abaixo do resultado operacional. Associados (8.1.01) e sócios de serviço permanecem em Pessoas.</t>
  </si>
  <si>
    <t>Reembolso</t>
  </si>
  <si>
    <t>PAGAR com departamento Conta Corrente Clientes sai do OPEX. Custas 5.6.02, 2.6.01, 2.6.01.005, 2.6.03, 5.16.06 e 5.16.07 em qualquer outro departamento ficam no OPEX, grupo Despesas Processuais, com flag.</t>
  </si>
  <si>
    <t>Repasse</t>
  </si>
  <si>
    <t>2.6.04.000 está fora do OPEX e não teve movimento no período. O repasse efetivo está em 3.2.07.000 (REPASSE DE OUTRAS RECEITAS), também fora. A entrada correspondente no RECEBER está documentada na aba Repasse.</t>
  </si>
  <si>
    <t>Tributos</t>
  </si>
  <si>
    <t>DAS 2.2.06.002, DARF 2.2.06.001, ISS 3.3.01.000, ISSQN 2.2.06.003 e Tributos 2.2.06.000 saem do OPEX. No período essas contas estão zeradas, exceto ISS (R$ 209,13). O DAS, o parcelamento do Simples e o PGFN foram lançados na 5.14.03 e saíram do OPEX com status sugerida e flag composição pendente. Anuidade e demais linhas da 5.14.03 permanecem no OPEX, com flag para revisão.</t>
  </si>
  <si>
    <t>Financeiras</t>
  </si>
  <si>
    <t>5.18.01, 5.18.02, 5.18.04 e 5.18.05 ficam no OPEX (Administrativo e Financeiro / Custos bancários e de cobrança). 5.18.03 multas e juros fica fora.</t>
  </si>
  <si>
    <t>Como editar</t>
  </si>
  <si>
    <t>Na aba Lancamentos, preencha override_dentro_opex ou override_recorrente. A coluna final e a Reconciliacao em fórmula acompanham o override. A classificação sugerida está na aba Classificacao_contas.</t>
  </si>
  <si>
    <t>Materialidade</t>
  </si>
  <si>
    <t>Um item só é material se o valor E o percentual sobre o OPEX de competência atingirem os dois limiares. Enquanto estiverem vazios, a coluna fica "aguardando limiar".</t>
  </si>
  <si>
    <t>Alerta Outros</t>
  </si>
  <si>
    <t>Outros = 0,00% do OPEX de competência, dentro do limite de 5%.</t>
  </si>
  <si>
    <t>13º e férias</t>
  </si>
  <si>
    <t>provisionar_13_ferias = sim. A aba Provisao_13_ferias mostra o lançado e uma provisão sugerida (soma do período / 8). A base não é folha individual, porque o cadastro não tem custo por pessoa.</t>
  </si>
  <si>
    <t>parametro</t>
  </si>
  <si>
    <t>valor</t>
  </si>
  <si>
    <t>opcoes_ou_nota</t>
  </si>
  <si>
    <t>periodo_inicio</t>
  </si>
  <si>
    <t>2026-01</t>
  </si>
  <si>
    <t>editável</t>
  </si>
  <si>
    <t>periodo_fim</t>
  </si>
  <si>
    <t>2026-08</t>
  </si>
  <si>
    <t>último mês fechado em 23/09/2026</t>
  </si>
  <si>
    <t>regime_eixo</t>
  </si>
  <si>
    <t>competencia</t>
  </si>
  <si>
    <t>competencia | caixa</t>
  </si>
  <si>
    <t>regime_conciliacao</t>
  </si>
  <si>
    <t>caixa</t>
  </si>
  <si>
    <t>o outro regime, para bater caixa e competência</t>
  </si>
  <si>
    <t>calcular_ambos</t>
  </si>
  <si>
    <t>sim</t>
  </si>
  <si>
    <t>os dois regimes estão nas colunas valor_competencia e valor_caixa</t>
  </si>
  <si>
    <t>receita_referencia</t>
  </si>
  <si>
    <t>liquida_faturada</t>
  </si>
  <si>
    <t>liquida_faturada (eficiência) | recebida (só leitura de caixa)</t>
  </si>
  <si>
    <t>tratamento_socios</t>
  </si>
  <si>
    <t>fora_do_opex</t>
  </si>
  <si>
    <t>fora_do_opex | dentro_do_opex</t>
  </si>
  <si>
    <t>limiar_materialidade_valor</t>
  </si>
  <si>
    <t>R$. Preencher. Item material só se valor E percentual passarem.</t>
  </si>
  <si>
    <t>limiar_materialidade_pct</t>
  </si>
  <si>
    <t>Percentual sobre o OPEX de competência do período. Ex.: 1 para 1%.</t>
  </si>
  <si>
    <t>peso_fte_estagiario</t>
  </si>
  <si>
    <t>usado na aba Pessoas_fte</t>
  </si>
  <si>
    <t>meses_run_rate</t>
  </si>
  <si>
    <t>parâmetro para a fase de cálculo; ainda não aplicado a um indicador</t>
  </si>
  <si>
    <t>provisionar_13_ferias</t>
  </si>
  <si>
    <t>ver aba Provisao_13_ferias</t>
  </si>
  <si>
    <t>nome_orcamento</t>
  </si>
  <si>
    <t>não é orçamento aprovado</t>
  </si>
  <si>
    <t>nota_orcamento</t>
  </si>
  <si>
    <t>referência montada em jul/2026 a partir do realizado até ago</t>
  </si>
  <si>
    <t>usar este texto em qualquer saída</t>
  </si>
  <si>
    <t>regra</t>
  </si>
  <si>
    <t>chave</t>
  </si>
  <si>
    <t>efeito</t>
  </si>
  <si>
    <t>destino</t>
  </si>
  <si>
    <t>status</t>
  </si>
  <si>
    <t>nota</t>
  </si>
  <si>
    <t>departamento</t>
  </si>
  <si>
    <t>Conta Corrente Clientes</t>
  </si>
  <si>
    <t>fora do OPEX</t>
  </si>
  <si>
    <t>Despesas reembolsáveis de clientes</t>
  </si>
  <si>
    <t>confirmada</t>
  </si>
  <si>
    <t>Vale para qualquer conta PAGAR nesse departamento.</t>
  </si>
  <si>
    <t>conta</t>
  </si>
  <si>
    <t>2.6.04.000</t>
  </si>
  <si>
    <t>Repasse ao cliente</t>
  </si>
  <si>
    <t>Sem movimento em jan–ago/2026.</t>
  </si>
  <si>
    <t>3.2.07.000</t>
  </si>
  <si>
    <t>É a conta que carrega o repasse no período.</t>
  </si>
  <si>
    <t>8.1.03.000</t>
  </si>
  <si>
    <t>Remuneração de sócios de capital</t>
  </si>
  <si>
    <t>Pró-labore = sócio de capital.</t>
  </si>
  <si>
    <t>2.4.01.000</t>
  </si>
  <si>
    <t>Conta nominal Ricardo Pires.</t>
  </si>
  <si>
    <t>2.4.02.000</t>
  </si>
  <si>
    <t>Conta nominal Gustavo Bismarchi.</t>
  </si>
  <si>
    <t>7.1.01.000</t>
  </si>
  <si>
    <t>Distribuição de lucros.</t>
  </si>
  <si>
    <t>7.1.02.000</t>
  </si>
  <si>
    <t>Dividendos parcelas fixas.</t>
  </si>
  <si>
    <t>prefixo</t>
  </si>
  <si>
    <t>10.</t>
  </si>
  <si>
    <t>Investimento / CAPEX</t>
  </si>
  <si>
    <t/>
  </si>
  <si>
    <t>3.4</t>
  </si>
  <si>
    <t>Deduções da receita</t>
  </si>
  <si>
    <t>Devolução de honorários.</t>
  </si>
  <si>
    <t>2.2.06.002</t>
  </si>
  <si>
    <t>Deduções / tributos sobre faturamento</t>
  </si>
  <si>
    <t>DAS. Flag composição pendente.</t>
  </si>
  <si>
    <t>2.2.06.001</t>
  </si>
  <si>
    <t>DARF. Flag composição pendente.</t>
  </si>
  <si>
    <t>3.3.01.000</t>
  </si>
  <si>
    <t>ISS. Flag composição pendente.</t>
  </si>
  <si>
    <t>2.2.06.003</t>
  </si>
  <si>
    <t>ISSQN. Flag composição pendente.</t>
  </si>
  <si>
    <t>2.2.06.000</t>
  </si>
  <si>
    <t>Tributos da sede. Flag composição pendente. Sem movimento no período.</t>
  </si>
  <si>
    <t>descrição na conta de impostos</t>
  </si>
  <si>
    <t>DAS, DARF, ISSQN, Simples Nacional, parcelamento PGFN</t>
  </si>
  <si>
    <t>sugerida</t>
  </si>
  <si>
    <t>No período isso está na 5.14.03, não nas contas 2.2.06. Anuidade da mesma conta permanece no OPEX.</t>
  </si>
  <si>
    <t>5.18.03.000</t>
  </si>
  <si>
    <t>Multas e juros</t>
  </si>
  <si>
    <t>1.1.02 / 1.1.03 / 1.1.08</t>
  </si>
  <si>
    <t>Adiantamento ou transferência</t>
  </si>
  <si>
    <t>Não é despesa operacional. Entra na reconciliação como excluído.</t>
  </si>
  <si>
    <t>5.6.02 / 2.6.01 / 2.6.01.005 / 2.6.03 / 5.16.06 / 5.16.07</t>
  </si>
  <si>
    <t>dentro do OPEX</t>
  </si>
  <si>
    <t>Despesas Processuais</t>
  </si>
  <si>
    <t>Só quando o departamento NÃO é Conta Corrente Clientes. Flag processual_possivelmente_reembolsavel.</t>
  </si>
  <si>
    <t>4.1.01 / 4.1.02 / 2.3.07</t>
  </si>
  <si>
    <t>Comissões</t>
  </si>
  <si>
    <t>Natureza variável.</t>
  </si>
  <si>
    <t>5.18.01 / 5.18.02 / 5.18.04 / 5.18.05</t>
  </si>
  <si>
    <t>Administrativo e Financeiro</t>
  </si>
  <si>
    <t>Subgrupo Custos bancários e de cobrança. 5.18.05 = tarifas de boleto.</t>
  </si>
  <si>
    <t>receita</t>
  </si>
  <si>
    <t>RECEBER + Conta Corrente Clientes + REEMBOLSO DE DESPESAS</t>
  </si>
  <si>
    <t>fora da receita</t>
  </si>
  <si>
    <t>Reembolso de despesas</t>
  </si>
  <si>
    <t>Não entra na receita de referência.</t>
  </si>
  <si>
    <t>conta_numero</t>
  </si>
  <si>
    <t>plano_contas</t>
  </si>
  <si>
    <t>grupo_conta</t>
  </si>
  <si>
    <t>dentro_opex</t>
  </si>
  <si>
    <t>status_perimetro</t>
  </si>
  <si>
    <t>motivo_perimetro</t>
  </si>
  <si>
    <t>grupo_gerencial</t>
  </si>
  <si>
    <t>subgrupo</t>
  </si>
  <si>
    <t>natureza</t>
  </si>
  <si>
    <t>controlabilidade</t>
  </si>
  <si>
    <t>tipo</t>
  </si>
  <si>
    <t>potencial_eficiencia</t>
  </si>
  <si>
    <t>status_classificacao</t>
  </si>
  <si>
    <t>flag</t>
  </si>
  <si>
    <t>qtd_lancamentos</t>
  </si>
  <si>
    <t>valor_competencia</t>
  </si>
  <si>
    <t>valor_caixa</t>
  </si>
  <si>
    <t>pct_opex_competencia</t>
  </si>
  <si>
    <t>8.1.01.000</t>
  </si>
  <si>
    <t>HONORÁRIOS ASSOCIADOS</t>
  </si>
  <si>
    <t>REMUNERAÇãO FIXA</t>
  </si>
  <si>
    <t>Pessoas</t>
  </si>
  <si>
    <t>Associados</t>
  </si>
  <si>
    <t>fixa</t>
  </si>
  <si>
    <t>contratual</t>
  </si>
  <si>
    <t>despesa</t>
  </si>
  <si>
    <t>médio</t>
  </si>
  <si>
    <t>DISTRIBUIÇãO DE LUCROS</t>
  </si>
  <si>
    <t>não</t>
  </si>
  <si>
    <t>—</t>
  </si>
  <si>
    <t>exclusão</t>
  </si>
  <si>
    <t>não avaliado</t>
  </si>
  <si>
    <t>abaixo_do_resultado_operacional</t>
  </si>
  <si>
    <t>PRÓ-LABORE</t>
  </si>
  <si>
    <t>REPASSE DE OUTRAS RECEITAS</t>
  </si>
  <si>
    <t>OUTRAS RECEITAS OPERACIONAIS</t>
  </si>
  <si>
    <t>Repasse ao cliente (3.2.07 REPASSE DE OUTRAS RECEITAS; 2.6.04 sem movimento no período)</t>
  </si>
  <si>
    <t>repasse</t>
  </si>
  <si>
    <t>5.14.03.000</t>
  </si>
  <si>
    <t>IMPOSTOS E TAXAS</t>
  </si>
  <si>
    <t>IMPOSTOS, TAXAS E SEGUROS</t>
  </si>
  <si>
    <t>composicao_pendente;lancado_em_5.14.03.000_descricao_DAS_parcelamento</t>
  </si>
  <si>
    <t>5.8.20.000</t>
  </si>
  <si>
    <t>CONSULTORIA</t>
  </si>
  <si>
    <t>DESPESAS COM SERVIÇOS DE TERCEIROS</t>
  </si>
  <si>
    <t>Serviços Terceirizados</t>
  </si>
  <si>
    <t>Serviços de terceiros</t>
  </si>
  <si>
    <t>semivariável</t>
  </si>
  <si>
    <t>alto</t>
  </si>
  <si>
    <t>departamento_conta_corrente_clientes</t>
  </si>
  <si>
    <t>5.13.01.000</t>
  </si>
  <si>
    <t>ALUGUEL DE IMÓVEL</t>
  </si>
  <si>
    <t>ALUGUÉIS</t>
  </si>
  <si>
    <t>Ocupação/Facilities</t>
  </si>
  <si>
    <t>Aluguel</t>
  </si>
  <si>
    <t>baixo</t>
  </si>
  <si>
    <t>4.1.02.000</t>
  </si>
  <si>
    <t>COMISSÕES INTERNAS</t>
  </si>
  <si>
    <t>COMISSÕES SOBRE VENDAS</t>
  </si>
  <si>
    <t>variável</t>
  </si>
  <si>
    <t>decisão interna</t>
  </si>
  <si>
    <t>9.1.05.000</t>
  </si>
  <si>
    <t>SISTEMAS DE GESTÃO E OPERAÇãO</t>
  </si>
  <si>
    <t>TECNOLOGIA E SISTEMAS</t>
  </si>
  <si>
    <t>Tecnologia e Sistemas</t>
  </si>
  <si>
    <t>Sistemas e informática</t>
  </si>
  <si>
    <t>8.1.02.000</t>
  </si>
  <si>
    <t>SALÁRIOS</t>
  </si>
  <si>
    <t>CLT</t>
  </si>
  <si>
    <t>8.3.02.000</t>
  </si>
  <si>
    <t>INSS</t>
  </si>
  <si>
    <t>ENCARGOS SOCIAIS</t>
  </si>
  <si>
    <t>Encargos</t>
  </si>
  <si>
    <t>obrigação legal</t>
  </si>
  <si>
    <t>4.1.01.000</t>
  </si>
  <si>
    <t>COMISSÕES PARCEIROS</t>
  </si>
  <si>
    <t>8.3.03.000</t>
  </si>
  <si>
    <t>IRRF</t>
  </si>
  <si>
    <t>8.2.01.000</t>
  </si>
  <si>
    <t>BÔNUS</t>
  </si>
  <si>
    <t>REMUNERAÇãO VARIÁVEL</t>
  </si>
  <si>
    <t>Bônus</t>
  </si>
  <si>
    <t>5.15.05.000</t>
  </si>
  <si>
    <t>PATROCÍNIOS</t>
  </si>
  <si>
    <t>PROPAGANDA E MARKETING</t>
  </si>
  <si>
    <t>Marketing e Desenvolvimento de Negócios</t>
  </si>
  <si>
    <t>Marketing</t>
  </si>
  <si>
    <t>8.5.04.000</t>
  </si>
  <si>
    <t>EVENTOS</t>
  </si>
  <si>
    <t>TREINAMENTO/DESENVOLVIMENTO/CULTURA</t>
  </si>
  <si>
    <t>Treinamento</t>
  </si>
  <si>
    <t>DIVIDENDOS PARCELAS FIXAS</t>
  </si>
  <si>
    <t>8.4.03.000</t>
  </si>
  <si>
    <t>ASSISTÊNCIA MÉDICA E ODONTOLÓGICA</t>
  </si>
  <si>
    <t>BENEFÍCIOS</t>
  </si>
  <si>
    <t>Benefícios</t>
  </si>
  <si>
    <t>8.7.04.000</t>
  </si>
  <si>
    <t>SALDO REMUNERAÇãO ASSOCIADOS</t>
  </si>
  <si>
    <t>DESLIGAMENTOS</t>
  </si>
  <si>
    <t>Desligamentos</t>
  </si>
  <si>
    <t>9.1.03.000</t>
  </si>
  <si>
    <t>MARKETING E COMERCIAL</t>
  </si>
  <si>
    <t>8.4.01.000</t>
  </si>
  <si>
    <t>VALE REFEIÇãO/VALE ALIMENTAÇãO</t>
  </si>
  <si>
    <t>Taxas e seguros do escritório</t>
  </si>
  <si>
    <t>revisar_se_e_tributo_sobre_faturamento</t>
  </si>
  <si>
    <t>5.8.19.000</t>
  </si>
  <si>
    <t>HONORÁRIOS CONTÁBEIS</t>
  </si>
  <si>
    <t>5.16.06.000</t>
  </si>
  <si>
    <t>OUTRAS DESPESAS REEMBOLSÁVEIS</t>
  </si>
  <si>
    <t>OUTRAS DESPESAS</t>
  </si>
  <si>
    <t>8.4.06.000</t>
  </si>
  <si>
    <t>ESTACIONAMENTO</t>
  </si>
  <si>
    <t>5.8.02.000</t>
  </si>
  <si>
    <t>SERVIÇOS DE INFORMÁTICA</t>
  </si>
  <si>
    <t>1.1.02.000</t>
  </si>
  <si>
    <t>ADIANTAMENTOS</t>
  </si>
  <si>
    <t>SAÍDAS - EMPRÉSTIMOS APL.  E DEVOLUÇÕES</t>
  </si>
  <si>
    <t>8.7.06.000</t>
  </si>
  <si>
    <t>SALDO DE FÉRIAS ASSOCIADOS</t>
  </si>
  <si>
    <t>5.8.07.000</t>
  </si>
  <si>
    <t>GRÁFICA</t>
  </si>
  <si>
    <t>8.4.05.000</t>
  </si>
  <si>
    <t>AUXÍLIO EDUCACIONAL</t>
  </si>
  <si>
    <t>5.15.06.000</t>
  </si>
  <si>
    <t>SERVIÇOS FOTOGRÁFICOS / FILMAGEM</t>
  </si>
  <si>
    <t>8.5.05.000</t>
  </si>
  <si>
    <t>DATAS COMEMORATIVAS</t>
  </si>
  <si>
    <t>5.9.03.000</t>
  </si>
  <si>
    <t>MANUTENÇãO PREDIAL</t>
  </si>
  <si>
    <t>DESPESAS DE MANUTENÇãO</t>
  </si>
  <si>
    <t>Manutenção</t>
  </si>
  <si>
    <t>5.6.02.000</t>
  </si>
  <si>
    <t>CUSTAS JUDICIAIS</t>
  </si>
  <si>
    <t>ASSOCIAÇÕES E CUSTAS JUDICIAIS</t>
  </si>
  <si>
    <t>Custas e despesas processuais</t>
  </si>
  <si>
    <t>processual_possivelmente_reembolsavel</t>
  </si>
  <si>
    <t>1.1.08.000</t>
  </si>
  <si>
    <t>DEVOLUÇãO DE ADIANTAMENTOS DE CLIENTES</t>
  </si>
  <si>
    <t>5.16.09.000</t>
  </si>
  <si>
    <t>PERMUTAS</t>
  </si>
  <si>
    <t>Administrativo Geral</t>
  </si>
  <si>
    <t>5.10.01.000</t>
  </si>
  <si>
    <t>MATERIAL DE HIGIENE E LIMPEZA</t>
  </si>
  <si>
    <t>MATERIAL DE CONSUMO, LIMPEZA E SEGURANÇA</t>
  </si>
  <si>
    <t>Copa, limpeza e consumo</t>
  </si>
  <si>
    <t>8.3.01.000</t>
  </si>
  <si>
    <t>FGTS</t>
  </si>
  <si>
    <t>5.9.07.000</t>
  </si>
  <si>
    <t>PAISAGISMO</t>
  </si>
  <si>
    <t>5.12.02.000</t>
  </si>
  <si>
    <t>ENERGIA ELÉTRICA</t>
  </si>
  <si>
    <t>DESPESAS DE INFRAESTRUTURA</t>
  </si>
  <si>
    <t>Infraestrutura</t>
  </si>
  <si>
    <t>5.8.31.000</t>
  </si>
  <si>
    <t>DIARISTA</t>
  </si>
  <si>
    <t>8.4.02.000</t>
  </si>
  <si>
    <t>VALE TRANSPORTE</t>
  </si>
  <si>
    <t>5.12.03.000</t>
  </si>
  <si>
    <t>INTERNET</t>
  </si>
  <si>
    <t>5.16.04.000</t>
  </si>
  <si>
    <t>OUTRAS DESPESAS DE OPERAÇãO</t>
  </si>
  <si>
    <t>OUTRAS DESPESAS DE OPERACAO</t>
  </si>
  <si>
    <t>5.14.05.000</t>
  </si>
  <si>
    <t>SEGUROS</t>
  </si>
  <si>
    <t>9.1.01.000</t>
  </si>
  <si>
    <t>AUTOMAÇãO, DADOS E IA</t>
  </si>
  <si>
    <t>5.11.02.000</t>
  </si>
  <si>
    <t>COPA E COZINHA</t>
  </si>
  <si>
    <t>DESPESAS DE COPA E COZINHA</t>
  </si>
  <si>
    <t>5.12.01.000</t>
  </si>
  <si>
    <t>ÁGUA E ESGOTO</t>
  </si>
  <si>
    <t>10.1.03.000</t>
  </si>
  <si>
    <t>EQUIPAMENTOS DE INFORMÁTICA</t>
  </si>
  <si>
    <t>INVESTIMENTOS</t>
  </si>
  <si>
    <t>investimento</t>
  </si>
  <si>
    <t>5.18.01.000</t>
  </si>
  <si>
    <t>DESPESAS BANCÁRIAS</t>
  </si>
  <si>
    <t>DESPESAS FINANCEIRAS</t>
  </si>
  <si>
    <t>Custos bancários e de cobrança</t>
  </si>
  <si>
    <t>Adiantamento ou transferência (não é despesa operacional)</t>
  </si>
  <si>
    <t>Fora do OPEX</t>
  </si>
  <si>
    <t>8.8.02.000</t>
  </si>
  <si>
    <t>ONBOARDING</t>
  </si>
  <si>
    <t>OUTROS CUSTOS COM PESSOAS</t>
  </si>
  <si>
    <t>Recrutamento e reconhecimento</t>
  </si>
  <si>
    <t>5.9.05.000</t>
  </si>
  <si>
    <t>MANUTENÇãO AR CONDICIONADO</t>
  </si>
  <si>
    <t>8.5.03.000</t>
  </si>
  <si>
    <t>SAÚDE E BEM-ESTAR</t>
  </si>
  <si>
    <t>5.9.04.000</t>
  </si>
  <si>
    <t>MANUTENÇãO EQUIPAMENTOS DE INFORMÁTICA</t>
  </si>
  <si>
    <t>5.7.05.000</t>
  </si>
  <si>
    <t>PASSAGEM AÉREA</t>
  </si>
  <si>
    <t>DESPESAS DE VIAGEM E LOCOMOÇãO</t>
  </si>
  <si>
    <t>Viagens e Deslocamentos</t>
  </si>
  <si>
    <t>Viagens</t>
  </si>
  <si>
    <t>8.2.04.000</t>
  </si>
  <si>
    <t>FÉRIAS</t>
  </si>
  <si>
    <t>5.11.01.000</t>
  </si>
  <si>
    <t>UTENSÍLIOS E ACESSÓRIOS</t>
  </si>
  <si>
    <t>8.3.04.000</t>
  </si>
  <si>
    <t>CONSIGNADO</t>
  </si>
  <si>
    <t>8.7.05.000</t>
  </si>
  <si>
    <t>INDENIZAÇãO ASSOCIADOS</t>
  </si>
  <si>
    <t>8.8.03.000</t>
  </si>
  <si>
    <t>RECONHECIMENTO</t>
  </si>
  <si>
    <t>5.15.04.000</t>
  </si>
  <si>
    <t>FEIRAS E EVENTOS</t>
  </si>
  <si>
    <t>5.7.04.000</t>
  </si>
  <si>
    <t>HOSPEDAGEM</t>
  </si>
  <si>
    <t>5.8.24.000</t>
  </si>
  <si>
    <t>LIMPEZA</t>
  </si>
  <si>
    <t>5.10.02.000</t>
  </si>
  <si>
    <t>MATERIAL DE ESCRITÓRIO</t>
  </si>
  <si>
    <t>Materiais</t>
  </si>
  <si>
    <t>5.10.04.000</t>
  </si>
  <si>
    <t>DECORAÇãO E ORNAMENTO</t>
  </si>
  <si>
    <t>9.1.04.000</t>
  </si>
  <si>
    <t>SEGURANÇA DA INFORMAÇãO</t>
  </si>
  <si>
    <t>3.4.01.000</t>
  </si>
  <si>
    <t>DEVOLUÇãO HONORÁRIOS / DESPESAS</t>
  </si>
  <si>
    <t>DEDUÇÕES DA RECEITA</t>
  </si>
  <si>
    <t>Dedução da receita</t>
  </si>
  <si>
    <t>5.9.08.000</t>
  </si>
  <si>
    <t>MANUTENÇãO PURIFICADORES DE ÁGUA</t>
  </si>
  <si>
    <t>5.12.06.000</t>
  </si>
  <si>
    <t>ALARME E MONITORAMENTO</t>
  </si>
  <si>
    <t>5.12.07.000</t>
  </si>
  <si>
    <t>TELEFONIA MÓVEL</t>
  </si>
  <si>
    <t>5.10.03.000</t>
  </si>
  <si>
    <t>MATERIAL DE INFORMÁTICA</t>
  </si>
  <si>
    <t>5.18.02.000</t>
  </si>
  <si>
    <t>IOF</t>
  </si>
  <si>
    <t>5.12.04.000</t>
  </si>
  <si>
    <t>TELEFONIA FIXA</t>
  </si>
  <si>
    <t>8.5.01.000</t>
  </si>
  <si>
    <t>CURSOS/WORKSHOPS/PALESTRAS</t>
  </si>
  <si>
    <t>5.8.03.000</t>
  </si>
  <si>
    <t>MOTOBOY</t>
  </si>
  <si>
    <t>5.8.05.000</t>
  </si>
  <si>
    <t>CORREIOS</t>
  </si>
  <si>
    <t>5.18.04.000</t>
  </si>
  <si>
    <t>TARIFAS DE CARTÕES</t>
  </si>
  <si>
    <t>5.18.05.000</t>
  </si>
  <si>
    <t>OUTRAS DESPESAS FINANCEIRAS</t>
  </si>
  <si>
    <t>10.1.01.000</t>
  </si>
  <si>
    <t>MÓVEIS E EQUIPAMENTOS</t>
  </si>
  <si>
    <t>5.16.03.000</t>
  </si>
  <si>
    <t>CARTÃO DE CRÉDITO</t>
  </si>
  <si>
    <t>CARTAO DE CREDITO</t>
  </si>
  <si>
    <t>8.4.04.000</t>
  </si>
  <si>
    <t>SEGURO DE VIDA</t>
  </si>
  <si>
    <t>9.1.02.000</t>
  </si>
  <si>
    <t>DOMÍNIOS E HOSPEDAGEM</t>
  </si>
  <si>
    <t>5.8.13.000</t>
  </si>
  <si>
    <t>CERTIFICADO DIGITAL</t>
  </si>
  <si>
    <t>IMPOSTOS SOBRE SERVIÇOS - ISS</t>
  </si>
  <si>
    <t>IMPOSTOS SOBRE SERVIÇOS</t>
  </si>
  <si>
    <t>composicao_pendente</t>
  </si>
  <si>
    <t>10.1.11.000</t>
  </si>
  <si>
    <t>EQUIPAMENTOS DE COMUNICAÇãO</t>
  </si>
  <si>
    <t>8.6.02.000</t>
  </si>
  <si>
    <t>MEDICINA OCUPACIONAL</t>
  </si>
  <si>
    <t>RECRUTAMENTO E SELEÇãO</t>
  </si>
  <si>
    <t>ci_item</t>
  </si>
  <si>
    <t>nro_titulo</t>
  </si>
  <si>
    <t>descricao</t>
  </si>
  <si>
    <t>fornecedor</t>
  </si>
  <si>
    <t>mes_competencia</t>
  </si>
  <si>
    <t>mes_pagamento</t>
  </si>
  <si>
    <t>dentro_opex_regra</t>
  </si>
  <si>
    <t>recorrente_sugerido</t>
  </si>
  <si>
    <t>motivo_recorrencia</t>
  </si>
  <si>
    <t>status_recorrencia</t>
  </si>
  <si>
    <t>override_dentro_opex</t>
  </si>
  <si>
    <t>override_recorrente</t>
  </si>
  <si>
    <t>dentro_opex_final</t>
  </si>
  <si>
    <t>recorrente_final</t>
  </si>
  <si>
    <t>material</t>
  </si>
  <si>
    <t>DEVOLUÇÃO ADIANTAMENTO</t>
  </si>
  <si>
    <t>Nigro Aluminio Ltda</t>
  </si>
  <si>
    <t>2026-03</t>
  </si>
  <si>
    <t>sem sinal</t>
  </si>
  <si>
    <t>CUSTAS NIGRO</t>
  </si>
  <si>
    <t>Caio Augusto de Alcantara Cesar Silva</t>
  </si>
  <si>
    <t>2026-02</t>
  </si>
  <si>
    <t>Carvalho Assessoria Empreendimentos Imobiliarios Ltda</t>
  </si>
  <si>
    <t>CUSTAS CARVALHO</t>
  </si>
  <si>
    <t>DEVOLUÇÃO ADIANTAMENTO CUSTAS</t>
  </si>
  <si>
    <t>Spel Embalagens Ltda</t>
  </si>
  <si>
    <t>CUSTAS SUSTENTARE</t>
  </si>
  <si>
    <t>Fernanda Andrade Camolesi</t>
  </si>
  <si>
    <t>CORREIOS SPEL</t>
  </si>
  <si>
    <t>Laura Puente Ferreira Gomes</t>
  </si>
  <si>
    <t>fornecedor sem outra ocorrência na conta em 12 meses; valor atípico (acima de 3x a mediana da conta em 12 meses, mediana 166)</t>
  </si>
  <si>
    <t>sugerido</t>
  </si>
  <si>
    <t>IPVA 2026 (CARRO GUSTAVO QUE FICA COM A IRMÃ. ADIANTOU O VALOR INTEGRAL E PAGAMOS NO MESMO DIA)</t>
  </si>
  <si>
    <t>SECRETARIA DE ESTADO DA FAZENDA</t>
  </si>
  <si>
    <t>VALOR REF. REMUNERAÇÃO PAGO INDEVIDAMENTE - VALOR DEVOLVIDO NO DIA SEGUINTE</t>
  </si>
  <si>
    <t>Michel Donizeti de Medeiros Malaquias</t>
  </si>
  <si>
    <t>2026-07</t>
  </si>
  <si>
    <t>DEVOLUÇÃO VALOR PAGO INDEVIDAMENTE JUNTO COM ND</t>
  </si>
  <si>
    <t>Macan Logistica e Transportes Ltda</t>
  </si>
  <si>
    <t>2026-06</t>
  </si>
  <si>
    <t>DEVOLUÇÃO HONORÁRIO PAGO INDEVIDAMENTE (DEZ/25 E JAN/26)</t>
  </si>
  <si>
    <t>Primi &amp; Appoloni Arquitetura Ltda.</t>
  </si>
  <si>
    <t>Trabalhista</t>
  </si>
  <si>
    <t>fornecedor sem outra ocorrência na conta em 12 meses; valor atípico (acima de 3x a mediana da conta em 12 meses, mediana 28.05)</t>
  </si>
  <si>
    <t>DEVOLUÇÃO VALOR RECEBIDO EQUIVOCADAMENTE</t>
  </si>
  <si>
    <t>Bárbara Stefany Minosso Menezes</t>
  </si>
  <si>
    <t>CAIXA DE SOM PORTÁTIL</t>
  </si>
  <si>
    <t>Mercado Livre</t>
  </si>
  <si>
    <t>Facilities</t>
  </si>
  <si>
    <t>MÁQUINA DOLCE GUSTO</t>
  </si>
  <si>
    <t>NESTLE BRASIL LTDA.</t>
  </si>
  <si>
    <t>2026-04</t>
  </si>
  <si>
    <t>MONITOR - VALENTINA</t>
  </si>
  <si>
    <t>Magazine Luiza Marketplace</t>
  </si>
  <si>
    <t>MONITOR - CATHARINA CARDOSO</t>
  </si>
  <si>
    <t>R.H.</t>
  </si>
  <si>
    <t>2026-09</t>
  </si>
  <si>
    <t>TABLET PARA PONTO ELETRÔNICO</t>
  </si>
  <si>
    <t>2026-05</t>
  </si>
  <si>
    <t>NOTEBOOK - LEONARDO MARQUES</t>
  </si>
  <si>
    <t>Amazon Servicos</t>
  </si>
  <si>
    <t>NOTEBOOK VINICIUS SCHMOCKEL</t>
  </si>
  <si>
    <t>Operações Legais</t>
  </si>
  <si>
    <t>PARCELA 05/06</t>
  </si>
  <si>
    <t>Insolvência</t>
  </si>
  <si>
    <t>PARCELA 06/06</t>
  </si>
  <si>
    <t>COMPRA NOTEBOOK QUE ESTAVA COM PAGAMENTO PENDENTE PELO RICARDO.NÃO HÁ RASTREIO SOBRE QUAL ÁREA UTILIZA O RESPECTIVO EQUIPAMENTO.</t>
  </si>
  <si>
    <t>Fabricio Fais Ferreira</t>
  </si>
  <si>
    <t>Ricardo Viscardi Pires</t>
  </si>
  <si>
    <t>fornecedor sem outra ocorrência na conta em 12 meses</t>
  </si>
  <si>
    <t>TELEFONE SALA GUSTAVO</t>
  </si>
  <si>
    <t>Gustavo Bismarchi Motta</t>
  </si>
  <si>
    <t>REPASSE ACORDO CONSTRURBAN - PARCELA 15/15</t>
  </si>
  <si>
    <t>Alexandre Fantazzini Rigi</t>
  </si>
  <si>
    <t>Distressed Deals</t>
  </si>
  <si>
    <t>2025-11</t>
  </si>
  <si>
    <t>REPASSE ACORDO CONSTRURBAN</t>
  </si>
  <si>
    <t>REPASSE ACORDO DECORWATTS X PENA CONSTRUÇÕES</t>
  </si>
  <si>
    <t>Decorwatts Eletrica e Iluminacao Ltda</t>
  </si>
  <si>
    <t>REPASSE ACORDO DECORWATTS X KM 18</t>
  </si>
  <si>
    <t>MLE PROCESSO 1000140-12.2020.8.26.0650</t>
  </si>
  <si>
    <t>Perfilix Industria e Comercio de Perfis Eireli</t>
  </si>
  <si>
    <t>REPASSE LIBERAÇÃO JUDICIAL PROC. 000306587020258160014REJANE COSTA - R$ 7.917,00EUNICE RENNA - R$ 16.000,00FATIMA SAMÕES - R$ 10.500,00FELIPE RODRIGUES - R$ 516,92FELIPE RODRIGUES - R$ 1.000,00LILIAN VIEIRA - R$ 2.000,00</t>
  </si>
  <si>
    <t>Recuperação de Crédito</t>
  </si>
  <si>
    <t>REPASSE ACORDO FÁBIO IORGULO</t>
  </si>
  <si>
    <t>REPASSE ACORDO SBV SOLUÇÕES AMBIENTAIS</t>
  </si>
  <si>
    <t>Inovageo Geossinteticos Ltda</t>
  </si>
  <si>
    <t>REPASSE ACORDO CONSTRURBAN - JANEIRO A ABRIL/2026</t>
  </si>
  <si>
    <t>REPASSE PROCESSO 00029099420208260428</t>
  </si>
  <si>
    <t>Antonio Paulino Inglez</t>
  </si>
  <si>
    <t>REPASSE PROCESSO 10035085620188260114 - APOSENTADORIA</t>
  </si>
  <si>
    <t>Kazuo Nishiwaki</t>
  </si>
  <si>
    <t>REPASSE LIBERAÇÃO JUDICIAL - PROC. 1020087-64.2023.8.26.0224</t>
  </si>
  <si>
    <t>REPASSE LIBERAÇÃO JUDICIAL PROC. 1000860-98.2025.5.02.0204</t>
  </si>
  <si>
    <t>Rafael Tecchio Vigolo</t>
  </si>
  <si>
    <t>REPASSE ACORDO DENARDI</t>
  </si>
  <si>
    <t>REPASSE ACORDO GS INDUSTRIAL</t>
  </si>
  <si>
    <t>Covolan Industria Textil Ltda Em Recuperacao Judicial</t>
  </si>
  <si>
    <t>REPASSE ACORDO CONSÓRCIO SANTA BARBARA</t>
  </si>
  <si>
    <t>REPASSE ACORDO GUARA EMPREENDIMENTOS</t>
  </si>
  <si>
    <t>REPASSE PROC. 1061459-77.2023.8.26.0002 - DECORWATTS X SOBROSA</t>
  </si>
  <si>
    <t>REPASSE PROC. 0011542-17.2025.5.15.0092 - PAULO X BRADESCO</t>
  </si>
  <si>
    <t>Paulo Joaquim da Silva Junior</t>
  </si>
  <si>
    <t>REPASSE LIBERAÇÃO JUDICIAL - PROC. 02520-91.2025.8.26.0248</t>
  </si>
  <si>
    <t>Artevento Acoes Promocionais e Servicos Ltda</t>
  </si>
  <si>
    <t>REPASSE ACORDO ENCALSO</t>
  </si>
  <si>
    <t>GOLD LAND - SUGUITA</t>
  </si>
  <si>
    <t>Giancarlo Murta Zotini</t>
  </si>
  <si>
    <t>Cível</t>
  </si>
  <si>
    <t>REPASSE PROC. 1012237-27.2025.8.26.0114 - GPR X PROJETAR</t>
  </si>
  <si>
    <t>Gpr Fundo de Investimento Em Direitos Creditorios</t>
  </si>
  <si>
    <t>REPASSE OKNO CAPITAL</t>
  </si>
  <si>
    <t>fornecedor sem outra ocorrência na conta em 12 meses; valor atípico (acima de 3x a mediana da conta em 12 meses, mediana 8365.24)</t>
  </si>
  <si>
    <t>REPASSE LIBERAÇÃO JUDICIAL PROC. 4011523-40.2026.8.26.0224</t>
  </si>
  <si>
    <t>valor atípico (acima de 3x a mediana da conta em 12 meses, mediana 8365.24)</t>
  </si>
  <si>
    <t>REPASSE ACORDO ECOBULK</t>
  </si>
  <si>
    <t>REPASSE ACORDO CONSORCIO CRA</t>
  </si>
  <si>
    <t>REPASSE PROC. 00006294220248260451</t>
  </si>
  <si>
    <t>Pst Eletronica Ltda</t>
  </si>
  <si>
    <t>MUNICIPIO DE CAMPINAS</t>
  </si>
  <si>
    <t>DEVOLUÇÃO HONORÁRIOS DE MANUTENÇÃO PAGOS INDEVIDAMENTE</t>
  </si>
  <si>
    <t>Edital Agenciamento de Transportes Ltda</t>
  </si>
  <si>
    <t>Contratos</t>
  </si>
  <si>
    <t>COMISSÃO FELICITA - R$ 159,80</t>
  </si>
  <si>
    <t>P2 Mr Adm (Pivato)</t>
  </si>
  <si>
    <t>COMISSÃO FELICITA - R$ 167,00</t>
  </si>
  <si>
    <t>COMISSÃO FELICITA</t>
  </si>
  <si>
    <t>COMISSÃO FELICITA - R$ 399,50</t>
  </si>
  <si>
    <t>COMISSÃO FELICITA - R$ 417,50</t>
  </si>
  <si>
    <t>COMISSÃO FELICITA - R$ 501,00</t>
  </si>
  <si>
    <t>COMISSÃO CRISTAL &amp; CORES (PARCELA ACORDO) - R$ 450,00</t>
  </si>
  <si>
    <t>ANDRE LUIZ THIEME APOIO ADMINISTRATIVO LTDA</t>
  </si>
  <si>
    <t>COMISSÃO MMP</t>
  </si>
  <si>
    <t>Yasmin Gomes Conceição</t>
  </si>
  <si>
    <t>COMISSÃO DMP</t>
  </si>
  <si>
    <t>COMISSÃO DMP - R$ 426,13</t>
  </si>
  <si>
    <t>COMISSÃO CRISTAL &amp; CORES - R$ 1.350,00COMISSÃO CRISTAL &amp; CORES (PARCELA ACORDO) - R$ 450,00</t>
  </si>
  <si>
    <t>COMISSÃO DMP - R$ 584,50</t>
  </si>
  <si>
    <t>COMISSÃO CRISTAL &amp; CORES - R$ 1.350,00</t>
  </si>
  <si>
    <t>COMISSÃO EDITAL</t>
  </si>
  <si>
    <t>Ernesto Beltrami Filho</t>
  </si>
  <si>
    <t>COMISSÃO PROJETAR</t>
  </si>
  <si>
    <t>Jose Roberto de Amorim Dutra 32147438804</t>
  </si>
  <si>
    <t>Tributário</t>
  </si>
  <si>
    <t>COMISSÃO MARCATO</t>
  </si>
  <si>
    <t>Gisnaldo Camargo Dias da Silva</t>
  </si>
  <si>
    <t>COMISSÃO FELICITA - R$ 159,80COMISSÃO DMP - R$ 426,13</t>
  </si>
  <si>
    <t>COMISSÃO CRISTAL &amp; CORES</t>
  </si>
  <si>
    <t>COMISSÃO DMP - R$ 426,13COMISSÃO FELICITA - R$ 399,50</t>
  </si>
  <si>
    <t>COMISSÃO METALCORE</t>
  </si>
  <si>
    <t>COMISSÃO METALCORE - R$ 799,00COMISSÃO FELICITA - R$ 399,50</t>
  </si>
  <si>
    <t>COMISSÃO ANDERSON RAMIRO</t>
  </si>
  <si>
    <t>B2Con Contabilidade Sociedade Empresaria Limitada</t>
  </si>
  <si>
    <t>COMISSÃO JOSÉ AFONSO JUNIOR</t>
  </si>
  <si>
    <t>Fábio Martins Bonilha Curi</t>
  </si>
  <si>
    <t>COMISSÃO LINOPLAST</t>
  </si>
  <si>
    <t>David Carlos Timm Oliveira</t>
  </si>
  <si>
    <t>COMISSÃO DMP - R$ 426,13COMISSÃO METALCORE - R$ 799,00</t>
  </si>
  <si>
    <t>valor atípico (acima de 3x a mediana da conta em 12 meses, mediana 412.2)</t>
  </si>
  <si>
    <t>COMISSÃO ANTONIA FANTINATO - VALIDAR VALOR CONFORME ALÍQUOTA VIGENTE</t>
  </si>
  <si>
    <t>Rebeca Roana Vasconcelos Rodrigues</t>
  </si>
  <si>
    <t>COMISSÃO TECNIMED</t>
  </si>
  <si>
    <t>Guirao Advogados</t>
  </si>
  <si>
    <t>COMISSÃO FELICITA - R$ 167,00COMISSÃO METALCORE - R$ 1.670,00</t>
  </si>
  <si>
    <t>COMISSÃO FELICITA - R$ 417,50COMISSÃO METALCORE - R$ 1.670,00</t>
  </si>
  <si>
    <t>COMISSÃO METALCORE - R$ 1.670,00COMISSÃO DMP - R$ 584,50COMISSÃO FELICITA - R$ 501,00</t>
  </si>
  <si>
    <t>COMISSÃO ANTONIO JOSÉ DA COSTA PAIS JUNIOR</t>
  </si>
  <si>
    <t>Eduarda Silva Chaves Tosi</t>
  </si>
  <si>
    <t>fornecedor sem outra ocorrência na conta em 12 meses; valor atípico (acima de 3x a mediana da conta em 12 meses, mediana 412.2)</t>
  </si>
  <si>
    <t>COMISSÃO ANTONIA FANTINATO</t>
  </si>
  <si>
    <t>COMISSÃO: METALCORE - R$ 2.505,00FELICITA - R$ 1.252,50DMP - R$ 501,00</t>
  </si>
  <si>
    <t>FAVIFER</t>
  </si>
  <si>
    <t>Leonardo Loureiro Basso</t>
  </si>
  <si>
    <t>LATASA</t>
  </si>
  <si>
    <t>PROTRADE</t>
  </si>
  <si>
    <t>Jansonn Mendonça Batista</t>
  </si>
  <si>
    <t>SELETIVA RH</t>
  </si>
  <si>
    <t>Ligia Gilberti Lopes</t>
  </si>
  <si>
    <t>SELETIVA</t>
  </si>
  <si>
    <t>BILATERAL</t>
  </si>
  <si>
    <t>Jorge Pecht Souza</t>
  </si>
  <si>
    <t>LAMARTINE</t>
  </si>
  <si>
    <t>BIOETANOL</t>
  </si>
  <si>
    <t>DANIELA BIBIANO</t>
  </si>
  <si>
    <t>Wagner Armani</t>
  </si>
  <si>
    <t>PEREIRA GARCIA</t>
  </si>
  <si>
    <t>3TM</t>
  </si>
  <si>
    <t>TECBIO</t>
  </si>
  <si>
    <t>ADRIANA CAVALCANTE</t>
  </si>
  <si>
    <t>Renato Rossetti Vallim de Castro</t>
  </si>
  <si>
    <t>PROTRADE, FELICITA</t>
  </si>
  <si>
    <t>CRISTAL &amp; CORES</t>
  </si>
  <si>
    <t>PROTRADE, MMP</t>
  </si>
  <si>
    <t>BEATRIZ BALDO</t>
  </si>
  <si>
    <t>Felipe Soares de Camargo</t>
  </si>
  <si>
    <t>YHOSEF</t>
  </si>
  <si>
    <t>Daniel Pressatto Fernandes</t>
  </si>
  <si>
    <t>FAVIFER, LATASA</t>
  </si>
  <si>
    <t>DANIELA BIBIANO, TECBIO</t>
  </si>
  <si>
    <t>BILATERAL, MMP, PROTRADE</t>
  </si>
  <si>
    <t>LOUVETIQUE</t>
  </si>
  <si>
    <t>Lorena Lourenço Miranda</t>
  </si>
  <si>
    <t>GVW, PEREIRA GARCIA</t>
  </si>
  <si>
    <t>GVW</t>
  </si>
  <si>
    <t>BILATERAL, FELICITA, MMP, PROTRADE</t>
  </si>
  <si>
    <t>UBIRATAN MARRAFON</t>
  </si>
  <si>
    <t>PROTRADE, FELICITA, MMP</t>
  </si>
  <si>
    <t>PROTRADE, FELICITA, BILATERAL</t>
  </si>
  <si>
    <t>PROTRADE, FELICITA, MMP, BILATERAL</t>
  </si>
  <si>
    <t>CRISTAL &amp; CORES (VALOR ACORDO), SELETIVA</t>
  </si>
  <si>
    <t>CRISTAL &amp; CORES, SELETIVA</t>
  </si>
  <si>
    <t>BILATERAL, PROTRADE</t>
  </si>
  <si>
    <t>ADRIANA CAVALCANTE, UBIRATAN MARRAFON</t>
  </si>
  <si>
    <t>BILATERAL, FELICITA, PROTRADE</t>
  </si>
  <si>
    <t>EMS</t>
  </si>
  <si>
    <t>YHOSEF E MMP</t>
  </si>
  <si>
    <t>IBS</t>
  </si>
  <si>
    <t>PROTRADE, MMP, BILATERAL</t>
  </si>
  <si>
    <t>CRISTAL &amp; CORES, SELETIVA, BIOETANOL</t>
  </si>
  <si>
    <t>PROTRADE, BILATERAL, MMP</t>
  </si>
  <si>
    <t>CRISTAL &amp; CORES, BIOETANOL</t>
  </si>
  <si>
    <t>BIOETANOL, SELETIVA</t>
  </si>
  <si>
    <t>DANIELA BIBIANO, TECBIO, EMS</t>
  </si>
  <si>
    <t>DANIELA BIBIANO, EMS, TECBIO</t>
  </si>
  <si>
    <t>CRISTAL &amp; CORES (VALOR ACORDO), SELETIVA, BIOETANOL</t>
  </si>
  <si>
    <t>ERIC FRANCA, BAPTISTELLA</t>
  </si>
  <si>
    <t>Caroline Simel Abdalla</t>
  </si>
  <si>
    <t>Gabriela Nicolau Olmedo Consul</t>
  </si>
  <si>
    <t>PROMAC</t>
  </si>
  <si>
    <t>GVW, WAGNER EKLER</t>
  </si>
  <si>
    <t>AXPR</t>
  </si>
  <si>
    <t>3TM, GVW</t>
  </si>
  <si>
    <t>valor atípico (acima de 3x a mediana da conta em 12 meses, mediana 374.26)</t>
  </si>
  <si>
    <t>ANDERSON RAMIRO</t>
  </si>
  <si>
    <t>3TM, GVW, WAGNER EKLER</t>
  </si>
  <si>
    <t>DANIEL TSUCHIYA, ISABELLA WITZEL, LAMARTINE, PROTRADE, SANTOS ZANON, ROSINEIDE FRANCO</t>
  </si>
  <si>
    <t>DANIEL TSUCHIYA, LAMARTINE, PROTRADE, SANTOS ZANON, ROSINEIDE FRANCO</t>
  </si>
  <si>
    <t>LINOPLAST, PROMAC</t>
  </si>
  <si>
    <t>AGROTECHNICA, AXPR</t>
  </si>
  <si>
    <t>AXPR, AGROTECHNICA</t>
  </si>
  <si>
    <t>DARCY CORREA, LINOPLAST, PROMAC</t>
  </si>
  <si>
    <t>PROMAC, DARCY CORREA, LINOPLAST</t>
  </si>
  <si>
    <t>PROMAC, DARCY, EMS</t>
  </si>
  <si>
    <t>BILATERAL, FELICITA, METALCORE, MMP</t>
  </si>
  <si>
    <t>10% SOBRE ÊXITO GVW</t>
  </si>
  <si>
    <t>BILATERAL, METALCORE, MMP</t>
  </si>
  <si>
    <t>PROMAC, DARCY, LINOPLAST</t>
  </si>
  <si>
    <t>METALCORE, MMP, FELICITA</t>
  </si>
  <si>
    <t>JOSÉ AFONSO, MARCATO, PROMAC</t>
  </si>
  <si>
    <t>SUPRIMENTOS MÊS</t>
  </si>
  <si>
    <t>Supricorp Suprimentos Ltda</t>
  </si>
  <si>
    <t>KIT AROMATIZANTE ANTI TABACO</t>
  </si>
  <si>
    <t>VÁLVULA SABONETEIRA</t>
  </si>
  <si>
    <t>ID 1055 - COMPRA PANOS DE CHÃO</t>
  </si>
  <si>
    <t>Letícia Maria dos Santos</t>
  </si>
  <si>
    <t>COMPRA CAFÉS</t>
  </si>
  <si>
    <t>Cristiana Pereira da Costa</t>
  </si>
  <si>
    <t>FREECO</t>
  </si>
  <si>
    <t>Via Aroma Industria de Aromatizantes de Ambiente Ltda</t>
  </si>
  <si>
    <t>ID 1138 - COMPRA DIABO VERDE</t>
  </si>
  <si>
    <t>Tenda Atacado Sa</t>
  </si>
  <si>
    <t>Casa do Papel de Campinas Embalagens Ltda</t>
  </si>
  <si>
    <t>DIFUSOR</t>
  </si>
  <si>
    <t>Fargos Comercio Distribuidora</t>
  </si>
  <si>
    <t>AROMATIZADOR E HOME SPRAY</t>
  </si>
  <si>
    <t>AROMATIZADORES SALAS SÓCIOS</t>
  </si>
  <si>
    <t>Campclean Comercio e Importacao e Exportacao Ltda</t>
  </si>
  <si>
    <t>valor atípico (acima de 3x a mediana da conta em 12 meses, mediana 174.685)</t>
  </si>
  <si>
    <t>POST-IT</t>
  </si>
  <si>
    <t>Livros e Papeis Castelo Ltda</t>
  </si>
  <si>
    <t>TELEFONE PARA SALA DE REUNIÃO 02</t>
  </si>
  <si>
    <t>MATERIAL DE PAPELARIA</t>
  </si>
  <si>
    <t>MATERIAL PAPELARIA - MARÇO</t>
  </si>
  <si>
    <t>PORTA-PAPEL, PORTA-LÁPIS E PORTA-CLIPES PARA SALAS DE REUNIÃO</t>
  </si>
  <si>
    <t>SUPORTE PARA NOTEBOOK - GIOVANNA PEREIRA</t>
  </si>
  <si>
    <t>WEBCAM RESERVA</t>
  </si>
  <si>
    <t>CARREGADOR TABLET E PELÍCULA</t>
  </si>
  <si>
    <t>KIT TECLADO E MOUSE - HENRIQUE NASCIMENTO</t>
  </si>
  <si>
    <t>KIT TECLADO E MOUSE - NICOLE CAMARGO</t>
  </si>
  <si>
    <t>KIT TECLADO E MOUSE + SUPORTE NOTEBOOK - CATHARINA CARDOSO</t>
  </si>
  <si>
    <t>TONER IMPRESSORA</t>
  </si>
  <si>
    <t>D2Printer Distribuidora</t>
  </si>
  <si>
    <t>KIT TECLADO, MOUSE E SUPORTE NOTEBOOK - JULIA MOREL</t>
  </si>
  <si>
    <t>CAPA PARA TABLET</t>
  </si>
  <si>
    <t>2 TONERS PARA IMPRESSORAS BROTHER E HP</t>
  </si>
  <si>
    <t>DECORAÇÃO COPA DO MUNDO</t>
  </si>
  <si>
    <t>VASOS DE PLANTAS DECORAÇÃO ESCRITÓRIO - ID 1076</t>
  </si>
  <si>
    <t>CERCA DECORATIVA JARDIM</t>
  </si>
  <si>
    <t>FLÂMULAS PARA COMEMORAÇÃO 10 ANOS BP</t>
  </si>
  <si>
    <t>Mtetti Group Ltda</t>
  </si>
  <si>
    <t>fornecedor sem outra ocorrência na conta em 12 meses; valor atípico (acima de 3x a mediana da conta em 12 meses, mediana 235.805)</t>
  </si>
  <si>
    <t>EXPOSITOR DE ACRÍLICO PARA MENU DE CAFÉS</t>
  </si>
  <si>
    <t>CÁPSULA DE LIMPEZA DOLCE GUSTO</t>
  </si>
  <si>
    <t>CONE DE SINALIZAÇÃO</t>
  </si>
  <si>
    <t>DISPLAY EM ACRÍLICO PARA MENU DE CAFÉS</t>
  </si>
  <si>
    <t>ID 1030 E 1032</t>
  </si>
  <si>
    <t>JOGO DE COPOS PARA REUNIÃO</t>
  </si>
  <si>
    <t>SUPORTE CARTÃO DE VISITAS SÓCIOS</t>
  </si>
  <si>
    <t>LIXEIRA BASCULANTE 40L</t>
  </si>
  <si>
    <t>SUPORTE PARA GUARDA-CHUVA</t>
  </si>
  <si>
    <t>EXPOSITOR MENU CAFÉS</t>
  </si>
  <si>
    <t>ESPANADOR ELETROESTÁTICO</t>
  </si>
  <si>
    <t>SUPORTE PARA MANGUEIRA</t>
  </si>
  <si>
    <t>SUPORTE TABLET</t>
  </si>
  <si>
    <t>SALEIRO</t>
  </si>
  <si>
    <t>VARAL DOBRÁVEL</t>
  </si>
  <si>
    <t>palavra: obra</t>
  </si>
  <si>
    <t>UTENSÍLIOS PARA REUNIÕES COM CLIENTES</t>
  </si>
  <si>
    <t>CONES DE SINALIZAÇÃO</t>
  </si>
  <si>
    <t>Casa dos Copos</t>
  </si>
  <si>
    <t>BANDEJA DE SERVIR</t>
  </si>
  <si>
    <t>Camicado</t>
  </si>
  <si>
    <t>50% REF. CONFECÇÃO 10 GUARDA-CHUVAS</t>
  </si>
  <si>
    <t>Mj de J Piron</t>
  </si>
  <si>
    <t>SALDO FINAL REF. CONFECÇÃO 10 GUARDA-CHUVAS</t>
  </si>
  <si>
    <t>LIXEIRA INOX 30L</t>
  </si>
  <si>
    <t>ID 1106 - COMPRA FILTRO DE PAPEL MELITA</t>
  </si>
  <si>
    <t>ID 1133 - COMPRA FILTRO DE PAPEL MELITA</t>
  </si>
  <si>
    <t>ESPONJA</t>
  </si>
  <si>
    <t>ID 1112 - COMPRA FILTRO DE PAPEL MELITA</t>
  </si>
  <si>
    <t>SAL ROSA</t>
  </si>
  <si>
    <t>COMPRA CAFÉ</t>
  </si>
  <si>
    <t>CÁPSULAS DOLCE GUSTO</t>
  </si>
  <si>
    <t>28.169.557 Renato Coppola</t>
  </si>
  <si>
    <t>ADOÇANTES LINEA</t>
  </si>
  <si>
    <t>Dismax Distribuição e Representação de Produtos e Gêneros Alimentícios Ltda</t>
  </si>
  <si>
    <t>MENTINHA</t>
  </si>
  <si>
    <t>Brasil Food Services Distri.com.alimentos Ltda</t>
  </si>
  <si>
    <t>CÁPSULAS NESPRESSO</t>
  </si>
  <si>
    <t>NESTLE BRASIL LTDA</t>
  </si>
  <si>
    <t>SOCIEDADE DE ABASTECIMENTO DE ÁGUA E SANEAMENTO S/A (SANASA)</t>
  </si>
  <si>
    <t>CPFL ENERGIA S.A</t>
  </si>
  <si>
    <t>MONITORA DADOS</t>
  </si>
  <si>
    <t>Vivo S.a Telefônica Brasil S.a</t>
  </si>
  <si>
    <t>2025-12</t>
  </si>
  <si>
    <t>IP DEDICADO</t>
  </si>
  <si>
    <t>CLARO S.A.</t>
  </si>
  <si>
    <t>MULTA REF. QUEBRA CONTRATO MONITORA DADOS (COSTA LOUREIRO)</t>
  </si>
  <si>
    <t>palavra: multa</t>
  </si>
  <si>
    <t>INTERNET - ALGAR</t>
  </si>
  <si>
    <t>Vogel Soluções em Telecomunicações e Informática S/A</t>
  </si>
  <si>
    <t>MULTA REF. CANCELAMENTO CONTRATO IP DEDICADO (COSTA LOUREIRO)</t>
  </si>
  <si>
    <t>Telefonica Brasil S.a</t>
  </si>
  <si>
    <t>palavra: multa; fornecedor sem outra ocorrência na conta em 12 meses; valor atípico (acima de 3x a mediana da conta em 12 meses, mediana 237.475)</t>
  </si>
  <si>
    <t>Empresa Brasileira de Telecomunicações S.a.embratel</t>
  </si>
  <si>
    <t>Verisure Brasil Monitoramento de Alarmes S.a.</t>
  </si>
  <si>
    <t>ALUGUEL</t>
  </si>
  <si>
    <t>Reuniao Construtora e Administradora de Bens Ltda</t>
  </si>
  <si>
    <t>ALUGUEL - R$ 26.973,11SEGURO ANUAL - R$ 787,71</t>
  </si>
  <si>
    <t>CONSULTA CPF GUSTAVO</t>
  </si>
  <si>
    <t>CONVENÇÃO COLETIVA 2025</t>
  </si>
  <si>
    <t>Sinsa Sindicato dos Advogados</t>
  </si>
  <si>
    <t>TAXA SOLICITAÇÃO DE SUSPENSÃO DE INSCRIÇÃO SUPLEMENTAR OAB/DF - GUSTAVO</t>
  </si>
  <si>
    <t>Ordem dos Advogados do Brasil Df</t>
  </si>
  <si>
    <t>ANUIDADE PROPORCIONAL JANEIRO - GUSTAVO</t>
  </si>
  <si>
    <t>INSCRIÇÃO SUPLEMENTAR - GUSTAVO</t>
  </si>
  <si>
    <t>Ordem dos Advogados do Brasil Mg</t>
  </si>
  <si>
    <t>GUSTAVO - REGULARIZAÇÃO REF. 2021, 2022, 2023 E 2024</t>
  </si>
  <si>
    <t>SUPLEMENTAR - GUSTAVO</t>
  </si>
  <si>
    <t>Ordem dos Advogados do Brasil Seccao do Ceará</t>
  </si>
  <si>
    <t>ANUIDADE 2025</t>
  </si>
  <si>
    <t>Ordem dos Advogados do Brasil Pr</t>
  </si>
  <si>
    <t>PARCELAMENTO PGFN - PARCELA 06/49</t>
  </si>
  <si>
    <t>MINISTERIO DA ECONOMIA</t>
  </si>
  <si>
    <t>composicao_pendente;lancado_em_5.14.03.000_descricao_parcelamento</t>
  </si>
  <si>
    <t>PARCELAMENTO PGFN - PARCELA 07/49</t>
  </si>
  <si>
    <t>PARCELAMENTO PGFN - PARCELA 08/49</t>
  </si>
  <si>
    <t>PARCELAMENTO PGFN - PARCELA 09/49</t>
  </si>
  <si>
    <t>PARCELAMENTO PGFN - PARCELA 10/49</t>
  </si>
  <si>
    <t>PARCELAMENTO PGFN - PARCELA 11/49</t>
  </si>
  <si>
    <t>PARCELAMENTO PGFN - PARCELA 12/49</t>
  </si>
  <si>
    <t>PARCELAMENTO PGFN - PARCELA 13/49</t>
  </si>
  <si>
    <t>ANUIDADE 2026 - GUSTAVO</t>
  </si>
  <si>
    <t>Ordem dos Advogados do Brasil Secao do Espirito Santo</t>
  </si>
  <si>
    <t>ANUIDADE 2026</t>
  </si>
  <si>
    <t>TAXA REF. RETIRADA UNILATERAL MICHEL</t>
  </si>
  <si>
    <t>Ordem dos Advogados do Brasil Sp</t>
  </si>
  <si>
    <t>Ordem dos Advogados do Brasil Al</t>
  </si>
  <si>
    <t>Ordem dos Advogados do Brasil Rj</t>
  </si>
  <si>
    <t>ANUIDADE 2026 - RICARDO</t>
  </si>
  <si>
    <t>Ordem dos Advogados do Brasil Pe</t>
  </si>
  <si>
    <t>PARCELAMENTO SIMPLES NACIONAL - PARCELA 19/60</t>
  </si>
  <si>
    <t>PARCELAMENTO SIMPLES NACIONAL - PARCELA 20/60</t>
  </si>
  <si>
    <t>PARCELAMENTO SIMPLES NACIONAL - PARCELA 21/60</t>
  </si>
  <si>
    <t>PARCELAMENTO SIMPLES NACIONAL - PARCELA 22/60</t>
  </si>
  <si>
    <t>PARCELAMENTO SIMPLES NACIONAL - PARCELA 23/60</t>
  </si>
  <si>
    <t>PARCELAMENTO SIMPLES NACIONAL - PARCELA 24/60</t>
  </si>
  <si>
    <t>PARCELAMENTO SIMPLES NACIONAL - PARCELA 25/60</t>
  </si>
  <si>
    <t>PARCELAMENTO SIMPLES NACIONAL - PARCELA 26/60</t>
  </si>
  <si>
    <t>ANUIDADE 2022 A 2025</t>
  </si>
  <si>
    <t>Ordem dos Advogados do Brasil - Seção Pará</t>
  </si>
  <si>
    <t>fornecedor sem outra ocorrência na conta em 12 meses; valor atípico (acima de 3x a mediana da conta em 12 meses, mediana 972.72)</t>
  </si>
  <si>
    <t>DAS - SIMPLES NACIONAL</t>
  </si>
  <si>
    <t>valor atípico (acima de 3x a mediana da conta em 12 meses, mediana 972.72)</t>
  </si>
  <si>
    <t>SEGURO RESPONSABILIDADE CIVIL - PARCELA 03/10</t>
  </si>
  <si>
    <t>TOKIO MARINE SEGURADORA S.A.</t>
  </si>
  <si>
    <t>SEGURO RESPONSABILIDADE CIVIL - PARCELA 04/10</t>
  </si>
  <si>
    <t>SEGURO RESPONSABILIDADE CIVIL - PARCELA 05/10</t>
  </si>
  <si>
    <t>SEGURO RESPONSABILIDADE CIVIL - PARCELA 06/10</t>
  </si>
  <si>
    <t>SEGURO RESPONSABILIDADE CIVIL - PARCELA 07/10</t>
  </si>
  <si>
    <t>SEGURO RESPONSABILIDADE CIVIL - PARCELA 08/10</t>
  </si>
  <si>
    <t>SEGURO RESPONSABILIDADE CIVIL - PARCELA 09/10</t>
  </si>
  <si>
    <t>SEGURO RESPONSABILIDADE CIVIL - PARCELA 10/10</t>
  </si>
  <si>
    <t>ID 1144 - PRÊMIO DINÂMICA COPA DO MUNDO</t>
  </si>
  <si>
    <t>INSCRIÇÃO - IV CONGRESSO EM DIREITO DA INSOLVÊNCIA</t>
  </si>
  <si>
    <t>Associacao dos Advogados de Sao Paulo</t>
  </si>
  <si>
    <t>INSCRIÇÃO EVENTO 3º CICLO DE DEBATES - RICARDO</t>
  </si>
  <si>
    <t>Turnaround Management Association do Brasil - Tma Brasil</t>
  </si>
  <si>
    <t>INSCRIÇÃO IV CONGRESSO EM DIREITO DA INSOLVÊNCIA - JORGE</t>
  </si>
  <si>
    <t>AMCHAM</t>
  </si>
  <si>
    <t>American Chamber Of Commerce For Brazil São Paulo</t>
  </si>
  <si>
    <t>fornecedor sem outra ocorrência na conta em 12 meses; valor atípico (acima de 3x a mediana da conta em 12 meses, mediana 500)</t>
  </si>
  <si>
    <t>PATROCÍNIO CONGRESSO OAB</t>
  </si>
  <si>
    <t>Jps Eventos Ltda</t>
  </si>
  <si>
    <t>PATROCÍNIO REACT BRASIL</t>
  </si>
  <si>
    <t>Triunfae - Consultoria e Assessoria Ltda</t>
  </si>
  <si>
    <t>PATROCÍNIO CONGRESSO TMA BRASIL - COTA OURO</t>
  </si>
  <si>
    <t>PATROCÍNIO IBDE - RIO DE JANEIRO</t>
  </si>
  <si>
    <t>Instituto Brasileiro de Direito Empresarial</t>
  </si>
  <si>
    <t>Nupo Films Produções</t>
  </si>
  <si>
    <t>ANUIDADE</t>
  </si>
  <si>
    <t>BANCO SANTANDER (BRASIL) S.A.</t>
  </si>
  <si>
    <t>SCP ESSENCIAL</t>
  </si>
  <si>
    <t>BANCO BRADESCO CARTOES S.A.</t>
  </si>
  <si>
    <t>TRÁFEGO PAGO</t>
  </si>
  <si>
    <t>Facebook Serviços Online do Brasil Ltda.</t>
  </si>
  <si>
    <t>CARTA DE ANIVERSÁRIO CASP</t>
  </si>
  <si>
    <t>Gvc Papelaria</t>
  </si>
  <si>
    <t>CARTÃO DE FELICITAÇÕES - CARLOS ZAMBONI</t>
  </si>
  <si>
    <t>ID 1157 - ACOMPANHAMENTO DE MANUTENÇÃO E REPAROS NA SEDE - BP</t>
  </si>
  <si>
    <t>ID 1056 - ABERTURA E FECHAMENTO ESCRITÓRIO PARA LIMPEZA CAIXA D AGUA</t>
  </si>
  <si>
    <t>CAIXA PARA PRESENTE - CASP</t>
  </si>
  <si>
    <t>ALIMENTAÇÃO - REUNIÃO CLIENTE PAGUE MENOS</t>
  </si>
  <si>
    <t>ALMOÇO PROSPECÇÃO PAGUE MENOS (RICARDO, WAGNER, GIAN E DANIEL)</t>
  </si>
  <si>
    <t>ID 1145 - PRESENTE DE ANIVERSÁRIO ZAMBONI</t>
  </si>
  <si>
    <t>ID 1048 E 1051</t>
  </si>
  <si>
    <t>ID 1031</t>
  </si>
  <si>
    <t>COROA DE FLORES - FALECIMENTO PAI DO PARCEIRO DO ESCRITÓRIO EDGAR SANCHES DE TOLEDO</t>
  </si>
  <si>
    <t>Concessionaria Prever Administração Cemiterial e Serviços Funerários S.a.</t>
  </si>
  <si>
    <t>ID 1034</t>
  </si>
  <si>
    <t>10 SACA ROLHAS PARA PRESENTEAR CLIENTES</t>
  </si>
  <si>
    <t>53.811.786 Rita de Cassia Honorato Maia</t>
  </si>
  <si>
    <t>ID 1041</t>
  </si>
  <si>
    <t>ID 1073</t>
  </si>
  <si>
    <t>ID 1046</t>
  </si>
  <si>
    <t>PRESENTE 90 ANOS CASP</t>
  </si>
  <si>
    <t>TONELLI E MOLINARI COMERCIO DE CRISTAIS LTDA. - ME</t>
  </si>
  <si>
    <t>ALMOÇO COM SÓCIOS DA OKNO - RICARDO, GUSTAVO E LEONARDO</t>
  </si>
  <si>
    <t>Serafim &amp; Serafim Restaurantes Ltda</t>
  </si>
  <si>
    <t>Comercial</t>
  </si>
  <si>
    <t>ID 1042, 1043, 1044</t>
  </si>
  <si>
    <t>valor atípico (acima de 3x a mediana da conta em 12 meses, mediana 118.71)</t>
  </si>
  <si>
    <t>ID 1121 - CONGRESSO WEB SUMMIT RIO</t>
  </si>
  <si>
    <t>Samuel Willian Silva</t>
  </si>
  <si>
    <t>fornecedor sem outra ocorrência na conta em 12 meses; valor atípico (acima de 3x a mediana da conta em 12 meses, mediana 118.71)</t>
  </si>
  <si>
    <t>ID 1026</t>
  </si>
  <si>
    <t>ID 1054</t>
  </si>
  <si>
    <t>ID 1104</t>
  </si>
  <si>
    <t>ID 1099</t>
  </si>
  <si>
    <t>ID 1130</t>
  </si>
  <si>
    <t>ID 1074</t>
  </si>
  <si>
    <t>ID 1142</t>
  </si>
  <si>
    <t>Fernanda Voltarelli Arnoni</t>
  </si>
  <si>
    <t>ID 1137</t>
  </si>
  <si>
    <t>ID 1116</t>
  </si>
  <si>
    <t>ID 1102</t>
  </si>
  <si>
    <t>ID 1155</t>
  </si>
  <si>
    <t>Letícia Zamarion Julio</t>
  </si>
  <si>
    <t>ID 1113 E 1111</t>
  </si>
  <si>
    <t>ID 1105</t>
  </si>
  <si>
    <t>ID 1082</t>
  </si>
  <si>
    <t>ID 1090</t>
  </si>
  <si>
    <t>ID 1117</t>
  </si>
  <si>
    <t>ID 1068</t>
  </si>
  <si>
    <t>ID 1139</t>
  </si>
  <si>
    <t>ID 1089</t>
  </si>
  <si>
    <t>ID 1127</t>
  </si>
  <si>
    <t>ID 1118 E 1119</t>
  </si>
  <si>
    <t>ID 1063</t>
  </si>
  <si>
    <t>ID 1100</t>
  </si>
  <si>
    <t>ID 1061, 1070 E 1071</t>
  </si>
  <si>
    <t>ID 1154</t>
  </si>
  <si>
    <t>Pamela Klava Senna Patricio</t>
  </si>
  <si>
    <t>ID 1053</t>
  </si>
  <si>
    <t>ID 1036</t>
  </si>
  <si>
    <t>ID 1072</t>
  </si>
  <si>
    <t>ID 1083</t>
  </si>
  <si>
    <t>ID 1125 E 1126</t>
  </si>
  <si>
    <t>ID 1135</t>
  </si>
  <si>
    <t>ID 1097</t>
  </si>
  <si>
    <t>ID 1037</t>
  </si>
  <si>
    <t>ID 1140 E 1141</t>
  </si>
  <si>
    <t>ID 1136</t>
  </si>
  <si>
    <t>ID 1081</t>
  </si>
  <si>
    <t>ID 1095</t>
  </si>
  <si>
    <t>ID 1065</t>
  </si>
  <si>
    <t>ID 1079</t>
  </si>
  <si>
    <t>ID 1143 E 1147</t>
  </si>
  <si>
    <t>ID 1064</t>
  </si>
  <si>
    <t>ID 1098</t>
  </si>
  <si>
    <t>ID 1035</t>
  </si>
  <si>
    <t>ID 1045</t>
  </si>
  <si>
    <t>ID 1093</t>
  </si>
  <si>
    <t>ID 1038</t>
  </si>
  <si>
    <t>ID 1134</t>
  </si>
  <si>
    <t>ID 1129</t>
  </si>
  <si>
    <t>ID 1092</t>
  </si>
  <si>
    <t>ID 1040</t>
  </si>
  <si>
    <t>ID 1088 E 1091</t>
  </si>
  <si>
    <t>ID 1103 E 1107</t>
  </si>
  <si>
    <t>ID 1049</t>
  </si>
  <si>
    <t>Midian Barbosa da Silva</t>
  </si>
  <si>
    <t>ID 1052</t>
  </si>
  <si>
    <t>ID 1039</t>
  </si>
  <si>
    <t>Giovani Pina de Freitas</t>
  </si>
  <si>
    <t>ID 1057</t>
  </si>
  <si>
    <t>ID 1158 E 1159</t>
  </si>
  <si>
    <t>ID 1084 E 1087</t>
  </si>
  <si>
    <t>ID 1050, 1059 E 1060</t>
  </si>
  <si>
    <t>ID 1062 E 1067</t>
  </si>
  <si>
    <t>Mariana Manuel Araújo</t>
  </si>
  <si>
    <t>ID 1114 E 1115</t>
  </si>
  <si>
    <t>ID 1109 E 1110</t>
  </si>
  <si>
    <t>ID 1027</t>
  </si>
  <si>
    <t>ID 1122, 1123 E 1124</t>
  </si>
  <si>
    <t>ID 1131 E 1132</t>
  </si>
  <si>
    <t>ID 1066 E 1080</t>
  </si>
  <si>
    <t>ID 1085 E 1086</t>
  </si>
  <si>
    <t>ID 1146, 1151, 1152 E 1153</t>
  </si>
  <si>
    <t>ID 1108 E 1096</t>
  </si>
  <si>
    <t>Francisco de Assis Barbosa Campos Zanin</t>
  </si>
  <si>
    <t>ID 1094 E 1101</t>
  </si>
  <si>
    <t>valor atípico (acima de 3x a mediana da conta em 12 meses, mediana 372.9)</t>
  </si>
  <si>
    <t>PERMUTA</t>
  </si>
  <si>
    <t>Kremilin - Comercio de Confeccoes Ltda</t>
  </si>
  <si>
    <t>TARIFA PIX</t>
  </si>
  <si>
    <t>Adgm Cobranca e Consultoria Ltda</t>
  </si>
  <si>
    <t>ITAU UNIBANCO S.A.</t>
  </si>
  <si>
    <t>ALUGUEL MÁQUINA DE CARTÃO</t>
  </si>
  <si>
    <t>TARIFA PACOTE DE SERVIÇOS</t>
  </si>
  <si>
    <t>Banco do Brasil Sa</t>
  </si>
  <si>
    <t>TARIFA MAX EMPRESARIAL</t>
  </si>
  <si>
    <t>Banco Bradesco S.a.</t>
  </si>
  <si>
    <t>TARIFA CONTA CERTA</t>
  </si>
  <si>
    <t>TARIFA MANUTENÇÃO DE CONTA</t>
  </si>
  <si>
    <t>IOF ADICIONAL SOBRE PARCELAMENTO NO CARTÃO DE CRÉDITO - REGULARIZAÇÃO OAB</t>
  </si>
  <si>
    <t>SUL AMERICA COMPANHIA DE SEGURO SAUDE</t>
  </si>
  <si>
    <t>TAXA REF. RECEBIMENTO POR LINK DE PAGAMENTO + ANTECIPAÇÃO</t>
  </si>
  <si>
    <t>TARIFA REGISTRO TÍTULO</t>
  </si>
  <si>
    <t>TARIFA MANUTENÇÃO TÍTULO VENCIDO</t>
  </si>
  <si>
    <t>TARIFA PRORROGAÇÃO TÍTULO</t>
  </si>
  <si>
    <t>TARIFA PRORROGAÇÃO VENCIMENTO</t>
  </si>
  <si>
    <t>TESTE BOLETO EMITIDO PELO VIOS</t>
  </si>
  <si>
    <t>Bismarchi Pires Sociedade de Advogados</t>
  </si>
  <si>
    <t>CUSTAS CASTION (METALCASTY)</t>
  </si>
  <si>
    <t>Tribunal de Justica de São Paulo</t>
  </si>
  <si>
    <t>CUSTAS PST X ASAF COMÉRCIO</t>
  </si>
  <si>
    <t>Estado do Ceara</t>
  </si>
  <si>
    <t>CUSTAS PST X CJR TRANSP</t>
  </si>
  <si>
    <t>Tribunal de Justiça do Ceará</t>
  </si>
  <si>
    <t>CUSTAS PST X MINAS PARTS</t>
  </si>
  <si>
    <t>Tribunal de Justiçado Estado de Minas Gerais</t>
  </si>
  <si>
    <t>CUSTAS PST X SERTRIM</t>
  </si>
  <si>
    <t>CUSTAS PST X RICOR SISTEMAS</t>
  </si>
  <si>
    <t>GUIA COMPLEMENTAR - RECURSO CONSUBSTANCIADO EM HONORÁRIOS</t>
  </si>
  <si>
    <t>Secretaria da Fazenda e Planejamento do Estado de São Paulo</t>
  </si>
  <si>
    <t>CUSTAS PST X LOBO LOGISTICA</t>
  </si>
  <si>
    <t>Tribunal de Justiça de Pernambuco</t>
  </si>
  <si>
    <t>CUSTAS PROTRADE</t>
  </si>
  <si>
    <t>CUSTAS PST X VELOEX</t>
  </si>
  <si>
    <t>ESTADO DO RIO DE JANEIRO</t>
  </si>
  <si>
    <t>CUSTAS PST X WINGS TRANSPORTADORA</t>
  </si>
  <si>
    <t>Tribunal de Justica de Goiás</t>
  </si>
  <si>
    <t>CASTION PROJETOS (METALCASTY) X W FONSECA</t>
  </si>
  <si>
    <t>CUSTAS PST X MAGNO</t>
  </si>
  <si>
    <t>ADIANTAMENTO CORREIOS CDA</t>
  </si>
  <si>
    <t>Thayná Rodrigues Cabalin</t>
  </si>
  <si>
    <t>CUSTAS PST X ALICIA FELIX</t>
  </si>
  <si>
    <t>CUSTAS PST X PETROM COMBUSTIVEIS</t>
  </si>
  <si>
    <t>Proc. nº 40048819020268260114 - Bismarchi Pires Sociedade de Advogados X Grn Pavimentacao e Obras Ltda</t>
  </si>
  <si>
    <t>Proc. nº 1051572-87.2024.8.26.0114 - Bismarchi Pires Sociedade de Advogados X Mega Quimica Industria e Comercio Eireli</t>
  </si>
  <si>
    <t>Proc. nº 0025456-27.2025.8.26.0114 - Bismarchi Pires Sociedade de Advogados X A R V Navegação Ltda</t>
  </si>
  <si>
    <t>CUSTAS PST X VALERIA GOMES</t>
  </si>
  <si>
    <t>Proc. nº 0040031-87.2022.8.26.0100 - Bismarchi Pires Sociedade de Advogados x Zuma Comércio de Revestimentos Ltda</t>
  </si>
  <si>
    <t>CUSTAS PST X ASSOC PROTETORA DE VEÍCULOS</t>
  </si>
  <si>
    <t>CUSTAS PST X CONNECTPARTS</t>
  </si>
  <si>
    <t>CUSTAS PST X DECAGI VEICULOS</t>
  </si>
  <si>
    <t>GUIA AR - Proc nº 4020067-90.2025.8.26.0114 - Bismarchi Pires x UP-Fer</t>
  </si>
  <si>
    <t>CUSTAS PST X CARLOS ANDRE DOS SANTOS</t>
  </si>
  <si>
    <t>Tribunal de Justiça do Estado de Sergipe</t>
  </si>
  <si>
    <t>CUSTAS PST X TIBIRIÇA</t>
  </si>
  <si>
    <t>Proc. nº 0001663-37.2024.8.26.0068 - Bismarchi Pires Sociedade de Advogados X Catch Comunicação Visual e Displays Ltda</t>
  </si>
  <si>
    <t>Proc. nº 0001189-29.2024.8.26.0048 Bismarchi Pires Sociedade de Advogados X SOUZA VAREJISTA DE LUBRIFICANTES LTDA</t>
  </si>
  <si>
    <t>CUSTAS PST X T&amp;C INDÚSTRIA</t>
  </si>
  <si>
    <t>Proc. nº 4020067-90.2025.8.26.0114 - Bismarchi Pires Sociedade de Advogados X UP-FER Produtos Siderurgicos Ltda</t>
  </si>
  <si>
    <t>CUSTAS PST X T&amp;C</t>
  </si>
  <si>
    <t>Proc. nº 0001189-29.2024.8.26.0048 - Bismarchi Pires Sociedade de Advogados x Souza Varejista de Lubrificantes LTDA.</t>
  </si>
  <si>
    <t>Proc. nº 0003998-26.2023.8.26.0048 - Bismarchi Pires x Souza Comércio de Lubrificantes LTDA</t>
  </si>
  <si>
    <t>CUSTAS PST X JFC AUTO SOCORRO</t>
  </si>
  <si>
    <t>Proc. nº 0036077-62.2024.8.26.0100 | Bismarchi Pires x Zuma Comércio de Revestimentos LTDA. ME</t>
  </si>
  <si>
    <t>Proc. nº 0001663-37.2024.8.26.0068 - Bismarchi Pires x Catch Comunicação Visual e Displays LTDA</t>
  </si>
  <si>
    <t>CUSTAS PST X CARLOS ANDRÉ DOS SANTOS</t>
  </si>
  <si>
    <t>CUSTAS PST X CARLOS ANDRÉ</t>
  </si>
  <si>
    <t>GUIA GPR &amp; RINALDO CAPITAL X SOPETRA - TAXA DE DESARQUIVAMENTO DOS AUTOS DEVIDO À FALHA INTERNAPROC. 1109118-79.2023.8.26.0100</t>
  </si>
  <si>
    <t>CUSTAS PST X AGILIZI</t>
  </si>
  <si>
    <t>PROC. 0004442-97.2023.8.26.0100 | DECORWATTS X ARSEMP AR CONDICIONADO LTDA - MIGRAÇÃO SISTEMA E-SAJ PARA EPROC (CUSTAS PARA DESARQUIVAMENTO)</t>
  </si>
  <si>
    <t>CUSTAS PST X SYM BRASIL</t>
  </si>
  <si>
    <t>CUSTAS TEIXEIRA</t>
  </si>
  <si>
    <t>CUSTAS PST X CONSTRUTORA FRANCO</t>
  </si>
  <si>
    <t>ESTADO DA BAHIA</t>
  </si>
  <si>
    <t>Proc. nº 4006311-81.2026.8.26.0048 - Bismarchi Pires x MD Comércio de Lubrificantes LTDA e Paulo César de Menezes</t>
  </si>
  <si>
    <t>CUSTAS PST X MALHEIROS</t>
  </si>
  <si>
    <t>Proc. nº 0001663-37.2024.8.26.0068 - Bismarchi Pires Sociedade de Advogados x Catch Comunicação Visual e Displays Ltda</t>
  </si>
  <si>
    <t>Proc. nº 1032870-93.2024.8.26.0114 - Bismarchi Pires Sociedade de Advogados x Pavan Zanetti Industria Metalurgica Ltda</t>
  </si>
  <si>
    <t>CUSTAS PERFILIX X GUSTAVO HENRIQUE VIEIRA</t>
  </si>
  <si>
    <t>CUSTAS PERFILIX</t>
  </si>
  <si>
    <t>CUSTAS PST X JCF</t>
  </si>
  <si>
    <t>PROC 0000996-71.2022.8.26.0278 - GUSTAVO BISMARCHI MOTTA X SIM SERVIÇOS ADMINISTRATIVOS LTDA</t>
  </si>
  <si>
    <t>CUSTAS PST X HARMONIA TERRAPLANAGEM</t>
  </si>
  <si>
    <t>CUSTAS PST X AGF PARTS X ANDRÉ LUIS</t>
  </si>
  <si>
    <t>Proc. 0001663-37.2024.8.26.0068 | Bismarchi Pires x Catch Comunicação Visual e Displays LTDA</t>
  </si>
  <si>
    <t>CUSTAS PST X CB SANTOS</t>
  </si>
  <si>
    <t>Tribunal de Justiça do Estado do Pará</t>
  </si>
  <si>
    <t>CUSTAS PST X APVA</t>
  </si>
  <si>
    <t>CUSTAS PST X ETRALL LOG</t>
  </si>
  <si>
    <t>Proc. nº 0004072-82.2025.8.16.0147 - BP x Aires Tavares Transportes Rodoviários LTDA</t>
  </si>
  <si>
    <t>Funjus</t>
  </si>
  <si>
    <t>CERTIDÃO DIGITAL PARA ANÁLISE DE BALANÇO FINANCEIRO - Bismarchi Pires x Rápido 900</t>
  </si>
  <si>
    <t>Secretaria da Fazenda e Planejamento</t>
  </si>
  <si>
    <t>CUSTAS PST X VALERIA GOMES DA SILVA</t>
  </si>
  <si>
    <t>Proc. nº 0001660-84.2025.8.26.0347 - Bismarchi Pires Sociedade de Advogados X Support-in Consultoria Empresarial Ltda</t>
  </si>
  <si>
    <t>CUSTAS PST X IVANISE MARIA</t>
  </si>
  <si>
    <t>CUSTAS PST X JANEE KATHEEN ALVES</t>
  </si>
  <si>
    <t>Proc. nº: 1032870-93.2024.8.26.0114 - Bismarchi Pires Sociedade de Advogados X Pavan Zanetti Industria Metalurgica Ltda</t>
  </si>
  <si>
    <t>Proc. nº: 0002066-36.2026.8.26.0100 BISMARCHI PIRES X FSD HIGH PERFORMANCE OF PRODUCTIVE MANAGEMENT EIRELI</t>
  </si>
  <si>
    <t>ERRO NO ENVIO DE GUIA AO CLIENTEPROC 1007288-73.2023.8.26.0002 - DECORWATTS X 4N INSTALACOES E SERVICOS LTDA.</t>
  </si>
  <si>
    <t>Proc. 0002066-36.2026.8.26.0100 - Bismarchi Pires Sociedade de Advogados X FSD HIGH PERFORMANCE OF PRODUCTIVE MANAGEMENT EIRELI</t>
  </si>
  <si>
    <t>CUSTAS PST X RR FRIOS</t>
  </si>
  <si>
    <t>Proc. nº 0036077-62.2024.8.26.0100 | Bismarchi Pires Sociedade de Advogados x Zuma Comércio de Revestimentos LTDA. ME</t>
  </si>
  <si>
    <t>Proc. nº 1059572-76.2024.8.26.0114 - Bismarchi Pires x CTP Engenharia</t>
  </si>
  <si>
    <t>Proc. nº 0025456-27.2025.8.26.0114 | Bismarchi Pires x ARV Navegação LTDA</t>
  </si>
  <si>
    <t>CUSTAS PST X FUEL LOGISTIC</t>
  </si>
  <si>
    <t>Proc. 016944-24.2019.8.26.0451 - Gustavo Bismarchi X Luis Alberto Pires</t>
  </si>
  <si>
    <t>CUSTAS WM</t>
  </si>
  <si>
    <t>GUIA RECOLHIDA E-SAJ, DEVENDO SER E-PROC - Proc. nº 1007288-73.2023.8.26.0002 | Decorwatts x 4N Instalações e Serviços LTDA</t>
  </si>
  <si>
    <t>CUSTAS PST X UNIC LOGISTICA</t>
  </si>
  <si>
    <t>Santa Catarina Tribunal de Justica</t>
  </si>
  <si>
    <t>CUSTAS PST X COMERCIAL DE MOVEIS</t>
  </si>
  <si>
    <t>CUSTAS PST X EDCLEIDE</t>
  </si>
  <si>
    <t>Proc. nº 4019855-35.2026.8.26.0114 | BP x Ômega Construções Limitada</t>
  </si>
  <si>
    <t>GUSTAVO X MOTIVA INFRAESTRUTURA DE MOBILIDADE S.A</t>
  </si>
  <si>
    <t>CUSTAS PST X UNIVERSO DO SOM</t>
  </si>
  <si>
    <t>Junta Comercial do Estado de Sergipe</t>
  </si>
  <si>
    <t>Proc. 1043284-53.2024.8.26.0114 - Bismarchi Pires Sociedade de Advogados x Dona Clara Comercio de Produtos de Limpeza Ltda Em Recuperação Judicial</t>
  </si>
  <si>
    <t>Proc. nº 4019855-35.2026.8.26.0114 - Bismarchi Pires x Ômega</t>
  </si>
  <si>
    <t>CUSTAS PST X AGF PARTS</t>
  </si>
  <si>
    <t>INTERPOSIÇÃO DE RECURSO ESPECIAL - FIXAÇÃO HONORÁRIOS DE SUCUMBÊNCIA - PROC. 2269757-92.2025.8.26.0000</t>
  </si>
  <si>
    <t>Superior Tribunal de Justiça</t>
  </si>
  <si>
    <t>CUSTAS DAB METAL</t>
  </si>
  <si>
    <t>EMISSÃO DE MATRÍCULAS DE IMÓVEIS - BISMARCHI PIRES X RÁPIDO 900</t>
  </si>
  <si>
    <t>Operador Nacional de Registros - Onr</t>
  </si>
  <si>
    <t>CUSTAS ENTREGA JÁ LOG</t>
  </si>
  <si>
    <t>CUSTAS PST X NS</t>
  </si>
  <si>
    <t>CUSTAS PST X JULIO</t>
  </si>
  <si>
    <t>PEDIDO DE REGISTRO DE MARCA - CUSTAS EM DOBRO - CHICA PAIVA</t>
  </si>
  <si>
    <t>Instituto Nacional da Propriedade Industrial</t>
  </si>
  <si>
    <t>GUIA DE DEPÓSITO - Proc. Nº 0030122-16.2025.8.26.0100 - Bismarchi Pires Sociedade de Advogados X Cash Price Securitizadora S/A</t>
  </si>
  <si>
    <t>CUSTAS EM DOBRO - FELICITA - PROC. 265111-39.2025.8.26.0000</t>
  </si>
  <si>
    <t>TAXA RECURSAL - ADEQUAÇÃO HONORÁRIOS SUCUMBENCIAIS - PROC. 4001965-10.2026.8.26.0009</t>
  </si>
  <si>
    <t>Proc. nº 4020067-90.2025.8.26.0114 - Bismarchi Pires Sociedade de Advogados X Up-Fer Produtos Siderurgicos Ltda</t>
  </si>
  <si>
    <t>CUSTAS EM DOBRO - MIGRAÇÃO SISTEMA E-SAJ PARA EPROC - CRISTAL E CORESPROC 1001420-06.2025.8.26.0177</t>
  </si>
  <si>
    <t>PROC. 1087167-58.2025.8.26.0100 - AGRAVO DE INSTRUMENTO - HONORÁRIOS DE SUCUMBÊNCIA</t>
  </si>
  <si>
    <t>CUSTAS PUBLICAÇÃO DE EDITAL - GRUPO ITABERÁ</t>
  </si>
  <si>
    <t>CUSTAS EM DOBRO - ERRO JUNTADA GUIA E COMPROVANTE - METALCORE</t>
  </si>
  <si>
    <t>valor atípico (acima de 3x a mediana da conta em 12 meses, mediana 77.78)</t>
  </si>
  <si>
    <t>CUSTAS EM DOBRO - ERRO NO PROTOCOLO - PEQUI METAIS (SEM RESTITUIÇÃO)PROC 4032410-38.2026.8.26.0000</t>
  </si>
  <si>
    <t>GUIA INTERPOSIÇÃO DE RECURSO - PROC. 0018891-60.2023.8.26.0100 - ALLIANCE PARTICIPAÇÕES</t>
  </si>
  <si>
    <t>PAGAMENTO DE GUIA ESCRITÓRIO - ERRO INTERNO - Processo nº 0001146-55.2026.8.26.0361 - Gabriel Furtunato</t>
  </si>
  <si>
    <t>CUSTAS PST X J. PARTS</t>
  </si>
  <si>
    <t>Poder Judiciario do Estado do Espírito Santo</t>
  </si>
  <si>
    <t>fornecedor sem outra ocorrência na conta em 12 meses; valor atípico (acima de 3x a mediana da conta em 12 meses, mediana 77.78)</t>
  </si>
  <si>
    <t>SECRETARIA DA FAZENDA DO ESTADO DE SÃO PAULO</t>
  </si>
  <si>
    <t>PAGAMENTO DE GUIA ESCRITÓRIO - ERRO INTERNO - Processo nº 0002908-71.2026.8.26.0114 - Marcelo Vasques</t>
  </si>
  <si>
    <t>HOSPEDAGEM RICARDO REF. CONGRESSO EMPRESARIAL EM BRASÍLIA</t>
  </si>
  <si>
    <t>Melia Brasil Administração Hoteleira e Comercial Ltda</t>
  </si>
  <si>
    <t>HOTEL REF. CONGRESSO TMA - PARCELA 03/03</t>
  </si>
  <si>
    <t>Expedia do Brasil Agencia de Viagens e Turismo Ltda</t>
  </si>
  <si>
    <t>AZUL LINHAS AÉREAS BRASILEIRAS</t>
  </si>
  <si>
    <t>PASSAGEM AÉREA VIII CONGRESSO BRASILEIRO DE DIREITO DA EMPRESA - GUSTAVO</t>
  </si>
  <si>
    <t>DESPESAS VISITA DIA 16/01/2026</t>
  </si>
  <si>
    <t>Cleber R Felix Informatica</t>
  </si>
  <si>
    <t>T.I.</t>
  </si>
  <si>
    <t>DESPESAS VISITA DIA 12/05/2026</t>
  </si>
  <si>
    <t>DESPESAS VISITA DIA 24/06/2026</t>
  </si>
  <si>
    <t>DESPESAS VISITA DIA 04/08/2026</t>
  </si>
  <si>
    <t>DESPESAS VISITAS DIAS 24/03 E 07/04</t>
  </si>
  <si>
    <t>Ismael Ferreira dos Santos</t>
  </si>
  <si>
    <t>51.307.723 Isac Daniel Coelho</t>
  </si>
  <si>
    <t>Bruno Dionísio Veríssimo</t>
  </si>
  <si>
    <t>Mk Express Logistica Ltda</t>
  </si>
  <si>
    <t>ENVIO RENÚNCIA FORM BOB</t>
  </si>
  <si>
    <t>Natalia Borges Breve</t>
  </si>
  <si>
    <t>RENÚNCIA CATIA MARRAFON</t>
  </si>
  <si>
    <t>ENVIO RENÚNCIA FELICITA</t>
  </si>
  <si>
    <t>CORREIOS REF. ENVIO QUADRINHOS</t>
  </si>
  <si>
    <t>CORREIO RENÚNCIA ROSI MARY SANTOS</t>
  </si>
  <si>
    <t>ENVIO RENÚNCIA FORM BOB, ROSANGELA MOTTA FREIRE E RICARDO GIOVANI SANCHES DIAS</t>
  </si>
  <si>
    <t>CARTÕES PARA ENVIO DOS GIBIS</t>
  </si>
  <si>
    <t>ENVELOPES GIFT CARD</t>
  </si>
  <si>
    <t>PRODUÇÃO FÊNIX 3D</t>
  </si>
  <si>
    <t>Nutss Solucoes Em Tecnologia 3D Ltda</t>
  </si>
  <si>
    <t>CONFECÇÃO CRACHÁS E CORDÕES WORKSHOP PLANEJAMENTO ESTRATÉGICO - 05/03</t>
  </si>
  <si>
    <t>Fcinco Solucoes Em Impressoes Ltda</t>
  </si>
  <si>
    <t>QUADRINHOS - PARCELA 02/03</t>
  </si>
  <si>
    <t>Print Park Grafica e Editora Ltda</t>
  </si>
  <si>
    <t>QUADRINHOS - PARCELA 03/03</t>
  </si>
  <si>
    <t>CONFECÇÃO 500 QUADRINHOS + 300 MARCA PÁGINAS</t>
  </si>
  <si>
    <t>Valeform Grafica e Editora Ltda</t>
  </si>
  <si>
    <t>CONFECÇÃO 500 QUADRINHOS + 300 MARCA PÁGINAS + 500 QUADRINHOS PARA TMA (PEDIDO AJUSTADO)</t>
  </si>
  <si>
    <t>valor atípico (acima de 3x a mediana da conta em 12 meses, mediana 390)</t>
  </si>
  <si>
    <t>CONFECÇÃO 1.000 QUADRINHOS PARA O TMA</t>
  </si>
  <si>
    <t>CERTIFICADO DIGITAL RICARDO</t>
  </si>
  <si>
    <t>C.camp Certificado Digital Ltda</t>
  </si>
  <si>
    <t>CERTIFICADO DIGITAL GUSTAVO</t>
  </si>
  <si>
    <t>CONTRATAÇÃO DE CÁLCULOS - PROCESSOS CAROLINE PACÍFICA E LILIAN RENATA MAGRO</t>
  </si>
  <si>
    <t>Juricont Assessoria Administrativa Ltda</t>
  </si>
  <si>
    <t>HONORÁRIO REF. ALTERAÇÃO CONTRATUAL</t>
  </si>
  <si>
    <t>Selores Contabilidade Ss Ltda</t>
  </si>
  <si>
    <t>PROPOSTA PLANEJAMENTO TRIBUTÁRIO - PARCELA 03/05</t>
  </si>
  <si>
    <t>PROPOSTA PLANEJAMENTO TRIBUTÁRIO - PARCELA 04/05</t>
  </si>
  <si>
    <t>PROPOSTA PLANEJAMENTO TRIBUTÁRIO - PARCELA 05/05</t>
  </si>
  <si>
    <t>ND</t>
  </si>
  <si>
    <t>Antunes Galvao Consultoria  Em Gestao Empresarial</t>
  </si>
  <si>
    <t>CONTRATAÇÃO ANALISTA RH E FINANCEIRO</t>
  </si>
  <si>
    <t>67.574.062 Maria Bernadete Grigolon</t>
  </si>
  <si>
    <t>Financeiro</t>
  </si>
  <si>
    <t>CONTRATAÇÃO ADVOGADO JUNIOR REESTRUTURAÇÃO</t>
  </si>
  <si>
    <t>PROCESSO SELETIVO - ADVOGADO CONTENCIOSO CÍVEL PLENO - PARCELA 02/04</t>
  </si>
  <si>
    <t>Maria Bernadete Grigolon</t>
  </si>
  <si>
    <t>PROCESSO SELETIVO - ADVOGADO CONTENCIOSO CÍVEL PLENO - PARCELA 03/04</t>
  </si>
  <si>
    <t>PROCESSO SELETIVO - ADVOGADO CONTENCIOSO CÍVEL PLENO - PARCELA 04/04</t>
  </si>
  <si>
    <t>Mais Humanidade Ltda</t>
  </si>
  <si>
    <t>SHARE RH - PARCELA 10/10</t>
  </si>
  <si>
    <t>Dgm Recrutamento e Seleção Ltda</t>
  </si>
  <si>
    <t>Jsn Servicos Administrativos Eireli Me</t>
  </si>
  <si>
    <t>Carlos Zamboni Neto</t>
  </si>
  <si>
    <t>HONORÁRIOS REF. CONTRATOS: LAMARTINE, SPEL, RICARDO/ELIANE, PROJETAR, MACAN E NIGRO - PERÍODO INICIAL A ABRIL/2026.</t>
  </si>
  <si>
    <t>CONSULTORIA FINANCEIRA</t>
  </si>
  <si>
    <t>HIGIENIZAÇÃO OUTBACK</t>
  </si>
  <si>
    <t>Bruno Alexandre Mendes da Silva</t>
  </si>
  <si>
    <t>LIMPEZA DE VIDROS - SALDO FINAL</t>
  </si>
  <si>
    <t>Diego Batista Dias Serviços de Limpeza</t>
  </si>
  <si>
    <t>LIMPEZA CARPETE 1º ANDAR - SALDO FINAL</t>
  </si>
  <si>
    <t>Priscila Araujo Francelino Rodrigues</t>
  </si>
  <si>
    <t>valor atípico (acima de 3x a mediana da conta em 12 meses, mediana 200)</t>
  </si>
  <si>
    <t>Nazare Castilho</t>
  </si>
  <si>
    <t>Agiliza Agenciamento e Prestação de Serviços Ltda</t>
  </si>
  <si>
    <t>DIARISTA - COBERTURA FÉRIAS CRISTIANA</t>
  </si>
  <si>
    <t>SPOT LED EMBUTIR</t>
  </si>
  <si>
    <t>LÂMPADAS</t>
  </si>
  <si>
    <t>COMPRA E CODIFICAÇÃO DE DUAS TAGS PARA PORTA SALA GUSTAVO</t>
  </si>
  <si>
    <t>Bematel Sistema de Segurança</t>
  </si>
  <si>
    <t>REPARO VENTILADOR</t>
  </si>
  <si>
    <t>Camila Fidelis Vitachi Ferreira</t>
  </si>
  <si>
    <t>REPARO PERSIANA SALA ADM</t>
  </si>
  <si>
    <t>Will Comércio e Instalação de Persianas Ltda</t>
  </si>
  <si>
    <t>REPARO PERSIANA SALA CÍVEL</t>
  </si>
  <si>
    <t>TROCA DA ABOTOADEIRA DE LIBERAÇÃO DA PORTA DE ENTRADA DO ESCRITÓRIO</t>
  </si>
  <si>
    <t>65.215.483 Lilian Gonçalves Balieiro</t>
  </si>
  <si>
    <t>TROCA FECHADURA DO BANHEIRO FEMININO</t>
  </si>
  <si>
    <t>Chaveiro Terra</t>
  </si>
  <si>
    <t>MANUTENÇÃO MICROONDAS</t>
  </si>
  <si>
    <t>Utilitária Comércio de Eletrodomésticos e Acessórios Ltda</t>
  </si>
  <si>
    <t>Troca de três lâmpadas (corredor das impressoras e na sala reestruturação):Instalação de um varal na copinha do térreo.</t>
  </si>
  <si>
    <t>Ricardo Augusto Silva Trad</t>
  </si>
  <si>
    <t>REPARO CALHA LOCALIZADA NO TELHADO</t>
  </si>
  <si>
    <t>Calhas Gomes Ltda</t>
  </si>
  <si>
    <t>- Troca da entrada da extensão:- Troca de uma lâmpada.</t>
  </si>
  <si>
    <t>Alan Carvalho</t>
  </si>
  <si>
    <t>REPARO TORNEIRA DA COZINHA</t>
  </si>
  <si>
    <t>Antonio Soares Filho</t>
  </si>
  <si>
    <t>Troca duas lâmpadas: área das impressorasMontagem/remontagem das tomadas da biblioteca para verificação de possível reparo.</t>
  </si>
  <si>
    <t>- Manutenção nas portas do armário- Rejuntamento da pia da copinha</t>
  </si>
  <si>
    <t>Luciano Ribeiro da Silva</t>
  </si>
  <si>
    <t>SUBSTITUIÇÃO DA VIGA DE SUSTENTAÇÃO DA CAIXA D ÁGUA</t>
  </si>
  <si>
    <t>LIMPEZA CAIXA D ÁGUA</t>
  </si>
  <si>
    <t>- Ajuste na porta do banheiro masculino. - Troca de lâmpadas.</t>
  </si>
  <si>
    <t>LIMPEZA CAIXA DE GORDURA</t>
  </si>
  <si>
    <t>Alliance M K Controle de Pragas e Serviços Ltda</t>
  </si>
  <si>
    <t>LIMPEZA DAS CALHAS E MANUTENÇÃO DO TELHADO</t>
  </si>
  <si>
    <t>DESOBSTRUÇÃO VASO SANITÁRIO BANHEIRO FEMININO TÉRREO</t>
  </si>
  <si>
    <t>Desentupidora Suporte Ltda</t>
  </si>
  <si>
    <t>- Troca 2 lâmpadas- Desentupimento vaso banheiro masculino piso inferior</t>
  </si>
  <si>
    <t>- Fixação do corrimão da escada:- Aperto das maçanetas de três portas de vidro:- Troca de 3 lâmpadas (2 reestruturação e 1 Op. Legais).</t>
  </si>
  <si>
    <t>MANUTENÇÃO CALHAS DA FACHADA, COMPRA DE MATERIAL E VEDAÇÃO DO VIDRO DA ESTRUTURA DA FACHADA</t>
  </si>
  <si>
    <t>LIMPEZA CAIXA D ÁGUA E MELHORIA NA CALHA</t>
  </si>
  <si>
    <t>LIMPEZA DAS CALHAS</t>
  </si>
  <si>
    <t>Aperto braço de uma cadeiraRetirada de 2 gorrosTroca duas lâmpadas: cozinha e área das impressorasCompra e troca do sensor do banheiro masculino do térreoCompra e troca da peça da torneira do banheiro feminino térreoLimpeza do exaustor</t>
  </si>
  <si>
    <t>- Compra e troca do mecanismo da torneira do lavatório no hall dos banheiros.- Compra e troca da lâmpada da arandela da escada. - Desentupimento do vaso de descarga do banheiro feminino no piso inferior. - Fixação do suporte do tablet. - Configuração de dois timers.</t>
  </si>
  <si>
    <t>- Compra e troca de parte do rodapé.- Pintura do pedaço trocado do rodapé.- Fixação do rodapé em outras duas salas.- Aperto na maçaneta da porta de entrada.- Aperto das tampas dos vasos sanitário.</t>
  </si>
  <si>
    <t>&amp;bull: Compra e troca do sifão da pia do hall do banheiro:&amp;bull: Troca das lâmpadas:&amp;bull: Ajuste na fechadura da cozinha:&amp;bull: Reinstalação do ventilador da cozinha:&amp;bull: Configuração do timer da iluminação da fênix:&amp;bull: Limpeza do arejador da torneira da pia do banheiro masculino do piso superior:&amp;bull: Fixação das tomadas próximas ao relógio de ponto:&amp;bull: Avaliação de curto no circuito da porta de entrada:&amp;bull: Avaliação de problemas em uma cadeira.</t>
  </si>
  <si>
    <t>- Fixação do vidro de uma arandela da escada.- Troca das fitas de led da biblioteca. - Troca de lâmpada.   - Implantação de tomadas na copinha. - Troca de tomada na copinha. - Fixação de encosto de cabeça em uma cadeira. - Aperto nos braços de uma cadeira.</t>
  </si>
  <si>
    <t>palavra: implantação</t>
  </si>
  <si>
    <t>- Implantação de leds na sala do Dr. Gustavo. (1.200,00 com material) - Fixação do tubo da bituqueira.- Colagem de um metro de rodapé. - Retirada do ventilador da cozinha. - Troca de lâmpadas.</t>
  </si>
  <si>
    <t>palavra: implantação; valor atípico (acima de 3x a mediana da conta em 12 meses, mediana 400)</t>
  </si>
  <si>
    <t>DESOBSTRUÇÃO RALO BANHEIRO FEMININO E REDE DE ESGOTO</t>
  </si>
  <si>
    <t>Rafael Pereira Guilherme de Andrade</t>
  </si>
  <si>
    <t>valor atípico (acima de 3x a mediana da conta em 12 meses, mediana 400)</t>
  </si>
  <si>
    <t>CÂMERA INTERNA NOTEBOOK DANIEL PRESSATO</t>
  </si>
  <si>
    <t>CARREGADOR NOTEBOOK - RENATO ROSSETTI</t>
  </si>
  <si>
    <t>CABO FLAT WEBCAM NOTEBOOK LIGIA</t>
  </si>
  <si>
    <t>CÂMERA NOTEBOOK - DANIEL PRESSATO</t>
  </si>
  <si>
    <t>TROCA CONECTOR CARREGADOR NOTEBOOK - ISADORA CONTE</t>
  </si>
  <si>
    <t>Edmilson C Pereira Servicos de Informatica</t>
  </si>
  <si>
    <t>MEMÓRIA NOTEBOOK - MARIA CAROLINE THOMÉ</t>
  </si>
  <si>
    <t>MEMÓRIA NOTEBOOK - ALINE COLTRE</t>
  </si>
  <si>
    <t>MEMÓRIA NOTEBOOK - JULIANA HERCULANO</t>
  </si>
  <si>
    <t>MEMÓRIA NOTEBOOK - MANUELA LUTKE</t>
  </si>
  <si>
    <t>MEMÓRIA NOTEBOOK - GRAZIANE</t>
  </si>
  <si>
    <t>MEMÓRIA NOTEBOOK - CAIO AUGUSTO</t>
  </si>
  <si>
    <t>MEMÓRIA NOTEBOOK - BACKUP LEGAL OPS</t>
  </si>
  <si>
    <t>SSD NOTEBOOK VINICIUS</t>
  </si>
  <si>
    <t>TROCA TELA NOTEBOOK - VINICIUS CANTO</t>
  </si>
  <si>
    <t>MANUTENÇÃO AR SALA REESTRUTURAÇÃO</t>
  </si>
  <si>
    <t>Wellington Wedley da Silva</t>
  </si>
  <si>
    <t>MANUTENÇÃO AR BIBLIOTECA, SALA GUSTAVO E SALA RICARDO</t>
  </si>
  <si>
    <t>MANUTENÇÃO AR SALAS REESTRUTURAÇÃO, JORGE E WAGNER, SALA 02</t>
  </si>
  <si>
    <t>LIMPEZA AR CONDICIONADO SALAS ADM, 01 E TRABALHISTA</t>
  </si>
  <si>
    <t>LIMPEZA AR CONDICIONADO SALAS CÍVEL, FELIPE E OPERAÇÕES LEGAIS</t>
  </si>
  <si>
    <t>MANUTENÇÃO AR SALAS CÍVEL, FELIPE E OPERAÇÕES LEGAIS</t>
  </si>
  <si>
    <t>MANUTENÇÃO AR BIBLIOTECA, SALA GUSTAVO E RICARDO</t>
  </si>
  <si>
    <t>MANUTENÇÃO AR SALAS 01, ADM E TRABALHISTA + REPARO SALA INSOLVÊNCIA</t>
  </si>
  <si>
    <t>MANUTENÇÃO AR CONDICIONADO SALAS 02, REESTRUTURAÇÃO E JORGE</t>
  </si>
  <si>
    <t>MANUTENÇÃO JARDIM - R$ 500,004 ORQUÍDEAS - R$ 400,00</t>
  </si>
  <si>
    <t>Mateus dos Santos</t>
  </si>
  <si>
    <t>MANUTENÇÃO JARDIM - R$ 462,00 (REFERENTE A 12 DIAS)4 ORQUÍDEAS - R$ 400,00MATA-MATO - R$ 120,00</t>
  </si>
  <si>
    <t>DIFERENÇA DEZEMBRO - R$ 207,00MANUTENÇÃO JARDIM - R$ 500,0030 ASPARGOS - R$ 660,00</t>
  </si>
  <si>
    <t>MANUTENÇÃO JARDIM - R$ 500,004 ORQUÍDEAS - R$ 400,0019 ASPARGOS - R$ 418,0010 SACOS DE TERRA - R$ 240,00</t>
  </si>
  <si>
    <t>MANUTENÇÃO JARDIM - R$ 500,004 ORQUÍDEAS - R$ 400,00PROJETO DE PAISAGISMO - R$ 923,50 (PARCELA 01/03)</t>
  </si>
  <si>
    <t>MANUTENÇÃO JARDIM - R$ 500,004 ORQUÍDEAS - R$ 400,00PROJETO DE PAISAGISMO - R$ 923,50 (PARCELA 02/03)</t>
  </si>
  <si>
    <t>MANUTENÇÃO JARDIM - R$ 500,005 ORQUÍDEAS - R$ 500,00PROJETO DE PAISAGISMO - R$ 923,50 (PARCELA 03/03)17 IXORIAS - R$ 510,00</t>
  </si>
  <si>
    <t>MANUTENÇÃO JARDIM - R$ 500,004 ORQUÍDEAS - R$ 400,002 VASOS CERÂMICA PRETO - R$ 1.518,001 COSTELA DE ADÃO - R$ 150,001 ARECA BAMBU - R$ 160,00</t>
  </si>
  <si>
    <t>MANUTENÇÃO PURIFICADORES</t>
  </si>
  <si>
    <t>Whirlpool S.a</t>
  </si>
  <si>
    <t>GUSTAVO</t>
  </si>
  <si>
    <t>DÍVIDA ATIVA IPVA 2025 QPR3J01 - GUSTAVO - PARCELA 07/10</t>
  </si>
  <si>
    <t>DÍVIDA ATIVA IPVA 2025 QPR3J01 - GUSTAVO - PARCELA 08/10</t>
  </si>
  <si>
    <t>2026-10</t>
  </si>
  <si>
    <t>DÍVIDA ATIVA IPVA 2025 QPR3J01 - GUSTAVO - PARCELA 09/10</t>
  </si>
  <si>
    <t>2026-11</t>
  </si>
  <si>
    <t>DÍVIDA ATIVA IPVA 2025 QPR3J01 - GUSTAVO - PARCELA 10/10</t>
  </si>
  <si>
    <t>2026-12</t>
  </si>
  <si>
    <t>DÍVIDA ATIVA IPVA 2025 QPR3J01 - GUSTAVO - PARCELA 01/10</t>
  </si>
  <si>
    <t>DÍVIDA ATIVA IPVA 2025 QPR3J01 - GUSTAVO - PARCELA 02/10</t>
  </si>
  <si>
    <t>DÍVIDA ATIVA IPVA 2025 QPR3J01 - GUSTAVO - PARCELA 03/10</t>
  </si>
  <si>
    <t>DÍVIDA ATIVA IPVA 2025 QPR3J01 - GUSTAVO - PARCELA 04/10</t>
  </si>
  <si>
    <t>DÍVIDA ATIVA IPVA 2025 QPR3J01 - GUSTAVO - PARCELA 05/10</t>
  </si>
  <si>
    <t>DÍVIDA ATIVA IPVA 2025 QPR3J01 - GUSTAVO - PARCELA 06/10</t>
  </si>
  <si>
    <t>DÍVIDA ATIVA IPVA GUSTAVO - PARCELA 06/10</t>
  </si>
  <si>
    <t>DÍVIDA ATIVA IPVA GUSTAVO - PARCELA 07/10</t>
  </si>
  <si>
    <t>DÍVIDA ATIVA IPVA GUSTAVO - PARCELA 08/10</t>
  </si>
  <si>
    <t>DÍVIDA ATIVA IPVA GUSTAVO - PARCELA 09/10</t>
  </si>
  <si>
    <t>DÍVIDA ATIVA IPVA GUSTAVO - PARCELA 10/10</t>
  </si>
  <si>
    <t>MULTA DE TRÂNSITO - QPR3J01</t>
  </si>
  <si>
    <t>Prefeitura do Municipio de São Paulo</t>
  </si>
  <si>
    <t>CONTRIBUIÇÃO ASSOCIATIVA - RICARDO</t>
  </si>
  <si>
    <t>CERTIFICADO DIGITAL MARCIA</t>
  </si>
  <si>
    <t>PROTESTO MULTA RENAVAM FINAL 5277</t>
  </si>
  <si>
    <t>1 Tabeliao de Protesto de Letras e Titulos de Campinas</t>
  </si>
  <si>
    <t>PROTESTO MULTA RENAVAM FINAL 5578</t>
  </si>
  <si>
    <t>PASSAGEM AÉREA - GUSTAVO</t>
  </si>
  <si>
    <t>MULTAS DE TRÂNSITO - RENAVAM FINAL 5277</t>
  </si>
  <si>
    <t>DER - DEPARTAMENTO DE ESTRADAS E RODAGEM DO ESTADO DE SÃO PAULO</t>
  </si>
  <si>
    <t>DIFERENÇA VOO - GUSTAVO</t>
  </si>
  <si>
    <t>Snow Adventure Turismo e Viagens Ltda</t>
  </si>
  <si>
    <t>DÍVIDA ATIVA IPVA 2025 - GUSTAVO</t>
  </si>
  <si>
    <t>GUSTAVO - FGTS MÁRCIA</t>
  </si>
  <si>
    <t>CAIXA ECONOMICA FEDERAL</t>
  </si>
  <si>
    <t>DÍVIDA ATIVA</t>
  </si>
  <si>
    <t>SECRETARIA DE ESTADO DA ECONOMIA</t>
  </si>
  <si>
    <t>ALUGUEL PROPRIETÁRIO - RICARDO</t>
  </si>
  <si>
    <t>Ary Jorge Cosendey Ribeiro</t>
  </si>
  <si>
    <t>BAIXA PROTESTO - GUSTAVO</t>
  </si>
  <si>
    <t>Instituto de Estudos de Protesto de Titulos do Brasil - Secao Sao Paulo - Ieptb - Sp</t>
  </si>
  <si>
    <t>CONVÊNIO MÉDICO MARCIA - R$ 3.783,77</t>
  </si>
  <si>
    <t>Ddc Life Servicos de Escritorio Ltda</t>
  </si>
  <si>
    <t>ALUGUEL IMOBILIÁRIA - RICARDO</t>
  </si>
  <si>
    <t>Mood Imob - Vendas, Locacoes e Administracao de Imoveis Ltda</t>
  </si>
  <si>
    <t>DL ÁREA REC. CRED. - REF. MAIO/2026</t>
  </si>
  <si>
    <t>ALTERAÇÃO VOO MBA - GUSTAVO</t>
  </si>
  <si>
    <t>PASSAGENS BÁRBARA E MÁRCIA</t>
  </si>
  <si>
    <t>FOLHA DOMÉSTICA MÁRCIA</t>
  </si>
  <si>
    <t>Marcia Bismarchi Motta</t>
  </si>
  <si>
    <t>CONVÊNIO MÉDICO LILIAN - R$ 3.324,99CONVÊNIO MÉDICO RICARDO - R$ 1.776,02</t>
  </si>
  <si>
    <t>DIFERENÇA ALUGUEL GUSTAVO - VALOR REF. MANUTENÇÃO NO IMÓVEL</t>
  </si>
  <si>
    <t>Eduardo Heneine Gualberto</t>
  </si>
  <si>
    <t>Caixa Econômica Federal</t>
  </si>
  <si>
    <t>ALUGUEL IMOBILIÁRIA - GUSTAVO</t>
  </si>
  <si>
    <t>RENOVAÇÃO SEGURO RESIDENCIAL - GUSTAVO</t>
  </si>
  <si>
    <t>GUIA RESCISÓRIA DOMÉSTICA MÁRCIA</t>
  </si>
  <si>
    <t>palavra: rescisão</t>
  </si>
  <si>
    <t>ACORDO GUSTAVO</t>
  </si>
  <si>
    <t>LOCALIZA RENT A CAR SA</t>
  </si>
  <si>
    <t>COFRE SALA RICARDO</t>
  </si>
  <si>
    <t>ALUGUEL PROPRIETÁRIO - GUSTAVO</t>
  </si>
  <si>
    <t>HOTEL CONGRESSO - RICARDO</t>
  </si>
  <si>
    <t>Nova Riotel Empreendimentos Hoteleiros Ltda</t>
  </si>
  <si>
    <t>DL ÁREA REC. CRED. - REF. JUNHO/2026</t>
  </si>
  <si>
    <t>MULTAS DE TRÂNSITO - RENAVAM FINAL 5578</t>
  </si>
  <si>
    <t>Wish S.a.</t>
  </si>
  <si>
    <t>CONDOMÍNIO RICARDO</t>
  </si>
  <si>
    <t>Associacao de Proprietarios do Loteamento Residencial Arborais</t>
  </si>
  <si>
    <t>RICARDO</t>
  </si>
  <si>
    <t>MANUTENÇÃO JARDIM - RICARDO</t>
  </si>
  <si>
    <t>DL ÁREA - REF. DEZEMBRO/2025</t>
  </si>
  <si>
    <t>REGULARIZAÇÃO IPVA 2023 - GUSTAVO</t>
  </si>
  <si>
    <t>VOO MBA - GUSTAVO</t>
  </si>
  <si>
    <t>CONVÊNIO MÉDICO BARBARA</t>
  </si>
  <si>
    <t>Samedil - Servicos de Atendimento Medico S/A</t>
  </si>
  <si>
    <t>MBA BÁRBARA</t>
  </si>
  <si>
    <t>Fundacao Getulio Vargas</t>
  </si>
  <si>
    <t>DL ÁREA REF. NOVEMBRO/2025</t>
  </si>
  <si>
    <t>Leonardo Luis de Oliveira</t>
  </si>
  <si>
    <t>DL ÁREA CÍVEL - REF. MAIO/2026</t>
  </si>
  <si>
    <t>MOTORISTA - RICARDO</t>
  </si>
  <si>
    <t>54.627.190 Guilherme Henrique Pereira Baptista</t>
  </si>
  <si>
    <t>CONDOMÍNIO GUSTAVO</t>
  </si>
  <si>
    <t>Condominio L  Espace</t>
  </si>
  <si>
    <t>Condominio Residencial Avant Garde Maria Monteiro</t>
  </si>
  <si>
    <t>DL ÁREA CÍVEL - REF. JUNHO/2026</t>
  </si>
  <si>
    <t>Nish Redes de Proteção Ltda</t>
  </si>
  <si>
    <t>DL ÁREA - ABRIL/2026</t>
  </si>
  <si>
    <t>IPVA 2026 - FAI1E15</t>
  </si>
  <si>
    <t>HOSPEDAGEM MBA GUSTAVO</t>
  </si>
  <si>
    <t>E. Suites Hotel Alphaville Lagoa dos Ingleses Ltda</t>
  </si>
  <si>
    <t>BAIXA PROTESTOS - GUSTAVO</t>
  </si>
  <si>
    <t>HOSPEDAGEM FORMATURA MBA - GUSTAVO, BÁRBARA E MÁRCIA</t>
  </si>
  <si>
    <t>CONVÊNIO MÉDICO MARCIA - R$ 3.390,51</t>
  </si>
  <si>
    <t>HOSPEDAGEM MBA GUSTAVO - PERÍODO 21 A 26/06/2026</t>
  </si>
  <si>
    <t>DL ÁREA - 1º TRIMESTRE 2026</t>
  </si>
  <si>
    <t>AR CONDICIONADO RICARDO</t>
  </si>
  <si>
    <t>Riquena Neto Ar Condicionado Ltda</t>
  </si>
  <si>
    <t>DÍVIDA ATIVA IPVA 2025 QPR3J01 - GUSTAVO - PARCELAS 05/10 A 10/10</t>
  </si>
  <si>
    <t>IPVA 2025 - GUSTAVO - EWR9J11</t>
  </si>
  <si>
    <t>IPVA 2026 - QPR3J01</t>
  </si>
  <si>
    <t>CONVÊNIO MÉDICO LILIAN - R$ 2.983,72CONVÊNIO MÉDICO RICARDO - R$ 1.593,55</t>
  </si>
  <si>
    <t>DL ÁREA - REF. JUNHO/2026</t>
  </si>
  <si>
    <t>RESCISÃO DOMÉSTICA MÁRCIA</t>
  </si>
  <si>
    <t>MBA GUSTAVO</t>
  </si>
  <si>
    <t>Fundação Dom Cabral</t>
  </si>
  <si>
    <t>BANCO BTG PACTUAL S.A.</t>
  </si>
  <si>
    <t>valor atípico (acima de 3x a mediana da conta em 12 meses, mediana 2500)</t>
  </si>
  <si>
    <t>Laeto Ambientes Sob Medida Ltda</t>
  </si>
  <si>
    <t>Michael &amp; Michael Centro Automotivo Ltda</t>
  </si>
  <si>
    <t>fornecedor sem outra ocorrência na conta em 12 meses; valor atípico (acima de 3x a mediana da conta em 12 meses, mediana 2500)</t>
  </si>
  <si>
    <t>Montecristo Joalheiros Ltda</t>
  </si>
  <si>
    <t>Azul Premium Comercio de Veiculos Ltda</t>
  </si>
  <si>
    <t>GVW (R$ 9.285,29) / GOLD LAND - SUGUITA (R$ 4.950,00)</t>
  </si>
  <si>
    <t>ALUGUEL RICARDO</t>
  </si>
  <si>
    <t>ACORDO GUSTAVO X OURO FINO - PARCELA 22/24</t>
  </si>
  <si>
    <t>Oliveira Lima &amp; Covaski Sociedade de Advogados</t>
  </si>
  <si>
    <t>ACORDO GUSTAVO X OURO FINO - PARCELA 23/24</t>
  </si>
  <si>
    <t>Realgems Joias Ltda</t>
  </si>
  <si>
    <t>GVW - R$ 15.810,09 + VALOR ADICIONAL</t>
  </si>
  <si>
    <t>GVW (R$ 15.810,00) / GOLD LAND - SUGUITA (R$ 8.100,00)</t>
  </si>
  <si>
    <t>ACORDO GUSTAVO X OURO FINO - PARCELA 24/26 (VALOR INICIAL DE R$ 79.918,18 DIVIDIDO EM 3X)</t>
  </si>
  <si>
    <t>ACORDO GUSTAVO X OURO FINO - PARCELA 25/26 (VALOR INICIAL DE R$ 79.918,18 DIVIDIDO EM 3X)</t>
  </si>
  <si>
    <t>ACORDO GUSTAVO X OURO FINO - PARCELA 26/26 (VALOR INICIAL DE R$ 79.918,18 DIVIDIDO EM 3X)</t>
  </si>
  <si>
    <t>Pagamento de vencimento ao colaborador(a): Aline Coltre Rodrigues Dourado Salário</t>
  </si>
  <si>
    <t>Aline Coltre Rodrigues Dourado</t>
  </si>
  <si>
    <t>Pagamento de vencimento ao colaborador(a): Ana Clara Borba Tavares Salário</t>
  </si>
  <si>
    <t>Ana Clara Borba Tavares</t>
  </si>
  <si>
    <t>Pagamento de vencimento ao colaborador(a): Ana Luiza de Souza Pardo Salário</t>
  </si>
  <si>
    <t>Ana Luiza de Souza Pardo</t>
  </si>
  <si>
    <t>Pagamento de vencimento ao colaborador(a): Ariany Elgenio Bispo Salário</t>
  </si>
  <si>
    <t>Ariany Elgenio Bispo</t>
  </si>
  <si>
    <t>Pagamento de vencimento ao colaborador(a): Caio Augusto de Alcântara César Silva Salário</t>
  </si>
  <si>
    <t>Pagamento de vencimento ao colaborador(a): Daniel Pressatto Fernandes Salário</t>
  </si>
  <si>
    <t>Pagamento de vencimento ao colaborador(a): Eduarda França Cândido Salário</t>
  </si>
  <si>
    <t>Eduarda França Cândido</t>
  </si>
  <si>
    <t>Pagamento de vencimento ao colaborador(a): Emanueli Cristina Lourenço Salário</t>
  </si>
  <si>
    <t>Emanueli Cristina Lourenço</t>
  </si>
  <si>
    <t>Pagamento de vencimento ao colaborador(a): Erick Silva Costa Salário</t>
  </si>
  <si>
    <t>Erick da Silva Costa</t>
  </si>
  <si>
    <t>Pagamento de vencimento ao colaborador(a): Felipe Camargo Salário</t>
  </si>
  <si>
    <t>Pagamento de vencimento ao colaborador(a): Fernanda Andrade Camolesi Salário</t>
  </si>
  <si>
    <t>Pagamento de vencimento ao colaborador(a): Fernanda Voltarelli Arnoni Salário</t>
  </si>
  <si>
    <t>Pagamento de vencimento ao colaborador(a): Gabriela Bossi Leme Salário</t>
  </si>
  <si>
    <t>Gabriela Bossi Leme</t>
  </si>
  <si>
    <t>Pagamento de vencimento ao colaborador(a): Giancarlo Murta Zotini Salário</t>
  </si>
  <si>
    <t>Pagamento de vencimento ao colaborador(a): Giovani Pina de Freitas Salário</t>
  </si>
  <si>
    <t>Pagamento de vencimento ao colaborador(a): Jansonn Mendonça Batista Salário</t>
  </si>
  <si>
    <t>Pagamento de vencimento ao colaborador(a): Jorge Pecht Souza Salário</t>
  </si>
  <si>
    <t>Pagamento de vencimento ao colaborador(a): Kimberly Gabriela Cordaço Vaz Salário</t>
  </si>
  <si>
    <t>Kimberly Gabriela Cordaço Vaz</t>
  </si>
  <si>
    <t>Pagamento de vencimento ao colaborador(a): Lavinia Ferraz Crispim Salário</t>
  </si>
  <si>
    <t>Lavínia Ferraz Crispim</t>
  </si>
  <si>
    <t>Pagamento de vencimento ao colaborador(a): Leonardo Loureiro Basso Salário</t>
  </si>
  <si>
    <t>Pagamento de vencimento ao colaborador(a): Leticia Miguel dos Santos Salário</t>
  </si>
  <si>
    <t>Leticia Miguel dos Santos</t>
  </si>
  <si>
    <t>Pagamento de vencimento ao colaborador(a): Letícia Santana Rodrigues Salário</t>
  </si>
  <si>
    <t>Letícia Santana Rodrigues</t>
  </si>
  <si>
    <t>Pagamento de vencimento ao colaborador(a): Letícia Zamarion Julio Salário</t>
  </si>
  <si>
    <t>Pagamento de vencimento ao colaborador(a): Ligia Gilberti Lopes Salário</t>
  </si>
  <si>
    <t>LIGIA GILBERTI LOPES</t>
  </si>
  <si>
    <t>Pagamento de vencimento ao colaborador(a): Lucas Coran da Mata Salário</t>
  </si>
  <si>
    <t>Lucas Coran da Mata</t>
  </si>
  <si>
    <t>Pagamento de vencimento ao colaborador(a): Lucas Sebinel Miranda Salário</t>
  </si>
  <si>
    <t>Lucas Sebinel Miranda</t>
  </si>
  <si>
    <t>Pagamento de vencimento ao colaborador(a): Manoela Brisighello Angotti Salário</t>
  </si>
  <si>
    <t>Manoela Brisighello Angotti</t>
  </si>
  <si>
    <t>Pagamento de vencimento ao colaborador(a): Manuela Lutke Salário</t>
  </si>
  <si>
    <t>Manuela Lutke</t>
  </si>
  <si>
    <t>Pagamento de vencimento ao colaborador(a): Maria Caroline da Cunha Thomé Salário</t>
  </si>
  <si>
    <t>Maria Caroline da Cunha Thomé</t>
  </si>
  <si>
    <t>Pagamento de vencimento ao colaborador(a): Maria Eduarda Alessi Ismarsi Salário</t>
  </si>
  <si>
    <t>Maria Eduarda Alessi Ismarsi</t>
  </si>
  <si>
    <t>Pagamento de vencimento ao colaborador(a): Maria Heloiza Gois Ponce Salário</t>
  </si>
  <si>
    <t>Maria Heloiza Gois Ponce</t>
  </si>
  <si>
    <t>Pagamento de vencimento ao colaborador(a): Maria Julia Pereira Salário</t>
  </si>
  <si>
    <t>Maria Julia Pereira</t>
  </si>
  <si>
    <t>Pagamento de vencimento ao colaborador(a): Mariana Manuel Araújo Salário</t>
  </si>
  <si>
    <t>Pagamento de vencimento ao colaborador(a): Marina Silva Pinelli Salário</t>
  </si>
  <si>
    <t>Marina Silva Pinelli</t>
  </si>
  <si>
    <t>Pagamento de vencimento ao colaborador(a): Michel Malaquias Salário</t>
  </si>
  <si>
    <t>Michel Malaquias</t>
  </si>
  <si>
    <t>Pagamento de vencimento ao colaborador(a): Midian Barbosa da Silva Salário</t>
  </si>
  <si>
    <t>Pagamento de vencimento ao colaborador(a): Natalia Borges Breve Salário</t>
  </si>
  <si>
    <t>Pagamento de vencimento ao colaborador(a): Pamela Klava Senna Patricio Salário</t>
  </si>
  <si>
    <t>Pagamento de vencimento ao colaborador(a): Patrícia Baldissera da Costa Antunes Salário</t>
  </si>
  <si>
    <t>Patrícia Baldissera da Costa Antunes</t>
  </si>
  <si>
    <t>Pagamento de vencimento ao colaborador(a): Pedro Vittale Rossi Salário</t>
  </si>
  <si>
    <t>Pedro Vittale Rossi</t>
  </si>
  <si>
    <t>Pagamento de vencimento ao colaborador(a): Renato Rossetti Vallim de Castro Salário</t>
  </si>
  <si>
    <t>Pagamento de vencimento ao colaborador(a): Samuel Willian Silva Salário</t>
  </si>
  <si>
    <t>Pagamento de vencimento ao colaborador(a): Thayná Rodrigues Cabalin Salário</t>
  </si>
  <si>
    <t>Pagamento de vencimento ao colaborador(a): Valentina Iacovacci Salário</t>
  </si>
  <si>
    <t>Valentina Iacovacci</t>
  </si>
  <si>
    <t>Pagamento de vencimento ao colaborador(a): Vinicius Schmockel Marques Salário</t>
  </si>
  <si>
    <t>Vinicius Schmockel Marques</t>
  </si>
  <si>
    <t>FELIPE SOARES DE CAMARGO</t>
  </si>
  <si>
    <t>Qualicorp Administradora de Beneficios S.a.</t>
  </si>
  <si>
    <t>Camila de Castro Faustino</t>
  </si>
  <si>
    <t>DIFERENÇA FOLHA</t>
  </si>
  <si>
    <t>Pagamento de vencimento ao colaborador(a): Julia Antonini Morel Salário</t>
  </si>
  <si>
    <t>Julia Antonini Morel</t>
  </si>
  <si>
    <t>Pagamento de vencimento ao colaborador(a): Giovanna Pereira de Souza Salário</t>
  </si>
  <si>
    <t>Giovanna Pereira de Souza</t>
  </si>
  <si>
    <t>Pagamento de vencimento ao colaborador(a): Vínicius Canto Hecksher Salário</t>
  </si>
  <si>
    <t>Vinicius Canto Hecksher</t>
  </si>
  <si>
    <t>Gabriela Benetton</t>
  </si>
  <si>
    <t>Pagamento de vencimento ao colaborador(a): Laura Puente Ferreira Gomes Salário</t>
  </si>
  <si>
    <t>Pagamento de vencimento ao colaborador(a): Daniela Lagoeiro dos Santos Salário</t>
  </si>
  <si>
    <t>Daniela Lagoeiro dos Santos</t>
  </si>
  <si>
    <t>Rebeca Faganelli Novais</t>
  </si>
  <si>
    <t>Pagamento de vencimento ao colaborador(a): Rebeca Faganelli Novais Salário</t>
  </si>
  <si>
    <t>Maria Eduarda Massa Aparecido</t>
  </si>
  <si>
    <t>Pagamento de vencimento ao colaborador(a): Rebeka Cristina dos Santos Barreto Salário</t>
  </si>
  <si>
    <t>Rebeka Cristina dos Santos Barreto</t>
  </si>
  <si>
    <t>Pagamento de vencimento ao colaborador(a): Vinícius Canto Hecksher Salário</t>
  </si>
  <si>
    <t>Pagamento de vencimento ao colaborador(a): Raíssa Alni Minari Salário</t>
  </si>
  <si>
    <t>Raíssa Alni Minari</t>
  </si>
  <si>
    <t>Pagamento de vencimento ao colaborador(a): Gabriella Borim Assumpção Salário</t>
  </si>
  <si>
    <t>Gabriella Borim Assumpção</t>
  </si>
  <si>
    <t>Pagamento de vencimento ao colaborador(a): Gustavo Ribeiro de Siqueira Salário</t>
  </si>
  <si>
    <t>Gustavo Ribeiro de Siqueira</t>
  </si>
  <si>
    <t>COMPLEMENTO FOLHA</t>
  </si>
  <si>
    <t>Pagamento de vencimento ao colaborador(a): Ana Nunes Galvão Salário</t>
  </si>
  <si>
    <t>Ana Nunes Galvão</t>
  </si>
  <si>
    <t>Pagamento de vencimento ao colaborador(a): Isadora Godoy Conte Salário</t>
  </si>
  <si>
    <t>Isadora Godoy Conte</t>
  </si>
  <si>
    <t>Leonardo Marques Silva</t>
  </si>
  <si>
    <t>Pagamento de vencimento ao colaborador(a): Lorena Lourenço Miranda Salário</t>
  </si>
  <si>
    <t>Pagamento de vencimento ao colaborador(a): Leonardo Marques Silva Salário</t>
  </si>
  <si>
    <t>Pagamento de vencimento ao colaborador(a): Henrique Franco Nascimento Salário</t>
  </si>
  <si>
    <t>Henrique Franco Nascimento</t>
  </si>
  <si>
    <t>Pagamento de vencimento ao colaborador(a): Lucca Martinelli dos Santos Mattos Salário</t>
  </si>
  <si>
    <t>Lucca Martinelli dos Santos Mattos</t>
  </si>
  <si>
    <t>Pagamento de vencimento ao colaborador(a): Caroline Simel Abdalla Salário</t>
  </si>
  <si>
    <t>Pagamento de vencimento ao colaborador(a): Gabriela Nicolau Olmedo Consul Salário</t>
  </si>
  <si>
    <t>valor atípico (acima de 3x a mediana da conta em 12 meses, mediana 5200)</t>
  </si>
  <si>
    <t>Pagamento de vencimento ao colaborador(a): Wagner Armani Salário</t>
  </si>
  <si>
    <t>Pagamento de vencimento ao colaborador(a): Wagner José Penereiro Armani Salário</t>
  </si>
  <si>
    <t>Pagamento de vencimento ao colaborador(a): Letícia Maria dos Santos Salário</t>
  </si>
  <si>
    <t>Pagamento de vencimento ao colaborador(a): Andressa da Silva Salário</t>
  </si>
  <si>
    <t>Andressa da Silva</t>
  </si>
  <si>
    <t>Pagamento de vencimento ao colaborador(a): Graziane Mauch de Brito Salário</t>
  </si>
  <si>
    <t>Graziane Mauch de Brito</t>
  </si>
  <si>
    <t>Pagamento de vencimento ao colaborador(a): Juliana Herculano Bangart Pires Salário</t>
  </si>
  <si>
    <t>Juliana Herculano Bangart Pires</t>
  </si>
  <si>
    <t>ADIANTAMENTO SALARIAL</t>
  </si>
  <si>
    <t>BÔNUS EM DOBRO</t>
  </si>
  <si>
    <t>Simone Cristina Alves Valério</t>
  </si>
  <si>
    <t>valor atípico (acima de 3x a mediana da conta em 12 meses, mediana 2035.66)</t>
  </si>
  <si>
    <t>13º</t>
  </si>
  <si>
    <t>Receita Federal</t>
  </si>
  <si>
    <t>valor atípico (acima de 3x a mediana da conta em 12 meses, mediana 1283.76)</t>
  </si>
  <si>
    <t>valor atípico (acima de 3x a mediana da conta em 12 meses, mediana 1242.41)</t>
  </si>
  <si>
    <t>PARCELA CONSIGNADO</t>
  </si>
  <si>
    <t>Caju - Beneficios</t>
  </si>
  <si>
    <t>DIFERENÇA REF. DISSÍDIO - PERÍODO AGOSTO/2025 A MARÇO/2026</t>
  </si>
  <si>
    <t>JANSONN</t>
  </si>
  <si>
    <t>GIANCARLO</t>
  </si>
  <si>
    <t>JORGE</t>
  </si>
  <si>
    <t>REBECA FAGANELLI NOVAIS</t>
  </si>
  <si>
    <t>Allianz Seguros S.a</t>
  </si>
  <si>
    <t>VALENTINA IACOVACCI</t>
  </si>
  <si>
    <t>LAURA PUENTE FERREIRA</t>
  </si>
  <si>
    <t>VINICIUS CANTO HECKSHER</t>
  </si>
  <si>
    <t>JULIA ANTONINI MOREL</t>
  </si>
  <si>
    <t>MANOELA BRISIGHELLO</t>
  </si>
  <si>
    <t>LETICIA MARIA - PARCELA 12/23</t>
  </si>
  <si>
    <t>Serviço Nacional de Aprendizagem Comercial</t>
  </si>
  <si>
    <t>LETICIA MARIA - PARCELA 13/23</t>
  </si>
  <si>
    <t>LETICIA MARIA - PARCELA 14/23</t>
  </si>
  <si>
    <t>LETICIA MARIA - PARCELA 15/23</t>
  </si>
  <si>
    <t>LETICIA MARIA - PARCELA 16/23</t>
  </si>
  <si>
    <t>LETICIA MARIA - PARCELA 17/23</t>
  </si>
  <si>
    <t>LETICIA MARIA - PARCELA 18/23</t>
  </si>
  <si>
    <t>LETICIA MARIA - PARCELA 19/23</t>
  </si>
  <si>
    <t>PÓS GRADUAÇÃO PAMELA</t>
  </si>
  <si>
    <t>Uol Cursos Tecnologia Educacional Ltda.</t>
  </si>
  <si>
    <t>PÓS GRADUAÇÃO GIANCARLO ZOTINI</t>
  </si>
  <si>
    <t>PÓS GRADUAÇÃO JANSONN</t>
  </si>
  <si>
    <t>Insper - Instituto de Ensino e Pesquisa</t>
  </si>
  <si>
    <t>AUXILIO EDUCACIONAL - LETICIA RODRIGUES REF. FEVEREIRO E MARÇO</t>
  </si>
  <si>
    <t>RENATO</t>
  </si>
  <si>
    <t>Quickpark Estacionamento Ltda</t>
  </si>
  <si>
    <t>WAGNER</t>
  </si>
  <si>
    <t>GABRIELA, GIANCARLO</t>
  </si>
  <si>
    <t>FELIPE, SAMUEL</t>
  </si>
  <si>
    <t>RENATO, DANIEL, CAROLINE</t>
  </si>
  <si>
    <t>LEONARDO, LIGIA, ANA CLARA, LAVINIA</t>
  </si>
  <si>
    <t>LEONARDO, JORGE, LIGIA, ANA CLARA, LAVINIA</t>
  </si>
  <si>
    <t>valor atípico (acima de 3x a mediana da conta em 12 meses, mediana 440)</t>
  </si>
  <si>
    <t>LEONARDO, JORGE, LIGIA, ANA CLARA, LAVINIA, MARIANA</t>
  </si>
  <si>
    <t>CERTIFICADOS CONTRATOS EMPRESARIAIS</t>
  </si>
  <si>
    <t>CERTIFICADOS WORKSHOP EXCEL NA PRÁTICA 2.0</t>
  </si>
  <si>
    <t>CERTIFICADO WORKSHOP JANELA DE JOHARI (CRISTIANA)</t>
  </si>
  <si>
    <t>CERTIFICADOS TREINAMENTO: Legal Finance: Gestão Financeira e Tecnologia Jurídica.</t>
  </si>
  <si>
    <t>IMPRESSÃO CERTIFICADOS WORKSHOP EXCEL</t>
  </si>
  <si>
    <t>CERTIFICADOS WORKSHOP: A nova NR-1 como Ferramenta de Governança Trabalhista</t>
  </si>
  <si>
    <t>CERTIFICADOS TREINAMENTO: Gestão de Projetos e Operações no Ambiente Jurídico</t>
  </si>
  <si>
    <t>CERTIFICADOS WORKSHOP VIOS</t>
  </si>
  <si>
    <t>CERTIFICADOS TREINAMENTO GESTÃO DA MUDANÇA</t>
  </si>
  <si>
    <t>CERTIFICADOS WORKSHOP GESTÃO DA MUDANÇA</t>
  </si>
  <si>
    <t>IMPRESSÃO CERTIFICADOS WORKSHOP ÁREA TRABALHISTA</t>
  </si>
  <si>
    <t>CERTIFICADOS WORKSHOP - MEDIDAS DE INSOLVÊNCIA E REFLEXOS NAS DEMANDAS TRABALHISTAS</t>
  </si>
  <si>
    <t>IMPRESSÃO CERTIFICADOS</t>
  </si>
  <si>
    <t>CERTIFICADOS PALESTRA: Decisões recentes e seus impactos: do TST ao dia a dia do escritório</t>
  </si>
  <si>
    <t>CERTIFICADOS WORKSHOP DE AUTOCONHECIMENTO: JANELA DE JOHARI</t>
  </si>
  <si>
    <t>MANUAL DE BOAS PRÁTICAS</t>
  </si>
  <si>
    <t>Total Pass Participações Ltda</t>
  </si>
  <si>
    <t>FESTA JUNINA</t>
  </si>
  <si>
    <t>CARTÃO AGRADECIMENTO PALESTRANTE - CAFÉ COM CULTURA</t>
  </si>
  <si>
    <t>ID 1120 - RETIRADA BANNER DA COPA NA GRÁFICA</t>
  </si>
  <si>
    <t>ID 1078 - RETIRADA PLACAS DE SINALIZAÇÃO DE ASSENTO - CAFÉ COM CULTURA</t>
  </si>
  <si>
    <t>ID 1128 - UBER PARA RETIRADA PULSEIRAS - FESTA JUNINA</t>
  </si>
  <si>
    <t>DECORAÇÃO FESTA JUNINA</t>
  </si>
  <si>
    <t>IMPRESSÃO CONFIRMAÇÃO DE PRESENÇA - CAFÉ COM CULTURA</t>
  </si>
  <si>
    <t>CARTÃO MARIA EDUARDA (FILHA RICARDO UNGARO) - CAFÉ COM CULTURA</t>
  </si>
  <si>
    <t>CARTÃO AGRADECIMENTO THAYNÁ - DESAFIO OAB EM MOVIMENTO</t>
  </si>
  <si>
    <t>PLACAS DE IDENTIFICAÇÃO COLABORADORES PARA CAFÉ COM CULTURA</t>
  </si>
  <si>
    <t>SACOS METALIZADOS ADESIVADOS - COPA DO MUNDO</t>
  </si>
  <si>
    <t>IMPRESSÃO PULSEIRAS OPEN BAR - FESTA JUNINA</t>
  </si>
  <si>
    <t>N. Vicente Miguel</t>
  </si>
  <si>
    <t>PLACAS DE IDENTIFICAÇÃO DE ASSENTOS CONVIDADOS CAFÉ COM CULTURA</t>
  </si>
  <si>
    <t>CAFÉ TREINAMENTO - EQUIPE CONSULTORA WANESSA</t>
  </si>
  <si>
    <t>BEBIDAS FESTA JUNINA</t>
  </si>
  <si>
    <t>JOGO COMPLEMENTAR - CAFÉ COM CULTURA</t>
  </si>
  <si>
    <t>BOLOS - FESTA JUNINA</t>
  </si>
  <si>
    <t>Bolo da Madre Cambui</t>
  </si>
  <si>
    <t>ID 1077 - EMBALAGEM PRESENTES SÓCIOS - CAFÉ COM CULTURA</t>
  </si>
  <si>
    <t>BANNER ÁLBUM COPA DO MUNDO</t>
  </si>
  <si>
    <t>DOCES FESTA JUNINA</t>
  </si>
  <si>
    <t>VOUCHER - DINÂMICA COPA JUNINA</t>
  </si>
  <si>
    <t>IMPRESSÃO FIGURINHAS - COPA JUNINA</t>
  </si>
  <si>
    <t>BAR - FESTA JUNINA</t>
  </si>
  <si>
    <t>Sky Bartenders G A Silva Bar e Eventos</t>
  </si>
  <si>
    <t>CESTA PALESTRANTE CECILIA LIMA - CAFÉ COM CULTURA</t>
  </si>
  <si>
    <t>Armazem Eventos Comercio de Alimentos Ltda</t>
  </si>
  <si>
    <t>LOCAÇÃO GRAMA ARTIFICIAL E GRADE SEPARADORA - COPA DO MUNDO</t>
  </si>
  <si>
    <t>Eder Souza Silvestre</t>
  </si>
  <si>
    <t>TORTAS - FESTA JUNINA</t>
  </si>
  <si>
    <t>LOCAÇÃO CADEIRAS - COPA DO MUNDO</t>
  </si>
  <si>
    <t>João Paulo Ferri</t>
  </si>
  <si>
    <t>VINHO - FESTA JUNINA</t>
  </si>
  <si>
    <t>Tomazinho &amp; Serafim Comércio de Vinhos Ltda</t>
  </si>
  <si>
    <t>IMPRESSÕES CAFÉ COM CULTURA</t>
  </si>
  <si>
    <t>Mega Print Shop Informatica Ltda</t>
  </si>
  <si>
    <t>ALMOÇO WORKSHOP V² - VISÃO E VALOR</t>
  </si>
  <si>
    <t>Vgbe Comercio de Alimentos Ltda</t>
  </si>
  <si>
    <t>ITENS PARA CAFÉ COM CULTURA - 30/01</t>
  </si>
  <si>
    <t>LOCAÇÃO PROJETOR - COPA DO MUNDO</t>
  </si>
  <si>
    <t>Ricardo dos Santos Zornoff 40847779866</t>
  </si>
  <si>
    <t>ALMOÇO - REUNIÃO GUSTAVO E RICARDO</t>
  </si>
  <si>
    <t>Casa Olivetto Eventos</t>
  </si>
  <si>
    <t>CHOPP - FESTA JUNINA</t>
  </si>
  <si>
    <t>Sol Verde Participações Ltda</t>
  </si>
  <si>
    <t>COMIDA - FESTA JUNINA</t>
  </si>
  <si>
    <t>Sabor do Trigo</t>
  </si>
  <si>
    <t>INSCRIÇÃO OAB EM MOVIMENTO - 24 COLABORADORES</t>
  </si>
  <si>
    <t>Nathan Forti</t>
  </si>
  <si>
    <t>valor atípico (acima de 3x a mediana da conta em 12 meses, mediana 464.7)</t>
  </si>
  <si>
    <t>WORKSHOP V² - VISÃO E VALOR - REALIZADO EM 05/03 (LOCAÇÃO ESPAÇO E CONSUMO)</t>
  </si>
  <si>
    <t>King Coworking Ltda</t>
  </si>
  <si>
    <t>fornecedor sem outra ocorrência na conta em 12 meses; valor atípico (acima de 3x a mediana da conta em 12 meses, mediana 464.7)</t>
  </si>
  <si>
    <t>CAFÉ COM CULTURA</t>
  </si>
  <si>
    <t>LOCAÇÃO ESPAÇO PARA FESTA 10 ANOS BP</t>
  </si>
  <si>
    <t>Santa Margarida Eventos Ltda</t>
  </si>
  <si>
    <t>CARTÃO DE PÁSCOA - CAÇA AO CHOCOLATE</t>
  </si>
  <si>
    <t>REIMPRESSÃO CARTÃO DIA DAS MÃES - ERRO NA ARTE</t>
  </si>
  <si>
    <t>ID 1156 - CARTÃO DIA DO ADVOGADO</t>
  </si>
  <si>
    <t>CARTÃO DIA DAS MULHERES</t>
  </si>
  <si>
    <t>GRÁFICA DIA DOS PAIS</t>
  </si>
  <si>
    <t>Jackson Godoy Betti</t>
  </si>
  <si>
    <t>CARTÃO DIA DAS MÃES</t>
  </si>
  <si>
    <t>GRÁFICA - DIA DO ADVOGADO</t>
  </si>
  <si>
    <t>Doc e Plot Serviços de Copias Ltda</t>
  </si>
  <si>
    <t>CARTÃO DE PÁSCOA</t>
  </si>
  <si>
    <t>SACOLAS E TAGS - DIA DO ADVOGADO</t>
  </si>
  <si>
    <t>PRESENTE DIA DAS MÃES - NAZARÉ</t>
  </si>
  <si>
    <t>Malbec Vd Produtos Naturais Ltda</t>
  </si>
  <si>
    <t>BARRAS DE CHOCOLATE PÁSCOA - ID 1075</t>
  </si>
  <si>
    <t>DIA DAS MULHERES</t>
  </si>
  <si>
    <t>Flecha Brindes Ltda</t>
  </si>
  <si>
    <t>PRESENTE DIA DOS PAIS</t>
  </si>
  <si>
    <t>BOLSA PORTA VINHO - DIA DOS PAIS</t>
  </si>
  <si>
    <t>OVOS DE PÁSCOA</t>
  </si>
  <si>
    <t>Lcd Diegoli Ltda</t>
  </si>
  <si>
    <t>PRESENTE DIA DAS MÃES</t>
  </si>
  <si>
    <t>Garden Spa Clinica de Estetica | Kalma</t>
  </si>
  <si>
    <t>BRINDE DIA DO ADVOGADO</t>
  </si>
  <si>
    <t>Best Business Marketing Promocional e Eventos Ltda</t>
  </si>
  <si>
    <t>PANETONES</t>
  </si>
  <si>
    <t>53.844.666 Mayara Correa Sales</t>
  </si>
  <si>
    <t>valor atípico (acima de 3x a mediana da conta em 12 meses, mediana 505.33)</t>
  </si>
  <si>
    <t>EXAME ADMISSIONAL CATHARINA CARDOSO</t>
  </si>
  <si>
    <t>Petra Medicina do Trabalho</t>
  </si>
  <si>
    <t>Pagamento de vencimento ao colaborador(a): Gabriela Nicolau Olmedo Consul</t>
  </si>
  <si>
    <t>fornecedor sem outra ocorrência na conta em 12 meses; valor atípico (acima de 3x a mediana da conta em 12 meses, mediana 2187.5)</t>
  </si>
  <si>
    <t>palavra: indenização; fornecedor sem outra ocorrência na conta em 12 meses</t>
  </si>
  <si>
    <t>CARTÃO BOAS VINDAS NOVOS COLABORADORES</t>
  </si>
  <si>
    <t>50 MOLESKINES + 20 CANECAS</t>
  </si>
  <si>
    <t>SALDO FINAL REF. GARRAFAS PERSONALIZADAS</t>
  </si>
  <si>
    <t>MOCHILAS PERSONALIZADAS</t>
  </si>
  <si>
    <t>CARTA DE RECONHECIMENTO E PROMOÇÃO</t>
  </si>
  <si>
    <t>GIFT CARD ANIVERSÁRIO</t>
  </si>
  <si>
    <t>ARCO DE BALÕES + PRESENTE CHÁ DE BEBÊ GRAZIANE</t>
  </si>
  <si>
    <t>Openai, L.l.c.</t>
  </si>
  <si>
    <t>RENOVAÇÃO SERVIDOR N8N - PERÍODO 12/06/2026 A 12/07/2026</t>
  </si>
  <si>
    <t>Hostinger</t>
  </si>
  <si>
    <t>ID 1149 - HOSPEDAGEM SISTEMA N8N</t>
  </si>
  <si>
    <t>SAMUEL</t>
  </si>
  <si>
    <t>Fellow.ai</t>
  </si>
  <si>
    <t>ID 1148 E 1150 - HOSPEDAGEM N8N (AUTOMAÇÕES) + RECARGA CHAT GPT (FÊNIX IA)</t>
  </si>
  <si>
    <t>SUPABASE: PLANO BASE + RESPONSUM</t>
  </si>
  <si>
    <t>Supabase</t>
  </si>
  <si>
    <t>ID 1033 - BANCO DE DADOS SUPABASE</t>
  </si>
  <si>
    <t>RENOVAÇÃO DOMÍNIO bismarchipires.com - 17/08/2026 a 17/08/2028</t>
  </si>
  <si>
    <t>ID 1047 - BANCO DE DADOS SUPABASE</t>
  </si>
  <si>
    <t>SUPABASE: PLANO BASE + RESPONSUM + NOVO CRM</t>
  </si>
  <si>
    <t>RENOVAÇÃO DOMÍNIO N8N - PERÍODO 12 MESES</t>
  </si>
  <si>
    <t>SAMUEL E FELIPE</t>
  </si>
  <si>
    <t>DANIEL E RENATO</t>
  </si>
  <si>
    <t>LEONARDO, JORGE E LIGIA</t>
  </si>
  <si>
    <t>SUPABASE: PLANO BASE + RESPONSUM + NOVO CRM + SAMA + SIOE + ORQUESTRAI</t>
  </si>
  <si>
    <t>FERRAMENTA CURSOR PARA DESENVOLVIMENTO DE SISTEMAS INTERNOS</t>
  </si>
  <si>
    <t>Cursor</t>
  </si>
  <si>
    <t>FERRAMENTA CURSOR PARA DESENVOLVIMENTO DE SISTEMAS INTERNOS - ID 1069</t>
  </si>
  <si>
    <t>SUPABASE: CONFIARA</t>
  </si>
  <si>
    <t>DOMÍNIO SISTEMA RESPONSUM</t>
  </si>
  <si>
    <t>Núcleo de Informação e Coordenação do Ponto Br</t>
  </si>
  <si>
    <t>DOMÍNIO CANAL CONFIARA</t>
  </si>
  <si>
    <t>COMPRA DE DOMÍNIO PARA SISTEMA INTERNO - ORQESTRAI</t>
  </si>
  <si>
    <t>RD MARKETING</t>
  </si>
  <si>
    <t>Rd Gestao e Sistemas S.a.</t>
  </si>
  <si>
    <t>MIGALHAS</t>
  </si>
  <si>
    <t>Alemweb Com Servicos de Informacao - Migalhas</t>
  </si>
  <si>
    <t>RD CRM</t>
  </si>
  <si>
    <t>ANTIVIRUS - PARCELA 05/05</t>
  </si>
  <si>
    <t>Securisoft do Brasil Ltda</t>
  </si>
  <si>
    <t>COMPRA DOMÍNIO SISTEMA - SAMA</t>
  </si>
  <si>
    <t>CUSTOMIZAÇÃO REGRA DE CRIAÇÃO AUTOMÁTICA DE TAREFAS</t>
  </si>
  <si>
    <t>Vios Tecnologia</t>
  </si>
  <si>
    <t>IMPLANTAÇÃO PONTO ELETRÔNICO</t>
  </si>
  <si>
    <t>Solucoes Em Software e Servicos Tts Ltda</t>
  </si>
  <si>
    <t>LICENÇA TEAMS PREMIUM - SAMUEL</t>
  </si>
  <si>
    <t>Scansource Brasil Distribuidora de Tecnologias Ltda</t>
  </si>
  <si>
    <t>LICENÇA TEAMS PREMIUM - GUSTAVO</t>
  </si>
  <si>
    <t>Guarda Site e Hospedagem</t>
  </si>
  <si>
    <t>LICENÇA TEAMS PREMIUM - LIGIA, JORGE E LEONARDO</t>
  </si>
  <si>
    <t>PONTO ELETRÔNICO</t>
  </si>
  <si>
    <t>CHECKBEM</t>
  </si>
  <si>
    <t>J. C. N. Dutra Me</t>
  </si>
  <si>
    <t>RENOVAÇÃO HOSPEDAGEM DOMÍNIO https://www.bpplaw.com.br/ - VIGÊNCIA 07/2026 A 07/2027</t>
  </si>
  <si>
    <t>Adobe Systems Brasil Ltda.</t>
  </si>
  <si>
    <t>Kurier Tecnologia Em Informacao Ltda</t>
  </si>
  <si>
    <t>CUSTOMIZAÇÃO: ANEXO AUTOMÁTICO PRÉ FATURA E EXCLUSÃO DO RATEIO NO E-MAIL DE FATURAMENTO (2H)</t>
  </si>
  <si>
    <t>CUSTOMIZAÇÃO LAYOUT FATURA</t>
  </si>
  <si>
    <t>ROBÔ PROTOCOLOS - REF. JANEIRO/2026</t>
  </si>
  <si>
    <t>Beyond Cloud Consultoria Em Tecnologia Ltda</t>
  </si>
  <si>
    <t>Credvalue Ltda</t>
  </si>
  <si>
    <t>ROBÔ PROTOCOLOS - REF. JULHO/2026 (MAIO E JUNHO BONIFICADOS)</t>
  </si>
  <si>
    <t>ROBÔ PROTOCOLOS - REF. MARÇO/2026</t>
  </si>
  <si>
    <t>RENOVAÇÃO D4SIGN - PERÍODO 03/07/2026 A 01/07/2027</t>
  </si>
  <si>
    <t>D4S Serviços Em Tecnologia Ltda</t>
  </si>
  <si>
    <t>FEEDZ</t>
  </si>
  <si>
    <t>Data Lawyer Insights Tecnologia Ltda</t>
  </si>
  <si>
    <t>CUSTOMIZAÇÃO: CONTROLE DE CANCELAMENTOS (4H)</t>
  </si>
  <si>
    <t>ROBÔ PROTOCOLOS - REF. FEVEREIRO/2026</t>
  </si>
  <si>
    <t>ROBÔ PROTOCOLOS - REF. ABRIL/2026</t>
  </si>
  <si>
    <t>OFFICE 365</t>
  </si>
  <si>
    <t>valor atípico (acima de 3x a mediana da conta em 12 meses, mediana 618.65)</t>
  </si>
  <si>
    <t>mes</t>
  </si>
  <si>
    <t>regime</t>
  </si>
  <si>
    <t>total_saidas</t>
  </si>
  <si>
    <t>opex</t>
  </si>
  <si>
    <t>excluidos</t>
  </si>
  <si>
    <t>opex_mais_excluidos</t>
  </si>
  <si>
    <t>diferenca</t>
  </si>
  <si>
    <t>bate</t>
  </si>
  <si>
    <t>2026-01 a 2026-08</t>
  </si>
  <si>
    <t>competencia_total_opex</t>
  </si>
  <si>
    <t>motivo</t>
  </si>
  <si>
    <t>pct_das_saidas</t>
  </si>
  <si>
    <t>TOTAL EXCLUÍDO</t>
  </si>
  <si>
    <t>OPEX</t>
  </si>
  <si>
    <t>OPEX + EXCLUÍDOS</t>
  </si>
  <si>
    <t>qtd</t>
  </si>
  <si>
    <t>tratamento</t>
  </si>
  <si>
    <t>FORA do OPEX — reembolsável de cliente</t>
  </si>
  <si>
    <t>DENTRO do OPEX — Despesas Processuais, com flag</t>
  </si>
  <si>
    <t>2.6.01.000</t>
  </si>
  <si>
    <t>Custas</t>
  </si>
  <si>
    <t>sem lançamento no período</t>
  </si>
  <si>
    <t>2.6.01.005</t>
  </si>
  <si>
    <t>Correios jurídicos</t>
  </si>
  <si>
    <t>2.6.03.000</t>
  </si>
  <si>
    <t>Diligência</t>
  </si>
  <si>
    <t>5.16.07.000</t>
  </si>
  <si>
    <t>DESPESAS REEMBOLSÁVEIS - GUIAS</t>
  </si>
  <si>
    <t>reembolsaveis_pagas_competencia</t>
  </si>
  <si>
    <t>reembolsos_recebidos_competencia</t>
  </si>
  <si>
    <t>saldo_competencia</t>
  </si>
  <si>
    <t>acumulado_competencia</t>
  </si>
  <si>
    <t>reembolsaveis_pagas_caixa</t>
  </si>
  <si>
    <t>reembolsos_recebidos_caixa</t>
  </si>
  <si>
    <t>saldo_caixa</t>
  </si>
  <si>
    <t>acumulado_caixa</t>
  </si>
  <si>
    <t>Critério</t>
  </si>
  <si>
    <t>PAGAR departamento Conta Corrente Clientes menos RECEBER mesmo departamento e plano REEMBOLSO DE DESPESAS. Fora do OPEX e fora da receita.</t>
  </si>
  <si>
    <t>repasse_pago_competencia</t>
  </si>
  <si>
    <t>entrada_vinculada_competencia</t>
  </si>
  <si>
    <t>criterio</t>
  </si>
  <si>
    <t>Saída = PAGAR 2.6.04 e 3.2.07. Entrada tirada da receita = mesmo mês, mesmo departamento e mesmo valor em RECEBER de OUTRAS RECEITAS/REPASSE, mais qualquer RECEBER cuja descrição ou plano contenha REPASSE. OUTRAS RECEITAS sem esse vínculo permanece na receita, na aba Repasse_sem_vinculo.</t>
  </si>
  <si>
    <t>mês + departamento + valor, ou texto REPASSE</t>
  </si>
  <si>
    <t>lado</t>
  </si>
  <si>
    <t>plano</t>
  </si>
  <si>
    <t>ci_entrada_vinculada</t>
  </si>
  <si>
    <t>tratamento_receita</t>
  </si>
  <si>
    <t>PAGAR</t>
  </si>
  <si>
    <t>sem entrada vinculada</t>
  </si>
  <si>
    <t>entrada fora da receita</t>
  </si>
  <si>
    <t>RECEBER</t>
  </si>
  <si>
    <t>3.2.01.000</t>
  </si>
  <si>
    <t>REEMBOLSO DE DESPESAS</t>
  </si>
  <si>
    <t>REEMBOLSO REPASSE INDEVIDO ACORDO JRA EMPREENDIMENTOS</t>
  </si>
  <si>
    <t>fora da receita por texto REPASSE</t>
  </si>
  <si>
    <t>3.2.10.000</t>
  </si>
  <si>
    <t>PARCERIAS</t>
  </si>
  <si>
    <t>REPASSE - PARCERIA</t>
  </si>
  <si>
    <t>3.2.06.000</t>
  </si>
  <si>
    <t>OUTRAS RECEITAS</t>
  </si>
  <si>
    <t>HOUVE UM PAGAMENTO DE R$ 18.000,00 POR ENGANO E DEVOLVEMOS PARA O GUSTAVO</t>
  </si>
  <si>
    <t>permanece na receita até validação</t>
  </si>
  <si>
    <t>ACORDO GRUPO PAULO CURZIO</t>
  </si>
  <si>
    <t>Teste Vios de boletos</t>
  </si>
  <si>
    <t>GOLD LAND</t>
  </si>
  <si>
    <t>PROC. 10001401220208260650 - PERFILIX</t>
  </si>
  <si>
    <t>TESTE EMISSÃO BOLETO PELO VIOS</t>
  </si>
  <si>
    <t>HONORÁRIOS DE ÊXITO REFERENTE À CESSÃO PARA STRATEGI</t>
  </si>
  <si>
    <t>ACORDO INOVAGEO X ECOBULK - PROC. 4004352-02.2025.8.26.0019</t>
  </si>
  <si>
    <t>PROC. 000306587020258160014 - DECORWATTS</t>
  </si>
  <si>
    <t>PROC. 1000860-98.2025.5.02.0204 - MARIO JOSE DOS SANTOS x ACRIL SERVICOS DE MONTAGENS LTDA</t>
  </si>
  <si>
    <t>VALOR REF. ACOMPANHANTE - OPEN BAR FESTA JUNINA</t>
  </si>
  <si>
    <t>VALOR PAGO INDEVIDAMENTE JUNTO COM ND</t>
  </si>
  <si>
    <t>PROC. 10200876420238260224 - PERFILIX</t>
  </si>
  <si>
    <t>DEVOLUÇÃO REF. REMUNERAÇÃO PAGA INDEVIDAMENTE</t>
  </si>
  <si>
    <t>ACORDO INOVAGEO X DENARDI - PROC. 1000457-13.2026.8.11.0037</t>
  </si>
  <si>
    <t>ACORDO PERFILIX X FABIO IORGULO - PROC. 1016207-52.2020.8.26.0068</t>
  </si>
  <si>
    <t>PROC. 0011542-17.2025.5.15.0092 - PAULO JOAQUIM DA SILVA X BRADESCO</t>
  </si>
  <si>
    <t>PROC. 00048521620238260114</t>
  </si>
  <si>
    <t>DAS</t>
  </si>
  <si>
    <t>composicao_pendente; sem movimento no período</t>
  </si>
  <si>
    <t>DARF</t>
  </si>
  <si>
    <t>ISSQN</t>
  </si>
  <si>
    <t>pro_labore_8_1_03</t>
  </si>
  <si>
    <t>contas_nominais_socios</t>
  </si>
  <si>
    <t>distribuicao_de_lucros</t>
  </si>
  <si>
    <t>remuneracao_socios_de_capital</t>
  </si>
  <si>
    <t>Nota</t>
  </si>
  <si>
    <t>Linha abaixo do resultado operacional. Fora do OPEX. Associados 8.1.01 não entram aqui.</t>
  </si>
  <si>
    <t>lancado_competencia</t>
  </si>
  <si>
    <t>provisao_sugerida_mensal</t>
  </si>
  <si>
    <t>ajuste_sugerido</t>
  </si>
  <si>
    <t>8.2.05.000</t>
  </si>
  <si>
    <t>13º SALÁRIO</t>
  </si>
  <si>
    <t>Provisão mensal = soma de competência jan–ago / 8. Não há custo por pessoa para calcular 1/12 da folha.</t>
  </si>
  <si>
    <t>pct_opex</t>
  </si>
  <si>
    <t>Outros dentro de 5% do OPEX</t>
  </si>
  <si>
    <t>nome</t>
  </si>
  <si>
    <t>ano</t>
  </si>
  <si>
    <t>CAFÉ COM CULTURA · Casa Olivetto Eventos</t>
  </si>
  <si>
    <t>PARCELAMENTO PGFN · MINISTERIO DA ECONOMIA</t>
  </si>
  <si>
    <t>ADRIANA CAVALCANTE · Renato Rossetti Vallim de Castro</t>
  </si>
  <si>
    <t>LIMPEZA DE CARPETE, TAPETES, VIDROS · FORNECEDOR NÃO CADASTRADO</t>
  </si>
  <si>
    <t>PÓS GRADUAÇÃO GIANCARLO ZOTINI · Fundacao Getulio Vargas</t>
  </si>
  <si>
    <t>FELIPE SOARES DE CAMARGO · Qualicorp Administradora de Beneficios S.a.</t>
  </si>
  <si>
    <t>FORNECEDOR NÃO CADASTRADO</t>
  </si>
  <si>
    <t>TARIFA CONTA CERTA · ITAU UNIBANCO S.A.</t>
  </si>
  <si>
    <t>IP DEDICADO · Vivo S.a Telefônica Brasil S.a</t>
  </si>
  <si>
    <t>FEEDZ · Solucoes Em Software e Servicos Tts Ltda</t>
  </si>
  <si>
    <t>BEATRIZ BALDO · Felipe Soares de Camargo</t>
  </si>
  <si>
    <t>FAVIFER, LATASA · Leonardo Loureiro Basso</t>
  </si>
  <si>
    <t>GUSTAVO - REGULARIZAÇÃO REF. 2021, 2022, 2023 E 2024 · Ordem dos Advogados do Brasil Df</t>
  </si>
  <si>
    <t>PARCELAMENTO SIMPLES NACIONAL · MINISTERIO DA ECONOMIA</t>
  </si>
  <si>
    <t>SAMUEL · Fellow.ai</t>
  </si>
  <si>
    <t>ALUGUEL · Reuniao Construtora e Administradora de Bens Ltda</t>
  </si>
  <si>
    <t>CHECKBEM · J. C. N. Dutra Me</t>
  </si>
  <si>
    <t>DANIELA BIBIANO, DARCY CORREA, EMS, LINOPLAST, PROMAC, TECBIO · Wagner Armani</t>
  </si>
  <si>
    <t>IOF ADICIONAL SOBRE PARCELAMENTO NO CARTÃO DE CRÉDITO - REGULARIZAÇÃO OAB · Banco Bradesco S.a.</t>
  </si>
  <si>
    <t>SEGURO RESPONSABILIDADE CIVIL · TOKIO MARINE SEGURADORA S.A.</t>
  </si>
  <si>
    <t>DOMÍNIO BIBLIOTECA · FORNECEDOR NÃO CADASTRADO</t>
  </si>
  <si>
    <t>TARIFA PACOTE DE SERVIÇOS · Banco do Brasil Sa</t>
  </si>
  <si>
    <t>RD MARKETING · Rd Gestao e Sistemas S.a.</t>
  </si>
  <si>
    <t>GUSTAVO - REGULARIZAÇÃO REF. 2021, 2022, 2023 E 2024 · Ordem dos Advogados do Brasil Al</t>
  </si>
  <si>
    <t>MANUTENÇÃO PURIFICADORES · Whirlpool S.a</t>
  </si>
  <si>
    <t>CRISTAL &amp; CORES, SELETIVA · Ligia Gilberti Lopes</t>
  </si>
  <si>
    <t>LEONARDO, JORGE E LIGIA · Fellow.ai</t>
  </si>
  <si>
    <t>DAS - SIMPLES NACIONAL · MINISTERIO DA ECONOMIA</t>
  </si>
  <si>
    <t>MONITORA DADOS · Vivo S.a Telefônica Brasil S.a</t>
  </si>
  <si>
    <t>LICENÇA TEAMS PREMIUM · Scansource Brasil Distribuidora de Tecnologias Ltda</t>
  </si>
  <si>
    <t>DOMÍNIO SITE · FORNECEDOR NÃO CADASTRADO</t>
  </si>
  <si>
    <t>DIA DOS PAIS · FORNECEDOR NÃO CADASTRADO</t>
  </si>
  <si>
    <t>RD CRM · Rd Gestao e Sistemas S.a.</t>
  </si>
  <si>
    <t>RICARDO · Fellow.ai</t>
  </si>
  <si>
    <t>ANUIDADE · BANCO BRADESCO CARTOES S.A.</t>
  </si>
  <si>
    <t>OFFICE 365 · Vivo S.a Telefônica Brasil S.a</t>
  </si>
  <si>
    <t>TARIFA MAX EMPRESARIAL · Banco Bradesco S.a.</t>
  </si>
  <si>
    <t>SUPABASE: PLANO BASE + RESPONSUM + NOVO CRM · Supabase</t>
  </si>
  <si>
    <t>BILATERAL, FELICITA, METALCORE, MMP, PROTRADE · Jorge Pecht Souza</t>
  </si>
  <si>
    <t>COMISSÃO MMP · Yasmin Gomes Conceição</t>
  </si>
  <si>
    <t>DIA DAS MÃES · FORNECEDOR NÃO CADASTRADO</t>
  </si>
  <si>
    <t>DIA DO ADVOGADO · FORNECEDOR NÃO CADASTRADO</t>
  </si>
  <si>
    <t>FERRAMENTA CURSOR PARA DESENVOLVIMENTO DE SISTEMAS INTERNOS · Cursor</t>
  </si>
  <si>
    <t>3TM, AXPR, GVW, WAGNER EKLER · Giancarlo Murta Zotini</t>
  </si>
  <si>
    <t>GUSTAVO · Fellow.ai</t>
  </si>
  <si>
    <t>CURSO TÉCNICO LETICIA MARIA · Serviço Nacional de Aprendizagem Comercial</t>
  </si>
  <si>
    <t>YHOSEF E MMP · Daniel Pressatto Fernandes</t>
  </si>
  <si>
    <t>DIA DAS MULHERES · FORNECEDOR NÃO CADASTRADO</t>
  </si>
  <si>
    <t>DESAFIO BPM · FORNECEDOR NÃO CADASTRADO</t>
  </si>
  <si>
    <t>CORRIDA BPM · FORNECEDOR NÃO CADASTRADO</t>
  </si>
  <si>
    <t>FESTA JUNINA · FORNECEDOR NÃO CADASTRADO</t>
  </si>
  <si>
    <t>BÔNUS · FORNECEDOR NÃO CADASTRADO</t>
  </si>
  <si>
    <t>PÁSCOA · FORNECEDOR NÃO CADASTRADO</t>
  </si>
  <si>
    <t>cargo</t>
  </si>
  <si>
    <t>ativos</t>
  </si>
  <si>
    <t>peso_fte</t>
  </si>
  <si>
    <t>fte</t>
  </si>
  <si>
    <t>Advogado Júnior</t>
  </si>
  <si>
    <t>cadastro atual, não é headcount histórico</t>
  </si>
  <si>
    <t>Advogado Pleno</t>
  </si>
  <si>
    <t>Estagiário</t>
  </si>
  <si>
    <t>peso_fte_estagiario da Configuracao</t>
  </si>
  <si>
    <t>Sócio de Área</t>
  </si>
  <si>
    <t>Coordenador</t>
  </si>
  <si>
    <t>Supervisor</t>
  </si>
  <si>
    <t>Gerente</t>
  </si>
  <si>
    <t>Assistente Administrativo</t>
  </si>
  <si>
    <t>Sócio</t>
  </si>
  <si>
    <t>Analista Financeiro</t>
  </si>
  <si>
    <t>Coordenador Comercial</t>
  </si>
  <si>
    <t>Analista Júnior</t>
  </si>
  <si>
    <t>Advogada Pleno Controller</t>
  </si>
  <si>
    <t>Auxiliar de Limpeza</t>
  </si>
  <si>
    <t>Advogado Sênior</t>
  </si>
  <si>
    <t>Assistente Jurídico</t>
  </si>
  <si>
    <t>Assistente Financeiro Pleno</t>
  </si>
  <si>
    <t>Especialista em Gestão Operacional</t>
  </si>
  <si>
    <t>Analista de Processos Gerenciais</t>
  </si>
  <si>
    <t>Analista de Desenvolvimento de Soluções</t>
  </si>
  <si>
    <t>Estagiário de Marketing</t>
  </si>
  <si>
    <t>Advogado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</si>
</sst>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 #,##0.00"/>
    <numFmt numFmtId="165" formatCode="0.00&quot;%&quot;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10" style="1" customWidth="1"/>
  </cols>
  <sheetData>
    <row r="1" ht="30" customHeight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1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24</v>
      </c>
      <c r="B13" s="1" t="s">
        <v>25</v>
      </c>
    </row>
    <row r="14" spans="1:2" x14ac:dyDescent="0.25">
      <c r="A14" t="s">
        <v>26</v>
      </c>
      <c r="B14" s="1" t="s">
        <v>27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88" customWidth="1"/>
  </cols>
  <sheetData>
    <row r="1" ht="30" customHeight="1" spans="1:3" s="2" customFormat="1" x14ac:dyDescent="0.25">
      <c r="A1" s="2" t="s">
        <v>28</v>
      </c>
      <c r="B1" s="2" t="s">
        <v>29</v>
      </c>
      <c r="C1" s="2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3" x14ac:dyDescent="0.25">
      <c r="A5" t="s">
        <v>40</v>
      </c>
      <c r="B5" t="s">
        <v>41</v>
      </c>
      <c r="C5" t="s">
        <v>42</v>
      </c>
    </row>
    <row r="6" spans="1:3" x14ac:dyDescent="0.25">
      <c r="A6" t="s">
        <v>43</v>
      </c>
      <c r="B6" t="s">
        <v>44</v>
      </c>
      <c r="C6" t="s">
        <v>45</v>
      </c>
    </row>
    <row r="7" spans="1:3" x14ac:dyDescent="0.25">
      <c r="A7" t="s">
        <v>46</v>
      </c>
      <c r="B7" t="s">
        <v>47</v>
      </c>
      <c r="C7" t="s">
        <v>48</v>
      </c>
    </row>
    <row r="8" spans="1:3" x14ac:dyDescent="0.25">
      <c r="A8" t="s">
        <v>49</v>
      </c>
      <c r="B8" t="s">
        <v>50</v>
      </c>
      <c r="C8" t="s">
        <v>51</v>
      </c>
    </row>
    <row r="9" spans="1:3" x14ac:dyDescent="0.25">
      <c r="A9" t="s">
        <v>52</v>
      </c>
      <c r="B9" s="4"/>
      <c r="C9" t="s">
        <v>53</v>
      </c>
    </row>
    <row r="10" spans="1:3" x14ac:dyDescent="0.25">
      <c r="A10" t="s">
        <v>54</v>
      </c>
      <c r="B10" s="5"/>
      <c r="C10" t="s">
        <v>55</v>
      </c>
    </row>
    <row r="11" spans="1:3" x14ac:dyDescent="0.25">
      <c r="A11" t="s">
        <v>56</v>
      </c>
      <c r="B11">
        <v>0.75</v>
      </c>
      <c r="C11" t="s">
        <v>57</v>
      </c>
    </row>
    <row r="12" spans="1:3" x14ac:dyDescent="0.25">
      <c r="A12" t="s">
        <v>58</v>
      </c>
      <c r="B12">
        <v>3</v>
      </c>
      <c r="C12" t="s">
        <v>59</v>
      </c>
    </row>
    <row r="13" spans="1:3" x14ac:dyDescent="0.25">
      <c r="A13" t="s">
        <v>60</v>
      </c>
      <c r="B13" t="s">
        <v>44</v>
      </c>
      <c r="C13" t="s">
        <v>61</v>
      </c>
    </row>
    <row r="14" spans="1:3" x14ac:dyDescent="0.25">
      <c r="A14" t="s">
        <v>62</v>
      </c>
      <c r="B14" t="s">
        <v>8</v>
      </c>
      <c r="C14" t="s">
        <v>63</v>
      </c>
    </row>
    <row r="15" spans="1:3" x14ac:dyDescent="0.25">
      <c r="A15" t="s">
        <v>64</v>
      </c>
      <c r="B15" t="s">
        <v>65</v>
      </c>
      <c r="C15" t="s">
        <v>66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8" customWidth="1"/>
    <col min="4" max="4" width="48" customWidth="1"/>
    <col min="5" max="5" width="16" customWidth="1"/>
    <col min="6" max="6" width="70" customWidth="1"/>
  </cols>
  <sheetData>
    <row r="1" ht="30" customHeight="1" spans="1:6" s="2" customFormat="1" x14ac:dyDescent="0.2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</row>
    <row r="2" spans="1:6" x14ac:dyDescent="0.25">
      <c r="A2" t="s">
        <v>73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</row>
    <row r="3" spans="1:6" x14ac:dyDescent="0.25">
      <c r="A3" t="s">
        <v>79</v>
      </c>
      <c r="B3" t="s">
        <v>80</v>
      </c>
      <c r="C3" t="s">
        <v>75</v>
      </c>
      <c r="D3" t="s">
        <v>81</v>
      </c>
      <c r="E3" t="s">
        <v>77</v>
      </c>
      <c r="F3" t="s">
        <v>82</v>
      </c>
    </row>
    <row r="4" spans="1:6" x14ac:dyDescent="0.25">
      <c r="A4" t="s">
        <v>79</v>
      </c>
      <c r="B4" t="s">
        <v>83</v>
      </c>
      <c r="C4" t="s">
        <v>75</v>
      </c>
      <c r="D4" t="s">
        <v>81</v>
      </c>
      <c r="E4" t="s">
        <v>77</v>
      </c>
      <c r="F4" t="s">
        <v>84</v>
      </c>
    </row>
    <row r="5" spans="1:6" x14ac:dyDescent="0.25">
      <c r="A5" t="s">
        <v>79</v>
      </c>
      <c r="B5" t="s">
        <v>85</v>
      </c>
      <c r="C5" t="s">
        <v>75</v>
      </c>
      <c r="D5" t="s">
        <v>86</v>
      </c>
      <c r="E5" t="s">
        <v>77</v>
      </c>
      <c r="F5" t="s">
        <v>87</v>
      </c>
    </row>
    <row r="6" spans="1:6" x14ac:dyDescent="0.25">
      <c r="A6" t="s">
        <v>79</v>
      </c>
      <c r="B6" t="s">
        <v>88</v>
      </c>
      <c r="C6" t="s">
        <v>75</v>
      </c>
      <c r="D6" t="s">
        <v>86</v>
      </c>
      <c r="E6" t="s">
        <v>77</v>
      </c>
      <c r="F6" t="s">
        <v>89</v>
      </c>
    </row>
    <row r="7" spans="1:6" x14ac:dyDescent="0.25">
      <c r="A7" t="s">
        <v>79</v>
      </c>
      <c r="B7" t="s">
        <v>90</v>
      </c>
      <c r="C7" t="s">
        <v>75</v>
      </c>
      <c r="D7" t="s">
        <v>86</v>
      </c>
      <c r="E7" t="s">
        <v>77</v>
      </c>
      <c r="F7" t="s">
        <v>91</v>
      </c>
    </row>
    <row r="8" spans="1:6" x14ac:dyDescent="0.25">
      <c r="A8" t="s">
        <v>79</v>
      </c>
      <c r="B8" t="s">
        <v>92</v>
      </c>
      <c r="C8" t="s">
        <v>75</v>
      </c>
      <c r="D8" t="s">
        <v>86</v>
      </c>
      <c r="E8" t="s">
        <v>77</v>
      </c>
      <c r="F8" t="s">
        <v>93</v>
      </c>
    </row>
    <row r="9" spans="1:6" x14ac:dyDescent="0.25">
      <c r="A9" t="s">
        <v>79</v>
      </c>
      <c r="B9" t="s">
        <v>94</v>
      </c>
      <c r="C9" t="s">
        <v>75</v>
      </c>
      <c r="D9" t="s">
        <v>86</v>
      </c>
      <c r="E9" t="s">
        <v>77</v>
      </c>
      <c r="F9" t="s">
        <v>95</v>
      </c>
    </row>
    <row r="10" spans="1:6" x14ac:dyDescent="0.25">
      <c r="A10" t="s">
        <v>96</v>
      </c>
      <c r="B10" t="s">
        <v>97</v>
      </c>
      <c r="C10" t="s">
        <v>75</v>
      </c>
      <c r="D10" t="s">
        <v>98</v>
      </c>
      <c r="E10" t="s">
        <v>77</v>
      </c>
      <c r="F10" t="s">
        <v>99</v>
      </c>
    </row>
    <row r="11" spans="1:6" x14ac:dyDescent="0.25">
      <c r="A11" t="s">
        <v>96</v>
      </c>
      <c r="B11" t="s">
        <v>100</v>
      </c>
      <c r="C11" t="s">
        <v>75</v>
      </c>
      <c r="D11" t="s">
        <v>101</v>
      </c>
      <c r="E11" t="s">
        <v>77</v>
      </c>
      <c r="F11" t="s">
        <v>102</v>
      </c>
    </row>
    <row r="12" spans="1:6" x14ac:dyDescent="0.25">
      <c r="A12" t="s">
        <v>79</v>
      </c>
      <c r="B12" t="s">
        <v>103</v>
      </c>
      <c r="C12" t="s">
        <v>75</v>
      </c>
      <c r="D12" t="s">
        <v>104</v>
      </c>
      <c r="E12" t="s">
        <v>77</v>
      </c>
      <c r="F12" t="s">
        <v>105</v>
      </c>
    </row>
    <row r="13" spans="1:6" x14ac:dyDescent="0.25">
      <c r="A13" t="s">
        <v>79</v>
      </c>
      <c r="B13" t="s">
        <v>106</v>
      </c>
      <c r="C13" t="s">
        <v>75</v>
      </c>
      <c r="D13" t="s">
        <v>104</v>
      </c>
      <c r="E13" t="s">
        <v>77</v>
      </c>
      <c r="F13" t="s">
        <v>107</v>
      </c>
    </row>
    <row r="14" spans="1:6" x14ac:dyDescent="0.25">
      <c r="A14" t="s">
        <v>79</v>
      </c>
      <c r="B14" t="s">
        <v>108</v>
      </c>
      <c r="C14" t="s">
        <v>75</v>
      </c>
      <c r="D14" t="s">
        <v>104</v>
      </c>
      <c r="E14" t="s">
        <v>77</v>
      </c>
      <c r="F14" t="s">
        <v>109</v>
      </c>
    </row>
    <row r="15" spans="1:6" x14ac:dyDescent="0.25">
      <c r="A15" t="s">
        <v>79</v>
      </c>
      <c r="B15" t="s">
        <v>110</v>
      </c>
      <c r="C15" t="s">
        <v>75</v>
      </c>
      <c r="D15" t="s">
        <v>104</v>
      </c>
      <c r="E15" t="s">
        <v>77</v>
      </c>
      <c r="F15" t="s">
        <v>111</v>
      </c>
    </row>
    <row r="16" spans="1:6" x14ac:dyDescent="0.25">
      <c r="A16" t="s">
        <v>79</v>
      </c>
      <c r="B16" t="s">
        <v>112</v>
      </c>
      <c r="C16" t="s">
        <v>75</v>
      </c>
      <c r="D16" t="s">
        <v>104</v>
      </c>
      <c r="E16" t="s">
        <v>77</v>
      </c>
      <c r="F16" t="s">
        <v>113</v>
      </c>
    </row>
    <row r="17" spans="1:6" x14ac:dyDescent="0.25">
      <c r="A17" t="s">
        <v>114</v>
      </c>
      <c r="B17" t="s">
        <v>115</v>
      </c>
      <c r="C17" t="s">
        <v>75</v>
      </c>
      <c r="D17" t="s">
        <v>104</v>
      </c>
      <c r="E17" t="s">
        <v>116</v>
      </c>
      <c r="F17" t="s">
        <v>117</v>
      </c>
    </row>
    <row r="18" spans="1:6" x14ac:dyDescent="0.25">
      <c r="A18" t="s">
        <v>79</v>
      </c>
      <c r="B18" t="s">
        <v>118</v>
      </c>
      <c r="C18" t="s">
        <v>75</v>
      </c>
      <c r="D18" t="s">
        <v>119</v>
      </c>
      <c r="E18" t="s">
        <v>77</v>
      </c>
      <c r="F18" t="s">
        <v>99</v>
      </c>
    </row>
    <row r="19" spans="1:6" x14ac:dyDescent="0.25">
      <c r="A19" t="s">
        <v>96</v>
      </c>
      <c r="B19" t="s">
        <v>120</v>
      </c>
      <c r="C19" t="s">
        <v>75</v>
      </c>
      <c r="D19" t="s">
        <v>121</v>
      </c>
      <c r="E19" t="s">
        <v>116</v>
      </c>
      <c r="F19" t="s">
        <v>122</v>
      </c>
    </row>
    <row r="20" spans="1:6" x14ac:dyDescent="0.25">
      <c r="A20" t="s">
        <v>79</v>
      </c>
      <c r="B20" t="s">
        <v>123</v>
      </c>
      <c r="C20" t="s">
        <v>124</v>
      </c>
      <c r="D20" t="s">
        <v>125</v>
      </c>
      <c r="E20" t="s">
        <v>77</v>
      </c>
      <c r="F20" t="s">
        <v>126</v>
      </c>
    </row>
    <row r="21" spans="1:6" x14ac:dyDescent="0.25">
      <c r="A21" t="s">
        <v>79</v>
      </c>
      <c r="B21" t="s">
        <v>127</v>
      </c>
      <c r="C21" t="s">
        <v>124</v>
      </c>
      <c r="D21" t="s">
        <v>128</v>
      </c>
      <c r="E21" t="s">
        <v>77</v>
      </c>
      <c r="F21" t="s">
        <v>129</v>
      </c>
    </row>
    <row r="22" spans="1:6" x14ac:dyDescent="0.25">
      <c r="A22" t="s">
        <v>79</v>
      </c>
      <c r="B22" t="s">
        <v>130</v>
      </c>
      <c r="C22" t="s">
        <v>124</v>
      </c>
      <c r="D22" t="s">
        <v>131</v>
      </c>
      <c r="E22" t="s">
        <v>77</v>
      </c>
      <c r="F22" t="s">
        <v>132</v>
      </c>
    </row>
    <row r="23" spans="1:6" x14ac:dyDescent="0.25">
      <c r="A23" t="s">
        <v>133</v>
      </c>
      <c r="B23" t="s">
        <v>134</v>
      </c>
      <c r="C23" t="s">
        <v>135</v>
      </c>
      <c r="D23" t="s">
        <v>136</v>
      </c>
      <c r="E23" t="s">
        <v>77</v>
      </c>
      <c r="F23" t="s">
        <v>137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2" customWidth="1"/>
    <col min="3" max="3" width="38" customWidth="1"/>
    <col min="4" max="4" width="14" customWidth="1"/>
    <col min="5" max="5" width="18" customWidth="1"/>
    <col min="6" max="6" width="55" customWidth="1"/>
    <col min="7" max="7" width="42" customWidth="1"/>
    <col min="8" max="8" width="36" customWidth="1"/>
    <col min="9" max="9" width="16" customWidth="1"/>
    <col min="10" max="10" width="20" customWidth="1"/>
    <col min="11" max="11" width="16" customWidth="1"/>
    <col min="12" max="13" width="22" customWidth="1"/>
    <col min="14" max="14" width="42" customWidth="1"/>
    <col min="15" max="15" width="18" customWidth="1"/>
    <col min="16" max="16" width="20" customWidth="1"/>
    <col min="17" max="17" width="18" customWidth="1"/>
    <col min="18" max="18" width="22" customWidth="1"/>
  </cols>
  <sheetData>
    <row r="1" ht="30" customHeight="1" spans="1:18" s="2" customFormat="1" x14ac:dyDescent="0.25">
      <c r="A1" s="2" t="s">
        <v>138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  <c r="M1" s="2" t="s">
        <v>150</v>
      </c>
      <c r="N1" s="2" t="s">
        <v>151</v>
      </c>
      <c r="O1" s="2" t="s">
        <v>152</v>
      </c>
      <c r="P1" s="2" t="s">
        <v>153</v>
      </c>
      <c r="Q1" s="2" t="s">
        <v>154</v>
      </c>
      <c r="R1" s="2" t="s">
        <v>155</v>
      </c>
    </row>
    <row r="2" spans="1:18" x14ac:dyDescent="0.25">
      <c r="A2" t="s">
        <v>156</v>
      </c>
      <c r="B2" t="s">
        <v>157</v>
      </c>
      <c r="C2" t="s">
        <v>158</v>
      </c>
      <c r="D2" t="s">
        <v>44</v>
      </c>
      <c r="E2" t="s">
        <v>77</v>
      </c>
      <c r="F2" t="s">
        <v>99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116</v>
      </c>
      <c r="N2" t="s">
        <v>99</v>
      </c>
      <c r="O2">
        <v>394</v>
      </c>
      <c r="P2" s="4">
        <v>2275610.72</v>
      </c>
      <c r="Q2" s="4">
        <v>2540064.98</v>
      </c>
      <c r="R2" s="6">
        <v>0.5127100703076621</v>
      </c>
    </row>
    <row r="3" spans="1:18" x14ac:dyDescent="0.25">
      <c r="A3" t="s">
        <v>92</v>
      </c>
      <c r="B3" t="s">
        <v>165</v>
      </c>
      <c r="C3" t="s">
        <v>165</v>
      </c>
      <c r="D3" t="s">
        <v>166</v>
      </c>
      <c r="E3" t="s">
        <v>77</v>
      </c>
      <c r="F3" t="s">
        <v>86</v>
      </c>
      <c r="G3" t="s">
        <v>86</v>
      </c>
      <c r="H3" t="s">
        <v>86</v>
      </c>
      <c r="I3" t="s">
        <v>167</v>
      </c>
      <c r="J3" t="s">
        <v>167</v>
      </c>
      <c r="K3" t="s">
        <v>168</v>
      </c>
      <c r="L3" t="s">
        <v>169</v>
      </c>
      <c r="M3" t="s">
        <v>77</v>
      </c>
      <c r="N3" t="s">
        <v>170</v>
      </c>
      <c r="O3">
        <v>274</v>
      </c>
      <c r="P3" s="4">
        <v>1782959.48</v>
      </c>
      <c r="Q3" s="4">
        <v>1783854.38</v>
      </c>
      <c r="R3" s="6">
        <v>0</v>
      </c>
    </row>
    <row r="4" spans="1:18" x14ac:dyDescent="0.25">
      <c r="A4" t="s">
        <v>85</v>
      </c>
      <c r="B4" t="s">
        <v>171</v>
      </c>
      <c r="C4" t="s">
        <v>158</v>
      </c>
      <c r="D4" t="s">
        <v>166</v>
      </c>
      <c r="E4" t="s">
        <v>77</v>
      </c>
      <c r="F4" t="s">
        <v>86</v>
      </c>
      <c r="G4" t="s">
        <v>86</v>
      </c>
      <c r="H4" t="s">
        <v>86</v>
      </c>
      <c r="I4" t="s">
        <v>167</v>
      </c>
      <c r="J4" t="s">
        <v>167</v>
      </c>
      <c r="K4" t="s">
        <v>168</v>
      </c>
      <c r="L4" t="s">
        <v>169</v>
      </c>
      <c r="M4" t="s">
        <v>77</v>
      </c>
      <c r="N4" t="s">
        <v>170</v>
      </c>
      <c r="O4">
        <v>39</v>
      </c>
      <c r="P4" s="4">
        <v>942000</v>
      </c>
      <c r="Q4" s="4">
        <v>942000</v>
      </c>
      <c r="R4" s="6">
        <v>0</v>
      </c>
    </row>
    <row r="5" spans="1:18" x14ac:dyDescent="0.25">
      <c r="A5" t="s">
        <v>83</v>
      </c>
      <c r="B5" t="s">
        <v>172</v>
      </c>
      <c r="C5" t="s">
        <v>173</v>
      </c>
      <c r="D5" t="s">
        <v>166</v>
      </c>
      <c r="E5" t="s">
        <v>77</v>
      </c>
      <c r="F5" t="s">
        <v>174</v>
      </c>
      <c r="G5" t="s">
        <v>81</v>
      </c>
      <c r="H5" t="s">
        <v>174</v>
      </c>
      <c r="I5" t="s">
        <v>167</v>
      </c>
      <c r="J5" t="s">
        <v>167</v>
      </c>
      <c r="K5" t="s">
        <v>168</v>
      </c>
      <c r="L5" t="s">
        <v>169</v>
      </c>
      <c r="M5" t="s">
        <v>77</v>
      </c>
      <c r="N5" t="s">
        <v>175</v>
      </c>
      <c r="O5">
        <v>53</v>
      </c>
      <c r="P5" s="4">
        <v>835346.5</v>
      </c>
      <c r="Q5" s="4">
        <v>856695.8</v>
      </c>
      <c r="R5" s="6">
        <v>0</v>
      </c>
    </row>
    <row r="6" spans="1:18" x14ac:dyDescent="0.25">
      <c r="A6" t="s">
        <v>176</v>
      </c>
      <c r="B6" t="s">
        <v>177</v>
      </c>
      <c r="C6" t="s">
        <v>178</v>
      </c>
      <c r="D6" t="s">
        <v>166</v>
      </c>
      <c r="E6" t="s">
        <v>116</v>
      </c>
      <c r="F6" t="s">
        <v>104</v>
      </c>
      <c r="G6" t="s">
        <v>104</v>
      </c>
      <c r="H6" t="s">
        <v>104</v>
      </c>
      <c r="I6" t="s">
        <v>167</v>
      </c>
      <c r="J6" t="s">
        <v>167</v>
      </c>
      <c r="K6" t="s">
        <v>168</v>
      </c>
      <c r="L6" t="s">
        <v>169</v>
      </c>
      <c r="M6" t="s">
        <v>116</v>
      </c>
      <c r="N6" t="s">
        <v>179</v>
      </c>
      <c r="O6">
        <v>24</v>
      </c>
      <c r="P6" s="4">
        <v>543014.18</v>
      </c>
      <c r="Q6" s="4">
        <v>543014.18</v>
      </c>
      <c r="R6" s="6">
        <v>0</v>
      </c>
    </row>
    <row r="7" spans="1:18" x14ac:dyDescent="0.25">
      <c r="A7" t="s">
        <v>180</v>
      </c>
      <c r="B7" t="s">
        <v>181</v>
      </c>
      <c r="C7" t="s">
        <v>182</v>
      </c>
      <c r="D7" t="s">
        <v>44</v>
      </c>
      <c r="E7" t="s">
        <v>77</v>
      </c>
      <c r="F7" t="s">
        <v>99</v>
      </c>
      <c r="G7" t="s">
        <v>183</v>
      </c>
      <c r="H7" t="s">
        <v>184</v>
      </c>
      <c r="I7" t="s">
        <v>185</v>
      </c>
      <c r="J7" t="s">
        <v>162</v>
      </c>
      <c r="K7" t="s">
        <v>163</v>
      </c>
      <c r="L7" t="s">
        <v>186</v>
      </c>
      <c r="M7" t="s">
        <v>116</v>
      </c>
      <c r="N7" t="s">
        <v>99</v>
      </c>
      <c r="O7">
        <v>52</v>
      </c>
      <c r="P7" s="4">
        <v>252652.93</v>
      </c>
      <c r="Q7" s="4">
        <v>252324.42</v>
      </c>
      <c r="R7" s="6">
        <v>0.05692436775993779</v>
      </c>
    </row>
    <row r="8" spans="1:18" x14ac:dyDescent="0.25">
      <c r="A8" t="s">
        <v>83</v>
      </c>
      <c r="B8" t="s">
        <v>172</v>
      </c>
      <c r="C8" t="s">
        <v>173</v>
      </c>
      <c r="D8" t="s">
        <v>166</v>
      </c>
      <c r="E8" t="s">
        <v>77</v>
      </c>
      <c r="F8" t="s">
        <v>76</v>
      </c>
      <c r="G8" t="s">
        <v>76</v>
      </c>
      <c r="H8" t="s">
        <v>76</v>
      </c>
      <c r="I8" t="s">
        <v>167</v>
      </c>
      <c r="J8" t="s">
        <v>167</v>
      </c>
      <c r="K8" t="s">
        <v>168</v>
      </c>
      <c r="L8" t="s">
        <v>169</v>
      </c>
      <c r="M8" t="s">
        <v>77</v>
      </c>
      <c r="N8" t="s">
        <v>187</v>
      </c>
      <c r="O8">
        <v>3</v>
      </c>
      <c r="P8" s="4">
        <v>233028.81</v>
      </c>
      <c r="Q8" s="4">
        <v>233028.81</v>
      </c>
      <c r="R8" s="6">
        <v>0</v>
      </c>
    </row>
    <row r="9" spans="1:18" x14ac:dyDescent="0.25">
      <c r="A9" t="s">
        <v>188</v>
      </c>
      <c r="B9" t="s">
        <v>189</v>
      </c>
      <c r="C9" t="s">
        <v>190</v>
      </c>
      <c r="D9" t="s">
        <v>44</v>
      </c>
      <c r="E9" t="s">
        <v>77</v>
      </c>
      <c r="F9" t="s">
        <v>99</v>
      </c>
      <c r="G9" t="s">
        <v>191</v>
      </c>
      <c r="H9" t="s">
        <v>192</v>
      </c>
      <c r="I9" t="s">
        <v>161</v>
      </c>
      <c r="J9" t="s">
        <v>162</v>
      </c>
      <c r="K9" t="s">
        <v>163</v>
      </c>
      <c r="L9" t="s">
        <v>193</v>
      </c>
      <c r="M9" t="s">
        <v>116</v>
      </c>
      <c r="N9" t="s">
        <v>99</v>
      </c>
      <c r="O9">
        <v>8</v>
      </c>
      <c r="P9" s="4">
        <v>214683.01</v>
      </c>
      <c r="Q9" s="4">
        <v>214683.01</v>
      </c>
      <c r="R9" s="6">
        <v>0.04836949491561567</v>
      </c>
    </row>
    <row r="10" spans="1:18" x14ac:dyDescent="0.25">
      <c r="A10" t="s">
        <v>194</v>
      </c>
      <c r="B10" t="s">
        <v>195</v>
      </c>
      <c r="C10" t="s">
        <v>196</v>
      </c>
      <c r="D10" t="s">
        <v>44</v>
      </c>
      <c r="E10" t="s">
        <v>77</v>
      </c>
      <c r="F10" t="s">
        <v>99</v>
      </c>
      <c r="G10" t="s">
        <v>128</v>
      </c>
      <c r="H10" t="s">
        <v>128</v>
      </c>
      <c r="I10" t="s">
        <v>197</v>
      </c>
      <c r="J10" t="s">
        <v>198</v>
      </c>
      <c r="K10" t="s">
        <v>163</v>
      </c>
      <c r="L10" t="s">
        <v>164</v>
      </c>
      <c r="M10" t="s">
        <v>77</v>
      </c>
      <c r="N10" t="s">
        <v>99</v>
      </c>
      <c r="O10">
        <v>203</v>
      </c>
      <c r="P10" s="4">
        <v>186194.49</v>
      </c>
      <c r="Q10" s="4">
        <v>186194.49</v>
      </c>
      <c r="R10" s="6">
        <v>0.04195084388546002</v>
      </c>
    </row>
    <row r="11" spans="1:18" x14ac:dyDescent="0.25">
      <c r="A11" t="s">
        <v>199</v>
      </c>
      <c r="B11" t="s">
        <v>200</v>
      </c>
      <c r="C11" t="s">
        <v>201</v>
      </c>
      <c r="D11" t="s">
        <v>44</v>
      </c>
      <c r="E11" t="s">
        <v>77</v>
      </c>
      <c r="F11" t="s">
        <v>99</v>
      </c>
      <c r="G11" t="s">
        <v>202</v>
      </c>
      <c r="H11" t="s">
        <v>203</v>
      </c>
      <c r="I11" t="s">
        <v>161</v>
      </c>
      <c r="J11" t="s">
        <v>162</v>
      </c>
      <c r="K11" t="s">
        <v>163</v>
      </c>
      <c r="L11" t="s">
        <v>164</v>
      </c>
      <c r="M11" t="s">
        <v>116</v>
      </c>
      <c r="N11" t="s">
        <v>99</v>
      </c>
      <c r="O11">
        <v>138</v>
      </c>
      <c r="P11" s="4">
        <v>175058.93</v>
      </c>
      <c r="Q11" s="4">
        <v>174758.93</v>
      </c>
      <c r="R11" s="6">
        <v>0.03944192893777723</v>
      </c>
    </row>
    <row r="12" spans="1:18" x14ac:dyDescent="0.25">
      <c r="A12" t="s">
        <v>204</v>
      </c>
      <c r="B12" t="s">
        <v>205</v>
      </c>
      <c r="C12" t="s">
        <v>158</v>
      </c>
      <c r="D12" t="s">
        <v>44</v>
      </c>
      <c r="E12" t="s">
        <v>77</v>
      </c>
      <c r="F12" t="s">
        <v>99</v>
      </c>
      <c r="G12" t="s">
        <v>159</v>
      </c>
      <c r="H12" t="s">
        <v>206</v>
      </c>
      <c r="I12" t="s">
        <v>161</v>
      </c>
      <c r="J12" t="s">
        <v>162</v>
      </c>
      <c r="K12" t="s">
        <v>163</v>
      </c>
      <c r="L12" t="s">
        <v>164</v>
      </c>
      <c r="M12" t="s">
        <v>116</v>
      </c>
      <c r="N12" t="s">
        <v>99</v>
      </c>
      <c r="O12">
        <v>42</v>
      </c>
      <c r="P12" s="4">
        <v>131038.27</v>
      </c>
      <c r="Q12" s="4">
        <v>144306.91</v>
      </c>
      <c r="R12" s="6">
        <v>0.029523784553403057</v>
      </c>
    </row>
    <row r="13" spans="1:18" x14ac:dyDescent="0.25">
      <c r="A13" t="s">
        <v>207</v>
      </c>
      <c r="B13" t="s">
        <v>208</v>
      </c>
      <c r="C13" t="s">
        <v>209</v>
      </c>
      <c r="D13" t="s">
        <v>44</v>
      </c>
      <c r="E13" t="s">
        <v>77</v>
      </c>
      <c r="F13" t="s">
        <v>99</v>
      </c>
      <c r="G13" t="s">
        <v>159</v>
      </c>
      <c r="H13" t="s">
        <v>210</v>
      </c>
      <c r="I13" t="s">
        <v>161</v>
      </c>
      <c r="J13" t="s">
        <v>211</v>
      </c>
      <c r="K13" t="s">
        <v>163</v>
      </c>
      <c r="L13" t="s">
        <v>193</v>
      </c>
      <c r="M13" t="s">
        <v>116</v>
      </c>
      <c r="N13" t="s">
        <v>99</v>
      </c>
      <c r="O13">
        <v>69</v>
      </c>
      <c r="P13" s="4">
        <v>130481.44</v>
      </c>
      <c r="Q13" s="4">
        <v>130481.44</v>
      </c>
      <c r="R13" s="6">
        <v>0.029398327090076722</v>
      </c>
    </row>
    <row r="14" spans="1:18" x14ac:dyDescent="0.25">
      <c r="A14" t="s">
        <v>212</v>
      </c>
      <c r="B14" t="s">
        <v>213</v>
      </c>
      <c r="C14" t="s">
        <v>196</v>
      </c>
      <c r="D14" t="s">
        <v>44</v>
      </c>
      <c r="E14" t="s">
        <v>77</v>
      </c>
      <c r="F14" t="s">
        <v>99</v>
      </c>
      <c r="G14" t="s">
        <v>128</v>
      </c>
      <c r="H14" t="s">
        <v>128</v>
      </c>
      <c r="I14" t="s">
        <v>197</v>
      </c>
      <c r="J14" t="s">
        <v>198</v>
      </c>
      <c r="K14" t="s">
        <v>163</v>
      </c>
      <c r="L14" t="s">
        <v>164</v>
      </c>
      <c r="M14" t="s">
        <v>77</v>
      </c>
      <c r="N14" t="s">
        <v>99</v>
      </c>
      <c r="O14">
        <v>168</v>
      </c>
      <c r="P14" s="4">
        <v>116219.95</v>
      </c>
      <c r="Q14" s="4">
        <v>102231.71</v>
      </c>
      <c r="R14" s="6">
        <v>0.026185119542613586</v>
      </c>
    </row>
    <row r="15" spans="1:18" x14ac:dyDescent="0.25">
      <c r="A15" t="s">
        <v>214</v>
      </c>
      <c r="B15" t="s">
        <v>215</v>
      </c>
      <c r="C15" t="s">
        <v>209</v>
      </c>
      <c r="D15" t="s">
        <v>44</v>
      </c>
      <c r="E15" t="s">
        <v>77</v>
      </c>
      <c r="F15" t="s">
        <v>99</v>
      </c>
      <c r="G15" t="s">
        <v>159</v>
      </c>
      <c r="H15" t="s">
        <v>210</v>
      </c>
      <c r="I15" t="s">
        <v>161</v>
      </c>
      <c r="J15" t="s">
        <v>211</v>
      </c>
      <c r="K15" t="s">
        <v>163</v>
      </c>
      <c r="L15" t="s">
        <v>193</v>
      </c>
      <c r="M15" t="s">
        <v>116</v>
      </c>
      <c r="N15" t="s">
        <v>99</v>
      </c>
      <c r="O15">
        <v>20</v>
      </c>
      <c r="P15" s="4">
        <v>99529.22</v>
      </c>
      <c r="Q15" s="4">
        <v>99529.22</v>
      </c>
      <c r="R15" s="6">
        <v>0.02242458823707192</v>
      </c>
    </row>
    <row r="16" spans="1:18" x14ac:dyDescent="0.25">
      <c r="A16" t="s">
        <v>216</v>
      </c>
      <c r="B16" t="s">
        <v>217</v>
      </c>
      <c r="C16" t="s">
        <v>218</v>
      </c>
      <c r="D16" t="s">
        <v>44</v>
      </c>
      <c r="E16" t="s">
        <v>77</v>
      </c>
      <c r="F16" t="s">
        <v>99</v>
      </c>
      <c r="G16" t="s">
        <v>159</v>
      </c>
      <c r="H16" t="s">
        <v>219</v>
      </c>
      <c r="I16" t="s">
        <v>197</v>
      </c>
      <c r="J16" t="s">
        <v>198</v>
      </c>
      <c r="K16" t="s">
        <v>163</v>
      </c>
      <c r="L16" t="s">
        <v>164</v>
      </c>
      <c r="M16" t="s">
        <v>116</v>
      </c>
      <c r="N16" t="s">
        <v>99</v>
      </c>
      <c r="O16">
        <v>40</v>
      </c>
      <c r="P16" s="4">
        <v>86908.01</v>
      </c>
      <c r="Q16" s="4">
        <v>90908.01</v>
      </c>
      <c r="R16" s="6">
        <v>0.019580946567785106</v>
      </c>
    </row>
    <row r="17" spans="1:18" x14ac:dyDescent="0.25">
      <c r="A17" t="s">
        <v>220</v>
      </c>
      <c r="B17" t="s">
        <v>221</v>
      </c>
      <c r="C17" t="s">
        <v>222</v>
      </c>
      <c r="D17" t="s">
        <v>44</v>
      </c>
      <c r="E17" t="s">
        <v>77</v>
      </c>
      <c r="F17" t="s">
        <v>99</v>
      </c>
      <c r="G17" t="s">
        <v>223</v>
      </c>
      <c r="H17" t="s">
        <v>224</v>
      </c>
      <c r="I17" t="s">
        <v>197</v>
      </c>
      <c r="J17" t="s">
        <v>198</v>
      </c>
      <c r="K17" t="s">
        <v>163</v>
      </c>
      <c r="L17" t="s">
        <v>186</v>
      </c>
      <c r="M17" t="s">
        <v>116</v>
      </c>
      <c r="N17" t="s">
        <v>99</v>
      </c>
      <c r="O17">
        <v>10</v>
      </c>
      <c r="P17" s="4">
        <v>75626.66</v>
      </c>
      <c r="Q17" s="4">
        <v>75626.66</v>
      </c>
      <c r="R17" s="6">
        <v>0.01703918417370334</v>
      </c>
    </row>
    <row r="18" spans="1:18" x14ac:dyDescent="0.25">
      <c r="A18" t="s">
        <v>225</v>
      </c>
      <c r="B18" t="s">
        <v>226</v>
      </c>
      <c r="C18" t="s">
        <v>227</v>
      </c>
      <c r="D18" t="s">
        <v>44</v>
      </c>
      <c r="E18" t="s">
        <v>77</v>
      </c>
      <c r="F18" t="s">
        <v>99</v>
      </c>
      <c r="G18" t="s">
        <v>159</v>
      </c>
      <c r="H18" t="s">
        <v>228</v>
      </c>
      <c r="I18" t="s">
        <v>197</v>
      </c>
      <c r="J18" t="s">
        <v>198</v>
      </c>
      <c r="K18" t="s">
        <v>163</v>
      </c>
      <c r="L18" t="s">
        <v>186</v>
      </c>
      <c r="M18" t="s">
        <v>116</v>
      </c>
      <c r="N18" t="s">
        <v>99</v>
      </c>
      <c r="O18">
        <v>50</v>
      </c>
      <c r="P18" s="4">
        <v>63534.2</v>
      </c>
      <c r="Q18" s="4">
        <v>53534.2</v>
      </c>
      <c r="R18" s="6">
        <v>0.014314673358957046</v>
      </c>
    </row>
    <row r="19" spans="1:18" x14ac:dyDescent="0.25">
      <c r="A19" t="s">
        <v>94</v>
      </c>
      <c r="B19" t="s">
        <v>229</v>
      </c>
      <c r="C19" t="s">
        <v>165</v>
      </c>
      <c r="D19" t="s">
        <v>166</v>
      </c>
      <c r="E19" t="s">
        <v>77</v>
      </c>
      <c r="F19" t="s">
        <v>86</v>
      </c>
      <c r="G19" t="s">
        <v>86</v>
      </c>
      <c r="H19" t="s">
        <v>86</v>
      </c>
      <c r="I19" t="s">
        <v>167</v>
      </c>
      <c r="J19" t="s">
        <v>167</v>
      </c>
      <c r="K19" t="s">
        <v>168</v>
      </c>
      <c r="L19" t="s">
        <v>169</v>
      </c>
      <c r="M19" t="s">
        <v>77</v>
      </c>
      <c r="N19" t="s">
        <v>170</v>
      </c>
      <c r="O19">
        <v>15</v>
      </c>
      <c r="P19" s="4">
        <v>44000</v>
      </c>
      <c r="Q19" s="4">
        <v>44000</v>
      </c>
      <c r="R19" s="6">
        <v>0</v>
      </c>
    </row>
    <row r="20" spans="1:18" x14ac:dyDescent="0.25">
      <c r="A20" t="s">
        <v>230</v>
      </c>
      <c r="B20" t="s">
        <v>231</v>
      </c>
      <c r="C20" t="s">
        <v>232</v>
      </c>
      <c r="D20" t="s">
        <v>44</v>
      </c>
      <c r="E20" t="s">
        <v>77</v>
      </c>
      <c r="F20" t="s">
        <v>99</v>
      </c>
      <c r="G20" t="s">
        <v>159</v>
      </c>
      <c r="H20" t="s">
        <v>233</v>
      </c>
      <c r="I20" t="s">
        <v>161</v>
      </c>
      <c r="J20" t="s">
        <v>162</v>
      </c>
      <c r="K20" t="s">
        <v>163</v>
      </c>
      <c r="L20" t="s">
        <v>164</v>
      </c>
      <c r="M20" t="s">
        <v>116</v>
      </c>
      <c r="N20" t="s">
        <v>99</v>
      </c>
      <c r="O20">
        <v>27</v>
      </c>
      <c r="P20" s="4">
        <v>37079.71</v>
      </c>
      <c r="Q20" s="4">
        <v>37079.71</v>
      </c>
      <c r="R20" s="6">
        <v>0.008354302673124918</v>
      </c>
    </row>
    <row r="21" spans="1:18" x14ac:dyDescent="0.25">
      <c r="A21" t="s">
        <v>234</v>
      </c>
      <c r="B21" t="s">
        <v>235</v>
      </c>
      <c r="C21" t="s">
        <v>236</v>
      </c>
      <c r="D21" t="s">
        <v>44</v>
      </c>
      <c r="E21" t="s">
        <v>77</v>
      </c>
      <c r="F21" t="s">
        <v>99</v>
      </c>
      <c r="G21" t="s">
        <v>159</v>
      </c>
      <c r="H21" t="s">
        <v>237</v>
      </c>
      <c r="I21" t="s">
        <v>197</v>
      </c>
      <c r="J21" t="s">
        <v>211</v>
      </c>
      <c r="K21" t="s">
        <v>163</v>
      </c>
      <c r="L21" t="s">
        <v>193</v>
      </c>
      <c r="M21" t="s">
        <v>116</v>
      </c>
      <c r="N21" t="s">
        <v>99</v>
      </c>
      <c r="O21">
        <v>12</v>
      </c>
      <c r="P21" s="4">
        <v>29808.02</v>
      </c>
      <c r="Q21" s="4">
        <v>29808.02</v>
      </c>
      <c r="R21" s="6">
        <v>0.006715943063377816</v>
      </c>
    </row>
    <row r="22" spans="1:18" x14ac:dyDescent="0.25">
      <c r="A22" t="s">
        <v>238</v>
      </c>
      <c r="B22" t="s">
        <v>239</v>
      </c>
      <c r="C22" t="s">
        <v>201</v>
      </c>
      <c r="D22" t="s">
        <v>44</v>
      </c>
      <c r="E22" t="s">
        <v>77</v>
      </c>
      <c r="F22" t="s">
        <v>99</v>
      </c>
      <c r="G22" t="s">
        <v>223</v>
      </c>
      <c r="H22" t="s">
        <v>224</v>
      </c>
      <c r="I22" t="s">
        <v>197</v>
      </c>
      <c r="J22" t="s">
        <v>198</v>
      </c>
      <c r="K22" t="s">
        <v>163</v>
      </c>
      <c r="L22" t="s">
        <v>186</v>
      </c>
      <c r="M22" t="s">
        <v>116</v>
      </c>
      <c r="N22" t="s">
        <v>99</v>
      </c>
      <c r="O22">
        <v>22</v>
      </c>
      <c r="P22" s="4">
        <v>29746.04</v>
      </c>
      <c r="Q22" s="4">
        <v>29746.04</v>
      </c>
      <c r="R22" s="6">
        <v>0.0067019785615065695</v>
      </c>
    </row>
    <row r="23" spans="1:18" x14ac:dyDescent="0.25">
      <c r="A23" t="s">
        <v>240</v>
      </c>
      <c r="B23" t="s">
        <v>241</v>
      </c>
      <c r="C23" t="s">
        <v>232</v>
      </c>
      <c r="D23" t="s">
        <v>44</v>
      </c>
      <c r="E23" t="s">
        <v>77</v>
      </c>
      <c r="F23" t="s">
        <v>99</v>
      </c>
      <c r="G23" t="s">
        <v>159</v>
      </c>
      <c r="H23" t="s">
        <v>233</v>
      </c>
      <c r="I23" t="s">
        <v>161</v>
      </c>
      <c r="J23" t="s">
        <v>162</v>
      </c>
      <c r="K23" t="s">
        <v>163</v>
      </c>
      <c r="L23" t="s">
        <v>164</v>
      </c>
      <c r="M23" t="s">
        <v>116</v>
      </c>
      <c r="N23" t="s">
        <v>99</v>
      </c>
      <c r="O23">
        <v>27</v>
      </c>
      <c r="P23" s="4">
        <v>29502</v>
      </c>
      <c r="Q23" s="4">
        <v>29502</v>
      </c>
      <c r="R23" s="6">
        <v>0.006646994743554665</v>
      </c>
    </row>
    <row r="24" spans="1:18" x14ac:dyDescent="0.25">
      <c r="A24" t="s">
        <v>176</v>
      </c>
      <c r="B24" t="s">
        <v>177</v>
      </c>
      <c r="C24" t="s">
        <v>178</v>
      </c>
      <c r="D24" t="s">
        <v>44</v>
      </c>
      <c r="E24" t="s">
        <v>77</v>
      </c>
      <c r="F24" t="s">
        <v>99</v>
      </c>
      <c r="G24" t="s">
        <v>191</v>
      </c>
      <c r="H24" t="s">
        <v>242</v>
      </c>
      <c r="I24" t="s">
        <v>161</v>
      </c>
      <c r="J24" t="s">
        <v>211</v>
      </c>
      <c r="K24" t="s">
        <v>163</v>
      </c>
      <c r="L24" t="s">
        <v>193</v>
      </c>
      <c r="M24" t="s">
        <v>116</v>
      </c>
      <c r="N24" t="s">
        <v>243</v>
      </c>
      <c r="O24">
        <v>35</v>
      </c>
      <c r="P24" s="4">
        <v>28496.41</v>
      </c>
      <c r="Q24" s="4">
        <v>26994.69</v>
      </c>
      <c r="R24" s="6">
        <v>0.006420428699077303</v>
      </c>
    </row>
    <row r="25" spans="1:18" x14ac:dyDescent="0.25">
      <c r="A25" t="s">
        <v>244</v>
      </c>
      <c r="B25" t="s">
        <v>245</v>
      </c>
      <c r="C25" t="s">
        <v>182</v>
      </c>
      <c r="D25" t="s">
        <v>44</v>
      </c>
      <c r="E25" t="s">
        <v>77</v>
      </c>
      <c r="F25" t="s">
        <v>99</v>
      </c>
      <c r="G25" t="s">
        <v>183</v>
      </c>
      <c r="H25" t="s">
        <v>184</v>
      </c>
      <c r="I25" t="s">
        <v>185</v>
      </c>
      <c r="J25" t="s">
        <v>162</v>
      </c>
      <c r="K25" t="s">
        <v>163</v>
      </c>
      <c r="L25" t="s">
        <v>186</v>
      </c>
      <c r="M25" t="s">
        <v>116</v>
      </c>
      <c r="N25" t="s">
        <v>99</v>
      </c>
      <c r="O25">
        <v>13</v>
      </c>
      <c r="P25" s="4">
        <v>27753.2</v>
      </c>
      <c r="Q25" s="4">
        <v>27753.2</v>
      </c>
      <c r="R25" s="6">
        <v>0.006252978595241723</v>
      </c>
    </row>
    <row r="26" spans="1:18" x14ac:dyDescent="0.25">
      <c r="A26" t="s">
        <v>246</v>
      </c>
      <c r="B26" t="s">
        <v>247</v>
      </c>
      <c r="C26" t="s">
        <v>248</v>
      </c>
      <c r="D26" t="s">
        <v>166</v>
      </c>
      <c r="E26" t="s">
        <v>77</v>
      </c>
      <c r="F26" t="s">
        <v>76</v>
      </c>
      <c r="G26" t="s">
        <v>76</v>
      </c>
      <c r="H26" t="s">
        <v>76</v>
      </c>
      <c r="I26" t="s">
        <v>167</v>
      </c>
      <c r="J26" t="s">
        <v>167</v>
      </c>
      <c r="K26" t="s">
        <v>168</v>
      </c>
      <c r="L26" t="s">
        <v>169</v>
      </c>
      <c r="M26" t="s">
        <v>77</v>
      </c>
      <c r="N26" t="s">
        <v>187</v>
      </c>
      <c r="O26">
        <v>70</v>
      </c>
      <c r="P26" s="4">
        <v>26902.35</v>
      </c>
      <c r="Q26" s="4">
        <v>26902.35</v>
      </c>
      <c r="R26" s="6">
        <v>0</v>
      </c>
    </row>
    <row r="27" spans="1:18" x14ac:dyDescent="0.25">
      <c r="A27" t="s">
        <v>249</v>
      </c>
      <c r="B27" t="s">
        <v>250</v>
      </c>
      <c r="C27" t="s">
        <v>232</v>
      </c>
      <c r="D27" t="s">
        <v>44</v>
      </c>
      <c r="E27" t="s">
        <v>77</v>
      </c>
      <c r="F27" t="s">
        <v>99</v>
      </c>
      <c r="G27" t="s">
        <v>159</v>
      </c>
      <c r="H27" t="s">
        <v>233</v>
      </c>
      <c r="I27" t="s">
        <v>161</v>
      </c>
      <c r="J27" t="s">
        <v>162</v>
      </c>
      <c r="K27" t="s">
        <v>163</v>
      </c>
      <c r="L27" t="s">
        <v>164</v>
      </c>
      <c r="M27" t="s">
        <v>116</v>
      </c>
      <c r="N27" t="s">
        <v>99</v>
      </c>
      <c r="O27">
        <v>45</v>
      </c>
      <c r="P27" s="4">
        <v>26400</v>
      </c>
      <c r="Q27" s="4">
        <v>24359.99</v>
      </c>
      <c r="R27" s="6">
        <v>0.005948093730250259</v>
      </c>
    </row>
    <row r="28" spans="1:18" x14ac:dyDescent="0.25">
      <c r="A28" t="s">
        <v>251</v>
      </c>
      <c r="B28" t="s">
        <v>252</v>
      </c>
      <c r="C28" t="s">
        <v>182</v>
      </c>
      <c r="D28" t="s">
        <v>44</v>
      </c>
      <c r="E28" t="s">
        <v>77</v>
      </c>
      <c r="F28" t="s">
        <v>99</v>
      </c>
      <c r="G28" t="s">
        <v>202</v>
      </c>
      <c r="H28" t="s">
        <v>203</v>
      </c>
      <c r="I28" t="s">
        <v>161</v>
      </c>
      <c r="J28" t="s">
        <v>162</v>
      </c>
      <c r="K28" t="s">
        <v>163</v>
      </c>
      <c r="L28" t="s">
        <v>164</v>
      </c>
      <c r="M28" t="s">
        <v>116</v>
      </c>
      <c r="N28" t="s">
        <v>99</v>
      </c>
      <c r="O28">
        <v>13</v>
      </c>
      <c r="P28" s="4">
        <v>25368.56</v>
      </c>
      <c r="Q28" s="4">
        <v>25368.56</v>
      </c>
      <c r="R28" s="6">
        <v>0.005715703510662027</v>
      </c>
    </row>
    <row r="29" spans="1:18" x14ac:dyDescent="0.25">
      <c r="A29" t="s">
        <v>253</v>
      </c>
      <c r="B29" t="s">
        <v>254</v>
      </c>
      <c r="C29" t="s">
        <v>255</v>
      </c>
      <c r="D29" t="s">
        <v>166</v>
      </c>
      <c r="E29" t="s">
        <v>77</v>
      </c>
      <c r="F29" t="s">
        <v>76</v>
      </c>
      <c r="G29" t="s">
        <v>76</v>
      </c>
      <c r="H29" t="s">
        <v>76</v>
      </c>
      <c r="I29" t="s">
        <v>167</v>
      </c>
      <c r="J29" t="s">
        <v>167</v>
      </c>
      <c r="K29" t="s">
        <v>168</v>
      </c>
      <c r="L29" t="s">
        <v>169</v>
      </c>
      <c r="M29" t="s">
        <v>77</v>
      </c>
      <c r="N29" t="s">
        <v>187</v>
      </c>
      <c r="O29">
        <v>9</v>
      </c>
      <c r="P29" s="4">
        <v>25024.67</v>
      </c>
      <c r="Q29" s="4">
        <v>25024.67</v>
      </c>
      <c r="R29" s="6">
        <v>0</v>
      </c>
    </row>
    <row r="30" spans="1:18" x14ac:dyDescent="0.25">
      <c r="A30" t="s">
        <v>256</v>
      </c>
      <c r="B30" t="s">
        <v>257</v>
      </c>
      <c r="C30" t="s">
        <v>236</v>
      </c>
      <c r="D30" t="s">
        <v>44</v>
      </c>
      <c r="E30" t="s">
        <v>77</v>
      </c>
      <c r="F30" t="s">
        <v>99</v>
      </c>
      <c r="G30" t="s">
        <v>159</v>
      </c>
      <c r="H30" t="s">
        <v>26</v>
      </c>
      <c r="I30" t="s">
        <v>185</v>
      </c>
      <c r="J30" t="s">
        <v>211</v>
      </c>
      <c r="K30" t="s">
        <v>163</v>
      </c>
      <c r="L30" t="s">
        <v>193</v>
      </c>
      <c r="M30" t="s">
        <v>116</v>
      </c>
      <c r="N30" t="s">
        <v>99</v>
      </c>
      <c r="O30">
        <v>3</v>
      </c>
      <c r="P30" s="4">
        <v>22135.82</v>
      </c>
      <c r="Q30" s="4">
        <v>22135.82</v>
      </c>
      <c r="R30" s="6">
        <v>0.0049873459149980415</v>
      </c>
    </row>
    <row r="31" spans="1:18" x14ac:dyDescent="0.25">
      <c r="A31" t="s">
        <v>258</v>
      </c>
      <c r="B31" t="s">
        <v>259</v>
      </c>
      <c r="C31" t="s">
        <v>182</v>
      </c>
      <c r="D31" t="s">
        <v>44</v>
      </c>
      <c r="E31" t="s">
        <v>77</v>
      </c>
      <c r="F31" t="s">
        <v>99</v>
      </c>
      <c r="G31" t="s">
        <v>183</v>
      </c>
      <c r="H31" t="s">
        <v>184</v>
      </c>
      <c r="I31" t="s">
        <v>185</v>
      </c>
      <c r="J31" t="s">
        <v>162</v>
      </c>
      <c r="K31" t="s">
        <v>163</v>
      </c>
      <c r="L31" t="s">
        <v>186</v>
      </c>
      <c r="M31" t="s">
        <v>116</v>
      </c>
      <c r="N31" t="s">
        <v>99</v>
      </c>
      <c r="O31">
        <v>15</v>
      </c>
      <c r="P31" s="4">
        <v>21084.99</v>
      </c>
      <c r="Q31" s="4">
        <v>17155</v>
      </c>
      <c r="R31" s="6">
        <v>0.004750587000810206</v>
      </c>
    </row>
    <row r="32" spans="1:18" x14ac:dyDescent="0.25">
      <c r="A32" t="s">
        <v>260</v>
      </c>
      <c r="B32" t="s">
        <v>261</v>
      </c>
      <c r="C32" t="s">
        <v>232</v>
      </c>
      <c r="D32" t="s">
        <v>44</v>
      </c>
      <c r="E32" t="s">
        <v>77</v>
      </c>
      <c r="F32" t="s">
        <v>99</v>
      </c>
      <c r="G32" t="s">
        <v>159</v>
      </c>
      <c r="H32" t="s">
        <v>233</v>
      </c>
      <c r="I32" t="s">
        <v>161</v>
      </c>
      <c r="J32" t="s">
        <v>162</v>
      </c>
      <c r="K32" t="s">
        <v>163</v>
      </c>
      <c r="L32" t="s">
        <v>164</v>
      </c>
      <c r="M32" t="s">
        <v>116</v>
      </c>
      <c r="N32" t="s">
        <v>99</v>
      </c>
      <c r="O32">
        <v>28</v>
      </c>
      <c r="P32" s="4">
        <v>21048.28</v>
      </c>
      <c r="Q32" s="4">
        <v>21048.28</v>
      </c>
      <c r="R32" s="6">
        <v>0.004742315996233027</v>
      </c>
    </row>
    <row r="33" spans="1:18" x14ac:dyDescent="0.25">
      <c r="A33" t="s">
        <v>262</v>
      </c>
      <c r="B33" t="s">
        <v>263</v>
      </c>
      <c r="C33" t="s">
        <v>222</v>
      </c>
      <c r="D33" t="s">
        <v>44</v>
      </c>
      <c r="E33" t="s">
        <v>77</v>
      </c>
      <c r="F33" t="s">
        <v>99</v>
      </c>
      <c r="G33" t="s">
        <v>223</v>
      </c>
      <c r="H33" t="s">
        <v>224</v>
      </c>
      <c r="I33" t="s">
        <v>197</v>
      </c>
      <c r="J33" t="s">
        <v>198</v>
      </c>
      <c r="K33" t="s">
        <v>163</v>
      </c>
      <c r="L33" t="s">
        <v>186</v>
      </c>
      <c r="M33" t="s">
        <v>116</v>
      </c>
      <c r="N33" t="s">
        <v>99</v>
      </c>
      <c r="O33">
        <v>8</v>
      </c>
      <c r="P33" s="4">
        <v>20000</v>
      </c>
      <c r="Q33" s="4">
        <v>20000</v>
      </c>
      <c r="R33" s="6">
        <v>0.0045061316138259545</v>
      </c>
    </row>
    <row r="34" spans="1:18" x14ac:dyDescent="0.25">
      <c r="A34" t="s">
        <v>264</v>
      </c>
      <c r="B34" t="s">
        <v>265</v>
      </c>
      <c r="C34" t="s">
        <v>227</v>
      </c>
      <c r="D34" t="s">
        <v>44</v>
      </c>
      <c r="E34" t="s">
        <v>77</v>
      </c>
      <c r="F34" t="s">
        <v>99</v>
      </c>
      <c r="G34" t="s">
        <v>159</v>
      </c>
      <c r="H34" t="s">
        <v>228</v>
      </c>
      <c r="I34" t="s">
        <v>197</v>
      </c>
      <c r="J34" t="s">
        <v>198</v>
      </c>
      <c r="K34" t="s">
        <v>163</v>
      </c>
      <c r="L34" t="s">
        <v>186</v>
      </c>
      <c r="M34" t="s">
        <v>116</v>
      </c>
      <c r="N34" t="s">
        <v>99</v>
      </c>
      <c r="O34">
        <v>25</v>
      </c>
      <c r="P34" s="4">
        <v>19584.27</v>
      </c>
      <c r="Q34" s="4">
        <v>19584.27</v>
      </c>
      <c r="R34" s="6">
        <v>0.004412464909035161</v>
      </c>
    </row>
    <row r="35" spans="1:18" x14ac:dyDescent="0.25">
      <c r="A35" t="s">
        <v>266</v>
      </c>
      <c r="B35" t="s">
        <v>267</v>
      </c>
      <c r="C35" t="s">
        <v>268</v>
      </c>
      <c r="D35" t="s">
        <v>44</v>
      </c>
      <c r="E35" t="s">
        <v>77</v>
      </c>
      <c r="F35" t="s">
        <v>99</v>
      </c>
      <c r="G35" t="s">
        <v>191</v>
      </c>
      <c r="H35" t="s">
        <v>269</v>
      </c>
      <c r="I35" t="s">
        <v>185</v>
      </c>
      <c r="J35" t="s">
        <v>198</v>
      </c>
      <c r="K35" t="s">
        <v>163</v>
      </c>
      <c r="L35" t="s">
        <v>164</v>
      </c>
      <c r="M35" t="s">
        <v>116</v>
      </c>
      <c r="N35" t="s">
        <v>99</v>
      </c>
      <c r="O35">
        <v>41</v>
      </c>
      <c r="P35" s="4">
        <v>19189.04</v>
      </c>
      <c r="Q35" s="4">
        <v>19039.04</v>
      </c>
      <c r="R35" s="6">
        <v>0.004323416989148539</v>
      </c>
    </row>
    <row r="36" spans="1:18" x14ac:dyDescent="0.25">
      <c r="A36" t="s">
        <v>270</v>
      </c>
      <c r="B36" t="s">
        <v>271</v>
      </c>
      <c r="C36" t="s">
        <v>272</v>
      </c>
      <c r="D36" t="s">
        <v>44</v>
      </c>
      <c r="E36" t="s">
        <v>77</v>
      </c>
      <c r="F36" t="s">
        <v>99</v>
      </c>
      <c r="G36" t="s">
        <v>125</v>
      </c>
      <c r="H36" t="s">
        <v>273</v>
      </c>
      <c r="I36" t="s">
        <v>197</v>
      </c>
      <c r="J36" t="s">
        <v>211</v>
      </c>
      <c r="K36" t="s">
        <v>163</v>
      </c>
      <c r="L36" t="s">
        <v>193</v>
      </c>
      <c r="M36" t="s">
        <v>77</v>
      </c>
      <c r="N36" t="s">
        <v>274</v>
      </c>
      <c r="O36">
        <v>51</v>
      </c>
      <c r="P36" s="4">
        <v>19024.49</v>
      </c>
      <c r="Q36" s="4">
        <v>19024.49</v>
      </c>
      <c r="R36" s="6">
        <v>0.004286342791295787</v>
      </c>
    </row>
    <row r="37" spans="1:18" x14ac:dyDescent="0.25">
      <c r="A37" t="s">
        <v>275</v>
      </c>
      <c r="B37" t="s">
        <v>276</v>
      </c>
      <c r="C37" t="s">
        <v>255</v>
      </c>
      <c r="D37" t="s">
        <v>166</v>
      </c>
      <c r="E37" t="s">
        <v>77</v>
      </c>
      <c r="F37" t="s">
        <v>76</v>
      </c>
      <c r="G37" t="s">
        <v>76</v>
      </c>
      <c r="H37" t="s">
        <v>76</v>
      </c>
      <c r="I37" t="s">
        <v>167</v>
      </c>
      <c r="J37" t="s">
        <v>167</v>
      </c>
      <c r="K37" t="s">
        <v>168</v>
      </c>
      <c r="L37" t="s">
        <v>169</v>
      </c>
      <c r="M37" t="s">
        <v>77</v>
      </c>
      <c r="N37" t="s">
        <v>187</v>
      </c>
      <c r="O37">
        <v>2</v>
      </c>
      <c r="P37" s="4">
        <v>18024.88</v>
      </c>
      <c r="Q37" s="4">
        <v>18024.88</v>
      </c>
      <c r="R37" s="6">
        <v>0</v>
      </c>
    </row>
    <row r="38" spans="1:18" x14ac:dyDescent="0.25">
      <c r="A38" t="s">
        <v>277</v>
      </c>
      <c r="B38" t="s">
        <v>278</v>
      </c>
      <c r="C38" t="s">
        <v>248</v>
      </c>
      <c r="D38" t="s">
        <v>44</v>
      </c>
      <c r="E38" t="s">
        <v>77</v>
      </c>
      <c r="F38" t="s">
        <v>99</v>
      </c>
      <c r="G38" t="s">
        <v>279</v>
      </c>
      <c r="H38" t="s">
        <v>278</v>
      </c>
      <c r="I38" t="s">
        <v>185</v>
      </c>
      <c r="J38" t="s">
        <v>198</v>
      </c>
      <c r="K38" t="s">
        <v>163</v>
      </c>
      <c r="L38" t="s">
        <v>164</v>
      </c>
      <c r="M38" t="s">
        <v>116</v>
      </c>
      <c r="N38" t="s">
        <v>99</v>
      </c>
      <c r="O38">
        <v>1</v>
      </c>
      <c r="P38" s="4">
        <v>18000</v>
      </c>
      <c r="Q38" s="4">
        <v>18000</v>
      </c>
      <c r="R38" s="6">
        <v>0.004055518452443359</v>
      </c>
    </row>
    <row r="39" spans="1:18" x14ac:dyDescent="0.25">
      <c r="A39" t="s">
        <v>280</v>
      </c>
      <c r="B39" t="s">
        <v>281</v>
      </c>
      <c r="C39" t="s">
        <v>282</v>
      </c>
      <c r="D39" t="s">
        <v>44</v>
      </c>
      <c r="E39" t="s">
        <v>77</v>
      </c>
      <c r="F39" t="s">
        <v>99</v>
      </c>
      <c r="G39" t="s">
        <v>191</v>
      </c>
      <c r="H39" t="s">
        <v>283</v>
      </c>
      <c r="I39" t="s">
        <v>185</v>
      </c>
      <c r="J39" t="s">
        <v>198</v>
      </c>
      <c r="K39" t="s">
        <v>163</v>
      </c>
      <c r="L39" t="s">
        <v>164</v>
      </c>
      <c r="M39" t="s">
        <v>116</v>
      </c>
      <c r="N39" t="s">
        <v>99</v>
      </c>
      <c r="O39">
        <v>58</v>
      </c>
      <c r="P39" s="4">
        <v>15368.78</v>
      </c>
      <c r="Q39" s="4">
        <v>13767.41</v>
      </c>
      <c r="R39" s="6">
        <v>0.0034626872711968023</v>
      </c>
    </row>
    <row r="40" spans="1:18" x14ac:dyDescent="0.25">
      <c r="A40" t="s">
        <v>284</v>
      </c>
      <c r="B40" t="s">
        <v>285</v>
      </c>
      <c r="C40" t="s">
        <v>209</v>
      </c>
      <c r="D40" t="s">
        <v>44</v>
      </c>
      <c r="E40" t="s">
        <v>77</v>
      </c>
      <c r="F40" t="s">
        <v>99</v>
      </c>
      <c r="G40" t="s">
        <v>159</v>
      </c>
      <c r="H40" t="s">
        <v>210</v>
      </c>
      <c r="I40" t="s">
        <v>161</v>
      </c>
      <c r="J40" t="s">
        <v>211</v>
      </c>
      <c r="K40" t="s">
        <v>163</v>
      </c>
      <c r="L40" t="s">
        <v>193</v>
      </c>
      <c r="M40" t="s">
        <v>116</v>
      </c>
      <c r="N40" t="s">
        <v>99</v>
      </c>
      <c r="O40">
        <v>27</v>
      </c>
      <c r="P40" s="4">
        <v>14872.08</v>
      </c>
      <c r="Q40" s="4">
        <v>14872.08</v>
      </c>
      <c r="R40" s="6">
        <v>0.003350777492567435</v>
      </c>
    </row>
    <row r="41" spans="1:18" x14ac:dyDescent="0.25">
      <c r="A41" t="s">
        <v>286</v>
      </c>
      <c r="B41" t="s">
        <v>287</v>
      </c>
      <c r="C41" t="s">
        <v>268</v>
      </c>
      <c r="D41" t="s">
        <v>44</v>
      </c>
      <c r="E41" t="s">
        <v>77</v>
      </c>
      <c r="F41" t="s">
        <v>99</v>
      </c>
      <c r="G41" t="s">
        <v>191</v>
      </c>
      <c r="H41" t="s">
        <v>269</v>
      </c>
      <c r="I41" t="s">
        <v>185</v>
      </c>
      <c r="J41" t="s">
        <v>198</v>
      </c>
      <c r="K41" t="s">
        <v>163</v>
      </c>
      <c r="L41" t="s">
        <v>164</v>
      </c>
      <c r="M41" t="s">
        <v>116</v>
      </c>
      <c r="N41" t="s">
        <v>99</v>
      </c>
      <c r="O41">
        <v>8</v>
      </c>
      <c r="P41" s="4">
        <v>13615.5</v>
      </c>
      <c r="Q41" s="4">
        <v>13615.5</v>
      </c>
      <c r="R41" s="6">
        <v>0.0030676617494023637</v>
      </c>
    </row>
    <row r="42" spans="1:18" x14ac:dyDescent="0.25">
      <c r="A42" t="s">
        <v>288</v>
      </c>
      <c r="B42" t="s">
        <v>289</v>
      </c>
      <c r="C42" t="s">
        <v>290</v>
      </c>
      <c r="D42" t="s">
        <v>44</v>
      </c>
      <c r="E42" t="s">
        <v>77</v>
      </c>
      <c r="F42" t="s">
        <v>99</v>
      </c>
      <c r="G42" t="s">
        <v>191</v>
      </c>
      <c r="H42" t="s">
        <v>291</v>
      </c>
      <c r="I42" t="s">
        <v>161</v>
      </c>
      <c r="J42" t="s">
        <v>162</v>
      </c>
      <c r="K42" t="s">
        <v>163</v>
      </c>
      <c r="L42" t="s">
        <v>193</v>
      </c>
      <c r="M42" t="s">
        <v>116</v>
      </c>
      <c r="N42" t="s">
        <v>99</v>
      </c>
      <c r="O42">
        <v>8</v>
      </c>
      <c r="P42" s="4">
        <v>13531.49</v>
      </c>
      <c r="Q42" s="4">
        <v>13531.49</v>
      </c>
      <c r="R42" s="6">
        <v>0.003048733743558488</v>
      </c>
    </row>
    <row r="43" spans="1:18" x14ac:dyDescent="0.25">
      <c r="A43" t="s">
        <v>292</v>
      </c>
      <c r="B43" t="s">
        <v>293</v>
      </c>
      <c r="C43" t="s">
        <v>182</v>
      </c>
      <c r="D43" t="s">
        <v>44</v>
      </c>
      <c r="E43" t="s">
        <v>77</v>
      </c>
      <c r="F43" t="s">
        <v>99</v>
      </c>
      <c r="G43" t="s">
        <v>191</v>
      </c>
      <c r="H43" t="s">
        <v>283</v>
      </c>
      <c r="I43" t="s">
        <v>185</v>
      </c>
      <c r="J43" t="s">
        <v>198</v>
      </c>
      <c r="K43" t="s">
        <v>163</v>
      </c>
      <c r="L43" t="s">
        <v>164</v>
      </c>
      <c r="M43" t="s">
        <v>116</v>
      </c>
      <c r="N43" t="s">
        <v>99</v>
      </c>
      <c r="O43">
        <v>43</v>
      </c>
      <c r="P43" s="4">
        <v>12610</v>
      </c>
      <c r="Q43" s="4">
        <v>12610</v>
      </c>
      <c r="R43" s="6">
        <v>0.002841115982517264</v>
      </c>
    </row>
    <row r="44" spans="1:18" x14ac:dyDescent="0.25">
      <c r="A44" t="s">
        <v>270</v>
      </c>
      <c r="B44" t="s">
        <v>271</v>
      </c>
      <c r="C44" t="s">
        <v>272</v>
      </c>
      <c r="D44" t="s">
        <v>166</v>
      </c>
      <c r="E44" t="s">
        <v>77</v>
      </c>
      <c r="F44" t="s">
        <v>76</v>
      </c>
      <c r="G44" t="s">
        <v>76</v>
      </c>
      <c r="H44" t="s">
        <v>76</v>
      </c>
      <c r="I44" t="s">
        <v>167</v>
      </c>
      <c r="J44" t="s">
        <v>167</v>
      </c>
      <c r="K44" t="s">
        <v>168</v>
      </c>
      <c r="L44" t="s">
        <v>169</v>
      </c>
      <c r="M44" t="s">
        <v>77</v>
      </c>
      <c r="N44" t="s">
        <v>187</v>
      </c>
      <c r="O44">
        <v>77</v>
      </c>
      <c r="P44" s="4">
        <v>12167.08</v>
      </c>
      <c r="Q44" s="4">
        <v>12167.08</v>
      </c>
      <c r="R44" s="6">
        <v>0</v>
      </c>
    </row>
    <row r="45" spans="1:18" x14ac:dyDescent="0.25">
      <c r="A45" t="s">
        <v>294</v>
      </c>
      <c r="B45" t="s">
        <v>295</v>
      </c>
      <c r="C45" t="s">
        <v>232</v>
      </c>
      <c r="D45" t="s">
        <v>44</v>
      </c>
      <c r="E45" t="s">
        <v>77</v>
      </c>
      <c r="F45" t="s">
        <v>99</v>
      </c>
      <c r="G45" t="s">
        <v>159</v>
      </c>
      <c r="H45" t="s">
        <v>233</v>
      </c>
      <c r="I45" t="s">
        <v>161</v>
      </c>
      <c r="J45" t="s">
        <v>162</v>
      </c>
      <c r="K45" t="s">
        <v>163</v>
      </c>
      <c r="L45" t="s">
        <v>164</v>
      </c>
      <c r="M45" t="s">
        <v>116</v>
      </c>
      <c r="N45" t="s">
        <v>99</v>
      </c>
      <c r="O45">
        <v>24</v>
      </c>
      <c r="P45" s="4">
        <v>12000</v>
      </c>
      <c r="Q45" s="4">
        <v>12000</v>
      </c>
      <c r="R45" s="6">
        <v>0.0027036789682955724</v>
      </c>
    </row>
    <row r="46" spans="1:18" x14ac:dyDescent="0.25">
      <c r="A46" t="s">
        <v>296</v>
      </c>
      <c r="B46" t="s">
        <v>297</v>
      </c>
      <c r="C46" t="s">
        <v>290</v>
      </c>
      <c r="D46" t="s">
        <v>44</v>
      </c>
      <c r="E46" t="s">
        <v>77</v>
      </c>
      <c r="F46" t="s">
        <v>99</v>
      </c>
      <c r="G46" t="s">
        <v>191</v>
      </c>
      <c r="H46" t="s">
        <v>291</v>
      </c>
      <c r="I46" t="s">
        <v>161</v>
      </c>
      <c r="J46" t="s">
        <v>162</v>
      </c>
      <c r="K46" t="s">
        <v>163</v>
      </c>
      <c r="L46" t="s">
        <v>193</v>
      </c>
      <c r="M46" t="s">
        <v>116</v>
      </c>
      <c r="N46" t="s">
        <v>99</v>
      </c>
      <c r="O46">
        <v>20</v>
      </c>
      <c r="P46" s="4">
        <v>11975.46</v>
      </c>
      <c r="Q46" s="4">
        <v>12581.77</v>
      </c>
      <c r="R46" s="6">
        <v>0.002698149944805408</v>
      </c>
    </row>
    <row r="47" spans="1:18" x14ac:dyDescent="0.25">
      <c r="A47" t="s">
        <v>298</v>
      </c>
      <c r="B47" t="s">
        <v>299</v>
      </c>
      <c r="C47" t="s">
        <v>248</v>
      </c>
      <c r="D47" t="s">
        <v>44</v>
      </c>
      <c r="E47" t="s">
        <v>77</v>
      </c>
      <c r="F47" t="s">
        <v>99</v>
      </c>
      <c r="G47" t="s">
        <v>279</v>
      </c>
      <c r="H47" t="s">
        <v>300</v>
      </c>
      <c r="I47" t="s">
        <v>185</v>
      </c>
      <c r="J47" t="s">
        <v>198</v>
      </c>
      <c r="K47" t="s">
        <v>163</v>
      </c>
      <c r="L47" t="s">
        <v>164</v>
      </c>
      <c r="M47" t="s">
        <v>116</v>
      </c>
      <c r="N47" t="s">
        <v>99</v>
      </c>
      <c r="O47">
        <v>52</v>
      </c>
      <c r="P47" s="4">
        <v>11589.38</v>
      </c>
      <c r="Q47" s="4">
        <v>11589.38</v>
      </c>
      <c r="R47" s="6">
        <v>0.0026111635801321117</v>
      </c>
    </row>
    <row r="48" spans="1:18" x14ac:dyDescent="0.25">
      <c r="A48" t="s">
        <v>301</v>
      </c>
      <c r="B48" t="s">
        <v>302</v>
      </c>
      <c r="C48" t="s">
        <v>178</v>
      </c>
      <c r="D48" t="s">
        <v>44</v>
      </c>
      <c r="E48" t="s">
        <v>77</v>
      </c>
      <c r="F48" t="s">
        <v>99</v>
      </c>
      <c r="G48" t="s">
        <v>191</v>
      </c>
      <c r="H48" t="s">
        <v>242</v>
      </c>
      <c r="I48" t="s">
        <v>161</v>
      </c>
      <c r="J48" t="s">
        <v>211</v>
      </c>
      <c r="K48" t="s">
        <v>163</v>
      </c>
      <c r="L48" t="s">
        <v>193</v>
      </c>
      <c r="M48" t="s">
        <v>116</v>
      </c>
      <c r="N48" t="s">
        <v>99</v>
      </c>
      <c r="O48">
        <v>8</v>
      </c>
      <c r="P48" s="4">
        <v>11491.2</v>
      </c>
      <c r="Q48" s="4">
        <v>11491.2</v>
      </c>
      <c r="R48" s="6">
        <v>0.0025890429800398402</v>
      </c>
    </row>
    <row r="49" spans="1:18" x14ac:dyDescent="0.25">
      <c r="A49" t="s">
        <v>303</v>
      </c>
      <c r="B49" t="s">
        <v>304</v>
      </c>
      <c r="C49" t="s">
        <v>201</v>
      </c>
      <c r="D49" t="s">
        <v>44</v>
      </c>
      <c r="E49" t="s">
        <v>77</v>
      </c>
      <c r="F49" t="s">
        <v>99</v>
      </c>
      <c r="G49" t="s">
        <v>202</v>
      </c>
      <c r="H49" t="s">
        <v>203</v>
      </c>
      <c r="I49" t="s">
        <v>161</v>
      </c>
      <c r="J49" t="s">
        <v>162</v>
      </c>
      <c r="K49" t="s">
        <v>163</v>
      </c>
      <c r="L49" t="s">
        <v>164</v>
      </c>
      <c r="M49" t="s">
        <v>116</v>
      </c>
      <c r="N49" t="s">
        <v>99</v>
      </c>
      <c r="O49">
        <v>52</v>
      </c>
      <c r="P49" s="4">
        <v>11263.41</v>
      </c>
      <c r="Q49" s="4">
        <v>11263.41</v>
      </c>
      <c r="R49" s="6">
        <v>0.0025377203940241694</v>
      </c>
    </row>
    <row r="50" spans="1:18" x14ac:dyDescent="0.25">
      <c r="A50" t="s">
        <v>305</v>
      </c>
      <c r="B50" t="s">
        <v>306</v>
      </c>
      <c r="C50" t="s">
        <v>307</v>
      </c>
      <c r="D50" t="s">
        <v>44</v>
      </c>
      <c r="E50" t="s">
        <v>77</v>
      </c>
      <c r="F50" t="s">
        <v>99</v>
      </c>
      <c r="G50" t="s">
        <v>191</v>
      </c>
      <c r="H50" t="s">
        <v>283</v>
      </c>
      <c r="I50" t="s">
        <v>185</v>
      </c>
      <c r="J50" t="s">
        <v>198</v>
      </c>
      <c r="K50" t="s">
        <v>163</v>
      </c>
      <c r="L50" t="s">
        <v>164</v>
      </c>
      <c r="M50" t="s">
        <v>116</v>
      </c>
      <c r="N50" t="s">
        <v>99</v>
      </c>
      <c r="O50">
        <v>59</v>
      </c>
      <c r="P50" s="4">
        <v>11095.5</v>
      </c>
      <c r="Q50" s="4">
        <v>10479.83</v>
      </c>
      <c r="R50" s="6">
        <v>0.0024998891660602935</v>
      </c>
    </row>
    <row r="51" spans="1:18" x14ac:dyDescent="0.25">
      <c r="A51" t="s">
        <v>308</v>
      </c>
      <c r="B51" t="s">
        <v>309</v>
      </c>
      <c r="C51" t="s">
        <v>290</v>
      </c>
      <c r="D51" t="s">
        <v>44</v>
      </c>
      <c r="E51" t="s">
        <v>77</v>
      </c>
      <c r="F51" t="s">
        <v>99</v>
      </c>
      <c r="G51" t="s">
        <v>191</v>
      </c>
      <c r="H51" t="s">
        <v>291</v>
      </c>
      <c r="I51" t="s">
        <v>161</v>
      </c>
      <c r="J51" t="s">
        <v>162</v>
      </c>
      <c r="K51" t="s">
        <v>163</v>
      </c>
      <c r="L51" t="s">
        <v>193</v>
      </c>
      <c r="M51" t="s">
        <v>116</v>
      </c>
      <c r="N51" t="s">
        <v>99</v>
      </c>
      <c r="O51">
        <v>8</v>
      </c>
      <c r="P51" s="4">
        <v>9619.03</v>
      </c>
      <c r="Q51" s="4">
        <v>9619.03</v>
      </c>
      <c r="R51" s="6">
        <v>0.0021672307588670135</v>
      </c>
    </row>
    <row r="52" spans="1:18" x14ac:dyDescent="0.25">
      <c r="A52" t="s">
        <v>310</v>
      </c>
      <c r="B52" t="s">
        <v>311</v>
      </c>
      <c r="C52" t="s">
        <v>312</v>
      </c>
      <c r="D52" t="s">
        <v>166</v>
      </c>
      <c r="E52" t="s">
        <v>77</v>
      </c>
      <c r="F52" t="s">
        <v>98</v>
      </c>
      <c r="G52" t="s">
        <v>98</v>
      </c>
      <c r="H52" t="s">
        <v>98</v>
      </c>
      <c r="I52" t="s">
        <v>167</v>
      </c>
      <c r="J52" t="s">
        <v>167</v>
      </c>
      <c r="K52" t="s">
        <v>313</v>
      </c>
      <c r="L52" t="s">
        <v>169</v>
      </c>
      <c r="M52" t="s">
        <v>77</v>
      </c>
      <c r="N52" t="s">
        <v>99</v>
      </c>
      <c r="O52">
        <v>16</v>
      </c>
      <c r="P52" s="4">
        <v>8971.18</v>
      </c>
      <c r="Q52" s="4">
        <v>8751.3</v>
      </c>
      <c r="R52" s="6">
        <v>0</v>
      </c>
    </row>
    <row r="53" spans="1:18" x14ac:dyDescent="0.25">
      <c r="A53" t="s">
        <v>314</v>
      </c>
      <c r="B53" t="s">
        <v>315</v>
      </c>
      <c r="C53" t="s">
        <v>316</v>
      </c>
      <c r="D53" t="s">
        <v>44</v>
      </c>
      <c r="E53" t="s">
        <v>77</v>
      </c>
      <c r="F53" t="s">
        <v>99</v>
      </c>
      <c r="G53" t="s">
        <v>131</v>
      </c>
      <c r="H53" t="s">
        <v>317</v>
      </c>
      <c r="I53" t="s">
        <v>185</v>
      </c>
      <c r="J53" t="s">
        <v>162</v>
      </c>
      <c r="K53" t="s">
        <v>163</v>
      </c>
      <c r="L53" t="s">
        <v>193</v>
      </c>
      <c r="M53" t="s">
        <v>77</v>
      </c>
      <c r="N53" t="s">
        <v>99</v>
      </c>
      <c r="O53">
        <v>67</v>
      </c>
      <c r="P53" s="4">
        <v>7651.85</v>
      </c>
      <c r="Q53" s="4">
        <v>7571.95</v>
      </c>
      <c r="R53" s="6">
        <v>0.0017240121594627065</v>
      </c>
    </row>
    <row r="54" spans="1:18" x14ac:dyDescent="0.25">
      <c r="A54" t="s">
        <v>275</v>
      </c>
      <c r="B54" t="s">
        <v>276</v>
      </c>
      <c r="C54" t="s">
        <v>255</v>
      </c>
      <c r="D54" t="s">
        <v>166</v>
      </c>
      <c r="E54" t="s">
        <v>116</v>
      </c>
      <c r="F54" t="s">
        <v>318</v>
      </c>
      <c r="G54" t="s">
        <v>319</v>
      </c>
      <c r="H54" t="s">
        <v>318</v>
      </c>
      <c r="I54" t="s">
        <v>167</v>
      </c>
      <c r="J54" t="s">
        <v>167</v>
      </c>
      <c r="K54" t="s">
        <v>168</v>
      </c>
      <c r="L54" t="s">
        <v>169</v>
      </c>
      <c r="M54" t="s">
        <v>116</v>
      </c>
      <c r="N54" t="s">
        <v>99</v>
      </c>
      <c r="O54">
        <v>1</v>
      </c>
      <c r="P54" s="4">
        <v>7600</v>
      </c>
      <c r="Q54" s="4">
        <v>7600</v>
      </c>
      <c r="R54" s="6">
        <v>0</v>
      </c>
    </row>
    <row r="55" spans="1:18" x14ac:dyDescent="0.25">
      <c r="A55" t="s">
        <v>320</v>
      </c>
      <c r="B55" t="s">
        <v>321</v>
      </c>
      <c r="C55" t="s">
        <v>322</v>
      </c>
      <c r="D55" t="s">
        <v>44</v>
      </c>
      <c r="E55" t="s">
        <v>77</v>
      </c>
      <c r="F55" t="s">
        <v>99</v>
      </c>
      <c r="G55" t="s">
        <v>159</v>
      </c>
      <c r="H55" t="s">
        <v>323</v>
      </c>
      <c r="I55" t="s">
        <v>197</v>
      </c>
      <c r="J55" t="s">
        <v>198</v>
      </c>
      <c r="K55" t="s">
        <v>163</v>
      </c>
      <c r="L55" t="s">
        <v>186</v>
      </c>
      <c r="M55" t="s">
        <v>116</v>
      </c>
      <c r="N55" t="s">
        <v>99</v>
      </c>
      <c r="O55">
        <v>8</v>
      </c>
      <c r="P55" s="4">
        <v>6933.49</v>
      </c>
      <c r="Q55" s="4">
        <v>6933.49</v>
      </c>
      <c r="R55" s="6">
        <v>0.0015621609241573057</v>
      </c>
    </row>
    <row r="56" spans="1:18" x14ac:dyDescent="0.25">
      <c r="A56" t="s">
        <v>324</v>
      </c>
      <c r="B56" t="s">
        <v>325</v>
      </c>
      <c r="C56" t="s">
        <v>268</v>
      </c>
      <c r="D56" t="s">
        <v>44</v>
      </c>
      <c r="E56" t="s">
        <v>77</v>
      </c>
      <c r="F56" t="s">
        <v>99</v>
      </c>
      <c r="G56" t="s">
        <v>191</v>
      </c>
      <c r="H56" t="s">
        <v>269</v>
      </c>
      <c r="I56" t="s">
        <v>185</v>
      </c>
      <c r="J56" t="s">
        <v>198</v>
      </c>
      <c r="K56" t="s">
        <v>163</v>
      </c>
      <c r="L56" t="s">
        <v>164</v>
      </c>
      <c r="M56" t="s">
        <v>116</v>
      </c>
      <c r="N56" t="s">
        <v>99</v>
      </c>
      <c r="O56">
        <v>9</v>
      </c>
      <c r="P56" s="4">
        <v>6400</v>
      </c>
      <c r="Q56" s="4">
        <v>6400</v>
      </c>
      <c r="R56" s="6">
        <v>0.0014419621164243053</v>
      </c>
    </row>
    <row r="57" spans="1:18" x14ac:dyDescent="0.25">
      <c r="A57" t="s">
        <v>326</v>
      </c>
      <c r="B57" t="s">
        <v>327</v>
      </c>
      <c r="C57" t="s">
        <v>227</v>
      </c>
      <c r="D57" t="s">
        <v>44</v>
      </c>
      <c r="E57" t="s">
        <v>77</v>
      </c>
      <c r="F57" t="s">
        <v>99</v>
      </c>
      <c r="G57" t="s">
        <v>159</v>
      </c>
      <c r="H57" t="s">
        <v>228</v>
      </c>
      <c r="I57" t="s">
        <v>197</v>
      </c>
      <c r="J57" t="s">
        <v>198</v>
      </c>
      <c r="K57" t="s">
        <v>163</v>
      </c>
      <c r="L57" t="s">
        <v>186</v>
      </c>
      <c r="M57" t="s">
        <v>116</v>
      </c>
      <c r="N57" t="s">
        <v>99</v>
      </c>
      <c r="O57">
        <v>8</v>
      </c>
      <c r="P57" s="4">
        <v>5632</v>
      </c>
      <c r="Q57" s="4">
        <v>5632</v>
      </c>
      <c r="R57" s="6">
        <v>0.0012689266624533887</v>
      </c>
    </row>
    <row r="58" spans="1:18" x14ac:dyDescent="0.25">
      <c r="A58" t="s">
        <v>328</v>
      </c>
      <c r="B58" t="s">
        <v>329</v>
      </c>
      <c r="C58" t="s">
        <v>268</v>
      </c>
      <c r="D58" t="s">
        <v>44</v>
      </c>
      <c r="E58" t="s">
        <v>77</v>
      </c>
      <c r="F58" t="s">
        <v>99</v>
      </c>
      <c r="G58" t="s">
        <v>191</v>
      </c>
      <c r="H58" t="s">
        <v>269</v>
      </c>
      <c r="I58" t="s">
        <v>185</v>
      </c>
      <c r="J58" t="s">
        <v>198</v>
      </c>
      <c r="K58" t="s">
        <v>163</v>
      </c>
      <c r="L58" t="s">
        <v>164</v>
      </c>
      <c r="M58" t="s">
        <v>116</v>
      </c>
      <c r="N58" t="s">
        <v>99</v>
      </c>
      <c r="O58">
        <v>16</v>
      </c>
      <c r="P58" s="4">
        <v>5322.47</v>
      </c>
      <c r="Q58" s="4">
        <v>5322.47</v>
      </c>
      <c r="R58" s="6">
        <v>0.0011991875165320114</v>
      </c>
    </row>
    <row r="59" spans="1:18" x14ac:dyDescent="0.25">
      <c r="A59" t="s">
        <v>330</v>
      </c>
      <c r="B59" t="s">
        <v>331</v>
      </c>
      <c r="C59" t="s">
        <v>332</v>
      </c>
      <c r="D59" t="s">
        <v>44</v>
      </c>
      <c r="E59" t="s">
        <v>77</v>
      </c>
      <c r="F59" t="s">
        <v>99</v>
      </c>
      <c r="G59" t="s">
        <v>333</v>
      </c>
      <c r="H59" t="s">
        <v>334</v>
      </c>
      <c r="I59" t="s">
        <v>197</v>
      </c>
      <c r="J59" t="s">
        <v>198</v>
      </c>
      <c r="K59" t="s">
        <v>163</v>
      </c>
      <c r="L59" t="s">
        <v>186</v>
      </c>
      <c r="M59" t="s">
        <v>116</v>
      </c>
      <c r="N59" t="s">
        <v>99</v>
      </c>
      <c r="O59">
        <v>6</v>
      </c>
      <c r="P59" s="4">
        <v>4996.2</v>
      </c>
      <c r="Q59" s="4">
        <v>4996.2</v>
      </c>
      <c r="R59" s="6">
        <v>0.0011256767384498615</v>
      </c>
    </row>
    <row r="60" spans="1:18" x14ac:dyDescent="0.25">
      <c r="A60" t="s">
        <v>335</v>
      </c>
      <c r="B60" t="s">
        <v>336</v>
      </c>
      <c r="C60" t="s">
        <v>218</v>
      </c>
      <c r="D60" t="s">
        <v>44</v>
      </c>
      <c r="E60" t="s">
        <v>77</v>
      </c>
      <c r="F60" t="s">
        <v>99</v>
      </c>
      <c r="G60" t="s">
        <v>159</v>
      </c>
      <c r="H60" t="s">
        <v>26</v>
      </c>
      <c r="I60" t="s">
        <v>185</v>
      </c>
      <c r="J60" t="s">
        <v>211</v>
      </c>
      <c r="K60" t="s">
        <v>163</v>
      </c>
      <c r="L60" t="s">
        <v>193</v>
      </c>
      <c r="M60" t="s">
        <v>116</v>
      </c>
      <c r="N60" t="s">
        <v>99</v>
      </c>
      <c r="O60">
        <v>3</v>
      </c>
      <c r="P60" s="4">
        <v>4622.97</v>
      </c>
      <c r="Q60" s="4">
        <v>4622.97</v>
      </c>
      <c r="R60" s="6">
        <v>0.0010415855633384486</v>
      </c>
    </row>
    <row r="61" spans="1:18" x14ac:dyDescent="0.25">
      <c r="A61" t="s">
        <v>337</v>
      </c>
      <c r="B61" t="s">
        <v>338</v>
      </c>
      <c r="C61" t="s">
        <v>307</v>
      </c>
      <c r="D61" t="s">
        <v>44</v>
      </c>
      <c r="E61" t="s">
        <v>77</v>
      </c>
      <c r="F61" t="s">
        <v>99</v>
      </c>
      <c r="G61" t="s">
        <v>191</v>
      </c>
      <c r="H61" t="s">
        <v>283</v>
      </c>
      <c r="I61" t="s">
        <v>185</v>
      </c>
      <c r="J61" t="s">
        <v>198</v>
      </c>
      <c r="K61" t="s">
        <v>163</v>
      </c>
      <c r="L61" t="s">
        <v>164</v>
      </c>
      <c r="M61" t="s">
        <v>116</v>
      </c>
      <c r="N61" t="s">
        <v>99</v>
      </c>
      <c r="O61">
        <v>24</v>
      </c>
      <c r="P61" s="4">
        <v>4521.09</v>
      </c>
      <c r="Q61" s="4">
        <v>4521.09</v>
      </c>
      <c r="R61" s="6">
        <v>0.001018631328897619</v>
      </c>
    </row>
    <row r="62" spans="1:18" x14ac:dyDescent="0.25">
      <c r="A62" t="s">
        <v>339</v>
      </c>
      <c r="B62" t="s">
        <v>340</v>
      </c>
      <c r="C62" t="s">
        <v>209</v>
      </c>
      <c r="D62" t="s">
        <v>44</v>
      </c>
      <c r="E62" t="s">
        <v>77</v>
      </c>
      <c r="F62" t="s">
        <v>99</v>
      </c>
      <c r="G62" t="s">
        <v>159</v>
      </c>
      <c r="H62" t="s">
        <v>210</v>
      </c>
      <c r="I62" t="s">
        <v>161</v>
      </c>
      <c r="J62" t="s">
        <v>211</v>
      </c>
      <c r="K62" t="s">
        <v>163</v>
      </c>
      <c r="L62" t="s">
        <v>193</v>
      </c>
      <c r="M62" t="s">
        <v>116</v>
      </c>
      <c r="N62" t="s">
        <v>99</v>
      </c>
      <c r="O62">
        <v>8</v>
      </c>
      <c r="P62" s="4">
        <v>4383.38</v>
      </c>
      <c r="Q62" s="4">
        <v>4383.38</v>
      </c>
      <c r="R62" s="6">
        <v>0.0009876043596706205</v>
      </c>
    </row>
    <row r="63" spans="1:18" x14ac:dyDescent="0.25">
      <c r="A63" t="s">
        <v>341</v>
      </c>
      <c r="B63" t="s">
        <v>342</v>
      </c>
      <c r="C63" t="s">
        <v>236</v>
      </c>
      <c r="D63" t="s">
        <v>44</v>
      </c>
      <c r="E63" t="s">
        <v>77</v>
      </c>
      <c r="F63" t="s">
        <v>99</v>
      </c>
      <c r="G63" t="s">
        <v>159</v>
      </c>
      <c r="H63" t="s">
        <v>237</v>
      </c>
      <c r="I63" t="s">
        <v>197</v>
      </c>
      <c r="J63" t="s">
        <v>211</v>
      </c>
      <c r="K63" t="s">
        <v>163</v>
      </c>
      <c r="L63" t="s">
        <v>193</v>
      </c>
      <c r="M63" t="s">
        <v>116</v>
      </c>
      <c r="N63" t="s">
        <v>99</v>
      </c>
      <c r="O63">
        <v>1</v>
      </c>
      <c r="P63" s="4">
        <v>3750</v>
      </c>
      <c r="Q63" s="4">
        <v>3750</v>
      </c>
      <c r="R63" s="6">
        <v>0.0008448996775923664</v>
      </c>
    </row>
    <row r="64" spans="1:18" x14ac:dyDescent="0.25">
      <c r="A64" t="s">
        <v>343</v>
      </c>
      <c r="B64" t="s">
        <v>344</v>
      </c>
      <c r="C64" t="s">
        <v>322</v>
      </c>
      <c r="D64" t="s">
        <v>44</v>
      </c>
      <c r="E64" t="s">
        <v>77</v>
      </c>
      <c r="F64" t="s">
        <v>99</v>
      </c>
      <c r="G64" t="s">
        <v>159</v>
      </c>
      <c r="H64" t="s">
        <v>323</v>
      </c>
      <c r="I64" t="s">
        <v>197</v>
      </c>
      <c r="J64" t="s">
        <v>198</v>
      </c>
      <c r="K64" t="s">
        <v>163</v>
      </c>
      <c r="L64" t="s">
        <v>186</v>
      </c>
      <c r="M64" t="s">
        <v>116</v>
      </c>
      <c r="N64" t="s">
        <v>99</v>
      </c>
      <c r="O64">
        <v>36</v>
      </c>
      <c r="P64" s="4">
        <v>3555.57</v>
      </c>
      <c r="Q64" s="4">
        <v>3555.57</v>
      </c>
      <c r="R64" s="6">
        <v>0.0008010933191085574</v>
      </c>
    </row>
    <row r="65" spans="1:18" x14ac:dyDescent="0.25">
      <c r="A65" t="s">
        <v>345</v>
      </c>
      <c r="B65" t="s">
        <v>346</v>
      </c>
      <c r="C65" t="s">
        <v>222</v>
      </c>
      <c r="D65" t="s">
        <v>44</v>
      </c>
      <c r="E65" t="s">
        <v>77</v>
      </c>
      <c r="F65" t="s">
        <v>99</v>
      </c>
      <c r="G65" t="s">
        <v>223</v>
      </c>
      <c r="H65" t="s">
        <v>224</v>
      </c>
      <c r="I65" t="s">
        <v>197</v>
      </c>
      <c r="J65" t="s">
        <v>198</v>
      </c>
      <c r="K65" t="s">
        <v>163</v>
      </c>
      <c r="L65" t="s">
        <v>186</v>
      </c>
      <c r="M65" t="s">
        <v>116</v>
      </c>
      <c r="N65" t="s">
        <v>99</v>
      </c>
      <c r="O65">
        <v>5</v>
      </c>
      <c r="P65" s="4">
        <v>2811.42</v>
      </c>
      <c r="Q65" s="4">
        <v>2811.42</v>
      </c>
      <c r="R65" s="6">
        <v>0.0006334314270871282</v>
      </c>
    </row>
    <row r="66" spans="1:18" x14ac:dyDescent="0.25">
      <c r="A66" t="s">
        <v>347</v>
      </c>
      <c r="B66" t="s">
        <v>348</v>
      </c>
      <c r="C66" t="s">
        <v>332</v>
      </c>
      <c r="D66" t="s">
        <v>44</v>
      </c>
      <c r="E66" t="s">
        <v>77</v>
      </c>
      <c r="F66" t="s">
        <v>99</v>
      </c>
      <c r="G66" t="s">
        <v>333</v>
      </c>
      <c r="H66" t="s">
        <v>334</v>
      </c>
      <c r="I66" t="s">
        <v>197</v>
      </c>
      <c r="J66" t="s">
        <v>198</v>
      </c>
      <c r="K66" t="s">
        <v>163</v>
      </c>
      <c r="L66" t="s">
        <v>186</v>
      </c>
      <c r="M66" t="s">
        <v>116</v>
      </c>
      <c r="N66" t="s">
        <v>99</v>
      </c>
      <c r="O66">
        <v>2</v>
      </c>
      <c r="P66" s="4">
        <v>2530.5</v>
      </c>
      <c r="Q66" s="4">
        <v>2530.5</v>
      </c>
      <c r="R66" s="6">
        <v>0.0005701383024393289</v>
      </c>
    </row>
    <row r="67" spans="1:18" x14ac:dyDescent="0.25">
      <c r="A67" t="s">
        <v>349</v>
      </c>
      <c r="B67" t="s">
        <v>350</v>
      </c>
      <c r="C67" t="s">
        <v>182</v>
      </c>
      <c r="D67" t="s">
        <v>44</v>
      </c>
      <c r="E67" t="s">
        <v>77</v>
      </c>
      <c r="F67" t="s">
        <v>99</v>
      </c>
      <c r="G67" t="s">
        <v>191</v>
      </c>
      <c r="H67" t="s">
        <v>283</v>
      </c>
      <c r="I67" t="s">
        <v>185</v>
      </c>
      <c r="J67" t="s">
        <v>198</v>
      </c>
      <c r="K67" t="s">
        <v>163</v>
      </c>
      <c r="L67" t="s">
        <v>164</v>
      </c>
      <c r="M67" t="s">
        <v>116</v>
      </c>
      <c r="N67" t="s">
        <v>99</v>
      </c>
      <c r="O67">
        <v>4</v>
      </c>
      <c r="P67" s="4">
        <v>2424.55</v>
      </c>
      <c r="Q67" s="4">
        <v>2424.55</v>
      </c>
      <c r="R67" s="6">
        <v>0.0005462670702150859</v>
      </c>
    </row>
    <row r="68" spans="1:18" x14ac:dyDescent="0.25">
      <c r="A68" t="s">
        <v>351</v>
      </c>
      <c r="B68" t="s">
        <v>352</v>
      </c>
      <c r="C68" t="s">
        <v>282</v>
      </c>
      <c r="D68" t="s">
        <v>44</v>
      </c>
      <c r="E68" t="s">
        <v>77</v>
      </c>
      <c r="F68" t="s">
        <v>99</v>
      </c>
      <c r="G68" t="s">
        <v>279</v>
      </c>
      <c r="H68" t="s">
        <v>353</v>
      </c>
      <c r="I68" t="s">
        <v>185</v>
      </c>
      <c r="J68" t="s">
        <v>198</v>
      </c>
      <c r="K68" t="s">
        <v>163</v>
      </c>
      <c r="L68" t="s">
        <v>164</v>
      </c>
      <c r="M68" t="s">
        <v>116</v>
      </c>
      <c r="N68" t="s">
        <v>99</v>
      </c>
      <c r="O68">
        <v>7</v>
      </c>
      <c r="P68" s="4">
        <v>2388.83</v>
      </c>
      <c r="Q68" s="4">
        <v>2388.83</v>
      </c>
      <c r="R68" s="6">
        <v>0.0005382191191527927</v>
      </c>
    </row>
    <row r="69" spans="1:18" x14ac:dyDescent="0.25">
      <c r="A69" t="s">
        <v>354</v>
      </c>
      <c r="B69" t="s">
        <v>355</v>
      </c>
      <c r="C69" t="s">
        <v>282</v>
      </c>
      <c r="D69" t="s">
        <v>44</v>
      </c>
      <c r="E69" t="s">
        <v>77</v>
      </c>
      <c r="F69" t="s">
        <v>99</v>
      </c>
      <c r="G69" t="s">
        <v>191</v>
      </c>
      <c r="H69" t="s">
        <v>283</v>
      </c>
      <c r="I69" t="s">
        <v>185</v>
      </c>
      <c r="J69" t="s">
        <v>198</v>
      </c>
      <c r="K69" t="s">
        <v>163</v>
      </c>
      <c r="L69" t="s">
        <v>164</v>
      </c>
      <c r="M69" t="s">
        <v>116</v>
      </c>
      <c r="N69" t="s">
        <v>99</v>
      </c>
      <c r="O69">
        <v>5</v>
      </c>
      <c r="P69" s="4">
        <v>2238.21</v>
      </c>
      <c r="Q69" s="4">
        <v>2238.21</v>
      </c>
      <c r="R69" s="6">
        <v>0.0005042834419690694</v>
      </c>
    </row>
    <row r="70" spans="1:18" x14ac:dyDescent="0.25">
      <c r="A70" t="s">
        <v>356</v>
      </c>
      <c r="B70" t="s">
        <v>357</v>
      </c>
      <c r="C70" t="s">
        <v>201</v>
      </c>
      <c r="D70" t="s">
        <v>44</v>
      </c>
      <c r="E70" t="s">
        <v>77</v>
      </c>
      <c r="F70" t="s">
        <v>99</v>
      </c>
      <c r="G70" t="s">
        <v>202</v>
      </c>
      <c r="H70" t="s">
        <v>203</v>
      </c>
      <c r="I70" t="s">
        <v>161</v>
      </c>
      <c r="J70" t="s">
        <v>162</v>
      </c>
      <c r="K70" t="s">
        <v>163</v>
      </c>
      <c r="L70" t="s">
        <v>164</v>
      </c>
      <c r="M70" t="s">
        <v>116</v>
      </c>
      <c r="N70" t="s">
        <v>99</v>
      </c>
      <c r="O70">
        <v>1</v>
      </c>
      <c r="P70" s="4">
        <v>2077.08</v>
      </c>
      <c r="Q70" s="4">
        <v>2077.08</v>
      </c>
      <c r="R70" s="6">
        <v>0.0004679797926222806</v>
      </c>
    </row>
    <row r="71" spans="1:18" x14ac:dyDescent="0.25">
      <c r="A71" t="s">
        <v>358</v>
      </c>
      <c r="B71" t="s">
        <v>359</v>
      </c>
      <c r="C71" t="s">
        <v>360</v>
      </c>
      <c r="D71" t="s">
        <v>166</v>
      </c>
      <c r="E71" t="s">
        <v>77</v>
      </c>
      <c r="F71" t="s">
        <v>361</v>
      </c>
      <c r="G71" t="s">
        <v>101</v>
      </c>
      <c r="H71" t="s">
        <v>361</v>
      </c>
      <c r="I71" t="s">
        <v>167</v>
      </c>
      <c r="J71" t="s">
        <v>167</v>
      </c>
      <c r="K71" t="s">
        <v>168</v>
      </c>
      <c r="L71" t="s">
        <v>169</v>
      </c>
      <c r="M71" t="s">
        <v>77</v>
      </c>
      <c r="N71" t="s">
        <v>99</v>
      </c>
      <c r="O71">
        <v>1</v>
      </c>
      <c r="P71" s="4">
        <v>2000</v>
      </c>
      <c r="Q71" s="4">
        <v>2000</v>
      </c>
      <c r="R71" s="6">
        <v>0</v>
      </c>
    </row>
    <row r="72" spans="1:18" x14ac:dyDescent="0.25">
      <c r="A72" t="s">
        <v>362</v>
      </c>
      <c r="B72" t="s">
        <v>363</v>
      </c>
      <c r="C72" t="s">
        <v>268</v>
      </c>
      <c r="D72" t="s">
        <v>44</v>
      </c>
      <c r="E72" t="s">
        <v>77</v>
      </c>
      <c r="F72" t="s">
        <v>99</v>
      </c>
      <c r="G72" t="s">
        <v>191</v>
      </c>
      <c r="H72" t="s">
        <v>269</v>
      </c>
      <c r="I72" t="s">
        <v>185</v>
      </c>
      <c r="J72" t="s">
        <v>198</v>
      </c>
      <c r="K72" t="s">
        <v>163</v>
      </c>
      <c r="L72" t="s">
        <v>164</v>
      </c>
      <c r="M72" t="s">
        <v>116</v>
      </c>
      <c r="N72" t="s">
        <v>99</v>
      </c>
      <c r="O72">
        <v>8</v>
      </c>
      <c r="P72" s="4">
        <v>1877.12</v>
      </c>
      <c r="Q72" s="4">
        <v>1877.12</v>
      </c>
      <c r="R72" s="6">
        <v>0.0004229274887472487</v>
      </c>
    </row>
    <row r="73" spans="1:18" x14ac:dyDescent="0.25">
      <c r="A73" t="s">
        <v>364</v>
      </c>
      <c r="B73" t="s">
        <v>365</v>
      </c>
      <c r="C73" t="s">
        <v>290</v>
      </c>
      <c r="D73" t="s">
        <v>44</v>
      </c>
      <c r="E73" t="s">
        <v>77</v>
      </c>
      <c r="F73" t="s">
        <v>99</v>
      </c>
      <c r="G73" t="s">
        <v>191</v>
      </c>
      <c r="H73" t="s">
        <v>291</v>
      </c>
      <c r="I73" t="s">
        <v>161</v>
      </c>
      <c r="J73" t="s">
        <v>162</v>
      </c>
      <c r="K73" t="s">
        <v>163</v>
      </c>
      <c r="L73" t="s">
        <v>193</v>
      </c>
      <c r="M73" t="s">
        <v>116</v>
      </c>
      <c r="N73" t="s">
        <v>99</v>
      </c>
      <c r="O73">
        <v>8</v>
      </c>
      <c r="P73" s="4">
        <v>1741.92</v>
      </c>
      <c r="Q73" s="4">
        <v>1741.92</v>
      </c>
      <c r="R73" s="6">
        <v>0.0003924660390377853</v>
      </c>
    </row>
    <row r="74" spans="1:18" x14ac:dyDescent="0.25">
      <c r="A74" t="s">
        <v>366</v>
      </c>
      <c r="B74" t="s">
        <v>367</v>
      </c>
      <c r="C74" t="s">
        <v>290</v>
      </c>
      <c r="D74" t="s">
        <v>44</v>
      </c>
      <c r="E74" t="s">
        <v>77</v>
      </c>
      <c r="F74" t="s">
        <v>99</v>
      </c>
      <c r="G74" t="s">
        <v>191</v>
      </c>
      <c r="H74" t="s">
        <v>291</v>
      </c>
      <c r="I74" t="s">
        <v>161</v>
      </c>
      <c r="J74" t="s">
        <v>162</v>
      </c>
      <c r="K74" t="s">
        <v>163</v>
      </c>
      <c r="L74" t="s">
        <v>193</v>
      </c>
      <c r="M74" t="s">
        <v>116</v>
      </c>
      <c r="N74" t="s">
        <v>99</v>
      </c>
      <c r="O74">
        <v>24</v>
      </c>
      <c r="P74" s="4">
        <v>1625.24</v>
      </c>
      <c r="Q74" s="4">
        <v>1625.24</v>
      </c>
      <c r="R74" s="6">
        <v>0.0003661772672027247</v>
      </c>
    </row>
    <row r="75" spans="1:18" x14ac:dyDescent="0.25">
      <c r="A75" t="s">
        <v>368</v>
      </c>
      <c r="B75" t="s">
        <v>369</v>
      </c>
      <c r="C75" t="s">
        <v>282</v>
      </c>
      <c r="D75" t="s">
        <v>44</v>
      </c>
      <c r="E75" t="s">
        <v>77</v>
      </c>
      <c r="F75" t="s">
        <v>99</v>
      </c>
      <c r="G75" t="s">
        <v>202</v>
      </c>
      <c r="H75" t="s">
        <v>203</v>
      </c>
      <c r="I75" t="s">
        <v>161</v>
      </c>
      <c r="J75" t="s">
        <v>162</v>
      </c>
      <c r="K75" t="s">
        <v>163</v>
      </c>
      <c r="L75" t="s">
        <v>164</v>
      </c>
      <c r="M75" t="s">
        <v>116</v>
      </c>
      <c r="N75" t="s">
        <v>99</v>
      </c>
      <c r="O75">
        <v>10</v>
      </c>
      <c r="P75" s="4">
        <v>1405.1</v>
      </c>
      <c r="Q75" s="4">
        <v>1405.1</v>
      </c>
      <c r="R75" s="6">
        <v>0.00031657827652934237</v>
      </c>
    </row>
    <row r="76" spans="1:18" x14ac:dyDescent="0.25">
      <c r="A76" t="s">
        <v>370</v>
      </c>
      <c r="B76" t="s">
        <v>371</v>
      </c>
      <c r="C76" t="s">
        <v>316</v>
      </c>
      <c r="D76" t="s">
        <v>44</v>
      </c>
      <c r="E76" t="s">
        <v>77</v>
      </c>
      <c r="F76" t="s">
        <v>99</v>
      </c>
      <c r="G76" t="s">
        <v>131</v>
      </c>
      <c r="H76" t="s">
        <v>317</v>
      </c>
      <c r="I76" t="s">
        <v>185</v>
      </c>
      <c r="J76" t="s">
        <v>162</v>
      </c>
      <c r="K76" t="s">
        <v>163</v>
      </c>
      <c r="L76" t="s">
        <v>193</v>
      </c>
      <c r="M76" t="s">
        <v>77</v>
      </c>
      <c r="N76" t="s">
        <v>99</v>
      </c>
      <c r="O76">
        <v>41</v>
      </c>
      <c r="P76" s="4">
        <v>1320.76</v>
      </c>
      <c r="Q76" s="4">
        <v>1320.76</v>
      </c>
      <c r="R76" s="6">
        <v>0.00029757591951383834</v>
      </c>
    </row>
    <row r="77" spans="1:18" x14ac:dyDescent="0.25">
      <c r="A77" t="s">
        <v>372</v>
      </c>
      <c r="B77" t="s">
        <v>373</v>
      </c>
      <c r="C77" t="s">
        <v>290</v>
      </c>
      <c r="D77" t="s">
        <v>44</v>
      </c>
      <c r="E77" t="s">
        <v>77</v>
      </c>
      <c r="F77" t="s">
        <v>99</v>
      </c>
      <c r="G77" t="s">
        <v>191</v>
      </c>
      <c r="H77" t="s">
        <v>291</v>
      </c>
      <c r="I77" t="s">
        <v>161</v>
      </c>
      <c r="J77" t="s">
        <v>162</v>
      </c>
      <c r="K77" t="s">
        <v>163</v>
      </c>
      <c r="L77" t="s">
        <v>193</v>
      </c>
      <c r="M77" t="s">
        <v>116</v>
      </c>
      <c r="N77" t="s">
        <v>99</v>
      </c>
      <c r="O77">
        <v>10</v>
      </c>
      <c r="P77" s="4">
        <v>1222.16</v>
      </c>
      <c r="Q77" s="4">
        <v>1393.07</v>
      </c>
      <c r="R77" s="6">
        <v>0.00027536069065767644</v>
      </c>
    </row>
    <row r="78" spans="1:18" x14ac:dyDescent="0.25">
      <c r="A78" t="s">
        <v>374</v>
      </c>
      <c r="B78" t="s">
        <v>375</v>
      </c>
      <c r="C78" t="s">
        <v>227</v>
      </c>
      <c r="D78" t="s">
        <v>44</v>
      </c>
      <c r="E78" t="s">
        <v>77</v>
      </c>
      <c r="F78" t="s">
        <v>99</v>
      </c>
      <c r="G78" t="s">
        <v>159</v>
      </c>
      <c r="H78" t="s">
        <v>228</v>
      </c>
      <c r="I78" t="s">
        <v>197</v>
      </c>
      <c r="J78" t="s">
        <v>198</v>
      </c>
      <c r="K78" t="s">
        <v>163</v>
      </c>
      <c r="L78" t="s">
        <v>186</v>
      </c>
      <c r="M78" t="s">
        <v>116</v>
      </c>
      <c r="N78" t="s">
        <v>99</v>
      </c>
      <c r="O78">
        <v>20</v>
      </c>
      <c r="P78" s="4">
        <v>1094.5</v>
      </c>
      <c r="Q78" s="4">
        <v>1094.5</v>
      </c>
      <c r="R78" s="6">
        <v>0.0002465980525666253</v>
      </c>
    </row>
    <row r="79" spans="1:18" x14ac:dyDescent="0.25">
      <c r="A79" t="s">
        <v>376</v>
      </c>
      <c r="B79" t="s">
        <v>377</v>
      </c>
      <c r="C79" t="s">
        <v>182</v>
      </c>
      <c r="D79" t="s">
        <v>44</v>
      </c>
      <c r="E79" t="s">
        <v>77</v>
      </c>
      <c r="F79" t="s">
        <v>99</v>
      </c>
      <c r="G79" t="s">
        <v>183</v>
      </c>
      <c r="H79" t="s">
        <v>184</v>
      </c>
      <c r="I79" t="s">
        <v>185</v>
      </c>
      <c r="J79" t="s">
        <v>162</v>
      </c>
      <c r="K79" t="s">
        <v>163</v>
      </c>
      <c r="L79" t="s">
        <v>186</v>
      </c>
      <c r="M79" t="s">
        <v>116</v>
      </c>
      <c r="N79" t="s">
        <v>99</v>
      </c>
      <c r="O79">
        <v>22</v>
      </c>
      <c r="P79" s="4">
        <v>1060</v>
      </c>
      <c r="Q79" s="4">
        <v>1060</v>
      </c>
      <c r="R79" s="6">
        <v>0.00023882497553277557</v>
      </c>
    </row>
    <row r="80" spans="1:18" x14ac:dyDescent="0.25">
      <c r="A80" t="s">
        <v>378</v>
      </c>
      <c r="B80" t="s">
        <v>379</v>
      </c>
      <c r="C80" t="s">
        <v>182</v>
      </c>
      <c r="D80" t="s">
        <v>44</v>
      </c>
      <c r="E80" t="s">
        <v>77</v>
      </c>
      <c r="F80" t="s">
        <v>99</v>
      </c>
      <c r="G80" t="s">
        <v>183</v>
      </c>
      <c r="H80" t="s">
        <v>184</v>
      </c>
      <c r="I80" t="s">
        <v>185</v>
      </c>
      <c r="J80" t="s">
        <v>162</v>
      </c>
      <c r="K80" t="s">
        <v>163</v>
      </c>
      <c r="L80" t="s">
        <v>186</v>
      </c>
      <c r="M80" t="s">
        <v>116</v>
      </c>
      <c r="N80" t="s">
        <v>99</v>
      </c>
      <c r="O80">
        <v>9</v>
      </c>
      <c r="P80" s="4">
        <v>961.15</v>
      </c>
      <c r="Q80" s="4">
        <v>961.15</v>
      </c>
      <c r="R80" s="6">
        <v>0.00021655342003144078</v>
      </c>
    </row>
    <row r="81" spans="1:18" x14ac:dyDescent="0.25">
      <c r="A81" t="s">
        <v>380</v>
      </c>
      <c r="B81" t="s">
        <v>381</v>
      </c>
      <c r="C81" t="s">
        <v>316</v>
      </c>
      <c r="D81" t="s">
        <v>44</v>
      </c>
      <c r="E81" t="s">
        <v>77</v>
      </c>
      <c r="F81" t="s">
        <v>99</v>
      </c>
      <c r="G81" t="s">
        <v>131</v>
      </c>
      <c r="H81" t="s">
        <v>317</v>
      </c>
      <c r="I81" t="s">
        <v>185</v>
      </c>
      <c r="J81" t="s">
        <v>162</v>
      </c>
      <c r="K81" t="s">
        <v>163</v>
      </c>
      <c r="L81" t="s">
        <v>193</v>
      </c>
      <c r="M81" t="s">
        <v>77</v>
      </c>
      <c r="N81" t="s">
        <v>99</v>
      </c>
      <c r="O81">
        <v>9</v>
      </c>
      <c r="P81" s="4">
        <v>824.76</v>
      </c>
      <c r="Q81" s="4">
        <v>824.76</v>
      </c>
      <c r="R81" s="6">
        <v>0.0001858238554909547</v>
      </c>
    </row>
    <row r="82" spans="1:18" x14ac:dyDescent="0.25">
      <c r="A82" t="s">
        <v>382</v>
      </c>
      <c r="B82" t="s">
        <v>383</v>
      </c>
      <c r="C82" t="s">
        <v>316</v>
      </c>
      <c r="D82" t="s">
        <v>44</v>
      </c>
      <c r="E82" t="s">
        <v>77</v>
      </c>
      <c r="F82" t="s">
        <v>99</v>
      </c>
      <c r="G82" t="s">
        <v>131</v>
      </c>
      <c r="H82" t="s">
        <v>317</v>
      </c>
      <c r="I82" t="s">
        <v>185</v>
      </c>
      <c r="J82" t="s">
        <v>162</v>
      </c>
      <c r="K82" t="s">
        <v>163</v>
      </c>
      <c r="L82" t="s">
        <v>193</v>
      </c>
      <c r="M82" t="s">
        <v>77</v>
      </c>
      <c r="N82" t="s">
        <v>99</v>
      </c>
      <c r="O82">
        <v>99</v>
      </c>
      <c r="P82" s="4">
        <v>587.48</v>
      </c>
      <c r="Q82" s="4">
        <v>587.48</v>
      </c>
      <c r="R82" s="6">
        <v>0.00013236311002452357</v>
      </c>
    </row>
    <row r="83" spans="1:18" x14ac:dyDescent="0.25">
      <c r="A83" t="s">
        <v>384</v>
      </c>
      <c r="B83" t="s">
        <v>385</v>
      </c>
      <c r="C83" t="s">
        <v>312</v>
      </c>
      <c r="D83" t="s">
        <v>166</v>
      </c>
      <c r="E83" t="s">
        <v>77</v>
      </c>
      <c r="F83" t="s">
        <v>98</v>
      </c>
      <c r="G83" t="s">
        <v>98</v>
      </c>
      <c r="H83" t="s">
        <v>98</v>
      </c>
      <c r="I83" t="s">
        <v>167</v>
      </c>
      <c r="J83" t="s">
        <v>167</v>
      </c>
      <c r="K83" t="s">
        <v>313</v>
      </c>
      <c r="L83" t="s">
        <v>169</v>
      </c>
      <c r="M83" t="s">
        <v>77</v>
      </c>
      <c r="N83" t="s">
        <v>99</v>
      </c>
      <c r="O83">
        <v>2</v>
      </c>
      <c r="P83" s="4">
        <v>567.43</v>
      </c>
      <c r="Q83" s="4">
        <v>567.43</v>
      </c>
      <c r="R83" s="6">
        <v>0</v>
      </c>
    </row>
    <row r="84" spans="1:18" x14ac:dyDescent="0.25">
      <c r="A84" t="s">
        <v>386</v>
      </c>
      <c r="B84" t="s">
        <v>387</v>
      </c>
      <c r="C84" t="s">
        <v>248</v>
      </c>
      <c r="D84" t="s">
        <v>44</v>
      </c>
      <c r="E84" t="s">
        <v>77</v>
      </c>
      <c r="F84" t="s">
        <v>99</v>
      </c>
      <c r="G84" t="s">
        <v>279</v>
      </c>
      <c r="H84" t="s">
        <v>388</v>
      </c>
      <c r="I84" t="s">
        <v>185</v>
      </c>
      <c r="J84" t="s">
        <v>198</v>
      </c>
      <c r="K84" t="s">
        <v>163</v>
      </c>
      <c r="L84" t="s">
        <v>164</v>
      </c>
      <c r="M84" t="s">
        <v>116</v>
      </c>
      <c r="N84" t="s">
        <v>99</v>
      </c>
      <c r="O84">
        <v>18</v>
      </c>
      <c r="P84" s="4">
        <v>479.75</v>
      </c>
      <c r="Q84" s="4">
        <v>479.75</v>
      </c>
      <c r="R84" s="6">
        <v>0.00010809083208665007</v>
      </c>
    </row>
    <row r="85" spans="1:18" x14ac:dyDescent="0.25">
      <c r="A85" t="s">
        <v>389</v>
      </c>
      <c r="B85" t="s">
        <v>390</v>
      </c>
      <c r="C85" t="s">
        <v>232</v>
      </c>
      <c r="D85" t="s">
        <v>44</v>
      </c>
      <c r="E85" t="s">
        <v>77</v>
      </c>
      <c r="F85" t="s">
        <v>99</v>
      </c>
      <c r="G85" t="s">
        <v>159</v>
      </c>
      <c r="H85" t="s">
        <v>233</v>
      </c>
      <c r="I85" t="s">
        <v>161</v>
      </c>
      <c r="J85" t="s">
        <v>162</v>
      </c>
      <c r="K85" t="s">
        <v>163</v>
      </c>
      <c r="L85" t="s">
        <v>164</v>
      </c>
      <c r="M85" t="s">
        <v>116</v>
      </c>
      <c r="N85" t="s">
        <v>99</v>
      </c>
      <c r="O85">
        <v>6</v>
      </c>
      <c r="P85" s="4">
        <v>463.92</v>
      </c>
      <c r="Q85" s="4">
        <v>467.58</v>
      </c>
      <c r="R85" s="6">
        <v>0.00010452422891430684</v>
      </c>
    </row>
    <row r="86" spans="1:18" x14ac:dyDescent="0.25">
      <c r="A86" t="s">
        <v>391</v>
      </c>
      <c r="B86" t="s">
        <v>392</v>
      </c>
      <c r="C86" t="s">
        <v>201</v>
      </c>
      <c r="D86" t="s">
        <v>44</v>
      </c>
      <c r="E86" t="s">
        <v>77</v>
      </c>
      <c r="F86" t="s">
        <v>99</v>
      </c>
      <c r="G86" t="s">
        <v>202</v>
      </c>
      <c r="H86" t="s">
        <v>203</v>
      </c>
      <c r="I86" t="s">
        <v>161</v>
      </c>
      <c r="J86" t="s">
        <v>162</v>
      </c>
      <c r="K86" t="s">
        <v>163</v>
      </c>
      <c r="L86" t="s">
        <v>164</v>
      </c>
      <c r="M86" t="s">
        <v>116</v>
      </c>
      <c r="N86" t="s">
        <v>99</v>
      </c>
      <c r="O86">
        <v>8</v>
      </c>
      <c r="P86" s="4">
        <v>369.81</v>
      </c>
      <c r="Q86" s="4">
        <v>369.81</v>
      </c>
      <c r="R86" s="6">
        <v>0.00008332062660544881</v>
      </c>
    </row>
    <row r="87" spans="1:18" x14ac:dyDescent="0.25">
      <c r="A87" t="s">
        <v>393</v>
      </c>
      <c r="B87" t="s">
        <v>394</v>
      </c>
      <c r="C87" t="s">
        <v>182</v>
      </c>
      <c r="D87" t="s">
        <v>44</v>
      </c>
      <c r="E87" t="s">
        <v>77</v>
      </c>
      <c r="F87" t="s">
        <v>99</v>
      </c>
      <c r="G87" t="s">
        <v>183</v>
      </c>
      <c r="H87" t="s">
        <v>184</v>
      </c>
      <c r="I87" t="s">
        <v>185</v>
      </c>
      <c r="J87" t="s">
        <v>162</v>
      </c>
      <c r="K87" t="s">
        <v>163</v>
      </c>
      <c r="L87" t="s">
        <v>186</v>
      </c>
      <c r="M87" t="s">
        <v>116</v>
      </c>
      <c r="N87" t="s">
        <v>99</v>
      </c>
      <c r="O87">
        <v>2</v>
      </c>
      <c r="P87" s="4">
        <v>278</v>
      </c>
      <c r="Q87" s="4">
        <v>278</v>
      </c>
      <c r="R87" s="6">
        <v>0.00006263522943218076</v>
      </c>
    </row>
    <row r="88" spans="1:18" x14ac:dyDescent="0.25">
      <c r="A88" t="s">
        <v>108</v>
      </c>
      <c r="B88" t="s">
        <v>395</v>
      </c>
      <c r="C88" t="s">
        <v>396</v>
      </c>
      <c r="D88" t="s">
        <v>166</v>
      </c>
      <c r="E88" t="s">
        <v>77</v>
      </c>
      <c r="F88" t="s">
        <v>104</v>
      </c>
      <c r="G88" t="s">
        <v>104</v>
      </c>
      <c r="H88" t="s">
        <v>104</v>
      </c>
      <c r="I88" t="s">
        <v>167</v>
      </c>
      <c r="J88" t="s">
        <v>167</v>
      </c>
      <c r="K88" t="s">
        <v>168</v>
      </c>
      <c r="L88" t="s">
        <v>169</v>
      </c>
      <c r="M88" t="s">
        <v>77</v>
      </c>
      <c r="N88" t="s">
        <v>397</v>
      </c>
      <c r="O88">
        <v>8</v>
      </c>
      <c r="P88" s="4">
        <v>209.13</v>
      </c>
      <c r="Q88" s="4">
        <v>209.13</v>
      </c>
      <c r="R88" s="6">
        <v>0</v>
      </c>
    </row>
    <row r="89" spans="1:18" x14ac:dyDescent="0.25">
      <c r="A89" t="s">
        <v>398</v>
      </c>
      <c r="B89" t="s">
        <v>399</v>
      </c>
      <c r="C89" t="s">
        <v>312</v>
      </c>
      <c r="D89" t="s">
        <v>166</v>
      </c>
      <c r="E89" t="s">
        <v>77</v>
      </c>
      <c r="F89" t="s">
        <v>98</v>
      </c>
      <c r="G89" t="s">
        <v>98</v>
      </c>
      <c r="H89" t="s">
        <v>98</v>
      </c>
      <c r="I89" t="s">
        <v>167</v>
      </c>
      <c r="J89" t="s">
        <v>167</v>
      </c>
      <c r="K89" t="s">
        <v>313</v>
      </c>
      <c r="L89" t="s">
        <v>169</v>
      </c>
      <c r="M89" t="s">
        <v>77</v>
      </c>
      <c r="N89" t="s">
        <v>99</v>
      </c>
      <c r="O89">
        <v>1</v>
      </c>
      <c r="P89" s="4">
        <v>189</v>
      </c>
      <c r="Q89" s="4">
        <v>189</v>
      </c>
      <c r="R89" s="6">
        <v>0</v>
      </c>
    </row>
    <row r="90" spans="1:18" x14ac:dyDescent="0.25">
      <c r="A90" t="s">
        <v>400</v>
      </c>
      <c r="B90" t="s">
        <v>401</v>
      </c>
      <c r="C90" t="s">
        <v>402</v>
      </c>
      <c r="D90" t="s">
        <v>44</v>
      </c>
      <c r="E90" t="s">
        <v>77</v>
      </c>
      <c r="F90" t="s">
        <v>99</v>
      </c>
      <c r="G90" t="s">
        <v>159</v>
      </c>
      <c r="H90" t="s">
        <v>323</v>
      </c>
      <c r="I90" t="s">
        <v>197</v>
      </c>
      <c r="J90" t="s">
        <v>198</v>
      </c>
      <c r="K90" t="s">
        <v>163</v>
      </c>
      <c r="L90" t="s">
        <v>186</v>
      </c>
      <c r="M90" t="s">
        <v>116</v>
      </c>
      <c r="N90" t="s">
        <v>99</v>
      </c>
      <c r="O90">
        <v>1</v>
      </c>
      <c r="P90" s="4">
        <v>55</v>
      </c>
      <c r="Q90" s="4">
        <v>55</v>
      </c>
      <c r="R90" s="6">
        <v>0.000012391861938021375</v>
      </c>
    </row>
  </sheetData>
  <autoFilter ref="A1:R9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46" customWidth="1"/>
    <col min="4" max="8" width="14" customWidth="1"/>
    <col min="9" max="9" width="17" customWidth="1"/>
    <col min="10" max="10" width="15" customWidth="1"/>
    <col min="11" max="11" width="19" customWidth="1"/>
    <col min="12" max="12" width="14" customWidth="1"/>
    <col min="13" max="13" width="19" customWidth="1"/>
    <col min="14" max="14" width="18" customWidth="1"/>
    <col min="15" max="15" width="55" customWidth="1"/>
    <col min="16" max="16" width="14" customWidth="1"/>
    <col min="17" max="17" width="17" customWidth="1"/>
    <col min="18" max="19" width="14" customWidth="1"/>
    <col min="20" max="20" width="18" customWidth="1"/>
    <col min="21" max="21" width="14" customWidth="1"/>
    <col min="22" max="23" width="22" customWidth="1"/>
    <col min="24" max="24" width="21" customWidth="1"/>
    <col min="25" max="25" width="55" customWidth="1"/>
    <col min="26" max="26" width="20" customWidth="1"/>
    <col min="27" max="27" width="22" customWidth="1"/>
    <col min="28" max="28" width="21" customWidth="1"/>
    <col min="29" max="29" width="19" customWidth="1"/>
    <col min="30" max="30" width="18" customWidth="1"/>
    <col min="31" max="31" width="14" customWidth="1"/>
  </cols>
  <sheetData>
    <row r="1" ht="30" customHeight="1" spans="1:31" s="2" customFormat="1" x14ac:dyDescent="0.25">
      <c r="A1" s="2" t="s">
        <v>403</v>
      </c>
      <c r="B1" s="2" t="s">
        <v>404</v>
      </c>
      <c r="C1" s="2" t="s">
        <v>405</v>
      </c>
      <c r="D1" s="2" t="s">
        <v>406</v>
      </c>
      <c r="E1" s="2" t="s">
        <v>73</v>
      </c>
      <c r="F1" s="2" t="s">
        <v>140</v>
      </c>
      <c r="G1" s="2" t="s">
        <v>139</v>
      </c>
      <c r="H1" s="2" t="s">
        <v>138</v>
      </c>
      <c r="I1" s="2" t="s">
        <v>407</v>
      </c>
      <c r="J1" s="2" t="s">
        <v>408</v>
      </c>
      <c r="K1" s="2" t="s">
        <v>153</v>
      </c>
      <c r="L1" s="2" t="s">
        <v>154</v>
      </c>
      <c r="M1" s="2" t="s">
        <v>409</v>
      </c>
      <c r="N1" s="2" t="s">
        <v>142</v>
      </c>
      <c r="O1" s="2" t="s">
        <v>143</v>
      </c>
      <c r="P1" s="2" t="s">
        <v>151</v>
      </c>
      <c r="Q1" s="2" t="s">
        <v>144</v>
      </c>
      <c r="R1" s="2" t="s">
        <v>145</v>
      </c>
      <c r="S1" s="2" t="s">
        <v>146</v>
      </c>
      <c r="T1" s="2" t="s">
        <v>147</v>
      </c>
      <c r="U1" s="2" t="s">
        <v>148</v>
      </c>
      <c r="V1" s="2" t="s">
        <v>149</v>
      </c>
      <c r="W1" s="2" t="s">
        <v>150</v>
      </c>
      <c r="X1" s="2" t="s">
        <v>410</v>
      </c>
      <c r="Y1" s="2" t="s">
        <v>411</v>
      </c>
      <c r="Z1" s="2" t="s">
        <v>412</v>
      </c>
      <c r="AA1" s="2" t="s">
        <v>413</v>
      </c>
      <c r="AB1" s="2" t="s">
        <v>414</v>
      </c>
      <c r="AC1" s="2" t="s">
        <v>415</v>
      </c>
      <c r="AD1" s="2" t="s">
        <v>416</v>
      </c>
      <c r="AE1" s="2" t="s">
        <v>417</v>
      </c>
    </row>
    <row r="2" spans="1:31" x14ac:dyDescent="0.25">
      <c r="A2">
        <v>15960</v>
      </c>
      <c r="C2" t="s">
        <v>418</v>
      </c>
      <c r="D2" t="s">
        <v>419</v>
      </c>
      <c r="E2" t="s">
        <v>74</v>
      </c>
      <c r="F2" t="s">
        <v>255</v>
      </c>
      <c r="G2" t="s">
        <v>254</v>
      </c>
      <c r="H2" t="s">
        <v>253</v>
      </c>
      <c r="I2" t="s">
        <v>420</v>
      </c>
      <c r="J2" t="s">
        <v>420</v>
      </c>
      <c r="K2" s="4">
        <v>2.55</v>
      </c>
      <c r="L2" s="4">
        <v>2.55</v>
      </c>
      <c r="M2" t="s">
        <v>166</v>
      </c>
      <c r="N2" t="s">
        <v>77</v>
      </c>
      <c r="O2" t="s">
        <v>76</v>
      </c>
      <c r="P2" t="s">
        <v>187</v>
      </c>
      <c r="Q2" t="s">
        <v>76</v>
      </c>
      <c r="R2" t="s">
        <v>76</v>
      </c>
      <c r="S2" t="s">
        <v>167</v>
      </c>
      <c r="T2" t="s">
        <v>167</v>
      </c>
      <c r="U2" t="s">
        <v>168</v>
      </c>
      <c r="V2" t="s">
        <v>169</v>
      </c>
      <c r="W2" t="s">
        <v>77</v>
      </c>
      <c r="X2" t="s">
        <v>44</v>
      </c>
      <c r="Y2" t="s">
        <v>99</v>
      </c>
      <c r="Z2" t="s">
        <v>421</v>
      </c>
      <c r="AC2" t="str">
        <f>IF(AA2="",M2,AA2)</f>
        <v>não</v>
      </c>
      <c r="AD2" t="str">
        <f>IF(AB2="",X2,AB2)</f>
        <v>sim</v>
      </c>
      <c r="AE2" t="str">
        <f>IF(OR(Configuracao!B9="",Configuracao!B10=""),"aguardando limiar",IF(AND(K2&gt;=Configuracao!B9,K2/MAX(Reconciliacao!C2,1)&gt;=Configuracao!B10/100),"sim","não"))</f>
        <v>aguardando limiar</v>
      </c>
    </row>
    <row r="3" spans="1:31" x14ac:dyDescent="0.25">
      <c r="A3">
        <v>12930</v>
      </c>
      <c r="C3" t="s">
        <v>422</v>
      </c>
      <c r="D3" t="s">
        <v>423</v>
      </c>
      <c r="E3" t="s">
        <v>74</v>
      </c>
      <c r="F3" t="s">
        <v>255</v>
      </c>
      <c r="G3" t="s">
        <v>254</v>
      </c>
      <c r="H3" t="s">
        <v>253</v>
      </c>
      <c r="I3" t="s">
        <v>424</v>
      </c>
      <c r="J3" t="s">
        <v>424</v>
      </c>
      <c r="K3" s="4">
        <v>40</v>
      </c>
      <c r="L3" s="4">
        <v>40</v>
      </c>
      <c r="M3" t="s">
        <v>166</v>
      </c>
      <c r="N3" t="s">
        <v>77</v>
      </c>
      <c r="O3" t="s">
        <v>76</v>
      </c>
      <c r="P3" t="s">
        <v>187</v>
      </c>
      <c r="Q3" t="s">
        <v>76</v>
      </c>
      <c r="R3" t="s">
        <v>76</v>
      </c>
      <c r="S3" t="s">
        <v>167</v>
      </c>
      <c r="T3" t="s">
        <v>167</v>
      </c>
      <c r="U3" t="s">
        <v>168</v>
      </c>
      <c r="V3" t="s">
        <v>169</v>
      </c>
      <c r="W3" t="s">
        <v>77</v>
      </c>
      <c r="X3" t="s">
        <v>44</v>
      </c>
      <c r="Y3" t="s">
        <v>99</v>
      </c>
      <c r="Z3" t="s">
        <v>421</v>
      </c>
      <c r="AC3" t="str">
        <f>IF(AA3="",M3,AA3)</f>
        <v>não</v>
      </c>
      <c r="AD3" t="str">
        <f>IF(AB3="",X3,AB3)</f>
        <v>sim</v>
      </c>
      <c r="AE3" t="str">
        <f>IF(OR(Configuracao!B9="",Configuracao!B10=""),"aguardando limiar",IF(AND(K3&gt;=Configuracao!B9,K3/MAX(Reconciliacao!C2,1)&gt;=Configuracao!B10/100),"sim","não"))</f>
        <v>aguardando limiar</v>
      </c>
    </row>
    <row r="4" spans="1:31" x14ac:dyDescent="0.25">
      <c r="A4">
        <v>15959</v>
      </c>
      <c r="C4" t="s">
        <v>418</v>
      </c>
      <c r="D4" t="s">
        <v>425</v>
      </c>
      <c r="E4" t="s">
        <v>74</v>
      </c>
      <c r="F4" t="s">
        <v>255</v>
      </c>
      <c r="G4" t="s">
        <v>254</v>
      </c>
      <c r="H4" t="s">
        <v>253</v>
      </c>
      <c r="I4" t="s">
        <v>420</v>
      </c>
      <c r="J4" t="s">
        <v>420</v>
      </c>
      <c r="K4" s="4">
        <v>44</v>
      </c>
      <c r="L4" s="4">
        <v>44</v>
      </c>
      <c r="M4" t="s">
        <v>166</v>
      </c>
      <c r="N4" t="s">
        <v>77</v>
      </c>
      <c r="O4" t="s">
        <v>76</v>
      </c>
      <c r="P4" t="s">
        <v>187</v>
      </c>
      <c r="Q4" t="s">
        <v>76</v>
      </c>
      <c r="R4" t="s">
        <v>76</v>
      </c>
      <c r="S4" t="s">
        <v>167</v>
      </c>
      <c r="T4" t="s">
        <v>167</v>
      </c>
      <c r="U4" t="s">
        <v>168</v>
      </c>
      <c r="V4" t="s">
        <v>169</v>
      </c>
      <c r="W4" t="s">
        <v>77</v>
      </c>
      <c r="X4" t="s">
        <v>44</v>
      </c>
      <c r="Y4" t="s">
        <v>99</v>
      </c>
      <c r="Z4" t="s">
        <v>421</v>
      </c>
      <c r="AC4" t="str">
        <f>IF(AA4="",M4,AA4)</f>
        <v>não</v>
      </c>
      <c r="AD4" t="str">
        <f>IF(AB4="",X4,AB4)</f>
        <v>sim</v>
      </c>
      <c r="AE4" t="str">
        <f>IF(OR(Configuracao!B9="",Configuracao!B10=""),"aguardando limiar",IF(AND(K4&gt;=Configuracao!B9,K4/MAX(Reconciliacao!C2,1)&gt;=Configuracao!B10/100),"sim","não"))</f>
        <v>aguardando limiar</v>
      </c>
    </row>
    <row r="5" spans="1:31" x14ac:dyDescent="0.25">
      <c r="A5">
        <v>13040</v>
      </c>
      <c r="C5" t="s">
        <v>426</v>
      </c>
      <c r="D5" t="s">
        <v>423</v>
      </c>
      <c r="E5" t="s">
        <v>74</v>
      </c>
      <c r="F5" t="s">
        <v>255</v>
      </c>
      <c r="G5" t="s">
        <v>254</v>
      </c>
      <c r="H5" t="s">
        <v>253</v>
      </c>
      <c r="I5" t="s">
        <v>424</v>
      </c>
      <c r="J5" t="s">
        <v>424</v>
      </c>
      <c r="K5" s="4">
        <v>56.75</v>
      </c>
      <c r="L5" s="4">
        <v>56.75</v>
      </c>
      <c r="M5" t="s">
        <v>166</v>
      </c>
      <c r="N5" t="s">
        <v>77</v>
      </c>
      <c r="O5" t="s">
        <v>76</v>
      </c>
      <c r="P5" t="s">
        <v>187</v>
      </c>
      <c r="Q5" t="s">
        <v>76</v>
      </c>
      <c r="R5" t="s">
        <v>76</v>
      </c>
      <c r="S5" t="s">
        <v>167</v>
      </c>
      <c r="T5" t="s">
        <v>167</v>
      </c>
      <c r="U5" t="s">
        <v>168</v>
      </c>
      <c r="V5" t="s">
        <v>169</v>
      </c>
      <c r="W5" t="s">
        <v>77</v>
      </c>
      <c r="X5" t="s">
        <v>44</v>
      </c>
      <c r="Y5" t="s">
        <v>99</v>
      </c>
      <c r="Z5" t="s">
        <v>421</v>
      </c>
      <c r="AC5" t="str">
        <f>IF(AA5="",M5,AA5)</f>
        <v>não</v>
      </c>
      <c r="AD5" t="str">
        <f>IF(AB5="",X5,AB5)</f>
        <v>sim</v>
      </c>
      <c r="AE5" t="str">
        <f>IF(OR(Configuracao!B9="",Configuracao!B10=""),"aguardando limiar",IF(AND(K5&gt;=Configuracao!B9,K5/MAX(Reconciliacao!C2,1)&gt;=Configuracao!B10/100),"sim","não"))</f>
        <v>aguardando limiar</v>
      </c>
    </row>
    <row r="6" spans="1:31" x14ac:dyDescent="0.25">
      <c r="A6">
        <v>13360</v>
      </c>
      <c r="C6" t="s">
        <v>427</v>
      </c>
      <c r="D6" t="s">
        <v>428</v>
      </c>
      <c r="E6" t="s">
        <v>74</v>
      </c>
      <c r="F6" t="s">
        <v>255</v>
      </c>
      <c r="G6" t="s">
        <v>254</v>
      </c>
      <c r="H6" t="s">
        <v>253</v>
      </c>
      <c r="I6" t="s">
        <v>420</v>
      </c>
      <c r="J6" t="s">
        <v>420</v>
      </c>
      <c r="K6" s="4">
        <v>166</v>
      </c>
      <c r="L6" s="4">
        <v>166</v>
      </c>
      <c r="M6" t="s">
        <v>166</v>
      </c>
      <c r="N6" t="s">
        <v>77</v>
      </c>
      <c r="O6" t="s">
        <v>76</v>
      </c>
      <c r="P6" t="s">
        <v>187</v>
      </c>
      <c r="Q6" t="s">
        <v>76</v>
      </c>
      <c r="R6" t="s">
        <v>76</v>
      </c>
      <c r="S6" t="s">
        <v>167</v>
      </c>
      <c r="T6" t="s">
        <v>167</v>
      </c>
      <c r="U6" t="s">
        <v>168</v>
      </c>
      <c r="V6" t="s">
        <v>169</v>
      </c>
      <c r="W6" t="s">
        <v>77</v>
      </c>
      <c r="X6" t="s">
        <v>44</v>
      </c>
      <c r="Y6" t="s">
        <v>99</v>
      </c>
      <c r="Z6" t="s">
        <v>421</v>
      </c>
      <c r="AC6" t="str">
        <f>IF(AA6="",M6,AA6)</f>
        <v>não</v>
      </c>
      <c r="AD6" t="str">
        <f>IF(AB6="",X6,AB6)</f>
        <v>sim</v>
      </c>
      <c r="AE6" t="str">
        <f>IF(OR(Configuracao!B9="",Configuracao!B10=""),"aguardando limiar",IF(AND(K6&gt;=Configuracao!B9,K6/MAX(Reconciliacao!C2,1)&gt;=Configuracao!B10/100),"sim","não"))</f>
        <v>aguardando limiar</v>
      </c>
    </row>
    <row r="7" spans="1:31" x14ac:dyDescent="0.25">
      <c r="A7">
        <v>12782</v>
      </c>
      <c r="C7" t="s">
        <v>429</v>
      </c>
      <c r="D7" t="s">
        <v>430</v>
      </c>
      <c r="E7" t="s">
        <v>74</v>
      </c>
      <c r="F7" t="s">
        <v>255</v>
      </c>
      <c r="G7" t="s">
        <v>254</v>
      </c>
      <c r="H7" t="s">
        <v>253</v>
      </c>
      <c r="I7" t="s">
        <v>420</v>
      </c>
      <c r="J7" t="s">
        <v>420</v>
      </c>
      <c r="K7" s="4">
        <v>250</v>
      </c>
      <c r="L7" s="4">
        <v>250</v>
      </c>
      <c r="M7" t="s">
        <v>166</v>
      </c>
      <c r="N7" t="s">
        <v>77</v>
      </c>
      <c r="O7" t="s">
        <v>76</v>
      </c>
      <c r="P7" t="s">
        <v>187</v>
      </c>
      <c r="Q7" t="s">
        <v>76</v>
      </c>
      <c r="R7" t="s">
        <v>76</v>
      </c>
      <c r="S7" t="s">
        <v>167</v>
      </c>
      <c r="T7" t="s">
        <v>167</v>
      </c>
      <c r="U7" t="s">
        <v>168</v>
      </c>
      <c r="V7" t="s">
        <v>169</v>
      </c>
      <c r="W7" t="s">
        <v>77</v>
      </c>
      <c r="X7" t="s">
        <v>44</v>
      </c>
      <c r="Y7" t="s">
        <v>99</v>
      </c>
      <c r="Z7" t="s">
        <v>421</v>
      </c>
      <c r="AC7" t="str">
        <f>IF(AA7="",M7,AA7)</f>
        <v>não</v>
      </c>
      <c r="AD7" t="str">
        <f>IF(AB7="",X7,AB7)</f>
        <v>sim</v>
      </c>
      <c r="AE7" t="str">
        <f>IF(OR(Configuracao!B9="",Configuracao!B10=""),"aguardando limiar",IF(AND(K7&gt;=Configuracao!B9,K7/MAX(Reconciliacao!C2,1)&gt;=Configuracao!B10/100),"sim","não"))</f>
        <v>aguardando limiar</v>
      </c>
    </row>
    <row r="8" spans="1:31" x14ac:dyDescent="0.25">
      <c r="A8">
        <v>12899</v>
      </c>
      <c r="C8" t="s">
        <v>431</v>
      </c>
      <c r="D8" t="s">
        <v>432</v>
      </c>
      <c r="E8" t="s">
        <v>74</v>
      </c>
      <c r="F8" t="s">
        <v>255</v>
      </c>
      <c r="G8" t="s">
        <v>254</v>
      </c>
      <c r="H8" t="s">
        <v>253</v>
      </c>
      <c r="I8" t="s">
        <v>420</v>
      </c>
      <c r="J8" t="s">
        <v>420</v>
      </c>
      <c r="K8" s="4">
        <v>2294.95</v>
      </c>
      <c r="L8" s="4">
        <v>2294.95</v>
      </c>
      <c r="M8" t="s">
        <v>166</v>
      </c>
      <c r="N8" t="s">
        <v>77</v>
      </c>
      <c r="O8" t="s">
        <v>76</v>
      </c>
      <c r="P8" t="s">
        <v>187</v>
      </c>
      <c r="Q8" t="s">
        <v>76</v>
      </c>
      <c r="R8" t="s">
        <v>76</v>
      </c>
      <c r="S8" t="s">
        <v>167</v>
      </c>
      <c r="T8" t="s">
        <v>167</v>
      </c>
      <c r="U8" t="s">
        <v>168</v>
      </c>
      <c r="V8" t="s">
        <v>169</v>
      </c>
      <c r="W8" t="s">
        <v>77</v>
      </c>
      <c r="X8" t="s">
        <v>166</v>
      </c>
      <c r="Y8" t="s">
        <v>433</v>
      </c>
      <c r="Z8" t="s">
        <v>434</v>
      </c>
      <c r="AC8" t="str">
        <f>IF(AA8="",M8,AA8)</f>
        <v>não</v>
      </c>
      <c r="AD8" t="str">
        <f>IF(AB8="",X8,AB8)</f>
        <v>não</v>
      </c>
      <c r="AE8" t="str">
        <f>IF(OR(Configuracao!B9="",Configuracao!B10=""),"aguardando limiar",IF(AND(K8&gt;=Configuracao!B9,K8/MAX(Reconciliacao!C2,1)&gt;=Configuracao!B10/100),"sim","não"))</f>
        <v>aguardando limiar</v>
      </c>
    </row>
    <row r="9" spans="1:31" x14ac:dyDescent="0.25">
      <c r="A9">
        <v>13049</v>
      </c>
      <c r="C9" t="s">
        <v>435</v>
      </c>
      <c r="D9" t="s">
        <v>436</v>
      </c>
      <c r="E9" t="s">
        <v>74</v>
      </c>
      <c r="F9" t="s">
        <v>255</v>
      </c>
      <c r="G9" t="s">
        <v>254</v>
      </c>
      <c r="H9" t="s">
        <v>253</v>
      </c>
      <c r="I9" t="s">
        <v>424</v>
      </c>
      <c r="J9" t="s">
        <v>424</v>
      </c>
      <c r="K9" s="4">
        <v>2348.73</v>
      </c>
      <c r="L9" s="4">
        <v>2348.73</v>
      </c>
      <c r="M9" t="s">
        <v>166</v>
      </c>
      <c r="N9" t="s">
        <v>77</v>
      </c>
      <c r="O9" t="s">
        <v>76</v>
      </c>
      <c r="P9" t="s">
        <v>187</v>
      </c>
      <c r="Q9" t="s">
        <v>76</v>
      </c>
      <c r="R9" t="s">
        <v>76</v>
      </c>
      <c r="S9" t="s">
        <v>167</v>
      </c>
      <c r="T9" t="s">
        <v>167</v>
      </c>
      <c r="U9" t="s">
        <v>168</v>
      </c>
      <c r="V9" t="s">
        <v>169</v>
      </c>
      <c r="W9" t="s">
        <v>77</v>
      </c>
      <c r="X9" t="s">
        <v>166</v>
      </c>
      <c r="Y9" t="s">
        <v>433</v>
      </c>
      <c r="Z9" t="s">
        <v>434</v>
      </c>
      <c r="AC9" t="str">
        <f>IF(AA9="",M9,AA9)</f>
        <v>não</v>
      </c>
      <c r="AD9" t="str">
        <f>IF(AB9="",X9,AB9)</f>
        <v>não</v>
      </c>
      <c r="AE9" t="str">
        <f>IF(OR(Configuracao!B9="",Configuracao!B10=""),"aguardando limiar",IF(AND(K9&gt;=Configuracao!B9,K9/MAX(Reconciliacao!C2,1)&gt;=Configuracao!B10/100),"sim","não"))</f>
        <v>aguardando limiar</v>
      </c>
    </row>
    <row r="10" spans="1:31" x14ac:dyDescent="0.25">
      <c r="A10">
        <v>17980</v>
      </c>
      <c r="C10" t="s">
        <v>437</v>
      </c>
      <c r="D10" t="s">
        <v>438</v>
      </c>
      <c r="E10" t="s">
        <v>74</v>
      </c>
      <c r="F10" t="s">
        <v>255</v>
      </c>
      <c r="G10" t="s">
        <v>254</v>
      </c>
      <c r="H10" t="s">
        <v>253</v>
      </c>
      <c r="I10" t="s">
        <v>439</v>
      </c>
      <c r="J10" t="s">
        <v>439</v>
      </c>
      <c r="K10" s="4">
        <v>19821.69</v>
      </c>
      <c r="L10" s="4">
        <v>19821.69</v>
      </c>
      <c r="M10" t="s">
        <v>166</v>
      </c>
      <c r="N10" t="s">
        <v>77</v>
      </c>
      <c r="O10" t="s">
        <v>76</v>
      </c>
      <c r="P10" t="s">
        <v>187</v>
      </c>
      <c r="Q10" t="s">
        <v>76</v>
      </c>
      <c r="R10" t="s">
        <v>76</v>
      </c>
      <c r="S10" t="s">
        <v>167</v>
      </c>
      <c r="T10" t="s">
        <v>167</v>
      </c>
      <c r="U10" t="s">
        <v>168</v>
      </c>
      <c r="V10" t="s">
        <v>169</v>
      </c>
      <c r="W10" t="s">
        <v>77</v>
      </c>
      <c r="X10" t="s">
        <v>166</v>
      </c>
      <c r="Y10" t="s">
        <v>433</v>
      </c>
      <c r="Z10" t="s">
        <v>434</v>
      </c>
      <c r="AC10" t="str">
        <f>IF(AA10="",M10,AA10)</f>
        <v>não</v>
      </c>
      <c r="AD10" t="str">
        <f>IF(AB10="",X10,AB10)</f>
        <v>não</v>
      </c>
      <c r="AE10" t="str">
        <f>IF(OR(Configuracao!B9="",Configuracao!B10=""),"aguardando limiar",IF(AND(K10&gt;=Configuracao!B9,K10/MAX(Reconciliacao!C2,1)&gt;=Configuracao!B10/100),"sim","não"))</f>
        <v>aguardando limiar</v>
      </c>
    </row>
    <row r="11" spans="1:31" x14ac:dyDescent="0.25">
      <c r="A11">
        <v>17696</v>
      </c>
      <c r="C11" t="s">
        <v>440</v>
      </c>
      <c r="D11" t="s">
        <v>441</v>
      </c>
      <c r="E11" t="s">
        <v>74</v>
      </c>
      <c r="F11" t="s">
        <v>255</v>
      </c>
      <c r="G11" t="s">
        <v>276</v>
      </c>
      <c r="H11" t="s">
        <v>275</v>
      </c>
      <c r="I11" t="s">
        <v>442</v>
      </c>
      <c r="J11" t="s">
        <v>442</v>
      </c>
      <c r="K11" s="4">
        <v>24.88</v>
      </c>
      <c r="L11" s="4">
        <v>24.88</v>
      </c>
      <c r="M11" t="s">
        <v>166</v>
      </c>
      <c r="N11" t="s">
        <v>77</v>
      </c>
      <c r="O11" t="s">
        <v>76</v>
      </c>
      <c r="P11" t="s">
        <v>187</v>
      </c>
      <c r="Q11" t="s">
        <v>76</v>
      </c>
      <c r="R11" t="s">
        <v>76</v>
      </c>
      <c r="S11" t="s">
        <v>167</v>
      </c>
      <c r="T11" t="s">
        <v>167</v>
      </c>
      <c r="U11" t="s">
        <v>168</v>
      </c>
      <c r="V11" t="s">
        <v>169</v>
      </c>
      <c r="W11" t="s">
        <v>77</v>
      </c>
      <c r="X11" t="s">
        <v>44</v>
      </c>
      <c r="Y11" t="s">
        <v>99</v>
      </c>
      <c r="Z11" t="s">
        <v>421</v>
      </c>
      <c r="AC11" t="str">
        <f>IF(AA11="",M11,AA11)</f>
        <v>não</v>
      </c>
      <c r="AD11" t="str">
        <f>IF(AB11="",X11,AB11)</f>
        <v>sim</v>
      </c>
      <c r="AE11" t="str">
        <f>IF(OR(Configuracao!B9="",Configuracao!B10=""),"aguardando limiar",IF(AND(K11&gt;=Configuracao!B9,K11/MAX(Reconciliacao!C2,1)&gt;=Configuracao!B10/100),"sim","não"))</f>
        <v>aguardando limiar</v>
      </c>
    </row>
    <row r="12" spans="1:31" x14ac:dyDescent="0.25">
      <c r="A12">
        <v>12932</v>
      </c>
      <c r="C12" t="s">
        <v>443</v>
      </c>
      <c r="D12" t="s">
        <v>444</v>
      </c>
      <c r="E12" t="s">
        <v>445</v>
      </c>
      <c r="F12" t="s">
        <v>255</v>
      </c>
      <c r="G12" t="s">
        <v>276</v>
      </c>
      <c r="H12" t="s">
        <v>275</v>
      </c>
      <c r="I12" t="s">
        <v>424</v>
      </c>
      <c r="J12" t="s">
        <v>424</v>
      </c>
      <c r="K12" s="4">
        <v>7600</v>
      </c>
      <c r="L12" s="4">
        <v>7600</v>
      </c>
      <c r="M12" t="s">
        <v>166</v>
      </c>
      <c r="N12" t="s">
        <v>116</v>
      </c>
      <c r="O12" t="s">
        <v>318</v>
      </c>
      <c r="P12" t="s">
        <v>99</v>
      </c>
      <c r="Q12" t="s">
        <v>319</v>
      </c>
      <c r="R12" t="s">
        <v>318</v>
      </c>
      <c r="S12" t="s">
        <v>167</v>
      </c>
      <c r="T12" t="s">
        <v>167</v>
      </c>
      <c r="U12" t="s">
        <v>168</v>
      </c>
      <c r="V12" t="s">
        <v>169</v>
      </c>
      <c r="W12" t="s">
        <v>116</v>
      </c>
      <c r="X12" t="s">
        <v>166</v>
      </c>
      <c r="Y12" t="s">
        <v>446</v>
      </c>
      <c r="Z12" t="s">
        <v>434</v>
      </c>
      <c r="AC12" t="str">
        <f>IF(AA12="",M12,AA12)</f>
        <v>não</v>
      </c>
      <c r="AD12" t="str">
        <f>IF(AB12="",X12,AB12)</f>
        <v>não</v>
      </c>
      <c r="AE12" t="str">
        <f>IF(OR(Configuracao!B9="",Configuracao!B10=""),"aguardando limiar",IF(AND(K12&gt;=Configuracao!B9,K12/MAX(Reconciliacao!C2,1)&gt;=Configuracao!B10/100),"sim","não"))</f>
        <v>aguardando limiar</v>
      </c>
    </row>
    <row r="13" spans="1:31" x14ac:dyDescent="0.25">
      <c r="A13">
        <v>11995</v>
      </c>
      <c r="C13" t="s">
        <v>447</v>
      </c>
      <c r="D13" t="s">
        <v>448</v>
      </c>
      <c r="E13" t="s">
        <v>74</v>
      </c>
      <c r="F13" t="s">
        <v>255</v>
      </c>
      <c r="G13" t="s">
        <v>276</v>
      </c>
      <c r="H13" t="s">
        <v>275</v>
      </c>
      <c r="I13" t="s">
        <v>32</v>
      </c>
      <c r="J13" t="s">
        <v>32</v>
      </c>
      <c r="K13" s="4">
        <v>18000</v>
      </c>
      <c r="L13" s="4">
        <v>18000</v>
      </c>
      <c r="M13" t="s">
        <v>166</v>
      </c>
      <c r="N13" t="s">
        <v>77</v>
      </c>
      <c r="O13" t="s">
        <v>76</v>
      </c>
      <c r="P13" t="s">
        <v>187</v>
      </c>
      <c r="Q13" t="s">
        <v>76</v>
      </c>
      <c r="R13" t="s">
        <v>76</v>
      </c>
      <c r="S13" t="s">
        <v>167</v>
      </c>
      <c r="T13" t="s">
        <v>167</v>
      </c>
      <c r="U13" t="s">
        <v>168</v>
      </c>
      <c r="V13" t="s">
        <v>169</v>
      </c>
      <c r="W13" t="s">
        <v>77</v>
      </c>
      <c r="X13" t="s">
        <v>166</v>
      </c>
      <c r="Y13" t="s">
        <v>446</v>
      </c>
      <c r="Z13" t="s">
        <v>434</v>
      </c>
      <c r="AC13" t="str">
        <f>IF(AA13="",M13,AA13)</f>
        <v>não</v>
      </c>
      <c r="AD13" t="str">
        <f>IF(AB13="",X13,AB13)</f>
        <v>não</v>
      </c>
      <c r="AE13" t="str">
        <f>IF(OR(Configuracao!B9="",Configuracao!B10=""),"aguardando limiar",IF(AND(K13&gt;=Configuracao!B9,K13/MAX(Reconciliacao!C2,1)&gt;=Configuracao!B10/100),"sim","não"))</f>
        <v>aguardando limiar</v>
      </c>
    </row>
    <row r="14" spans="1:31" x14ac:dyDescent="0.25">
      <c r="A14">
        <v>12135</v>
      </c>
      <c r="C14" t="s">
        <v>449</v>
      </c>
      <c r="D14" t="s">
        <v>450</v>
      </c>
      <c r="E14" t="s">
        <v>451</v>
      </c>
      <c r="F14" t="s">
        <v>312</v>
      </c>
      <c r="G14" t="s">
        <v>385</v>
      </c>
      <c r="H14" t="s">
        <v>384</v>
      </c>
      <c r="I14" t="s">
        <v>424</v>
      </c>
      <c r="J14" t="s">
        <v>424</v>
      </c>
      <c r="K14" s="4">
        <v>112.66</v>
      </c>
      <c r="L14" s="4">
        <v>112.66</v>
      </c>
      <c r="M14" t="s">
        <v>166</v>
      </c>
      <c r="N14" t="s">
        <v>77</v>
      </c>
      <c r="O14" t="s">
        <v>98</v>
      </c>
      <c r="P14" t="s">
        <v>99</v>
      </c>
      <c r="Q14" t="s">
        <v>98</v>
      </c>
      <c r="R14" t="s">
        <v>98</v>
      </c>
      <c r="S14" t="s">
        <v>167</v>
      </c>
      <c r="T14" t="s">
        <v>167</v>
      </c>
      <c r="U14" t="s">
        <v>313</v>
      </c>
      <c r="V14" t="s">
        <v>169</v>
      </c>
      <c r="W14" t="s">
        <v>77</v>
      </c>
      <c r="X14" t="s">
        <v>44</v>
      </c>
      <c r="Y14" t="s">
        <v>99</v>
      </c>
      <c r="Z14" t="s">
        <v>421</v>
      </c>
      <c r="AC14" t="str">
        <f>IF(AA14="",M14,AA14)</f>
        <v>não</v>
      </c>
      <c r="AD14" t="str">
        <f>IF(AB14="",X14,AB14)</f>
        <v>sim</v>
      </c>
      <c r="AE14" t="str">
        <f>IF(OR(Configuracao!B9="",Configuracao!B10=""),"aguardando limiar",IF(AND(K14&gt;=Configuracao!B9,K14/MAX(Reconciliacao!C2,1)&gt;=Configuracao!B10/100),"sim","não"))</f>
        <v>aguardando limiar</v>
      </c>
    </row>
    <row r="15" spans="1:31" x14ac:dyDescent="0.25">
      <c r="A15">
        <v>15817</v>
      </c>
      <c r="C15" t="s">
        <v>452</v>
      </c>
      <c r="D15" t="s">
        <v>453</v>
      </c>
      <c r="E15" t="s">
        <v>451</v>
      </c>
      <c r="F15" t="s">
        <v>312</v>
      </c>
      <c r="G15" t="s">
        <v>385</v>
      </c>
      <c r="H15" t="s">
        <v>384</v>
      </c>
      <c r="I15" t="s">
        <v>454</v>
      </c>
      <c r="J15" t="s">
        <v>454</v>
      </c>
      <c r="K15" s="4">
        <v>454.77</v>
      </c>
      <c r="L15" s="4">
        <v>454.77</v>
      </c>
      <c r="M15" t="s">
        <v>166</v>
      </c>
      <c r="N15" t="s">
        <v>77</v>
      </c>
      <c r="O15" t="s">
        <v>98</v>
      </c>
      <c r="P15" t="s">
        <v>99</v>
      </c>
      <c r="Q15" t="s">
        <v>98</v>
      </c>
      <c r="R15" t="s">
        <v>98</v>
      </c>
      <c r="S15" t="s">
        <v>167</v>
      </c>
      <c r="T15" t="s">
        <v>167</v>
      </c>
      <c r="U15" t="s">
        <v>313</v>
      </c>
      <c r="V15" t="s">
        <v>169</v>
      </c>
      <c r="W15" t="s">
        <v>77</v>
      </c>
      <c r="X15" t="s">
        <v>44</v>
      </c>
      <c r="Y15" t="s">
        <v>99</v>
      </c>
      <c r="Z15" t="s">
        <v>421</v>
      </c>
      <c r="AC15" t="str">
        <f>IF(AA15="",M15,AA15)</f>
        <v>não</v>
      </c>
      <c r="AD15" t="str">
        <f>IF(AB15="",X15,AB15)</f>
        <v>sim</v>
      </c>
      <c r="AE15" t="str">
        <f>IF(OR(Configuracao!B9="",Configuracao!B10=""),"aguardando limiar",IF(AND(K15&gt;=Configuracao!B9,K15/MAX(Reconciliacao!C2,1)&gt;=Configuracao!B10/100),"sim","não"))</f>
        <v>aguardando limiar</v>
      </c>
    </row>
    <row r="16" spans="1:31" x14ac:dyDescent="0.25">
      <c r="A16">
        <v>18519</v>
      </c>
      <c r="C16" t="s">
        <v>455</v>
      </c>
      <c r="D16" t="s">
        <v>456</v>
      </c>
      <c r="E16" t="s">
        <v>224</v>
      </c>
      <c r="F16" t="s">
        <v>312</v>
      </c>
      <c r="G16" t="s">
        <v>311</v>
      </c>
      <c r="H16" t="s">
        <v>310</v>
      </c>
      <c r="I16" t="s">
        <v>439</v>
      </c>
      <c r="J16" t="s">
        <v>439</v>
      </c>
      <c r="K16" s="4">
        <v>209.14</v>
      </c>
      <c r="L16" s="4">
        <v>209.14</v>
      </c>
      <c r="M16" t="s">
        <v>166</v>
      </c>
      <c r="N16" t="s">
        <v>77</v>
      </c>
      <c r="O16" t="s">
        <v>98</v>
      </c>
      <c r="P16" t="s">
        <v>99</v>
      </c>
      <c r="Q16" t="s">
        <v>98</v>
      </c>
      <c r="R16" t="s">
        <v>98</v>
      </c>
      <c r="S16" t="s">
        <v>167</v>
      </c>
      <c r="T16" t="s">
        <v>167</v>
      </c>
      <c r="U16" t="s">
        <v>313</v>
      </c>
      <c r="V16" t="s">
        <v>169</v>
      </c>
      <c r="W16" t="s">
        <v>77</v>
      </c>
      <c r="X16" t="s">
        <v>44</v>
      </c>
      <c r="Y16" t="s">
        <v>99</v>
      </c>
      <c r="Z16" t="s">
        <v>421</v>
      </c>
      <c r="AC16" t="str">
        <f>IF(AA16="",M16,AA16)</f>
        <v>não</v>
      </c>
      <c r="AD16" t="str">
        <f>IF(AB16="",X16,AB16)</f>
        <v>sim</v>
      </c>
      <c r="AE16" t="str">
        <f>IF(OR(Configuracao!B9="",Configuracao!B10=""),"aguardando limiar",IF(AND(K16&gt;=Configuracao!B9,K16/MAX(Reconciliacao!C2,1)&gt;=Configuracao!B10/100),"sim","não"))</f>
        <v>aguardando limiar</v>
      </c>
    </row>
    <row r="17" spans="1:31" x14ac:dyDescent="0.25">
      <c r="A17">
        <v>19029</v>
      </c>
      <c r="C17" t="s">
        <v>457</v>
      </c>
      <c r="D17" t="s">
        <v>456</v>
      </c>
      <c r="E17" t="s">
        <v>458</v>
      </c>
      <c r="F17" t="s">
        <v>312</v>
      </c>
      <c r="G17" t="s">
        <v>311</v>
      </c>
      <c r="H17" t="s">
        <v>310</v>
      </c>
      <c r="I17" t="s">
        <v>35</v>
      </c>
      <c r="J17" t="s">
        <v>459</v>
      </c>
      <c r="K17" s="4">
        <v>219.88</v>
      </c>
      <c r="L17" s="4">
        <v>0</v>
      </c>
      <c r="M17" t="s">
        <v>166</v>
      </c>
      <c r="N17" t="s">
        <v>77</v>
      </c>
      <c r="O17" t="s">
        <v>98</v>
      </c>
      <c r="P17" t="s">
        <v>99</v>
      </c>
      <c r="Q17" t="s">
        <v>98</v>
      </c>
      <c r="R17" t="s">
        <v>98</v>
      </c>
      <c r="S17" t="s">
        <v>167</v>
      </c>
      <c r="T17" t="s">
        <v>167</v>
      </c>
      <c r="U17" t="s">
        <v>313</v>
      </c>
      <c r="V17" t="s">
        <v>169</v>
      </c>
      <c r="W17" t="s">
        <v>77</v>
      </c>
      <c r="X17" t="s">
        <v>44</v>
      </c>
      <c r="Y17" t="s">
        <v>99</v>
      </c>
      <c r="Z17" t="s">
        <v>421</v>
      </c>
      <c r="AC17" t="str">
        <f>IF(AA17="",M17,AA17)</f>
        <v>não</v>
      </c>
      <c r="AD17" t="str">
        <f>IF(AB17="",X17,AB17)</f>
        <v>sim</v>
      </c>
      <c r="AE17" t="str">
        <f>IF(OR(Configuracao!B9="",Configuracao!B10=""),"aguardando limiar",IF(AND(K17&gt;=Configuracao!B9,K17/MAX(Reconciliacao!C2,1)&gt;=Configuracao!B10/100),"sim","não"))</f>
        <v>aguardando limiar</v>
      </c>
    </row>
    <row r="18" spans="1:31" x14ac:dyDescent="0.25">
      <c r="A18">
        <v>12071</v>
      </c>
      <c r="C18" t="s">
        <v>460</v>
      </c>
      <c r="D18" t="s">
        <v>450</v>
      </c>
      <c r="E18" t="s">
        <v>451</v>
      </c>
      <c r="F18" t="s">
        <v>312</v>
      </c>
      <c r="G18" t="s">
        <v>311</v>
      </c>
      <c r="H18" t="s">
        <v>310</v>
      </c>
      <c r="I18" t="s">
        <v>454</v>
      </c>
      <c r="J18" t="s">
        <v>454</v>
      </c>
      <c r="K18" s="4">
        <v>326.66</v>
      </c>
      <c r="L18" s="4">
        <v>326.66</v>
      </c>
      <c r="M18" t="s">
        <v>166</v>
      </c>
      <c r="N18" t="s">
        <v>77</v>
      </c>
      <c r="O18" t="s">
        <v>98</v>
      </c>
      <c r="P18" t="s">
        <v>99</v>
      </c>
      <c r="Q18" t="s">
        <v>98</v>
      </c>
      <c r="R18" t="s">
        <v>98</v>
      </c>
      <c r="S18" t="s">
        <v>167</v>
      </c>
      <c r="T18" t="s">
        <v>167</v>
      </c>
      <c r="U18" t="s">
        <v>313</v>
      </c>
      <c r="V18" t="s">
        <v>169</v>
      </c>
      <c r="W18" t="s">
        <v>77</v>
      </c>
      <c r="X18" t="s">
        <v>44</v>
      </c>
      <c r="Y18" t="s">
        <v>99</v>
      </c>
      <c r="Z18" t="s">
        <v>421</v>
      </c>
      <c r="AC18" t="str">
        <f>IF(AA18="",M18,AA18)</f>
        <v>não</v>
      </c>
      <c r="AD18" t="str">
        <f>IF(AB18="",X18,AB18)</f>
        <v>sim</v>
      </c>
      <c r="AE18" t="str">
        <f>IF(OR(Configuracao!B9="",Configuracao!B10=""),"aguardando limiar",IF(AND(K18&gt;=Configuracao!B9,K18/MAX(Reconciliacao!C2,1)&gt;=Configuracao!B10/100),"sim","não"))</f>
        <v>aguardando limiar</v>
      </c>
    </row>
    <row r="19" spans="1:31" x14ac:dyDescent="0.25">
      <c r="A19">
        <v>12072</v>
      </c>
      <c r="C19" t="s">
        <v>460</v>
      </c>
      <c r="D19" t="s">
        <v>450</v>
      </c>
      <c r="E19" t="s">
        <v>451</v>
      </c>
      <c r="F19" t="s">
        <v>312</v>
      </c>
      <c r="G19" t="s">
        <v>311</v>
      </c>
      <c r="H19" t="s">
        <v>310</v>
      </c>
      <c r="I19" t="s">
        <v>461</v>
      </c>
      <c r="J19" t="s">
        <v>461</v>
      </c>
      <c r="K19" s="4">
        <v>326.66</v>
      </c>
      <c r="L19" s="4">
        <v>326.66</v>
      </c>
      <c r="M19" t="s">
        <v>166</v>
      </c>
      <c r="N19" t="s">
        <v>77</v>
      </c>
      <c r="O19" t="s">
        <v>98</v>
      </c>
      <c r="P19" t="s">
        <v>99</v>
      </c>
      <c r="Q19" t="s">
        <v>98</v>
      </c>
      <c r="R19" t="s">
        <v>98</v>
      </c>
      <c r="S19" t="s">
        <v>167</v>
      </c>
      <c r="T19" t="s">
        <v>167</v>
      </c>
      <c r="U19" t="s">
        <v>313</v>
      </c>
      <c r="V19" t="s">
        <v>169</v>
      </c>
      <c r="W19" t="s">
        <v>77</v>
      </c>
      <c r="X19" t="s">
        <v>44</v>
      </c>
      <c r="Y19" t="s">
        <v>99</v>
      </c>
      <c r="Z19" t="s">
        <v>421</v>
      </c>
      <c r="AC19" t="str">
        <f>IF(AA19="",M19,AA19)</f>
        <v>não</v>
      </c>
      <c r="AD19" t="str">
        <f>IF(AB19="",X19,AB19)</f>
        <v>sim</v>
      </c>
      <c r="AE19" t="str">
        <f>IF(OR(Configuracao!B9="",Configuracao!B10=""),"aguardando limiar",IF(AND(K19&gt;=Configuracao!B9,K19/MAX(Reconciliacao!C2,1)&gt;=Configuracao!B10/100),"sim","não"))</f>
        <v>aguardando limiar</v>
      </c>
    </row>
    <row r="20" spans="1:31" x14ac:dyDescent="0.25">
      <c r="A20">
        <v>12070</v>
      </c>
      <c r="C20" t="s">
        <v>460</v>
      </c>
      <c r="D20" t="s">
        <v>450</v>
      </c>
      <c r="E20" t="s">
        <v>451</v>
      </c>
      <c r="F20" t="s">
        <v>312</v>
      </c>
      <c r="G20" t="s">
        <v>311</v>
      </c>
      <c r="H20" t="s">
        <v>310</v>
      </c>
      <c r="I20" t="s">
        <v>420</v>
      </c>
      <c r="J20" t="s">
        <v>420</v>
      </c>
      <c r="K20" s="4">
        <v>326.68</v>
      </c>
      <c r="L20" s="4">
        <v>326.68</v>
      </c>
      <c r="M20" t="s">
        <v>166</v>
      </c>
      <c r="N20" t="s">
        <v>77</v>
      </c>
      <c r="O20" t="s">
        <v>98</v>
      </c>
      <c r="P20" t="s">
        <v>99</v>
      </c>
      <c r="Q20" t="s">
        <v>98</v>
      </c>
      <c r="R20" t="s">
        <v>98</v>
      </c>
      <c r="S20" t="s">
        <v>167</v>
      </c>
      <c r="T20" t="s">
        <v>167</v>
      </c>
      <c r="U20" t="s">
        <v>313</v>
      </c>
      <c r="V20" t="s">
        <v>169</v>
      </c>
      <c r="W20" t="s">
        <v>77</v>
      </c>
      <c r="X20" t="s">
        <v>44</v>
      </c>
      <c r="Y20" t="s">
        <v>99</v>
      </c>
      <c r="Z20" t="s">
        <v>421</v>
      </c>
      <c r="AC20" t="str">
        <f>IF(AA20="",M20,AA20)</f>
        <v>não</v>
      </c>
      <c r="AD20" t="str">
        <f>IF(AB20="",X20,AB20)</f>
        <v>sim</v>
      </c>
      <c r="AE20" t="str">
        <f>IF(OR(Configuracao!B9="",Configuracao!B10=""),"aguardando limiar",IF(AND(K20&gt;=Configuracao!B9,K20/MAX(Reconciliacao!C2,1)&gt;=Configuracao!B10/100),"sim","não"))</f>
        <v>aguardando limiar</v>
      </c>
    </row>
    <row r="21" spans="1:31" x14ac:dyDescent="0.25">
      <c r="A21">
        <v>12832</v>
      </c>
      <c r="C21" t="s">
        <v>462</v>
      </c>
      <c r="D21" t="s">
        <v>463</v>
      </c>
      <c r="E21" t="s">
        <v>224</v>
      </c>
      <c r="F21" t="s">
        <v>312</v>
      </c>
      <c r="G21" t="s">
        <v>311</v>
      </c>
      <c r="H21" t="s">
        <v>310</v>
      </c>
      <c r="I21" t="s">
        <v>454</v>
      </c>
      <c r="J21" t="s">
        <v>454</v>
      </c>
      <c r="K21" s="4">
        <v>555.9</v>
      </c>
      <c r="L21" s="4">
        <v>555.9</v>
      </c>
      <c r="M21" t="s">
        <v>166</v>
      </c>
      <c r="N21" t="s">
        <v>77</v>
      </c>
      <c r="O21" t="s">
        <v>98</v>
      </c>
      <c r="P21" t="s">
        <v>99</v>
      </c>
      <c r="Q21" t="s">
        <v>98</v>
      </c>
      <c r="R21" t="s">
        <v>98</v>
      </c>
      <c r="S21" t="s">
        <v>167</v>
      </c>
      <c r="T21" t="s">
        <v>167</v>
      </c>
      <c r="U21" t="s">
        <v>313</v>
      </c>
      <c r="V21" t="s">
        <v>169</v>
      </c>
      <c r="W21" t="s">
        <v>77</v>
      </c>
      <c r="X21" t="s">
        <v>44</v>
      </c>
      <c r="Y21" t="s">
        <v>99</v>
      </c>
      <c r="Z21" t="s">
        <v>421</v>
      </c>
      <c r="AC21" t="str">
        <f>IF(AA21="",M21,AA21)</f>
        <v>não</v>
      </c>
      <c r="AD21" t="str">
        <f>IF(AB21="",X21,AB21)</f>
        <v>sim</v>
      </c>
      <c r="AE21" t="str">
        <f>IF(OR(Configuracao!B9="",Configuracao!B10=""),"aguardando limiar",IF(AND(K21&gt;=Configuracao!B9,K21/MAX(Reconciliacao!C2,1)&gt;=Configuracao!B10/100),"sim","não"))</f>
        <v>aguardando limiar</v>
      </c>
    </row>
    <row r="22" spans="1:31" x14ac:dyDescent="0.25">
      <c r="A22">
        <v>12833</v>
      </c>
      <c r="C22" t="s">
        <v>462</v>
      </c>
      <c r="D22" t="s">
        <v>463</v>
      </c>
      <c r="E22" t="s">
        <v>224</v>
      </c>
      <c r="F22" t="s">
        <v>312</v>
      </c>
      <c r="G22" t="s">
        <v>311</v>
      </c>
      <c r="H22" t="s">
        <v>310</v>
      </c>
      <c r="I22" t="s">
        <v>461</v>
      </c>
      <c r="J22" t="s">
        <v>461</v>
      </c>
      <c r="K22" s="4">
        <v>555.9</v>
      </c>
      <c r="L22" s="4">
        <v>555.9</v>
      </c>
      <c r="M22" t="s">
        <v>166</v>
      </c>
      <c r="N22" t="s">
        <v>77</v>
      </c>
      <c r="O22" t="s">
        <v>98</v>
      </c>
      <c r="P22" t="s">
        <v>99</v>
      </c>
      <c r="Q22" t="s">
        <v>98</v>
      </c>
      <c r="R22" t="s">
        <v>98</v>
      </c>
      <c r="S22" t="s">
        <v>167</v>
      </c>
      <c r="T22" t="s">
        <v>167</v>
      </c>
      <c r="U22" t="s">
        <v>313</v>
      </c>
      <c r="V22" t="s">
        <v>169</v>
      </c>
      <c r="W22" t="s">
        <v>77</v>
      </c>
      <c r="X22" t="s">
        <v>44</v>
      </c>
      <c r="Y22" t="s">
        <v>99</v>
      </c>
      <c r="Z22" t="s">
        <v>421</v>
      </c>
      <c r="AC22" t="str">
        <f>IF(AA22="",M22,AA22)</f>
        <v>não</v>
      </c>
      <c r="AD22" t="str">
        <f>IF(AB22="",X22,AB22)</f>
        <v>sim</v>
      </c>
      <c r="AE22" t="str">
        <f>IF(OR(Configuracao!B9="",Configuracao!B10=""),"aguardando limiar",IF(AND(K22&gt;=Configuracao!B9,K22/MAX(Reconciliacao!C2,1)&gt;=Configuracao!B10/100),"sim","não"))</f>
        <v>aguardando limiar</v>
      </c>
    </row>
    <row r="23" spans="1:31" x14ac:dyDescent="0.25">
      <c r="A23">
        <v>12834</v>
      </c>
      <c r="C23" t="s">
        <v>462</v>
      </c>
      <c r="D23" t="s">
        <v>463</v>
      </c>
      <c r="E23" t="s">
        <v>224</v>
      </c>
      <c r="F23" t="s">
        <v>312</v>
      </c>
      <c r="G23" t="s">
        <v>311</v>
      </c>
      <c r="H23" t="s">
        <v>310</v>
      </c>
      <c r="I23" t="s">
        <v>442</v>
      </c>
      <c r="J23" t="s">
        <v>442</v>
      </c>
      <c r="K23" s="4">
        <v>555.9</v>
      </c>
      <c r="L23" s="4">
        <v>555.9</v>
      </c>
      <c r="M23" t="s">
        <v>166</v>
      </c>
      <c r="N23" t="s">
        <v>77</v>
      </c>
      <c r="O23" t="s">
        <v>98</v>
      </c>
      <c r="P23" t="s">
        <v>99</v>
      </c>
      <c r="Q23" t="s">
        <v>98</v>
      </c>
      <c r="R23" t="s">
        <v>98</v>
      </c>
      <c r="S23" t="s">
        <v>167</v>
      </c>
      <c r="T23" t="s">
        <v>167</v>
      </c>
      <c r="U23" t="s">
        <v>313</v>
      </c>
      <c r="V23" t="s">
        <v>169</v>
      </c>
      <c r="W23" t="s">
        <v>77</v>
      </c>
      <c r="X23" t="s">
        <v>44</v>
      </c>
      <c r="Y23" t="s">
        <v>99</v>
      </c>
      <c r="Z23" t="s">
        <v>421</v>
      </c>
      <c r="AC23" t="str">
        <f>IF(AA23="",M23,AA23)</f>
        <v>não</v>
      </c>
      <c r="AD23" t="str">
        <f>IF(AB23="",X23,AB23)</f>
        <v>sim</v>
      </c>
      <c r="AE23" t="str">
        <f>IF(OR(Configuracao!B9="",Configuracao!B10=""),"aguardando limiar",IF(AND(K23&gt;=Configuracao!B9,K23/MAX(Reconciliacao!C2,1)&gt;=Configuracao!B10/100),"sim","não"))</f>
        <v>aguardando limiar</v>
      </c>
    </row>
    <row r="24" spans="1:31" x14ac:dyDescent="0.25">
      <c r="A24">
        <v>12835</v>
      </c>
      <c r="C24" t="s">
        <v>462</v>
      </c>
      <c r="D24" t="s">
        <v>463</v>
      </c>
      <c r="E24" t="s">
        <v>224</v>
      </c>
      <c r="F24" t="s">
        <v>312</v>
      </c>
      <c r="G24" t="s">
        <v>311</v>
      </c>
      <c r="H24" t="s">
        <v>310</v>
      </c>
      <c r="I24" t="s">
        <v>439</v>
      </c>
      <c r="J24" t="s">
        <v>439</v>
      </c>
      <c r="K24" s="4">
        <v>555.9</v>
      </c>
      <c r="L24" s="4">
        <v>555.9</v>
      </c>
      <c r="M24" t="s">
        <v>166</v>
      </c>
      <c r="N24" t="s">
        <v>77</v>
      </c>
      <c r="O24" t="s">
        <v>98</v>
      </c>
      <c r="P24" t="s">
        <v>99</v>
      </c>
      <c r="Q24" t="s">
        <v>98</v>
      </c>
      <c r="R24" t="s">
        <v>98</v>
      </c>
      <c r="S24" t="s">
        <v>167</v>
      </c>
      <c r="T24" t="s">
        <v>167</v>
      </c>
      <c r="U24" t="s">
        <v>313</v>
      </c>
      <c r="V24" t="s">
        <v>169</v>
      </c>
      <c r="W24" t="s">
        <v>77</v>
      </c>
      <c r="X24" t="s">
        <v>44</v>
      </c>
      <c r="Y24" t="s">
        <v>99</v>
      </c>
      <c r="Z24" t="s">
        <v>421</v>
      </c>
      <c r="AC24" t="str">
        <f>IF(AA24="",M24,AA24)</f>
        <v>não</v>
      </c>
      <c r="AD24" t="str">
        <f>IF(AB24="",X24,AB24)</f>
        <v>sim</v>
      </c>
      <c r="AE24" t="str">
        <f>IF(OR(Configuracao!B9="",Configuracao!B10=""),"aguardando limiar",IF(AND(K24&gt;=Configuracao!B9,K24/MAX(Reconciliacao!C2,1)&gt;=Configuracao!B10/100),"sim","não"))</f>
        <v>aguardando limiar</v>
      </c>
    </row>
    <row r="25" spans="1:31" x14ac:dyDescent="0.25">
      <c r="A25">
        <v>12836</v>
      </c>
      <c r="C25" t="s">
        <v>462</v>
      </c>
      <c r="D25" t="s">
        <v>463</v>
      </c>
      <c r="E25" t="s">
        <v>224</v>
      </c>
      <c r="F25" t="s">
        <v>312</v>
      </c>
      <c r="G25" t="s">
        <v>311</v>
      </c>
      <c r="H25" t="s">
        <v>310</v>
      </c>
      <c r="I25" t="s">
        <v>35</v>
      </c>
      <c r="J25" t="s">
        <v>35</v>
      </c>
      <c r="K25" s="4">
        <v>555.9</v>
      </c>
      <c r="L25" s="4">
        <v>555.9</v>
      </c>
      <c r="M25" t="s">
        <v>166</v>
      </c>
      <c r="N25" t="s">
        <v>77</v>
      </c>
      <c r="O25" t="s">
        <v>98</v>
      </c>
      <c r="P25" t="s">
        <v>99</v>
      </c>
      <c r="Q25" t="s">
        <v>98</v>
      </c>
      <c r="R25" t="s">
        <v>98</v>
      </c>
      <c r="S25" t="s">
        <v>167</v>
      </c>
      <c r="T25" t="s">
        <v>167</v>
      </c>
      <c r="U25" t="s">
        <v>313</v>
      </c>
      <c r="V25" t="s">
        <v>169</v>
      </c>
      <c r="W25" t="s">
        <v>77</v>
      </c>
      <c r="X25" t="s">
        <v>44</v>
      </c>
      <c r="Y25" t="s">
        <v>99</v>
      </c>
      <c r="Z25" t="s">
        <v>421</v>
      </c>
      <c r="AC25" t="str">
        <f>IF(AA25="",M25,AA25)</f>
        <v>não</v>
      </c>
      <c r="AD25" t="str">
        <f>IF(AB25="",X25,AB25)</f>
        <v>sim</v>
      </c>
      <c r="AE25" t="str">
        <f>IF(OR(Configuracao!B9="",Configuracao!B10=""),"aguardando limiar",IF(AND(K25&gt;=Configuracao!B9,K25/MAX(Reconciliacao!C2,1)&gt;=Configuracao!B10/100),"sim","não"))</f>
        <v>aguardando limiar</v>
      </c>
    </row>
    <row r="26" spans="1:31" x14ac:dyDescent="0.25">
      <c r="A26">
        <v>17621</v>
      </c>
      <c r="C26" t="s">
        <v>464</v>
      </c>
      <c r="D26" t="s">
        <v>456</v>
      </c>
      <c r="E26" t="s">
        <v>465</v>
      </c>
      <c r="F26" t="s">
        <v>312</v>
      </c>
      <c r="G26" t="s">
        <v>311</v>
      </c>
      <c r="H26" t="s">
        <v>310</v>
      </c>
      <c r="I26" t="s">
        <v>442</v>
      </c>
      <c r="J26" t="s">
        <v>442</v>
      </c>
      <c r="K26" s="4">
        <v>649.9</v>
      </c>
      <c r="L26" s="4">
        <v>649.9</v>
      </c>
      <c r="M26" t="s">
        <v>166</v>
      </c>
      <c r="N26" t="s">
        <v>77</v>
      </c>
      <c r="O26" t="s">
        <v>98</v>
      </c>
      <c r="P26" t="s">
        <v>99</v>
      </c>
      <c r="Q26" t="s">
        <v>98</v>
      </c>
      <c r="R26" t="s">
        <v>98</v>
      </c>
      <c r="S26" t="s">
        <v>167</v>
      </c>
      <c r="T26" t="s">
        <v>167</v>
      </c>
      <c r="U26" t="s">
        <v>313</v>
      </c>
      <c r="V26" t="s">
        <v>169</v>
      </c>
      <c r="W26" t="s">
        <v>77</v>
      </c>
      <c r="X26" t="s">
        <v>44</v>
      </c>
      <c r="Y26" t="s">
        <v>99</v>
      </c>
      <c r="Z26" t="s">
        <v>421</v>
      </c>
      <c r="AC26" t="str">
        <f>IF(AA26="",M26,AA26)</f>
        <v>não</v>
      </c>
      <c r="AD26" t="str">
        <f>IF(AB26="",X26,AB26)</f>
        <v>sim</v>
      </c>
      <c r="AE26" t="str">
        <f>IF(OR(Configuracao!B9="",Configuracao!B10=""),"aguardando limiar",IF(AND(K26&gt;=Configuracao!B9,K26/MAX(Reconciliacao!C2,1)&gt;=Configuracao!B10/100),"sim","não"))</f>
        <v>aguardando limiar</v>
      </c>
    </row>
    <row r="27" spans="1:31" x14ac:dyDescent="0.25">
      <c r="A27">
        <v>17622</v>
      </c>
      <c r="C27" t="s">
        <v>464</v>
      </c>
      <c r="D27" t="s">
        <v>456</v>
      </c>
      <c r="E27" t="s">
        <v>465</v>
      </c>
      <c r="F27" t="s">
        <v>312</v>
      </c>
      <c r="G27" t="s">
        <v>311</v>
      </c>
      <c r="H27" t="s">
        <v>310</v>
      </c>
      <c r="I27" t="s">
        <v>439</v>
      </c>
      <c r="J27" t="s">
        <v>439</v>
      </c>
      <c r="K27" s="4">
        <v>649.9</v>
      </c>
      <c r="L27" s="4">
        <v>649.9</v>
      </c>
      <c r="M27" t="s">
        <v>166</v>
      </c>
      <c r="N27" t="s">
        <v>77</v>
      </c>
      <c r="O27" t="s">
        <v>98</v>
      </c>
      <c r="P27" t="s">
        <v>99</v>
      </c>
      <c r="Q27" t="s">
        <v>98</v>
      </c>
      <c r="R27" t="s">
        <v>98</v>
      </c>
      <c r="S27" t="s">
        <v>167</v>
      </c>
      <c r="T27" t="s">
        <v>167</v>
      </c>
      <c r="U27" t="s">
        <v>313</v>
      </c>
      <c r="V27" t="s">
        <v>169</v>
      </c>
      <c r="W27" t="s">
        <v>77</v>
      </c>
      <c r="X27" t="s">
        <v>44</v>
      </c>
      <c r="Y27" t="s">
        <v>99</v>
      </c>
      <c r="Z27" t="s">
        <v>421</v>
      </c>
      <c r="AC27" t="str">
        <f>IF(AA27="",M27,AA27)</f>
        <v>não</v>
      </c>
      <c r="AD27" t="str">
        <f>IF(AB27="",X27,AB27)</f>
        <v>sim</v>
      </c>
      <c r="AE27" t="str">
        <f>IF(OR(Configuracao!B9="",Configuracao!B10=""),"aguardando limiar",IF(AND(K27&gt;=Configuracao!B9,K27/MAX(Reconciliacao!C2,1)&gt;=Configuracao!B10/100),"sim","não"))</f>
        <v>aguardando limiar</v>
      </c>
    </row>
    <row r="28" spans="1:31" x14ac:dyDescent="0.25">
      <c r="A28">
        <v>17623</v>
      </c>
      <c r="C28" t="s">
        <v>464</v>
      </c>
      <c r="D28" t="s">
        <v>456</v>
      </c>
      <c r="E28" t="s">
        <v>465</v>
      </c>
      <c r="F28" t="s">
        <v>312</v>
      </c>
      <c r="G28" t="s">
        <v>311</v>
      </c>
      <c r="H28" t="s">
        <v>310</v>
      </c>
      <c r="I28" t="s">
        <v>35</v>
      </c>
      <c r="J28" t="s">
        <v>35</v>
      </c>
      <c r="K28" s="4">
        <v>649.9</v>
      </c>
      <c r="L28" s="4">
        <v>649.9</v>
      </c>
      <c r="M28" t="s">
        <v>166</v>
      </c>
      <c r="N28" t="s">
        <v>77</v>
      </c>
      <c r="O28" t="s">
        <v>98</v>
      </c>
      <c r="P28" t="s">
        <v>99</v>
      </c>
      <c r="Q28" t="s">
        <v>98</v>
      </c>
      <c r="R28" t="s">
        <v>98</v>
      </c>
      <c r="S28" t="s">
        <v>167</v>
      </c>
      <c r="T28" t="s">
        <v>167</v>
      </c>
      <c r="U28" t="s">
        <v>313</v>
      </c>
      <c r="V28" t="s">
        <v>169</v>
      </c>
      <c r="W28" t="s">
        <v>77</v>
      </c>
      <c r="X28" t="s">
        <v>44</v>
      </c>
      <c r="Y28" t="s">
        <v>99</v>
      </c>
      <c r="Z28" t="s">
        <v>421</v>
      </c>
      <c r="AC28" t="str">
        <f>IF(AA28="",M28,AA28)</f>
        <v>não</v>
      </c>
      <c r="AD28" t="str">
        <f>IF(AB28="",X28,AB28)</f>
        <v>sim</v>
      </c>
      <c r="AE28" t="str">
        <f>IF(OR(Configuracao!B9="",Configuracao!B10=""),"aguardando limiar",IF(AND(K28&gt;=Configuracao!B9,K28/MAX(Reconciliacao!C2,1)&gt;=Configuracao!B10/100),"sim","não"))</f>
        <v>aguardando limiar</v>
      </c>
    </row>
    <row r="29" spans="1:31" x14ac:dyDescent="0.25">
      <c r="A29">
        <v>9284</v>
      </c>
      <c r="C29" t="s">
        <v>466</v>
      </c>
      <c r="D29" t="s">
        <v>456</v>
      </c>
      <c r="E29" t="s">
        <v>467</v>
      </c>
      <c r="F29" t="s">
        <v>312</v>
      </c>
      <c r="G29" t="s">
        <v>311</v>
      </c>
      <c r="H29" t="s">
        <v>310</v>
      </c>
      <c r="I29" t="s">
        <v>32</v>
      </c>
      <c r="J29" t="s">
        <v>32</v>
      </c>
      <c r="K29" s="4">
        <v>666.48</v>
      </c>
      <c r="L29" s="4">
        <v>666.48</v>
      </c>
      <c r="M29" t="s">
        <v>166</v>
      </c>
      <c r="N29" t="s">
        <v>77</v>
      </c>
      <c r="O29" t="s">
        <v>98</v>
      </c>
      <c r="P29" t="s">
        <v>99</v>
      </c>
      <c r="Q29" t="s">
        <v>98</v>
      </c>
      <c r="R29" t="s">
        <v>98</v>
      </c>
      <c r="S29" t="s">
        <v>167</v>
      </c>
      <c r="T29" t="s">
        <v>167</v>
      </c>
      <c r="U29" t="s">
        <v>313</v>
      </c>
      <c r="V29" t="s">
        <v>169</v>
      </c>
      <c r="W29" t="s">
        <v>77</v>
      </c>
      <c r="X29" t="s">
        <v>44</v>
      </c>
      <c r="Y29" t="s">
        <v>99</v>
      </c>
      <c r="Z29" t="s">
        <v>421</v>
      </c>
      <c r="AC29" t="str">
        <f>IF(AA29="",M29,AA29)</f>
        <v>não</v>
      </c>
      <c r="AD29" t="str">
        <f>IF(AB29="",X29,AB29)</f>
        <v>sim</v>
      </c>
      <c r="AE29" t="str">
        <f>IF(OR(Configuracao!B9="",Configuracao!B10=""),"aguardando limiar",IF(AND(K29&gt;=Configuracao!B9,K29/MAX(Reconciliacao!C2,1)&gt;=Configuracao!B10/100),"sim","não"))</f>
        <v>aguardando limiar</v>
      </c>
    </row>
    <row r="30" spans="1:31" x14ac:dyDescent="0.25">
      <c r="A30">
        <v>9285</v>
      </c>
      <c r="C30" t="s">
        <v>468</v>
      </c>
      <c r="D30" t="s">
        <v>456</v>
      </c>
      <c r="E30" t="s">
        <v>467</v>
      </c>
      <c r="F30" t="s">
        <v>312</v>
      </c>
      <c r="G30" t="s">
        <v>311</v>
      </c>
      <c r="H30" t="s">
        <v>310</v>
      </c>
      <c r="I30" t="s">
        <v>424</v>
      </c>
      <c r="J30" t="s">
        <v>424</v>
      </c>
      <c r="K30" s="4">
        <v>666.48</v>
      </c>
      <c r="L30" s="4">
        <v>666.48</v>
      </c>
      <c r="M30" t="s">
        <v>166</v>
      </c>
      <c r="N30" t="s">
        <v>77</v>
      </c>
      <c r="O30" t="s">
        <v>98</v>
      </c>
      <c r="P30" t="s">
        <v>99</v>
      </c>
      <c r="Q30" t="s">
        <v>98</v>
      </c>
      <c r="R30" t="s">
        <v>98</v>
      </c>
      <c r="S30" t="s">
        <v>167</v>
      </c>
      <c r="T30" t="s">
        <v>167</v>
      </c>
      <c r="U30" t="s">
        <v>313</v>
      </c>
      <c r="V30" t="s">
        <v>169</v>
      </c>
      <c r="W30" t="s">
        <v>77</v>
      </c>
      <c r="X30" t="s">
        <v>44</v>
      </c>
      <c r="Y30" t="s">
        <v>99</v>
      </c>
      <c r="Z30" t="s">
        <v>421</v>
      </c>
      <c r="AC30" t="str">
        <f>IF(AA30="",M30,AA30)</f>
        <v>não</v>
      </c>
      <c r="AD30" t="str">
        <f>IF(AB30="",X30,AB30)</f>
        <v>sim</v>
      </c>
      <c r="AE30" t="str">
        <f>IF(OR(Configuracao!B9="",Configuracao!B10=""),"aguardando limiar",IF(AND(K30&gt;=Configuracao!B9,K30/MAX(Reconciliacao!C2,1)&gt;=Configuracao!B10/100),"sim","não"))</f>
        <v>aguardando limiar</v>
      </c>
    </row>
    <row r="31" spans="1:31" x14ac:dyDescent="0.25">
      <c r="A31">
        <v>11646</v>
      </c>
      <c r="C31" t="s">
        <v>469</v>
      </c>
      <c r="D31" t="s">
        <v>470</v>
      </c>
      <c r="E31" t="s">
        <v>471</v>
      </c>
      <c r="F31" t="s">
        <v>312</v>
      </c>
      <c r="G31" t="s">
        <v>311</v>
      </c>
      <c r="H31" t="s">
        <v>310</v>
      </c>
      <c r="I31" t="s">
        <v>32</v>
      </c>
      <c r="J31" t="s">
        <v>32</v>
      </c>
      <c r="K31" s="4">
        <v>1500</v>
      </c>
      <c r="L31" s="4">
        <v>1500</v>
      </c>
      <c r="M31" t="s">
        <v>166</v>
      </c>
      <c r="N31" t="s">
        <v>77</v>
      </c>
      <c r="O31" t="s">
        <v>98</v>
      </c>
      <c r="P31" t="s">
        <v>99</v>
      </c>
      <c r="Q31" t="s">
        <v>98</v>
      </c>
      <c r="R31" t="s">
        <v>98</v>
      </c>
      <c r="S31" t="s">
        <v>167</v>
      </c>
      <c r="T31" t="s">
        <v>167</v>
      </c>
      <c r="U31" t="s">
        <v>313</v>
      </c>
      <c r="V31" t="s">
        <v>169</v>
      </c>
      <c r="W31" t="s">
        <v>77</v>
      </c>
      <c r="X31" t="s">
        <v>166</v>
      </c>
      <c r="Y31" t="s">
        <v>472</v>
      </c>
      <c r="Z31" t="s">
        <v>434</v>
      </c>
      <c r="AC31" t="str">
        <f>IF(AA31="",M31,AA31)</f>
        <v>não</v>
      </c>
      <c r="AD31" t="str">
        <f>IF(AB31="",X31,AB31)</f>
        <v>não</v>
      </c>
      <c r="AE31" t="str">
        <f>IF(OR(Configuracao!B9="",Configuracao!B10=""),"aguardando limiar",IF(AND(K31&gt;=Configuracao!B9,K31/MAX(Reconciliacao!C2,1)&gt;=Configuracao!B10/100),"sim","não"))</f>
        <v>aguardando limiar</v>
      </c>
    </row>
    <row r="32" spans="1:31" x14ac:dyDescent="0.25">
      <c r="A32">
        <v>12139</v>
      </c>
      <c r="C32" t="s">
        <v>473</v>
      </c>
      <c r="D32" t="s">
        <v>463</v>
      </c>
      <c r="E32" t="s">
        <v>474</v>
      </c>
      <c r="F32" t="s">
        <v>312</v>
      </c>
      <c r="G32" t="s">
        <v>399</v>
      </c>
      <c r="H32" t="s">
        <v>398</v>
      </c>
      <c r="I32" t="s">
        <v>424</v>
      </c>
      <c r="J32" t="s">
        <v>424</v>
      </c>
      <c r="K32" s="4">
        <v>189</v>
      </c>
      <c r="L32" s="4">
        <v>189</v>
      </c>
      <c r="M32" t="s">
        <v>166</v>
      </c>
      <c r="N32" t="s">
        <v>77</v>
      </c>
      <c r="O32" t="s">
        <v>98</v>
      </c>
      <c r="P32" t="s">
        <v>99</v>
      </c>
      <c r="Q32" t="s">
        <v>98</v>
      </c>
      <c r="R32" t="s">
        <v>98</v>
      </c>
      <c r="S32" t="s">
        <v>167</v>
      </c>
      <c r="T32" t="s">
        <v>167</v>
      </c>
      <c r="U32" t="s">
        <v>313</v>
      </c>
      <c r="V32" t="s">
        <v>169</v>
      </c>
      <c r="W32" t="s">
        <v>77</v>
      </c>
      <c r="X32" t="s">
        <v>44</v>
      </c>
      <c r="Y32" t="s">
        <v>99</v>
      </c>
      <c r="Z32" t="s">
        <v>421</v>
      </c>
      <c r="AC32" t="str">
        <f>IF(AA32="",M32,AA32)</f>
        <v>não</v>
      </c>
      <c r="AD32" t="str">
        <f>IF(AB32="",X32,AB32)</f>
        <v>sim</v>
      </c>
      <c r="AE32" t="str">
        <f>IF(OR(Configuracao!B9="",Configuracao!B10=""),"aguardando limiar",IF(AND(K32&gt;=Configuracao!B9,K32/MAX(Reconciliacao!C2,1)&gt;=Configuracao!B10/100),"sim","não"))</f>
        <v>aguardando limiar</v>
      </c>
    </row>
    <row r="33" spans="1:31" x14ac:dyDescent="0.25">
      <c r="A33">
        <v>6001</v>
      </c>
      <c r="C33" t="s">
        <v>475</v>
      </c>
      <c r="D33" t="s">
        <v>476</v>
      </c>
      <c r="E33" t="s">
        <v>477</v>
      </c>
      <c r="F33" t="s">
        <v>173</v>
      </c>
      <c r="G33" t="s">
        <v>172</v>
      </c>
      <c r="H33" t="s">
        <v>83</v>
      </c>
      <c r="I33" t="s">
        <v>478</v>
      </c>
      <c r="J33" t="s">
        <v>32</v>
      </c>
      <c r="K33" s="4">
        <v>0</v>
      </c>
      <c r="L33" s="4">
        <v>21349.3</v>
      </c>
      <c r="M33" t="s">
        <v>166</v>
      </c>
      <c r="N33" t="s">
        <v>77</v>
      </c>
      <c r="O33" t="s">
        <v>174</v>
      </c>
      <c r="P33" t="s">
        <v>175</v>
      </c>
      <c r="Q33" t="s">
        <v>81</v>
      </c>
      <c r="R33" t="s">
        <v>174</v>
      </c>
      <c r="S33" t="s">
        <v>167</v>
      </c>
      <c r="T33" t="s">
        <v>167</v>
      </c>
      <c r="U33" t="s">
        <v>168</v>
      </c>
      <c r="V33" t="s">
        <v>169</v>
      </c>
      <c r="W33" t="s">
        <v>77</v>
      </c>
      <c r="X33" t="s">
        <v>44</v>
      </c>
      <c r="Y33" t="s">
        <v>99</v>
      </c>
      <c r="Z33" t="s">
        <v>421</v>
      </c>
      <c r="AC33" t="str">
        <f>IF(AA33="",M33,AA33)</f>
        <v>não</v>
      </c>
      <c r="AD33" t="str">
        <f>IF(AB33="",X33,AB33)</f>
        <v>sim</v>
      </c>
      <c r="AE33" t="str">
        <f>IF(OR(Configuracao!B9="",Configuracao!B10=""),"aguardando limiar",IF(AND(K33&gt;=Configuracao!B9,K33/MAX(Reconciliacao!C2,1)&gt;=Configuracao!B10/100),"sim","não"))</f>
        <v>aguardando limiar</v>
      </c>
    </row>
    <row r="34" spans="1:31" x14ac:dyDescent="0.25">
      <c r="A34">
        <v>17019</v>
      </c>
      <c r="C34" t="s">
        <v>479</v>
      </c>
      <c r="D34" t="s">
        <v>476</v>
      </c>
      <c r="E34" t="s">
        <v>467</v>
      </c>
      <c r="F34" t="s">
        <v>173</v>
      </c>
      <c r="G34" t="s">
        <v>172</v>
      </c>
      <c r="H34" t="s">
        <v>83</v>
      </c>
      <c r="I34" t="s">
        <v>442</v>
      </c>
      <c r="J34" t="s">
        <v>442</v>
      </c>
      <c r="K34" s="4">
        <v>191.7</v>
      </c>
      <c r="L34" s="4">
        <v>191.7</v>
      </c>
      <c r="M34" t="s">
        <v>166</v>
      </c>
      <c r="N34" t="s">
        <v>77</v>
      </c>
      <c r="O34" t="s">
        <v>174</v>
      </c>
      <c r="P34" t="s">
        <v>175</v>
      </c>
      <c r="Q34" t="s">
        <v>81</v>
      </c>
      <c r="R34" t="s">
        <v>174</v>
      </c>
      <c r="S34" t="s">
        <v>167</v>
      </c>
      <c r="T34" t="s">
        <v>167</v>
      </c>
      <c r="U34" t="s">
        <v>168</v>
      </c>
      <c r="V34" t="s">
        <v>169</v>
      </c>
      <c r="W34" t="s">
        <v>77</v>
      </c>
      <c r="X34" t="s">
        <v>44</v>
      </c>
      <c r="Y34" t="s">
        <v>99</v>
      </c>
      <c r="Z34" t="s">
        <v>421</v>
      </c>
      <c r="AC34" t="str">
        <f>IF(AA34="",M34,AA34)</f>
        <v>não</v>
      </c>
      <c r="AD34" t="str">
        <f>IF(AB34="",X34,AB34)</f>
        <v>sim</v>
      </c>
      <c r="AE34" t="str">
        <f>IF(OR(Configuracao!B9="",Configuracao!B10=""),"aguardando limiar",IF(AND(K34&gt;=Configuracao!B9,K34/MAX(Reconciliacao!C2,1)&gt;=Configuracao!B10/100),"sim","não"))</f>
        <v>aguardando limiar</v>
      </c>
    </row>
    <row r="35" spans="1:31" x14ac:dyDescent="0.25">
      <c r="A35">
        <v>17833</v>
      </c>
      <c r="C35" t="s">
        <v>479</v>
      </c>
      <c r="D35" t="s">
        <v>476</v>
      </c>
      <c r="E35" t="s">
        <v>467</v>
      </c>
      <c r="F35" t="s">
        <v>173</v>
      </c>
      <c r="G35" t="s">
        <v>172</v>
      </c>
      <c r="H35" t="s">
        <v>83</v>
      </c>
      <c r="I35" t="s">
        <v>439</v>
      </c>
      <c r="J35" t="s">
        <v>439</v>
      </c>
      <c r="K35" s="4">
        <v>191.99</v>
      </c>
      <c r="L35" s="4">
        <v>191.99</v>
      </c>
      <c r="M35" t="s">
        <v>166</v>
      </c>
      <c r="N35" t="s">
        <v>77</v>
      </c>
      <c r="O35" t="s">
        <v>174</v>
      </c>
      <c r="P35" t="s">
        <v>175</v>
      </c>
      <c r="Q35" t="s">
        <v>81</v>
      </c>
      <c r="R35" t="s">
        <v>174</v>
      </c>
      <c r="S35" t="s">
        <v>167</v>
      </c>
      <c r="T35" t="s">
        <v>167</v>
      </c>
      <c r="U35" t="s">
        <v>168</v>
      </c>
      <c r="V35" t="s">
        <v>169</v>
      </c>
      <c r="W35" t="s">
        <v>77</v>
      </c>
      <c r="X35" t="s">
        <v>44</v>
      </c>
      <c r="Y35" t="s">
        <v>99</v>
      </c>
      <c r="Z35" t="s">
        <v>421</v>
      </c>
      <c r="AC35" t="str">
        <f>IF(AA35="",M35,AA35)</f>
        <v>não</v>
      </c>
      <c r="AD35" t="str">
        <f>IF(AB35="",X35,AB35)</f>
        <v>sim</v>
      </c>
      <c r="AE35" t="str">
        <f>IF(OR(Configuracao!B9="",Configuracao!B10=""),"aguardando limiar",IF(AND(K35&gt;=Configuracao!B9,K35/MAX(Reconciliacao!C2,1)&gt;=Configuracao!B10/100),"sim","não"))</f>
        <v>aguardando limiar</v>
      </c>
    </row>
    <row r="36" spans="1:31" x14ac:dyDescent="0.25">
      <c r="A36">
        <v>18691</v>
      </c>
      <c r="C36" t="s">
        <v>479</v>
      </c>
      <c r="D36" t="s">
        <v>476</v>
      </c>
      <c r="E36" t="s">
        <v>467</v>
      </c>
      <c r="F36" t="s">
        <v>173</v>
      </c>
      <c r="G36" t="s">
        <v>172</v>
      </c>
      <c r="H36" t="s">
        <v>83</v>
      </c>
      <c r="I36" t="s">
        <v>35</v>
      </c>
      <c r="J36" t="s">
        <v>35</v>
      </c>
      <c r="K36" s="4">
        <v>192.27</v>
      </c>
      <c r="L36" s="4">
        <v>192.27</v>
      </c>
      <c r="M36" t="s">
        <v>166</v>
      </c>
      <c r="N36" t="s">
        <v>77</v>
      </c>
      <c r="O36" t="s">
        <v>174</v>
      </c>
      <c r="P36" t="s">
        <v>175</v>
      </c>
      <c r="Q36" t="s">
        <v>81</v>
      </c>
      <c r="R36" t="s">
        <v>174</v>
      </c>
      <c r="S36" t="s">
        <v>167</v>
      </c>
      <c r="T36" t="s">
        <v>167</v>
      </c>
      <c r="U36" t="s">
        <v>168</v>
      </c>
      <c r="V36" t="s">
        <v>169</v>
      </c>
      <c r="W36" t="s">
        <v>77</v>
      </c>
      <c r="X36" t="s">
        <v>44</v>
      </c>
      <c r="Y36" t="s">
        <v>99</v>
      </c>
      <c r="Z36" t="s">
        <v>421</v>
      </c>
      <c r="AC36" t="str">
        <f>IF(AA36="",M36,AA36)</f>
        <v>não</v>
      </c>
      <c r="AD36" t="str">
        <f>IF(AB36="",X36,AB36)</f>
        <v>sim</v>
      </c>
      <c r="AE36" t="str">
        <f>IF(OR(Configuracao!B9="",Configuracao!B10=""),"aguardando limiar",IF(AND(K36&gt;=Configuracao!B9,K36/MAX(Reconciliacao!C2,1)&gt;=Configuracao!B10/100),"sim","não"))</f>
        <v>aguardando limiar</v>
      </c>
    </row>
    <row r="37" spans="1:31" x14ac:dyDescent="0.25">
      <c r="A37">
        <v>13358</v>
      </c>
      <c r="C37" t="s">
        <v>480</v>
      </c>
      <c r="D37" t="s">
        <v>481</v>
      </c>
      <c r="E37" t="s">
        <v>477</v>
      </c>
      <c r="F37" t="s">
        <v>173</v>
      </c>
      <c r="G37" t="s">
        <v>172</v>
      </c>
      <c r="H37" t="s">
        <v>83</v>
      </c>
      <c r="I37" t="s">
        <v>420</v>
      </c>
      <c r="J37" t="s">
        <v>420</v>
      </c>
      <c r="K37" s="4">
        <v>302.49</v>
      </c>
      <c r="L37" s="4">
        <v>302.49</v>
      </c>
      <c r="M37" t="s">
        <v>166</v>
      </c>
      <c r="N37" t="s">
        <v>77</v>
      </c>
      <c r="O37" t="s">
        <v>174</v>
      </c>
      <c r="P37" t="s">
        <v>175</v>
      </c>
      <c r="Q37" t="s">
        <v>81</v>
      </c>
      <c r="R37" t="s">
        <v>174</v>
      </c>
      <c r="S37" t="s">
        <v>167</v>
      </c>
      <c r="T37" t="s">
        <v>167</v>
      </c>
      <c r="U37" t="s">
        <v>168</v>
      </c>
      <c r="V37" t="s">
        <v>169</v>
      </c>
      <c r="W37" t="s">
        <v>77</v>
      </c>
      <c r="X37" t="s">
        <v>44</v>
      </c>
      <c r="Y37" t="s">
        <v>99</v>
      </c>
      <c r="Z37" t="s">
        <v>421</v>
      </c>
      <c r="AC37" t="str">
        <f>IF(AA37="",M37,AA37)</f>
        <v>não</v>
      </c>
      <c r="AD37" t="str">
        <f>IF(AB37="",X37,AB37)</f>
        <v>sim</v>
      </c>
      <c r="AE37" t="str">
        <f>IF(OR(Configuracao!B9="",Configuracao!B10=""),"aguardando limiar",IF(AND(K37&gt;=Configuracao!B9,K37/MAX(Reconciliacao!C2,1)&gt;=Configuracao!B10/100),"sim","não"))</f>
        <v>aguardando limiar</v>
      </c>
    </row>
    <row r="38" spans="1:31" x14ac:dyDescent="0.25">
      <c r="A38">
        <v>13359</v>
      </c>
      <c r="C38" t="s">
        <v>482</v>
      </c>
      <c r="D38" t="s">
        <v>481</v>
      </c>
      <c r="E38" t="s">
        <v>477</v>
      </c>
      <c r="F38" t="s">
        <v>173</v>
      </c>
      <c r="G38" t="s">
        <v>172</v>
      </c>
      <c r="H38" t="s">
        <v>83</v>
      </c>
      <c r="I38" t="s">
        <v>420</v>
      </c>
      <c r="J38" t="s">
        <v>420</v>
      </c>
      <c r="K38" s="4">
        <v>312.41</v>
      </c>
      <c r="L38" s="4">
        <v>312.41</v>
      </c>
      <c r="M38" t="s">
        <v>166</v>
      </c>
      <c r="N38" t="s">
        <v>77</v>
      </c>
      <c r="O38" t="s">
        <v>174</v>
      </c>
      <c r="P38" t="s">
        <v>175</v>
      </c>
      <c r="Q38" t="s">
        <v>81</v>
      </c>
      <c r="R38" t="s">
        <v>174</v>
      </c>
      <c r="S38" t="s">
        <v>167</v>
      </c>
      <c r="T38" t="s">
        <v>167</v>
      </c>
      <c r="U38" t="s">
        <v>168</v>
      </c>
      <c r="V38" t="s">
        <v>169</v>
      </c>
      <c r="W38" t="s">
        <v>77</v>
      </c>
      <c r="X38" t="s">
        <v>44</v>
      </c>
      <c r="Y38" t="s">
        <v>99</v>
      </c>
      <c r="Z38" t="s">
        <v>421</v>
      </c>
      <c r="AC38" t="str">
        <f>IF(AA38="",M38,AA38)</f>
        <v>não</v>
      </c>
      <c r="AD38" t="str">
        <f>IF(AB38="",X38,AB38)</f>
        <v>sim</v>
      </c>
      <c r="AE38" t="str">
        <f>IF(OR(Configuracao!B9="",Configuracao!B10=""),"aguardando limiar",IF(AND(K38&gt;=Configuracao!B9,K38/MAX(Reconciliacao!C2,1)&gt;=Configuracao!B10/100),"sim","não"))</f>
        <v>aguardando limiar</v>
      </c>
    </row>
    <row r="39" spans="1:31" x14ac:dyDescent="0.25">
      <c r="A39">
        <v>12238</v>
      </c>
      <c r="C39" t="s">
        <v>483</v>
      </c>
      <c r="D39" t="s">
        <v>484</v>
      </c>
      <c r="E39" t="s">
        <v>74</v>
      </c>
      <c r="F39" t="s">
        <v>173</v>
      </c>
      <c r="G39" t="s">
        <v>172</v>
      </c>
      <c r="H39" t="s">
        <v>83</v>
      </c>
      <c r="I39" t="s">
        <v>424</v>
      </c>
      <c r="J39" t="s">
        <v>424</v>
      </c>
      <c r="K39" s="4">
        <v>314.01</v>
      </c>
      <c r="L39" s="4">
        <v>314.01</v>
      </c>
      <c r="M39" t="s">
        <v>166</v>
      </c>
      <c r="N39" t="s">
        <v>77</v>
      </c>
      <c r="O39" t="s">
        <v>76</v>
      </c>
      <c r="P39" t="s">
        <v>187</v>
      </c>
      <c r="Q39" t="s">
        <v>76</v>
      </c>
      <c r="R39" t="s">
        <v>76</v>
      </c>
      <c r="S39" t="s">
        <v>167</v>
      </c>
      <c r="T39" t="s">
        <v>167</v>
      </c>
      <c r="U39" t="s">
        <v>168</v>
      </c>
      <c r="V39" t="s">
        <v>169</v>
      </c>
      <c r="W39" t="s">
        <v>77</v>
      </c>
      <c r="X39" t="s">
        <v>44</v>
      </c>
      <c r="Y39" t="s">
        <v>99</v>
      </c>
      <c r="Z39" t="s">
        <v>421</v>
      </c>
      <c r="AC39" t="str">
        <f>IF(AA39="",M39,AA39)</f>
        <v>não</v>
      </c>
      <c r="AD39" t="str">
        <f>IF(AB39="",X39,AB39)</f>
        <v>sim</v>
      </c>
      <c r="AE39" t="str">
        <f>IF(OR(Configuracao!B9="",Configuracao!B10=""),"aguardando limiar",IF(AND(K39&gt;=Configuracao!B9,K39/MAX(Reconciliacao!C2,1)&gt;=Configuracao!B10/100),"sim","não"))</f>
        <v>aguardando limiar</v>
      </c>
    </row>
    <row r="40" spans="1:31" x14ac:dyDescent="0.25">
      <c r="A40">
        <v>17330</v>
      </c>
      <c r="C40" t="s">
        <v>485</v>
      </c>
      <c r="D40" t="s">
        <v>481</v>
      </c>
      <c r="E40" t="s">
        <v>486</v>
      </c>
      <c r="F40" t="s">
        <v>173</v>
      </c>
      <c r="G40" t="s">
        <v>172</v>
      </c>
      <c r="H40" t="s">
        <v>83</v>
      </c>
      <c r="I40" t="s">
        <v>442</v>
      </c>
      <c r="J40" t="s">
        <v>442</v>
      </c>
      <c r="K40" s="4">
        <v>516.92</v>
      </c>
      <c r="L40" s="4">
        <v>516.92</v>
      </c>
      <c r="M40" t="s">
        <v>166</v>
      </c>
      <c r="N40" t="s">
        <v>77</v>
      </c>
      <c r="O40" t="s">
        <v>174</v>
      </c>
      <c r="P40" t="s">
        <v>175</v>
      </c>
      <c r="Q40" t="s">
        <v>81</v>
      </c>
      <c r="R40" t="s">
        <v>174</v>
      </c>
      <c r="S40" t="s">
        <v>167</v>
      </c>
      <c r="T40" t="s">
        <v>167</v>
      </c>
      <c r="U40" t="s">
        <v>168</v>
      </c>
      <c r="V40" t="s">
        <v>169</v>
      </c>
      <c r="W40" t="s">
        <v>77</v>
      </c>
      <c r="X40" t="s">
        <v>44</v>
      </c>
      <c r="Y40" t="s">
        <v>99</v>
      </c>
      <c r="Z40" t="s">
        <v>421</v>
      </c>
      <c r="AC40" t="str">
        <f>IF(AA40="",M40,AA40)</f>
        <v>não</v>
      </c>
      <c r="AD40" t="str">
        <f>IF(AB40="",X40,AB40)</f>
        <v>sim</v>
      </c>
      <c r="AE40" t="str">
        <f>IF(OR(Configuracao!B9="",Configuracao!B10=""),"aguardando limiar",IF(AND(K40&gt;=Configuracao!B9,K40/MAX(Reconciliacao!C2,1)&gt;=Configuracao!B10/100),"sim","não"))</f>
        <v>aguardando limiar</v>
      </c>
    </row>
    <row r="41" spans="1:31" x14ac:dyDescent="0.25">
      <c r="A41">
        <v>18480</v>
      </c>
      <c r="C41" t="s">
        <v>487</v>
      </c>
      <c r="D41" t="s">
        <v>484</v>
      </c>
      <c r="E41" t="s">
        <v>486</v>
      </c>
      <c r="F41" t="s">
        <v>173</v>
      </c>
      <c r="G41" t="s">
        <v>172</v>
      </c>
      <c r="H41" t="s">
        <v>83</v>
      </c>
      <c r="I41" t="s">
        <v>439</v>
      </c>
      <c r="J41" t="s">
        <v>439</v>
      </c>
      <c r="K41" s="4">
        <v>686.63</v>
      </c>
      <c r="L41" s="4">
        <v>686.63</v>
      </c>
      <c r="M41" t="s">
        <v>166</v>
      </c>
      <c r="N41" t="s">
        <v>77</v>
      </c>
      <c r="O41" t="s">
        <v>174</v>
      </c>
      <c r="P41" t="s">
        <v>175</v>
      </c>
      <c r="Q41" t="s">
        <v>81</v>
      </c>
      <c r="R41" t="s">
        <v>174</v>
      </c>
      <c r="S41" t="s">
        <v>167</v>
      </c>
      <c r="T41" t="s">
        <v>167</v>
      </c>
      <c r="U41" t="s">
        <v>168</v>
      </c>
      <c r="V41" t="s">
        <v>169</v>
      </c>
      <c r="W41" t="s">
        <v>77</v>
      </c>
      <c r="X41" t="s">
        <v>44</v>
      </c>
      <c r="Y41" t="s">
        <v>99</v>
      </c>
      <c r="Z41" t="s">
        <v>421</v>
      </c>
      <c r="AC41" t="str">
        <f>IF(AA41="",M41,AA41)</f>
        <v>não</v>
      </c>
      <c r="AD41" t="str">
        <f>IF(AB41="",X41,AB41)</f>
        <v>sim</v>
      </c>
      <c r="AE41" t="str">
        <f>IF(OR(Configuracao!B9="",Configuracao!B10=""),"aguardando limiar",IF(AND(K41&gt;=Configuracao!B9,K41/MAX(Reconciliacao!C2,1)&gt;=Configuracao!B10/100),"sim","não"))</f>
        <v>aguardando limiar</v>
      </c>
    </row>
    <row r="42" spans="1:31" x14ac:dyDescent="0.25">
      <c r="A42">
        <v>19041</v>
      </c>
      <c r="C42" t="s">
        <v>487</v>
      </c>
      <c r="D42" t="s">
        <v>484</v>
      </c>
      <c r="E42" t="s">
        <v>486</v>
      </c>
      <c r="F42" t="s">
        <v>173</v>
      </c>
      <c r="G42" t="s">
        <v>172</v>
      </c>
      <c r="H42" t="s">
        <v>83</v>
      </c>
      <c r="I42" t="s">
        <v>35</v>
      </c>
      <c r="J42" t="s">
        <v>35</v>
      </c>
      <c r="K42" s="4">
        <v>686.63</v>
      </c>
      <c r="L42" s="4">
        <v>686.63</v>
      </c>
      <c r="M42" t="s">
        <v>166</v>
      </c>
      <c r="N42" t="s">
        <v>77</v>
      </c>
      <c r="O42" t="s">
        <v>174</v>
      </c>
      <c r="P42" t="s">
        <v>175</v>
      </c>
      <c r="Q42" t="s">
        <v>81</v>
      </c>
      <c r="R42" t="s">
        <v>174</v>
      </c>
      <c r="S42" t="s">
        <v>167</v>
      </c>
      <c r="T42" t="s">
        <v>167</v>
      </c>
      <c r="U42" t="s">
        <v>168</v>
      </c>
      <c r="V42" t="s">
        <v>169</v>
      </c>
      <c r="W42" t="s">
        <v>77</v>
      </c>
      <c r="X42" t="s">
        <v>44</v>
      </c>
      <c r="Y42" t="s">
        <v>99</v>
      </c>
      <c r="Z42" t="s">
        <v>421</v>
      </c>
      <c r="AC42" t="str">
        <f>IF(AA42="",M42,AA42)</f>
        <v>não</v>
      </c>
      <c r="AD42" t="str">
        <f>IF(AB42="",X42,AB42)</f>
        <v>sim</v>
      </c>
      <c r="AE42" t="str">
        <f>IF(OR(Configuracao!B9="",Configuracao!B10=""),"aguardando limiar",IF(AND(K42&gt;=Configuracao!B9,K42/MAX(Reconciliacao!C2,1)&gt;=Configuracao!B10/100),"sim","não"))</f>
        <v>aguardando limiar</v>
      </c>
    </row>
    <row r="43" spans="1:31" x14ac:dyDescent="0.25">
      <c r="A43">
        <v>12900</v>
      </c>
      <c r="C43" t="s">
        <v>488</v>
      </c>
      <c r="D43" t="s">
        <v>489</v>
      </c>
      <c r="E43" t="s">
        <v>477</v>
      </c>
      <c r="F43" t="s">
        <v>173</v>
      </c>
      <c r="G43" t="s">
        <v>172</v>
      </c>
      <c r="H43" t="s">
        <v>83</v>
      </c>
      <c r="I43" t="s">
        <v>420</v>
      </c>
      <c r="J43" t="s">
        <v>420</v>
      </c>
      <c r="K43" s="4">
        <v>699.5</v>
      </c>
      <c r="L43" s="4">
        <v>699.5</v>
      </c>
      <c r="M43" t="s">
        <v>166</v>
      </c>
      <c r="N43" t="s">
        <v>77</v>
      </c>
      <c r="O43" t="s">
        <v>174</v>
      </c>
      <c r="P43" t="s">
        <v>175</v>
      </c>
      <c r="Q43" t="s">
        <v>81</v>
      </c>
      <c r="R43" t="s">
        <v>174</v>
      </c>
      <c r="S43" t="s">
        <v>167</v>
      </c>
      <c r="T43" t="s">
        <v>167</v>
      </c>
      <c r="U43" t="s">
        <v>168</v>
      </c>
      <c r="V43" t="s">
        <v>169</v>
      </c>
      <c r="W43" t="s">
        <v>77</v>
      </c>
      <c r="X43" t="s">
        <v>44</v>
      </c>
      <c r="Y43" t="s">
        <v>99</v>
      </c>
      <c r="Z43" t="s">
        <v>421</v>
      </c>
      <c r="AC43" t="str">
        <f>IF(AA43="",M43,AA43)</f>
        <v>não</v>
      </c>
      <c r="AD43" t="str">
        <f>IF(AB43="",X43,AB43)</f>
        <v>sim</v>
      </c>
      <c r="AE43" t="str">
        <f>IF(OR(Configuracao!B9="",Configuracao!B10=""),"aguardando limiar",IF(AND(K43&gt;=Configuracao!B9,K43/MAX(Reconciliacao!C2,1)&gt;=Configuracao!B10/100),"sim","não"))</f>
        <v>aguardando limiar</v>
      </c>
    </row>
    <row r="44" spans="1:31" x14ac:dyDescent="0.25">
      <c r="A44">
        <v>16657</v>
      </c>
      <c r="C44" t="s">
        <v>490</v>
      </c>
      <c r="D44" t="s">
        <v>476</v>
      </c>
      <c r="E44" t="s">
        <v>467</v>
      </c>
      <c r="F44" t="s">
        <v>173</v>
      </c>
      <c r="G44" t="s">
        <v>172</v>
      </c>
      <c r="H44" t="s">
        <v>83</v>
      </c>
      <c r="I44" t="s">
        <v>461</v>
      </c>
      <c r="J44" t="s">
        <v>461</v>
      </c>
      <c r="K44" s="4">
        <v>764</v>
      </c>
      <c r="L44" s="4">
        <v>764</v>
      </c>
      <c r="M44" t="s">
        <v>166</v>
      </c>
      <c r="N44" t="s">
        <v>77</v>
      </c>
      <c r="O44" t="s">
        <v>174</v>
      </c>
      <c r="P44" t="s">
        <v>175</v>
      </c>
      <c r="Q44" t="s">
        <v>81</v>
      </c>
      <c r="R44" t="s">
        <v>174</v>
      </c>
      <c r="S44" t="s">
        <v>167</v>
      </c>
      <c r="T44" t="s">
        <v>167</v>
      </c>
      <c r="U44" t="s">
        <v>168</v>
      </c>
      <c r="V44" t="s">
        <v>169</v>
      </c>
      <c r="W44" t="s">
        <v>77</v>
      </c>
      <c r="X44" t="s">
        <v>44</v>
      </c>
      <c r="Y44" t="s">
        <v>99</v>
      </c>
      <c r="Z44" t="s">
        <v>421</v>
      </c>
      <c r="AC44" t="str">
        <f>IF(AA44="",M44,AA44)</f>
        <v>não</v>
      </c>
      <c r="AD44" t="str">
        <f>IF(AB44="",X44,AB44)</f>
        <v>sim</v>
      </c>
      <c r="AE44" t="str">
        <f>IF(OR(Configuracao!B9="",Configuracao!B10=""),"aguardando limiar",IF(AND(K44&gt;=Configuracao!B9,K44/MAX(Reconciliacao!C2,1)&gt;=Configuracao!B10/100),"sim","não"))</f>
        <v>aguardando limiar</v>
      </c>
    </row>
    <row r="45" spans="1:31" x14ac:dyDescent="0.25">
      <c r="A45">
        <v>13085</v>
      </c>
      <c r="C45" t="s">
        <v>491</v>
      </c>
      <c r="D45" t="s">
        <v>492</v>
      </c>
      <c r="E45" t="s">
        <v>467</v>
      </c>
      <c r="F45" t="s">
        <v>173</v>
      </c>
      <c r="G45" t="s">
        <v>172</v>
      </c>
      <c r="H45" t="s">
        <v>83</v>
      </c>
      <c r="I45" t="s">
        <v>424</v>
      </c>
      <c r="J45" t="s">
        <v>424</v>
      </c>
      <c r="K45" s="4">
        <v>864.12</v>
      </c>
      <c r="L45" s="4">
        <v>864.12</v>
      </c>
      <c r="M45" t="s">
        <v>166</v>
      </c>
      <c r="N45" t="s">
        <v>77</v>
      </c>
      <c r="O45" t="s">
        <v>174</v>
      </c>
      <c r="P45" t="s">
        <v>175</v>
      </c>
      <c r="Q45" t="s">
        <v>81</v>
      </c>
      <c r="R45" t="s">
        <v>174</v>
      </c>
      <c r="S45" t="s">
        <v>167</v>
      </c>
      <c r="T45" t="s">
        <v>167</v>
      </c>
      <c r="U45" t="s">
        <v>168</v>
      </c>
      <c r="V45" t="s">
        <v>169</v>
      </c>
      <c r="W45" t="s">
        <v>77</v>
      </c>
      <c r="X45" t="s">
        <v>44</v>
      </c>
      <c r="Y45" t="s">
        <v>99</v>
      </c>
      <c r="Z45" t="s">
        <v>421</v>
      </c>
      <c r="AC45" t="str">
        <f>IF(AA45="",M45,AA45)</f>
        <v>não</v>
      </c>
      <c r="AD45" t="str">
        <f>IF(AB45="",X45,AB45)</f>
        <v>sim</v>
      </c>
      <c r="AE45" t="str">
        <f>IF(OR(Configuracao!B9="",Configuracao!B10=""),"aguardando limiar",IF(AND(K45&gt;=Configuracao!B9,K45/MAX(Reconciliacao!C2,1)&gt;=Configuracao!B10/100),"sim","não"))</f>
        <v>aguardando limiar</v>
      </c>
    </row>
    <row r="46" spans="1:31" x14ac:dyDescent="0.25">
      <c r="A46">
        <v>17332</v>
      </c>
      <c r="C46" t="s">
        <v>485</v>
      </c>
      <c r="D46" t="s">
        <v>481</v>
      </c>
      <c r="E46" t="s">
        <v>486</v>
      </c>
      <c r="F46" t="s">
        <v>173</v>
      </c>
      <c r="G46" t="s">
        <v>172</v>
      </c>
      <c r="H46" t="s">
        <v>83</v>
      </c>
      <c r="I46" t="s">
        <v>442</v>
      </c>
      <c r="J46" t="s">
        <v>442</v>
      </c>
      <c r="K46" s="4">
        <v>1000</v>
      </c>
      <c r="L46" s="4">
        <v>1000</v>
      </c>
      <c r="M46" t="s">
        <v>166</v>
      </c>
      <c r="N46" t="s">
        <v>77</v>
      </c>
      <c r="O46" t="s">
        <v>174</v>
      </c>
      <c r="P46" t="s">
        <v>175</v>
      </c>
      <c r="Q46" t="s">
        <v>81</v>
      </c>
      <c r="R46" t="s">
        <v>174</v>
      </c>
      <c r="S46" t="s">
        <v>167</v>
      </c>
      <c r="T46" t="s">
        <v>167</v>
      </c>
      <c r="U46" t="s">
        <v>168</v>
      </c>
      <c r="V46" t="s">
        <v>169</v>
      </c>
      <c r="W46" t="s">
        <v>77</v>
      </c>
      <c r="X46" t="s">
        <v>44</v>
      </c>
      <c r="Y46" t="s">
        <v>99</v>
      </c>
      <c r="Z46" t="s">
        <v>421</v>
      </c>
      <c r="AC46" t="str">
        <f>IF(AA46="",M46,AA46)</f>
        <v>não</v>
      </c>
      <c r="AD46" t="str">
        <f>IF(AB46="",X46,AB46)</f>
        <v>sim</v>
      </c>
      <c r="AE46" t="str">
        <f>IF(OR(Configuracao!B9="",Configuracao!B10=""),"aguardando limiar",IF(AND(K46&gt;=Configuracao!B9,K46/MAX(Reconciliacao!C2,1)&gt;=Configuracao!B10/100),"sim","não"))</f>
        <v>aguardando limiar</v>
      </c>
    </row>
    <row r="47" spans="1:31" x14ac:dyDescent="0.25">
      <c r="A47">
        <v>11643</v>
      </c>
      <c r="C47" t="s">
        <v>493</v>
      </c>
      <c r="D47" t="s">
        <v>494</v>
      </c>
      <c r="E47" t="s">
        <v>467</v>
      </c>
      <c r="F47" t="s">
        <v>173</v>
      </c>
      <c r="G47" t="s">
        <v>172</v>
      </c>
      <c r="H47" t="s">
        <v>83</v>
      </c>
      <c r="I47" t="s">
        <v>32</v>
      </c>
      <c r="J47" t="s">
        <v>32</v>
      </c>
      <c r="K47" s="4">
        <v>1107.98</v>
      </c>
      <c r="L47" s="4">
        <v>1107.98</v>
      </c>
      <c r="M47" t="s">
        <v>166</v>
      </c>
      <c r="N47" t="s">
        <v>77</v>
      </c>
      <c r="O47" t="s">
        <v>174</v>
      </c>
      <c r="P47" t="s">
        <v>175</v>
      </c>
      <c r="Q47" t="s">
        <v>81</v>
      </c>
      <c r="R47" t="s">
        <v>174</v>
      </c>
      <c r="S47" t="s">
        <v>167</v>
      </c>
      <c r="T47" t="s">
        <v>167</v>
      </c>
      <c r="U47" t="s">
        <v>168</v>
      </c>
      <c r="V47" t="s">
        <v>169</v>
      </c>
      <c r="W47" t="s">
        <v>77</v>
      </c>
      <c r="X47" t="s">
        <v>166</v>
      </c>
      <c r="Y47" t="s">
        <v>472</v>
      </c>
      <c r="Z47" t="s">
        <v>434</v>
      </c>
      <c r="AC47" t="str">
        <f>IF(AA47="",M47,AA47)</f>
        <v>não</v>
      </c>
      <c r="AD47" t="str">
        <f>IF(AB47="",X47,AB47)</f>
        <v>não</v>
      </c>
      <c r="AE47" t="str">
        <f>IF(OR(Configuracao!B9="",Configuracao!B10=""),"aguardando limiar",IF(AND(K47&gt;=Configuracao!B9,K47/MAX(Reconciliacao!C2,1)&gt;=Configuracao!B10/100),"sim","não"))</f>
        <v>aguardando limiar</v>
      </c>
    </row>
    <row r="48" spans="1:31" x14ac:dyDescent="0.25">
      <c r="A48">
        <v>17995</v>
      </c>
      <c r="C48" t="s">
        <v>495</v>
      </c>
      <c r="D48" t="s">
        <v>484</v>
      </c>
      <c r="E48" t="s">
        <v>486</v>
      </c>
      <c r="F48" t="s">
        <v>173</v>
      </c>
      <c r="G48" t="s">
        <v>172</v>
      </c>
      <c r="H48" t="s">
        <v>83</v>
      </c>
      <c r="I48" t="s">
        <v>439</v>
      </c>
      <c r="J48" t="s">
        <v>439</v>
      </c>
      <c r="K48" s="4">
        <v>1147.45</v>
      </c>
      <c r="L48" s="4">
        <v>1147.45</v>
      </c>
      <c r="M48" t="s">
        <v>166</v>
      </c>
      <c r="N48" t="s">
        <v>77</v>
      </c>
      <c r="O48" t="s">
        <v>174</v>
      </c>
      <c r="P48" t="s">
        <v>175</v>
      </c>
      <c r="Q48" t="s">
        <v>81</v>
      </c>
      <c r="R48" t="s">
        <v>174</v>
      </c>
      <c r="S48" t="s">
        <v>167</v>
      </c>
      <c r="T48" t="s">
        <v>167</v>
      </c>
      <c r="U48" t="s">
        <v>168</v>
      </c>
      <c r="V48" t="s">
        <v>169</v>
      </c>
      <c r="W48" t="s">
        <v>77</v>
      </c>
      <c r="X48" t="s">
        <v>44</v>
      </c>
      <c r="Y48" t="s">
        <v>99</v>
      </c>
      <c r="Z48" t="s">
        <v>421</v>
      </c>
      <c r="AC48" t="str">
        <f>IF(AA48="",M48,AA48)</f>
        <v>não</v>
      </c>
      <c r="AD48" t="str">
        <f>IF(AB48="",X48,AB48)</f>
        <v>sim</v>
      </c>
      <c r="AE48" t="str">
        <f>IF(OR(Configuracao!B9="",Configuracao!B10=""),"aguardando limiar",IF(AND(K48&gt;=Configuracao!B9,K48/MAX(Reconciliacao!C2,1)&gt;=Configuracao!B10/100),"sim","não"))</f>
        <v>aguardando limiar</v>
      </c>
    </row>
    <row r="49" spans="1:31" x14ac:dyDescent="0.25">
      <c r="A49">
        <v>17378</v>
      </c>
      <c r="C49" t="s">
        <v>496</v>
      </c>
      <c r="D49" t="s">
        <v>497</v>
      </c>
      <c r="E49" t="s">
        <v>445</v>
      </c>
      <c r="F49" t="s">
        <v>173</v>
      </c>
      <c r="G49" t="s">
        <v>172</v>
      </c>
      <c r="H49" t="s">
        <v>83</v>
      </c>
      <c r="I49" t="s">
        <v>442</v>
      </c>
      <c r="J49" t="s">
        <v>442</v>
      </c>
      <c r="K49" s="4">
        <v>1439.42</v>
      </c>
      <c r="L49" s="4">
        <v>1439.42</v>
      </c>
      <c r="M49" t="s">
        <v>166</v>
      </c>
      <c r="N49" t="s">
        <v>77</v>
      </c>
      <c r="O49" t="s">
        <v>174</v>
      </c>
      <c r="P49" t="s">
        <v>175</v>
      </c>
      <c r="Q49" t="s">
        <v>81</v>
      </c>
      <c r="R49" t="s">
        <v>174</v>
      </c>
      <c r="S49" t="s">
        <v>167</v>
      </c>
      <c r="T49" t="s">
        <v>167</v>
      </c>
      <c r="U49" t="s">
        <v>168</v>
      </c>
      <c r="V49" t="s">
        <v>169</v>
      </c>
      <c r="W49" t="s">
        <v>77</v>
      </c>
      <c r="X49" t="s">
        <v>166</v>
      </c>
      <c r="Y49" t="s">
        <v>472</v>
      </c>
      <c r="Z49" t="s">
        <v>434</v>
      </c>
      <c r="AC49" t="str">
        <f>IF(AA49="",M49,AA49)</f>
        <v>não</v>
      </c>
      <c r="AD49" t="str">
        <f>IF(AB49="",X49,AB49)</f>
        <v>não</v>
      </c>
      <c r="AE49" t="str">
        <f>IF(OR(Configuracao!B9="",Configuracao!B10=""),"aguardando limiar",IF(AND(K49&gt;=Configuracao!B9,K49/MAX(Reconciliacao!C2,1)&gt;=Configuracao!B10/100),"sim","não"))</f>
        <v>aguardando limiar</v>
      </c>
    </row>
    <row r="50" spans="1:31" x14ac:dyDescent="0.25">
      <c r="A50">
        <v>18870</v>
      </c>
      <c r="C50" t="s">
        <v>498</v>
      </c>
      <c r="D50" t="s">
        <v>489</v>
      </c>
      <c r="E50" t="s">
        <v>486</v>
      </c>
      <c r="F50" t="s">
        <v>173</v>
      </c>
      <c r="G50" t="s">
        <v>172</v>
      </c>
      <c r="H50" t="s">
        <v>83</v>
      </c>
      <c r="I50" t="s">
        <v>35</v>
      </c>
      <c r="J50" t="s">
        <v>35</v>
      </c>
      <c r="K50" s="4">
        <v>1512.21</v>
      </c>
      <c r="L50" s="4">
        <v>1512.21</v>
      </c>
      <c r="M50" t="s">
        <v>166</v>
      </c>
      <c r="N50" t="s">
        <v>77</v>
      </c>
      <c r="O50" t="s">
        <v>174</v>
      </c>
      <c r="P50" t="s">
        <v>175</v>
      </c>
      <c r="Q50" t="s">
        <v>81</v>
      </c>
      <c r="R50" t="s">
        <v>174</v>
      </c>
      <c r="S50" t="s">
        <v>167</v>
      </c>
      <c r="T50" t="s">
        <v>167</v>
      </c>
      <c r="U50" t="s">
        <v>168</v>
      </c>
      <c r="V50" t="s">
        <v>169</v>
      </c>
      <c r="W50" t="s">
        <v>77</v>
      </c>
      <c r="X50" t="s">
        <v>44</v>
      </c>
      <c r="Y50" t="s">
        <v>99</v>
      </c>
      <c r="Z50" t="s">
        <v>421</v>
      </c>
      <c r="AC50" t="str">
        <f>IF(AA50="",M50,AA50)</f>
        <v>não</v>
      </c>
      <c r="AD50" t="str">
        <f>IF(AB50="",X50,AB50)</f>
        <v>sim</v>
      </c>
      <c r="AE50" t="str">
        <f>IF(OR(Configuracao!B9="",Configuracao!B10=""),"aguardando limiar",IF(AND(K50&gt;=Configuracao!B9,K50/MAX(Reconciliacao!C2,1)&gt;=Configuracao!B10/100),"sim","não"))</f>
        <v>aguardando limiar</v>
      </c>
    </row>
    <row r="51" spans="1:31" x14ac:dyDescent="0.25">
      <c r="A51">
        <v>11829</v>
      </c>
      <c r="C51" t="s">
        <v>499</v>
      </c>
      <c r="D51" t="s">
        <v>500</v>
      </c>
      <c r="E51" t="s">
        <v>477</v>
      </c>
      <c r="F51" t="s">
        <v>173</v>
      </c>
      <c r="G51" t="s">
        <v>172</v>
      </c>
      <c r="H51" t="s">
        <v>83</v>
      </c>
      <c r="I51" t="s">
        <v>32</v>
      </c>
      <c r="J51" t="s">
        <v>32</v>
      </c>
      <c r="K51" s="4">
        <v>1875</v>
      </c>
      <c r="L51" s="4">
        <v>1875</v>
      </c>
      <c r="M51" t="s">
        <v>166</v>
      </c>
      <c r="N51" t="s">
        <v>77</v>
      </c>
      <c r="O51" t="s">
        <v>174</v>
      </c>
      <c r="P51" t="s">
        <v>175</v>
      </c>
      <c r="Q51" t="s">
        <v>81</v>
      </c>
      <c r="R51" t="s">
        <v>174</v>
      </c>
      <c r="S51" t="s">
        <v>167</v>
      </c>
      <c r="T51" t="s">
        <v>167</v>
      </c>
      <c r="U51" t="s">
        <v>168</v>
      </c>
      <c r="V51" t="s">
        <v>169</v>
      </c>
      <c r="W51" t="s">
        <v>77</v>
      </c>
      <c r="X51" t="s">
        <v>44</v>
      </c>
      <c r="Y51" t="s">
        <v>99</v>
      </c>
      <c r="Z51" t="s">
        <v>421</v>
      </c>
      <c r="AC51" t="str">
        <f>IF(AA51="",M51,AA51)</f>
        <v>não</v>
      </c>
      <c r="AD51" t="str">
        <f>IF(AB51="",X51,AB51)</f>
        <v>sim</v>
      </c>
      <c r="AE51" t="str">
        <f>IF(OR(Configuracao!B9="",Configuracao!B10=""),"aguardando limiar",IF(AND(K51&gt;=Configuracao!B9,K51/MAX(Reconciliacao!C2,1)&gt;=Configuracao!B10/100),"sim","não"))</f>
        <v>aguardando limiar</v>
      </c>
    </row>
    <row r="52" spans="1:31" x14ac:dyDescent="0.25">
      <c r="A52">
        <v>13048</v>
      </c>
      <c r="C52" t="s">
        <v>499</v>
      </c>
      <c r="D52" t="s">
        <v>500</v>
      </c>
      <c r="E52" t="s">
        <v>477</v>
      </c>
      <c r="F52" t="s">
        <v>173</v>
      </c>
      <c r="G52" t="s">
        <v>172</v>
      </c>
      <c r="H52" t="s">
        <v>83</v>
      </c>
      <c r="I52" t="s">
        <v>424</v>
      </c>
      <c r="J52" t="s">
        <v>424</v>
      </c>
      <c r="K52" s="4">
        <v>1875</v>
      </c>
      <c r="L52" s="4">
        <v>1875</v>
      </c>
      <c r="M52" t="s">
        <v>166</v>
      </c>
      <c r="N52" t="s">
        <v>77</v>
      </c>
      <c r="O52" t="s">
        <v>174</v>
      </c>
      <c r="P52" t="s">
        <v>175</v>
      </c>
      <c r="Q52" t="s">
        <v>81</v>
      </c>
      <c r="R52" t="s">
        <v>174</v>
      </c>
      <c r="S52" t="s">
        <v>167</v>
      </c>
      <c r="T52" t="s">
        <v>167</v>
      </c>
      <c r="U52" t="s">
        <v>168</v>
      </c>
      <c r="V52" t="s">
        <v>169</v>
      </c>
      <c r="W52" t="s">
        <v>77</v>
      </c>
      <c r="X52" t="s">
        <v>44</v>
      </c>
      <c r="Y52" t="s">
        <v>99</v>
      </c>
      <c r="Z52" t="s">
        <v>421</v>
      </c>
      <c r="AC52" t="str">
        <f>IF(AA52="",M52,AA52)</f>
        <v>não</v>
      </c>
      <c r="AD52" t="str">
        <f>IF(AB52="",X52,AB52)</f>
        <v>sim</v>
      </c>
      <c r="AE52" t="str">
        <f>IF(OR(Configuracao!B9="",Configuracao!B10=""),"aguardando limiar",IF(AND(K52&gt;=Configuracao!B9,K52/MAX(Reconciliacao!C2,1)&gt;=Configuracao!B10/100),"sim","não"))</f>
        <v>aguardando limiar</v>
      </c>
    </row>
    <row r="53" spans="1:31" x14ac:dyDescent="0.25">
      <c r="A53">
        <v>14913</v>
      </c>
      <c r="C53" t="s">
        <v>499</v>
      </c>
      <c r="D53" t="s">
        <v>500</v>
      </c>
      <c r="E53" t="s">
        <v>486</v>
      </c>
      <c r="F53" t="s">
        <v>173</v>
      </c>
      <c r="G53" t="s">
        <v>172</v>
      </c>
      <c r="H53" t="s">
        <v>83</v>
      </c>
      <c r="I53" t="s">
        <v>454</v>
      </c>
      <c r="J53" t="s">
        <v>454</v>
      </c>
      <c r="K53" s="4">
        <v>1875</v>
      </c>
      <c r="L53" s="4">
        <v>1875</v>
      </c>
      <c r="M53" t="s">
        <v>166</v>
      </c>
      <c r="N53" t="s">
        <v>77</v>
      </c>
      <c r="O53" t="s">
        <v>174</v>
      </c>
      <c r="P53" t="s">
        <v>175</v>
      </c>
      <c r="Q53" t="s">
        <v>81</v>
      </c>
      <c r="R53" t="s">
        <v>174</v>
      </c>
      <c r="S53" t="s">
        <v>167</v>
      </c>
      <c r="T53" t="s">
        <v>167</v>
      </c>
      <c r="U53" t="s">
        <v>168</v>
      </c>
      <c r="V53" t="s">
        <v>169</v>
      </c>
      <c r="W53" t="s">
        <v>77</v>
      </c>
      <c r="X53" t="s">
        <v>44</v>
      </c>
      <c r="Y53" t="s">
        <v>99</v>
      </c>
      <c r="Z53" t="s">
        <v>421</v>
      </c>
      <c r="AC53" t="str">
        <f>IF(AA53="",M53,AA53)</f>
        <v>não</v>
      </c>
      <c r="AD53" t="str">
        <f>IF(AB53="",X53,AB53)</f>
        <v>sim</v>
      </c>
      <c r="AE53" t="str">
        <f>IF(OR(Configuracao!B9="",Configuracao!B10=""),"aguardando limiar",IF(AND(K53&gt;=Configuracao!B9,K53/MAX(Reconciliacao!C2,1)&gt;=Configuracao!B10/100),"sim","não"))</f>
        <v>aguardando limiar</v>
      </c>
    </row>
    <row r="54" spans="1:31" x14ac:dyDescent="0.25">
      <c r="A54">
        <v>16656</v>
      </c>
      <c r="C54" t="s">
        <v>499</v>
      </c>
      <c r="D54" t="s">
        <v>500</v>
      </c>
      <c r="E54" t="s">
        <v>486</v>
      </c>
      <c r="F54" t="s">
        <v>173</v>
      </c>
      <c r="G54" t="s">
        <v>172</v>
      </c>
      <c r="H54" t="s">
        <v>83</v>
      </c>
      <c r="I54" t="s">
        <v>461</v>
      </c>
      <c r="J54" t="s">
        <v>461</v>
      </c>
      <c r="K54" s="4">
        <v>1875</v>
      </c>
      <c r="L54" s="4">
        <v>1875</v>
      </c>
      <c r="M54" t="s">
        <v>166</v>
      </c>
      <c r="N54" t="s">
        <v>77</v>
      </c>
      <c r="O54" t="s">
        <v>174</v>
      </c>
      <c r="P54" t="s">
        <v>175</v>
      </c>
      <c r="Q54" t="s">
        <v>81</v>
      </c>
      <c r="R54" t="s">
        <v>174</v>
      </c>
      <c r="S54" t="s">
        <v>167</v>
      </c>
      <c r="T54" t="s">
        <v>167</v>
      </c>
      <c r="U54" t="s">
        <v>168</v>
      </c>
      <c r="V54" t="s">
        <v>169</v>
      </c>
      <c r="W54" t="s">
        <v>77</v>
      </c>
      <c r="X54" t="s">
        <v>44</v>
      </c>
      <c r="Y54" t="s">
        <v>99</v>
      </c>
      <c r="Z54" t="s">
        <v>421</v>
      </c>
      <c r="AC54" t="str">
        <f>IF(AA54="",M54,AA54)</f>
        <v>não</v>
      </c>
      <c r="AD54" t="str">
        <f>IF(AB54="",X54,AB54)</f>
        <v>sim</v>
      </c>
      <c r="AE54" t="str">
        <f>IF(OR(Configuracao!B9="",Configuracao!B10=""),"aguardando limiar",IF(AND(K54&gt;=Configuracao!B9,K54/MAX(Reconciliacao!C2,1)&gt;=Configuracao!B10/100),"sim","não"))</f>
        <v>aguardando limiar</v>
      </c>
    </row>
    <row r="55" spans="1:31" x14ac:dyDescent="0.25">
      <c r="A55">
        <v>17401</v>
      </c>
      <c r="C55" t="s">
        <v>499</v>
      </c>
      <c r="D55" t="s">
        <v>500</v>
      </c>
      <c r="E55" t="s">
        <v>486</v>
      </c>
      <c r="F55" t="s">
        <v>173</v>
      </c>
      <c r="G55" t="s">
        <v>172</v>
      </c>
      <c r="H55" t="s">
        <v>83</v>
      </c>
      <c r="I55" t="s">
        <v>442</v>
      </c>
      <c r="J55" t="s">
        <v>442</v>
      </c>
      <c r="K55" s="4">
        <v>1875</v>
      </c>
      <c r="L55" s="4">
        <v>1875</v>
      </c>
      <c r="M55" t="s">
        <v>166</v>
      </c>
      <c r="N55" t="s">
        <v>77</v>
      </c>
      <c r="O55" t="s">
        <v>174</v>
      </c>
      <c r="P55" t="s">
        <v>175</v>
      </c>
      <c r="Q55" t="s">
        <v>81</v>
      </c>
      <c r="R55" t="s">
        <v>174</v>
      </c>
      <c r="S55" t="s">
        <v>167</v>
      </c>
      <c r="T55" t="s">
        <v>167</v>
      </c>
      <c r="U55" t="s">
        <v>168</v>
      </c>
      <c r="V55" t="s">
        <v>169</v>
      </c>
      <c r="W55" t="s">
        <v>77</v>
      </c>
      <c r="X55" t="s">
        <v>44</v>
      </c>
      <c r="Y55" t="s">
        <v>99</v>
      </c>
      <c r="Z55" t="s">
        <v>421</v>
      </c>
      <c r="AC55" t="str">
        <f>IF(AA55="",M55,AA55)</f>
        <v>não</v>
      </c>
      <c r="AD55" t="str">
        <f>IF(AB55="",X55,AB55)</f>
        <v>sim</v>
      </c>
      <c r="AE55" t="str">
        <f>IF(OR(Configuracao!B9="",Configuracao!B10=""),"aguardando limiar",IF(AND(K55&gt;=Configuracao!B9,K55/MAX(Reconciliacao!C2,1)&gt;=Configuracao!B10/100),"sim","não"))</f>
        <v>aguardando limiar</v>
      </c>
    </row>
    <row r="56" spans="1:31" x14ac:dyDescent="0.25">
      <c r="A56">
        <v>17996</v>
      </c>
      <c r="C56" t="s">
        <v>499</v>
      </c>
      <c r="D56" t="s">
        <v>500</v>
      </c>
      <c r="E56" t="s">
        <v>486</v>
      </c>
      <c r="F56" t="s">
        <v>173</v>
      </c>
      <c r="G56" t="s">
        <v>172</v>
      </c>
      <c r="H56" t="s">
        <v>83</v>
      </c>
      <c r="I56" t="s">
        <v>439</v>
      </c>
      <c r="J56" t="s">
        <v>439</v>
      </c>
      <c r="K56" s="4">
        <v>1875</v>
      </c>
      <c r="L56" s="4">
        <v>1875</v>
      </c>
      <c r="M56" t="s">
        <v>166</v>
      </c>
      <c r="N56" t="s">
        <v>77</v>
      </c>
      <c r="O56" t="s">
        <v>174</v>
      </c>
      <c r="P56" t="s">
        <v>175</v>
      </c>
      <c r="Q56" t="s">
        <v>81</v>
      </c>
      <c r="R56" t="s">
        <v>174</v>
      </c>
      <c r="S56" t="s">
        <v>167</v>
      </c>
      <c r="T56" t="s">
        <v>167</v>
      </c>
      <c r="U56" t="s">
        <v>168</v>
      </c>
      <c r="V56" t="s">
        <v>169</v>
      </c>
      <c r="W56" t="s">
        <v>77</v>
      </c>
      <c r="X56" t="s">
        <v>44</v>
      </c>
      <c r="Y56" t="s">
        <v>99</v>
      </c>
      <c r="Z56" t="s">
        <v>421</v>
      </c>
      <c r="AC56" t="str">
        <f>IF(AA56="",M56,AA56)</f>
        <v>não</v>
      </c>
      <c r="AD56" t="str">
        <f>IF(AB56="",X56,AB56)</f>
        <v>sim</v>
      </c>
      <c r="AE56" t="str">
        <f>IF(OR(Configuracao!B9="",Configuracao!B10=""),"aguardando limiar",IF(AND(K56&gt;=Configuracao!B9,K56/MAX(Reconciliacao!C2,1)&gt;=Configuracao!B10/100),"sim","não"))</f>
        <v>aguardando limiar</v>
      </c>
    </row>
    <row r="57" spans="1:31" x14ac:dyDescent="0.25">
      <c r="A57">
        <v>18869</v>
      </c>
      <c r="C57" t="s">
        <v>499</v>
      </c>
      <c r="D57" t="s">
        <v>500</v>
      </c>
      <c r="E57" t="s">
        <v>486</v>
      </c>
      <c r="F57" t="s">
        <v>173</v>
      </c>
      <c r="G57" t="s">
        <v>172</v>
      </c>
      <c r="H57" t="s">
        <v>83</v>
      </c>
      <c r="I57" t="s">
        <v>35</v>
      </c>
      <c r="J57" t="s">
        <v>35</v>
      </c>
      <c r="K57" s="4">
        <v>1875</v>
      </c>
      <c r="L57" s="4">
        <v>1875</v>
      </c>
      <c r="M57" t="s">
        <v>166</v>
      </c>
      <c r="N57" t="s">
        <v>77</v>
      </c>
      <c r="O57" t="s">
        <v>174</v>
      </c>
      <c r="P57" t="s">
        <v>175</v>
      </c>
      <c r="Q57" t="s">
        <v>81</v>
      </c>
      <c r="R57" t="s">
        <v>174</v>
      </c>
      <c r="S57" t="s">
        <v>167</v>
      </c>
      <c r="T57" t="s">
        <v>167</v>
      </c>
      <c r="U57" t="s">
        <v>168</v>
      </c>
      <c r="V57" t="s">
        <v>169</v>
      </c>
      <c r="W57" t="s">
        <v>77</v>
      </c>
      <c r="X57" t="s">
        <v>44</v>
      </c>
      <c r="Y57" t="s">
        <v>99</v>
      </c>
      <c r="Z57" t="s">
        <v>421</v>
      </c>
      <c r="AC57" t="str">
        <f>IF(AA57="",M57,AA57)</f>
        <v>não</v>
      </c>
      <c r="AD57" t="str">
        <f>IF(AB57="",X57,AB57)</f>
        <v>sim</v>
      </c>
      <c r="AE57" t="str">
        <f>IF(OR(Configuracao!B9="",Configuracao!B10=""),"aguardando limiar",IF(AND(K57&gt;=Configuracao!B9,K57/MAX(Reconciliacao!C2,1)&gt;=Configuracao!B10/100),"sim","não"))</f>
        <v>aguardando limiar</v>
      </c>
    </row>
    <row r="58" spans="1:31" x14ac:dyDescent="0.25">
      <c r="A58">
        <v>17331</v>
      </c>
      <c r="C58" t="s">
        <v>485</v>
      </c>
      <c r="D58" t="s">
        <v>481</v>
      </c>
      <c r="E58" t="s">
        <v>486</v>
      </c>
      <c r="F58" t="s">
        <v>173</v>
      </c>
      <c r="G58" t="s">
        <v>172</v>
      </c>
      <c r="H58" t="s">
        <v>83</v>
      </c>
      <c r="I58" t="s">
        <v>442</v>
      </c>
      <c r="J58" t="s">
        <v>442</v>
      </c>
      <c r="K58" s="4">
        <v>2000</v>
      </c>
      <c r="L58" s="4">
        <v>2000</v>
      </c>
      <c r="M58" t="s">
        <v>166</v>
      </c>
      <c r="N58" t="s">
        <v>77</v>
      </c>
      <c r="O58" t="s">
        <v>174</v>
      </c>
      <c r="P58" t="s">
        <v>175</v>
      </c>
      <c r="Q58" t="s">
        <v>81</v>
      </c>
      <c r="R58" t="s">
        <v>174</v>
      </c>
      <c r="S58" t="s">
        <v>167</v>
      </c>
      <c r="T58" t="s">
        <v>167</v>
      </c>
      <c r="U58" t="s">
        <v>168</v>
      </c>
      <c r="V58" t="s">
        <v>169</v>
      </c>
      <c r="W58" t="s">
        <v>77</v>
      </c>
      <c r="X58" t="s">
        <v>44</v>
      </c>
      <c r="Y58" t="s">
        <v>99</v>
      </c>
      <c r="Z58" t="s">
        <v>421</v>
      </c>
      <c r="AC58" t="str">
        <f>IF(AA58="",M58,AA58)</f>
        <v>não</v>
      </c>
      <c r="AD58" t="str">
        <f>IF(AB58="",X58,AB58)</f>
        <v>sim</v>
      </c>
      <c r="AE58" t="str">
        <f>IF(OR(Configuracao!B9="",Configuracao!B10=""),"aguardando limiar",IF(AND(K58&gt;=Configuracao!B9,K58/MAX(Reconciliacao!C2,1)&gt;=Configuracao!B10/100),"sim","não"))</f>
        <v>aguardando limiar</v>
      </c>
    </row>
    <row r="59" spans="1:31" x14ac:dyDescent="0.25">
      <c r="A59">
        <v>18187</v>
      </c>
      <c r="C59" t="s">
        <v>498</v>
      </c>
      <c r="D59" t="s">
        <v>489</v>
      </c>
      <c r="E59" t="s">
        <v>486</v>
      </c>
      <c r="F59" t="s">
        <v>173</v>
      </c>
      <c r="G59" t="s">
        <v>172</v>
      </c>
      <c r="H59" t="s">
        <v>83</v>
      </c>
      <c r="I59" t="s">
        <v>439</v>
      </c>
      <c r="J59" t="s">
        <v>439</v>
      </c>
      <c r="K59" s="4">
        <v>2442.25</v>
      </c>
      <c r="L59" s="4">
        <v>2442.25</v>
      </c>
      <c r="M59" t="s">
        <v>166</v>
      </c>
      <c r="N59" t="s">
        <v>77</v>
      </c>
      <c r="O59" t="s">
        <v>174</v>
      </c>
      <c r="P59" t="s">
        <v>175</v>
      </c>
      <c r="Q59" t="s">
        <v>81</v>
      </c>
      <c r="R59" t="s">
        <v>174</v>
      </c>
      <c r="S59" t="s">
        <v>167</v>
      </c>
      <c r="T59" t="s">
        <v>167</v>
      </c>
      <c r="U59" t="s">
        <v>168</v>
      </c>
      <c r="V59" t="s">
        <v>169</v>
      </c>
      <c r="W59" t="s">
        <v>77</v>
      </c>
      <c r="X59" t="s">
        <v>44</v>
      </c>
      <c r="Y59" t="s">
        <v>99</v>
      </c>
      <c r="Z59" t="s">
        <v>421</v>
      </c>
      <c r="AC59" t="str">
        <f>IF(AA59="",M59,AA59)</f>
        <v>não</v>
      </c>
      <c r="AD59" t="str">
        <f>IF(AB59="",X59,AB59)</f>
        <v>sim</v>
      </c>
      <c r="AE59" t="str">
        <f>IF(OR(Configuracao!B9="",Configuracao!B10=""),"aguardando limiar",IF(AND(K59&gt;=Configuracao!B9,K59/MAX(Reconciliacao!C2,1)&gt;=Configuracao!B10/100),"sim","não"))</f>
        <v>aguardando limiar</v>
      </c>
    </row>
    <row r="60" spans="1:31" x14ac:dyDescent="0.25">
      <c r="A60">
        <v>17358</v>
      </c>
      <c r="C60" t="s">
        <v>485</v>
      </c>
      <c r="D60" t="s">
        <v>481</v>
      </c>
      <c r="E60" t="s">
        <v>486</v>
      </c>
      <c r="F60" t="s">
        <v>173</v>
      </c>
      <c r="G60" t="s">
        <v>172</v>
      </c>
      <c r="H60" t="s">
        <v>83</v>
      </c>
      <c r="I60" t="s">
        <v>442</v>
      </c>
      <c r="J60" t="s">
        <v>442</v>
      </c>
      <c r="K60" s="4">
        <v>2939.44</v>
      </c>
      <c r="L60" s="4">
        <v>2939.44</v>
      </c>
      <c r="M60" t="s">
        <v>166</v>
      </c>
      <c r="N60" t="s">
        <v>77</v>
      </c>
      <c r="O60" t="s">
        <v>174</v>
      </c>
      <c r="P60" t="s">
        <v>175</v>
      </c>
      <c r="Q60" t="s">
        <v>81</v>
      </c>
      <c r="R60" t="s">
        <v>174</v>
      </c>
      <c r="S60" t="s">
        <v>167</v>
      </c>
      <c r="T60" t="s">
        <v>167</v>
      </c>
      <c r="U60" t="s">
        <v>168</v>
      </c>
      <c r="V60" t="s">
        <v>169</v>
      </c>
      <c r="W60" t="s">
        <v>77</v>
      </c>
      <c r="X60" t="s">
        <v>44</v>
      </c>
      <c r="Y60" t="s">
        <v>99</v>
      </c>
      <c r="Z60" t="s">
        <v>421</v>
      </c>
      <c r="AC60" t="str">
        <f>IF(AA60="",M60,AA60)</f>
        <v>não</v>
      </c>
      <c r="AD60" t="str">
        <f>IF(AB60="",X60,AB60)</f>
        <v>sim</v>
      </c>
      <c r="AE60" t="str">
        <f>IF(OR(Configuracao!B9="",Configuracao!B10=""),"aguardando limiar",IF(AND(K60&gt;=Configuracao!B9,K60/MAX(Reconciliacao!C2,1)&gt;=Configuracao!B10/100),"sim","não"))</f>
        <v>aguardando limiar</v>
      </c>
    </row>
    <row r="61" spans="1:31" x14ac:dyDescent="0.25">
      <c r="A61">
        <v>12433</v>
      </c>
      <c r="C61" t="s">
        <v>501</v>
      </c>
      <c r="D61" t="s">
        <v>489</v>
      </c>
      <c r="E61" t="s">
        <v>477</v>
      </c>
      <c r="F61" t="s">
        <v>173</v>
      </c>
      <c r="G61" t="s">
        <v>172</v>
      </c>
      <c r="H61" t="s">
        <v>83</v>
      </c>
      <c r="I61" t="s">
        <v>424</v>
      </c>
      <c r="J61" t="s">
        <v>424</v>
      </c>
      <c r="K61" s="4">
        <v>4050.65</v>
      </c>
      <c r="L61" s="4">
        <v>4050.65</v>
      </c>
      <c r="M61" t="s">
        <v>166</v>
      </c>
      <c r="N61" t="s">
        <v>77</v>
      </c>
      <c r="O61" t="s">
        <v>174</v>
      </c>
      <c r="P61" t="s">
        <v>175</v>
      </c>
      <c r="Q61" t="s">
        <v>81</v>
      </c>
      <c r="R61" t="s">
        <v>174</v>
      </c>
      <c r="S61" t="s">
        <v>167</v>
      </c>
      <c r="T61" t="s">
        <v>167</v>
      </c>
      <c r="U61" t="s">
        <v>168</v>
      </c>
      <c r="V61" t="s">
        <v>169</v>
      </c>
      <c r="W61" t="s">
        <v>77</v>
      </c>
      <c r="X61" t="s">
        <v>44</v>
      </c>
      <c r="Y61" t="s">
        <v>99</v>
      </c>
      <c r="Z61" t="s">
        <v>421</v>
      </c>
      <c r="AC61" t="str">
        <f>IF(AA61="",M61,AA61)</f>
        <v>não</v>
      </c>
      <c r="AD61" t="str">
        <f>IF(AB61="",X61,AB61)</f>
        <v>sim</v>
      </c>
      <c r="AE61" t="str">
        <f>IF(OR(Configuracao!B9="",Configuracao!B10=""),"aguardando limiar",IF(AND(K61&gt;=Configuracao!B9,K61/MAX(Reconciliacao!C2,1)&gt;=Configuracao!B10/100),"sim","não"))</f>
        <v>aguardando limiar</v>
      </c>
    </row>
    <row r="62" spans="1:31" x14ac:dyDescent="0.25">
      <c r="A62">
        <v>16093</v>
      </c>
      <c r="C62" t="s">
        <v>502</v>
      </c>
      <c r="D62" t="s">
        <v>489</v>
      </c>
      <c r="E62" t="s">
        <v>477</v>
      </c>
      <c r="F62" t="s">
        <v>173</v>
      </c>
      <c r="G62" t="s">
        <v>172</v>
      </c>
      <c r="H62" t="s">
        <v>83</v>
      </c>
      <c r="I62" t="s">
        <v>420</v>
      </c>
      <c r="J62" t="s">
        <v>420</v>
      </c>
      <c r="K62" s="4">
        <v>7615.77</v>
      </c>
      <c r="L62" s="4">
        <v>7615.77</v>
      </c>
      <c r="M62" t="s">
        <v>166</v>
      </c>
      <c r="N62" t="s">
        <v>77</v>
      </c>
      <c r="O62" t="s">
        <v>174</v>
      </c>
      <c r="P62" t="s">
        <v>175</v>
      </c>
      <c r="Q62" t="s">
        <v>81</v>
      </c>
      <c r="R62" t="s">
        <v>174</v>
      </c>
      <c r="S62" t="s">
        <v>167</v>
      </c>
      <c r="T62" t="s">
        <v>167</v>
      </c>
      <c r="U62" t="s">
        <v>168</v>
      </c>
      <c r="V62" t="s">
        <v>169</v>
      </c>
      <c r="W62" t="s">
        <v>77</v>
      </c>
      <c r="X62" t="s">
        <v>44</v>
      </c>
      <c r="Y62" t="s">
        <v>99</v>
      </c>
      <c r="Z62" t="s">
        <v>421</v>
      </c>
      <c r="AC62" t="str">
        <f>IF(AA62="",M62,AA62)</f>
        <v>não</v>
      </c>
      <c r="AD62" t="str">
        <f>IF(AB62="",X62,AB62)</f>
        <v>sim</v>
      </c>
      <c r="AE62" t="str">
        <f>IF(OR(Configuracao!B9="",Configuracao!B10=""),"aguardando limiar",IF(AND(K62&gt;=Configuracao!B9,K62/MAX(Reconciliacao!C2,1)&gt;=Configuracao!B10/100),"sim","não"))</f>
        <v>aguardando limiar</v>
      </c>
    </row>
    <row r="63" spans="1:31" x14ac:dyDescent="0.25">
      <c r="A63">
        <v>11833</v>
      </c>
      <c r="C63" t="s">
        <v>503</v>
      </c>
      <c r="D63" t="s">
        <v>481</v>
      </c>
      <c r="E63" t="s">
        <v>477</v>
      </c>
      <c r="F63" t="s">
        <v>173</v>
      </c>
      <c r="G63" t="s">
        <v>172</v>
      </c>
      <c r="H63" t="s">
        <v>83</v>
      </c>
      <c r="I63" t="s">
        <v>32</v>
      </c>
      <c r="J63" t="s">
        <v>32</v>
      </c>
      <c r="K63" s="4">
        <v>7670.57</v>
      </c>
      <c r="L63" s="4">
        <v>7670.57</v>
      </c>
      <c r="M63" t="s">
        <v>166</v>
      </c>
      <c r="N63" t="s">
        <v>77</v>
      </c>
      <c r="O63" t="s">
        <v>174</v>
      </c>
      <c r="P63" t="s">
        <v>175</v>
      </c>
      <c r="Q63" t="s">
        <v>81</v>
      </c>
      <c r="R63" t="s">
        <v>174</v>
      </c>
      <c r="S63" t="s">
        <v>167</v>
      </c>
      <c r="T63" t="s">
        <v>167</v>
      </c>
      <c r="U63" t="s">
        <v>168</v>
      </c>
      <c r="V63" t="s">
        <v>169</v>
      </c>
      <c r="W63" t="s">
        <v>77</v>
      </c>
      <c r="X63" t="s">
        <v>44</v>
      </c>
      <c r="Y63" t="s">
        <v>99</v>
      </c>
      <c r="Z63" t="s">
        <v>421</v>
      </c>
      <c r="AC63" t="str">
        <f>IF(AA63="",M63,AA63)</f>
        <v>não</v>
      </c>
      <c r="AD63" t="str">
        <f>IF(AB63="",X63,AB63)</f>
        <v>sim</v>
      </c>
      <c r="AE63" t="str">
        <f>IF(OR(Configuracao!B9="",Configuracao!B10=""),"aguardando limiar",IF(AND(K63&gt;=Configuracao!B9,K63/MAX(Reconciliacao!C2,1)&gt;=Configuracao!B10/100),"sim","não"))</f>
        <v>aguardando limiar</v>
      </c>
    </row>
    <row r="64" spans="1:31" x14ac:dyDescent="0.25">
      <c r="A64">
        <v>17355</v>
      </c>
      <c r="C64" t="s">
        <v>485</v>
      </c>
      <c r="D64" t="s">
        <v>481</v>
      </c>
      <c r="E64" t="s">
        <v>486</v>
      </c>
      <c r="F64" t="s">
        <v>173</v>
      </c>
      <c r="G64" t="s">
        <v>172</v>
      </c>
      <c r="H64" t="s">
        <v>83</v>
      </c>
      <c r="I64" t="s">
        <v>442</v>
      </c>
      <c r="J64" t="s">
        <v>442</v>
      </c>
      <c r="K64" s="4">
        <v>7917</v>
      </c>
      <c r="L64" s="4">
        <v>7917</v>
      </c>
      <c r="M64" t="s">
        <v>166</v>
      </c>
      <c r="N64" t="s">
        <v>77</v>
      </c>
      <c r="O64" t="s">
        <v>174</v>
      </c>
      <c r="P64" t="s">
        <v>175</v>
      </c>
      <c r="Q64" t="s">
        <v>81</v>
      </c>
      <c r="R64" t="s">
        <v>174</v>
      </c>
      <c r="S64" t="s">
        <v>167</v>
      </c>
      <c r="T64" t="s">
        <v>167</v>
      </c>
      <c r="U64" t="s">
        <v>168</v>
      </c>
      <c r="V64" t="s">
        <v>169</v>
      </c>
      <c r="W64" t="s">
        <v>77</v>
      </c>
      <c r="X64" t="s">
        <v>44</v>
      </c>
      <c r="Y64" t="s">
        <v>99</v>
      </c>
      <c r="Z64" t="s">
        <v>421</v>
      </c>
      <c r="AC64" t="str">
        <f>IF(AA64="",M64,AA64)</f>
        <v>não</v>
      </c>
      <c r="AD64" t="str">
        <f>IF(AB64="",X64,AB64)</f>
        <v>sim</v>
      </c>
      <c r="AE64" t="str">
        <f>IF(OR(Configuracao!B9="",Configuracao!B10=""),"aguardando limiar",IF(AND(K64&gt;=Configuracao!B9,K64/MAX(Reconciliacao!C2,1)&gt;=Configuracao!B10/100),"sim","não"))</f>
        <v>aguardando limiar</v>
      </c>
    </row>
    <row r="65" spans="1:31" x14ac:dyDescent="0.25">
      <c r="A65">
        <v>18591</v>
      </c>
      <c r="C65" t="s">
        <v>504</v>
      </c>
      <c r="D65" t="s">
        <v>505</v>
      </c>
      <c r="E65" t="s">
        <v>445</v>
      </c>
      <c r="F65" t="s">
        <v>173</v>
      </c>
      <c r="G65" t="s">
        <v>172</v>
      </c>
      <c r="H65" t="s">
        <v>83</v>
      </c>
      <c r="I65" t="s">
        <v>35</v>
      </c>
      <c r="J65" t="s">
        <v>35</v>
      </c>
      <c r="K65" s="4">
        <v>8061.71</v>
      </c>
      <c r="L65" s="4">
        <v>8061.71</v>
      </c>
      <c r="M65" t="s">
        <v>166</v>
      </c>
      <c r="N65" t="s">
        <v>77</v>
      </c>
      <c r="O65" t="s">
        <v>174</v>
      </c>
      <c r="P65" t="s">
        <v>175</v>
      </c>
      <c r="Q65" t="s">
        <v>81</v>
      </c>
      <c r="R65" t="s">
        <v>174</v>
      </c>
      <c r="S65" t="s">
        <v>167</v>
      </c>
      <c r="T65" t="s">
        <v>167</v>
      </c>
      <c r="U65" t="s">
        <v>168</v>
      </c>
      <c r="V65" t="s">
        <v>169</v>
      </c>
      <c r="W65" t="s">
        <v>77</v>
      </c>
      <c r="X65" t="s">
        <v>166</v>
      </c>
      <c r="Y65" t="s">
        <v>472</v>
      </c>
      <c r="Z65" t="s">
        <v>434</v>
      </c>
      <c r="AC65" t="str">
        <f>IF(AA65="",M65,AA65)</f>
        <v>não</v>
      </c>
      <c r="AD65" t="str">
        <f>IF(AB65="",X65,AB65)</f>
        <v>não</v>
      </c>
      <c r="AE65" t="str">
        <f>IF(OR(Configuracao!B9="",Configuracao!B10=""),"aguardando limiar",IF(AND(K65&gt;=Configuracao!B9,K65/MAX(Reconciliacao!C2,1)&gt;=Configuracao!B10/100),"sim","não"))</f>
        <v>aguardando limiar</v>
      </c>
    </row>
    <row r="66" spans="1:31" x14ac:dyDescent="0.25">
      <c r="A66">
        <v>18481</v>
      </c>
      <c r="C66" t="s">
        <v>506</v>
      </c>
      <c r="D66" t="s">
        <v>507</v>
      </c>
      <c r="E66" t="s">
        <v>486</v>
      </c>
      <c r="F66" t="s">
        <v>173</v>
      </c>
      <c r="G66" t="s">
        <v>172</v>
      </c>
      <c r="H66" t="s">
        <v>83</v>
      </c>
      <c r="I66" t="s">
        <v>439</v>
      </c>
      <c r="J66" t="s">
        <v>439</v>
      </c>
      <c r="K66" s="4">
        <v>8365.24</v>
      </c>
      <c r="L66" s="4">
        <v>8365.24</v>
      </c>
      <c r="M66" t="s">
        <v>166</v>
      </c>
      <c r="N66" t="s">
        <v>77</v>
      </c>
      <c r="O66" t="s">
        <v>174</v>
      </c>
      <c r="P66" t="s">
        <v>175</v>
      </c>
      <c r="Q66" t="s">
        <v>81</v>
      </c>
      <c r="R66" t="s">
        <v>174</v>
      </c>
      <c r="S66" t="s">
        <v>167</v>
      </c>
      <c r="T66" t="s">
        <v>167</v>
      </c>
      <c r="U66" t="s">
        <v>168</v>
      </c>
      <c r="V66" t="s">
        <v>169</v>
      </c>
      <c r="W66" t="s">
        <v>77</v>
      </c>
      <c r="X66" t="s">
        <v>166</v>
      </c>
      <c r="Y66" t="s">
        <v>472</v>
      </c>
      <c r="Z66" t="s">
        <v>434</v>
      </c>
      <c r="AC66" t="str">
        <f>IF(AA66="",M66,AA66)</f>
        <v>não</v>
      </c>
      <c r="AD66" t="str">
        <f>IF(AB66="",X66,AB66)</f>
        <v>não</v>
      </c>
      <c r="AE66" t="str">
        <f>IF(OR(Configuracao!B9="",Configuracao!B10=""),"aguardando limiar",IF(AND(K66&gt;=Configuracao!B9,K66/MAX(Reconciliacao!C2,1)&gt;=Configuracao!B10/100),"sim","não"))</f>
        <v>aguardando limiar</v>
      </c>
    </row>
    <row r="67" spans="1:31" x14ac:dyDescent="0.25">
      <c r="A67">
        <v>11377</v>
      </c>
      <c r="C67" t="s">
        <v>508</v>
      </c>
      <c r="D67" t="s">
        <v>489</v>
      </c>
      <c r="E67" t="s">
        <v>477</v>
      </c>
      <c r="F67" t="s">
        <v>173</v>
      </c>
      <c r="G67" t="s">
        <v>172</v>
      </c>
      <c r="H67" t="s">
        <v>83</v>
      </c>
      <c r="I67" t="s">
        <v>32</v>
      </c>
      <c r="J67" t="s">
        <v>32</v>
      </c>
      <c r="K67" s="4">
        <v>8645.97</v>
      </c>
      <c r="L67" s="4">
        <v>8645.97</v>
      </c>
      <c r="M67" t="s">
        <v>166</v>
      </c>
      <c r="N67" t="s">
        <v>77</v>
      </c>
      <c r="O67" t="s">
        <v>174</v>
      </c>
      <c r="P67" t="s">
        <v>175</v>
      </c>
      <c r="Q67" t="s">
        <v>81</v>
      </c>
      <c r="R67" t="s">
        <v>174</v>
      </c>
      <c r="S67" t="s">
        <v>167</v>
      </c>
      <c r="T67" t="s">
        <v>167</v>
      </c>
      <c r="U67" t="s">
        <v>168</v>
      </c>
      <c r="V67" t="s">
        <v>169</v>
      </c>
      <c r="W67" t="s">
        <v>77</v>
      </c>
      <c r="X67" t="s">
        <v>44</v>
      </c>
      <c r="Y67" t="s">
        <v>99</v>
      </c>
      <c r="Z67" t="s">
        <v>421</v>
      </c>
      <c r="AC67" t="str">
        <f>IF(AA67="",M67,AA67)</f>
        <v>não</v>
      </c>
      <c r="AD67" t="str">
        <f>IF(AB67="",X67,AB67)</f>
        <v>sim</v>
      </c>
      <c r="AE67" t="str">
        <f>IF(OR(Configuracao!B9="",Configuracao!B10=""),"aguardando limiar",IF(AND(K67&gt;=Configuracao!B9,K67/MAX(Reconciliacao!C2,1)&gt;=Configuracao!B10/100),"sim","não"))</f>
        <v>aguardando limiar</v>
      </c>
    </row>
    <row r="68" spans="1:31" x14ac:dyDescent="0.25">
      <c r="A68">
        <v>17356</v>
      </c>
      <c r="C68" t="s">
        <v>485</v>
      </c>
      <c r="D68" t="s">
        <v>481</v>
      </c>
      <c r="E68" t="s">
        <v>486</v>
      </c>
      <c r="F68" t="s">
        <v>173</v>
      </c>
      <c r="G68" t="s">
        <v>172</v>
      </c>
      <c r="H68" t="s">
        <v>83</v>
      </c>
      <c r="I68" t="s">
        <v>442</v>
      </c>
      <c r="J68" t="s">
        <v>442</v>
      </c>
      <c r="K68" s="4">
        <v>10500</v>
      </c>
      <c r="L68" s="4">
        <v>10500</v>
      </c>
      <c r="M68" t="s">
        <v>166</v>
      </c>
      <c r="N68" t="s">
        <v>77</v>
      </c>
      <c r="O68" t="s">
        <v>174</v>
      </c>
      <c r="P68" t="s">
        <v>175</v>
      </c>
      <c r="Q68" t="s">
        <v>81</v>
      </c>
      <c r="R68" t="s">
        <v>174</v>
      </c>
      <c r="S68" t="s">
        <v>167</v>
      </c>
      <c r="T68" t="s">
        <v>167</v>
      </c>
      <c r="U68" t="s">
        <v>168</v>
      </c>
      <c r="V68" t="s">
        <v>169</v>
      </c>
      <c r="W68" t="s">
        <v>77</v>
      </c>
      <c r="X68" t="s">
        <v>44</v>
      </c>
      <c r="Y68" t="s">
        <v>99</v>
      </c>
      <c r="Z68" t="s">
        <v>421</v>
      </c>
      <c r="AC68" t="str">
        <f>IF(AA68="",M68,AA68)</f>
        <v>não</v>
      </c>
      <c r="AD68" t="str">
        <f>IF(AB68="",X68,AB68)</f>
        <v>sim</v>
      </c>
      <c r="AE68" t="str">
        <f>IF(OR(Configuracao!B9="",Configuracao!B10=""),"aguardando limiar",IF(AND(K68&gt;=Configuracao!B9,K68/MAX(Reconciliacao!C2,1)&gt;=Configuracao!B10/100),"sim","não"))</f>
        <v>aguardando limiar</v>
      </c>
    </row>
    <row r="69" spans="1:31" x14ac:dyDescent="0.25">
      <c r="A69">
        <v>14912</v>
      </c>
      <c r="C69" t="s">
        <v>499</v>
      </c>
      <c r="D69" t="s">
        <v>500</v>
      </c>
      <c r="E69" t="s">
        <v>477</v>
      </c>
      <c r="F69" t="s">
        <v>173</v>
      </c>
      <c r="G69" t="s">
        <v>172</v>
      </c>
      <c r="H69" t="s">
        <v>83</v>
      </c>
      <c r="I69" t="s">
        <v>420</v>
      </c>
      <c r="J69" t="s">
        <v>420</v>
      </c>
      <c r="K69" s="4">
        <v>11250</v>
      </c>
      <c r="L69" s="4">
        <v>11250</v>
      </c>
      <c r="M69" t="s">
        <v>166</v>
      </c>
      <c r="N69" t="s">
        <v>77</v>
      </c>
      <c r="O69" t="s">
        <v>174</v>
      </c>
      <c r="P69" t="s">
        <v>175</v>
      </c>
      <c r="Q69" t="s">
        <v>81</v>
      </c>
      <c r="R69" t="s">
        <v>174</v>
      </c>
      <c r="S69" t="s">
        <v>167</v>
      </c>
      <c r="T69" t="s">
        <v>167</v>
      </c>
      <c r="U69" t="s">
        <v>168</v>
      </c>
      <c r="V69" t="s">
        <v>169</v>
      </c>
      <c r="W69" t="s">
        <v>77</v>
      </c>
      <c r="X69" t="s">
        <v>44</v>
      </c>
      <c r="Y69" t="s">
        <v>99</v>
      </c>
      <c r="Z69" t="s">
        <v>421</v>
      </c>
      <c r="AC69" t="str">
        <f>IF(AA69="",M69,AA69)</f>
        <v>não</v>
      </c>
      <c r="AD69" t="str">
        <f>IF(AB69="",X69,AB69)</f>
        <v>sim</v>
      </c>
      <c r="AE69" t="str">
        <f>IF(OR(Configuracao!B9="",Configuracao!B10=""),"aguardando limiar",IF(AND(K69&gt;=Configuracao!B9,K69/MAX(Reconciliacao!C2,1)&gt;=Configuracao!B10/100),"sim","não"))</f>
        <v>aguardando limiar</v>
      </c>
    </row>
    <row r="70" spans="1:31" x14ac:dyDescent="0.25">
      <c r="A70">
        <v>18575</v>
      </c>
      <c r="C70" t="s">
        <v>509</v>
      </c>
      <c r="D70" t="s">
        <v>510</v>
      </c>
      <c r="E70" t="s">
        <v>511</v>
      </c>
      <c r="F70" t="s">
        <v>173</v>
      </c>
      <c r="G70" t="s">
        <v>172</v>
      </c>
      <c r="H70" t="s">
        <v>83</v>
      </c>
      <c r="I70" t="s">
        <v>439</v>
      </c>
      <c r="J70" t="s">
        <v>439</v>
      </c>
      <c r="K70" s="4">
        <v>11835.2</v>
      </c>
      <c r="L70" s="4">
        <v>11835.2</v>
      </c>
      <c r="M70" t="s">
        <v>166</v>
      </c>
      <c r="N70" t="s">
        <v>77</v>
      </c>
      <c r="O70" t="s">
        <v>174</v>
      </c>
      <c r="P70" t="s">
        <v>175</v>
      </c>
      <c r="Q70" t="s">
        <v>81</v>
      </c>
      <c r="R70" t="s">
        <v>174</v>
      </c>
      <c r="S70" t="s">
        <v>167</v>
      </c>
      <c r="T70" t="s">
        <v>167</v>
      </c>
      <c r="U70" t="s">
        <v>168</v>
      </c>
      <c r="V70" t="s">
        <v>169</v>
      </c>
      <c r="W70" t="s">
        <v>77</v>
      </c>
      <c r="X70" t="s">
        <v>44</v>
      </c>
      <c r="Y70" t="s">
        <v>99</v>
      </c>
      <c r="Z70" t="s">
        <v>421</v>
      </c>
      <c r="AC70" t="str">
        <f>IF(AA70="",M70,AA70)</f>
        <v>não</v>
      </c>
      <c r="AD70" t="str">
        <f>IF(AB70="",X70,AB70)</f>
        <v>sim</v>
      </c>
      <c r="AE70" t="str">
        <f>IF(OR(Configuracao!B9="",Configuracao!B10=""),"aguardando limiar",IF(AND(K70&gt;=Configuracao!B9,K70/MAX(Reconciliacao!C2,1)&gt;=Configuracao!B10/100),"sim","não"))</f>
        <v>aguardando limiar</v>
      </c>
    </row>
    <row r="71" spans="1:31" x14ac:dyDescent="0.25">
      <c r="A71">
        <v>18581</v>
      </c>
      <c r="C71" t="s">
        <v>509</v>
      </c>
      <c r="D71" t="s">
        <v>510</v>
      </c>
      <c r="E71" t="s">
        <v>511</v>
      </c>
      <c r="F71" t="s">
        <v>173</v>
      </c>
      <c r="G71" t="s">
        <v>172</v>
      </c>
      <c r="H71" t="s">
        <v>83</v>
      </c>
      <c r="I71" t="s">
        <v>439</v>
      </c>
      <c r="J71" t="s">
        <v>439</v>
      </c>
      <c r="K71" s="4">
        <v>11840</v>
      </c>
      <c r="L71" s="4">
        <v>11840</v>
      </c>
      <c r="M71" t="s">
        <v>166</v>
      </c>
      <c r="N71" t="s">
        <v>77</v>
      </c>
      <c r="O71" t="s">
        <v>174</v>
      </c>
      <c r="P71" t="s">
        <v>175</v>
      </c>
      <c r="Q71" t="s">
        <v>81</v>
      </c>
      <c r="R71" t="s">
        <v>174</v>
      </c>
      <c r="S71" t="s">
        <v>167</v>
      </c>
      <c r="T71" t="s">
        <v>167</v>
      </c>
      <c r="U71" t="s">
        <v>168</v>
      </c>
      <c r="V71" t="s">
        <v>169</v>
      </c>
      <c r="W71" t="s">
        <v>77</v>
      </c>
      <c r="X71" t="s">
        <v>44</v>
      </c>
      <c r="Y71" t="s">
        <v>99</v>
      </c>
      <c r="Z71" t="s">
        <v>421</v>
      </c>
      <c r="AC71" t="str">
        <f>IF(AA71="",M71,AA71)</f>
        <v>não</v>
      </c>
      <c r="AD71" t="str">
        <f>IF(AB71="",X71,AB71)</f>
        <v>sim</v>
      </c>
      <c r="AE71" t="str">
        <f>IF(OR(Configuracao!B9="",Configuracao!B10=""),"aguardando limiar",IF(AND(K71&gt;=Configuracao!B9,K71/MAX(Reconciliacao!C2,1)&gt;=Configuracao!B10/100),"sim","não"))</f>
        <v>aguardando limiar</v>
      </c>
    </row>
    <row r="72" spans="1:31" x14ac:dyDescent="0.25">
      <c r="A72">
        <v>19343</v>
      </c>
      <c r="C72" t="s">
        <v>509</v>
      </c>
      <c r="D72" t="s">
        <v>510</v>
      </c>
      <c r="E72" t="s">
        <v>511</v>
      </c>
      <c r="F72" t="s">
        <v>173</v>
      </c>
      <c r="G72" t="s">
        <v>172</v>
      </c>
      <c r="H72" t="s">
        <v>83</v>
      </c>
      <c r="I72" t="s">
        <v>35</v>
      </c>
      <c r="J72" t="s">
        <v>35</v>
      </c>
      <c r="K72" s="4">
        <v>11840</v>
      </c>
      <c r="L72" s="4">
        <v>11840</v>
      </c>
      <c r="M72" t="s">
        <v>166</v>
      </c>
      <c r="N72" t="s">
        <v>77</v>
      </c>
      <c r="O72" t="s">
        <v>174</v>
      </c>
      <c r="P72" t="s">
        <v>175</v>
      </c>
      <c r="Q72" t="s">
        <v>81</v>
      </c>
      <c r="R72" t="s">
        <v>174</v>
      </c>
      <c r="S72" t="s">
        <v>167</v>
      </c>
      <c r="T72" t="s">
        <v>167</v>
      </c>
      <c r="U72" t="s">
        <v>168</v>
      </c>
      <c r="V72" t="s">
        <v>169</v>
      </c>
      <c r="W72" t="s">
        <v>77</v>
      </c>
      <c r="X72" t="s">
        <v>44</v>
      </c>
      <c r="Y72" t="s">
        <v>99</v>
      </c>
      <c r="Z72" t="s">
        <v>421</v>
      </c>
      <c r="AC72" t="str">
        <f>IF(AA72="",M72,AA72)</f>
        <v>não</v>
      </c>
      <c r="AD72" t="str">
        <f>IF(AB72="",X72,AB72)</f>
        <v>sim</v>
      </c>
      <c r="AE72" t="str">
        <f>IF(OR(Configuracao!B9="",Configuracao!B10=""),"aguardando limiar",IF(AND(K72&gt;=Configuracao!B9,K72/MAX(Reconciliacao!C2,1)&gt;=Configuracao!B10/100),"sim","não"))</f>
        <v>aguardando limiar</v>
      </c>
    </row>
    <row r="73" spans="1:31" x14ac:dyDescent="0.25">
      <c r="A73">
        <v>11553</v>
      </c>
      <c r="C73" t="s">
        <v>509</v>
      </c>
      <c r="D73" t="s">
        <v>510</v>
      </c>
      <c r="E73" t="s">
        <v>511</v>
      </c>
      <c r="F73" t="s">
        <v>173</v>
      </c>
      <c r="G73" t="s">
        <v>172</v>
      </c>
      <c r="H73" t="s">
        <v>83</v>
      </c>
      <c r="I73" t="s">
        <v>32</v>
      </c>
      <c r="J73" t="s">
        <v>32</v>
      </c>
      <c r="K73" s="4">
        <v>12000</v>
      </c>
      <c r="L73" s="4">
        <v>12000</v>
      </c>
      <c r="M73" t="s">
        <v>166</v>
      </c>
      <c r="N73" t="s">
        <v>77</v>
      </c>
      <c r="O73" t="s">
        <v>174</v>
      </c>
      <c r="P73" t="s">
        <v>175</v>
      </c>
      <c r="Q73" t="s">
        <v>81</v>
      </c>
      <c r="R73" t="s">
        <v>174</v>
      </c>
      <c r="S73" t="s">
        <v>167</v>
      </c>
      <c r="T73" t="s">
        <v>167</v>
      </c>
      <c r="U73" t="s">
        <v>168</v>
      </c>
      <c r="V73" t="s">
        <v>169</v>
      </c>
      <c r="W73" t="s">
        <v>77</v>
      </c>
      <c r="X73" t="s">
        <v>44</v>
      </c>
      <c r="Y73" t="s">
        <v>99</v>
      </c>
      <c r="Z73" t="s">
        <v>421</v>
      </c>
      <c r="AC73" t="str">
        <f>IF(AA73="",M73,AA73)</f>
        <v>não</v>
      </c>
      <c r="AD73" t="str">
        <f>IF(AB73="",X73,AB73)</f>
        <v>sim</v>
      </c>
      <c r="AE73" t="str">
        <f>IF(OR(Configuracao!B9="",Configuracao!B10=""),"aguardando limiar",IF(AND(K73&gt;=Configuracao!B9,K73/MAX(Reconciliacao!C2,1)&gt;=Configuracao!B10/100),"sim","não"))</f>
        <v>aguardando limiar</v>
      </c>
    </row>
    <row r="74" spans="1:31" x14ac:dyDescent="0.25">
      <c r="A74">
        <v>12320</v>
      </c>
      <c r="C74" t="s">
        <v>509</v>
      </c>
      <c r="D74" t="s">
        <v>510</v>
      </c>
      <c r="E74" t="s">
        <v>511</v>
      </c>
      <c r="F74" t="s">
        <v>173</v>
      </c>
      <c r="G74" t="s">
        <v>172</v>
      </c>
      <c r="H74" t="s">
        <v>83</v>
      </c>
      <c r="I74" t="s">
        <v>424</v>
      </c>
      <c r="J74" t="s">
        <v>424</v>
      </c>
      <c r="K74" s="4">
        <v>12000</v>
      </c>
      <c r="L74" s="4">
        <v>12000</v>
      </c>
      <c r="M74" t="s">
        <v>166</v>
      </c>
      <c r="N74" t="s">
        <v>77</v>
      </c>
      <c r="O74" t="s">
        <v>174</v>
      </c>
      <c r="P74" t="s">
        <v>175</v>
      </c>
      <c r="Q74" t="s">
        <v>81</v>
      </c>
      <c r="R74" t="s">
        <v>174</v>
      </c>
      <c r="S74" t="s">
        <v>167</v>
      </c>
      <c r="T74" t="s">
        <v>167</v>
      </c>
      <c r="U74" t="s">
        <v>168</v>
      </c>
      <c r="V74" t="s">
        <v>169</v>
      </c>
      <c r="W74" t="s">
        <v>77</v>
      </c>
      <c r="X74" t="s">
        <v>44</v>
      </c>
      <c r="Y74" t="s">
        <v>99</v>
      </c>
      <c r="Z74" t="s">
        <v>421</v>
      </c>
      <c r="AC74" t="str">
        <f>IF(AA74="",M74,AA74)</f>
        <v>não</v>
      </c>
      <c r="AD74" t="str">
        <f>IF(AB74="",X74,AB74)</f>
        <v>sim</v>
      </c>
      <c r="AE74" t="str">
        <f>IF(OR(Configuracao!B9="",Configuracao!B10=""),"aguardando limiar",IF(AND(K74&gt;=Configuracao!B9,K74/MAX(Reconciliacao!C2,1)&gt;=Configuracao!B10/100),"sim","não"))</f>
        <v>aguardando limiar</v>
      </c>
    </row>
    <row r="75" spans="1:31" x14ac:dyDescent="0.25">
      <c r="A75">
        <v>12610</v>
      </c>
      <c r="C75" t="s">
        <v>509</v>
      </c>
      <c r="D75" t="s">
        <v>510</v>
      </c>
      <c r="E75" t="s">
        <v>511</v>
      </c>
      <c r="F75" t="s">
        <v>173</v>
      </c>
      <c r="G75" t="s">
        <v>172</v>
      </c>
      <c r="H75" t="s">
        <v>83</v>
      </c>
      <c r="I75" t="s">
        <v>420</v>
      </c>
      <c r="J75" t="s">
        <v>420</v>
      </c>
      <c r="K75" s="4">
        <v>12000</v>
      </c>
      <c r="L75" s="4">
        <v>12000</v>
      </c>
      <c r="M75" t="s">
        <v>166</v>
      </c>
      <c r="N75" t="s">
        <v>77</v>
      </c>
      <c r="O75" t="s">
        <v>174</v>
      </c>
      <c r="P75" t="s">
        <v>175</v>
      </c>
      <c r="Q75" t="s">
        <v>81</v>
      </c>
      <c r="R75" t="s">
        <v>174</v>
      </c>
      <c r="S75" t="s">
        <v>167</v>
      </c>
      <c r="T75" t="s">
        <v>167</v>
      </c>
      <c r="U75" t="s">
        <v>168</v>
      </c>
      <c r="V75" t="s">
        <v>169</v>
      </c>
      <c r="W75" t="s">
        <v>77</v>
      </c>
      <c r="X75" t="s">
        <v>44</v>
      </c>
      <c r="Y75" t="s">
        <v>99</v>
      </c>
      <c r="Z75" t="s">
        <v>421</v>
      </c>
      <c r="AC75" t="str">
        <f>IF(AA75="",M75,AA75)</f>
        <v>não</v>
      </c>
      <c r="AD75" t="str">
        <f>IF(AB75="",X75,AB75)</f>
        <v>sim</v>
      </c>
      <c r="AE75" t="str">
        <f>IF(OR(Configuracao!B9="",Configuracao!B10=""),"aguardando limiar",IF(AND(K75&gt;=Configuracao!B9,K75/MAX(Reconciliacao!C2,1)&gt;=Configuracao!B10/100),"sim","não"))</f>
        <v>aguardando limiar</v>
      </c>
    </row>
    <row r="76" spans="1:31" x14ac:dyDescent="0.25">
      <c r="A76">
        <v>17314</v>
      </c>
      <c r="C76" t="s">
        <v>509</v>
      </c>
      <c r="D76" t="s">
        <v>510</v>
      </c>
      <c r="E76" t="s">
        <v>511</v>
      </c>
      <c r="F76" t="s">
        <v>173</v>
      </c>
      <c r="G76" t="s">
        <v>172</v>
      </c>
      <c r="H76" t="s">
        <v>83</v>
      </c>
      <c r="I76" t="s">
        <v>454</v>
      </c>
      <c r="J76" t="s">
        <v>454</v>
      </c>
      <c r="K76" s="4">
        <v>12000</v>
      </c>
      <c r="L76" s="4">
        <v>12000</v>
      </c>
      <c r="M76" t="s">
        <v>166</v>
      </c>
      <c r="N76" t="s">
        <v>77</v>
      </c>
      <c r="O76" t="s">
        <v>174</v>
      </c>
      <c r="P76" t="s">
        <v>175</v>
      </c>
      <c r="Q76" t="s">
        <v>81</v>
      </c>
      <c r="R76" t="s">
        <v>174</v>
      </c>
      <c r="S76" t="s">
        <v>167</v>
      </c>
      <c r="T76" t="s">
        <v>167</v>
      </c>
      <c r="U76" t="s">
        <v>168</v>
      </c>
      <c r="V76" t="s">
        <v>169</v>
      </c>
      <c r="W76" t="s">
        <v>77</v>
      </c>
      <c r="X76" t="s">
        <v>44</v>
      </c>
      <c r="Y76" t="s">
        <v>99</v>
      </c>
      <c r="Z76" t="s">
        <v>421</v>
      </c>
      <c r="AC76" t="str">
        <f>IF(AA76="",M76,AA76)</f>
        <v>não</v>
      </c>
      <c r="AD76" t="str">
        <f>IF(AB76="",X76,AB76)</f>
        <v>sim</v>
      </c>
      <c r="AE76" t="str">
        <f>IF(OR(Configuracao!B9="",Configuracao!B10=""),"aguardando limiar",IF(AND(K76&gt;=Configuracao!B9,K76/MAX(Reconciliacao!C2,1)&gt;=Configuracao!B10/100),"sim","não"))</f>
        <v>aguardando limiar</v>
      </c>
    </row>
    <row r="77" spans="1:31" x14ac:dyDescent="0.25">
      <c r="A77">
        <v>17323</v>
      </c>
      <c r="C77" t="s">
        <v>509</v>
      </c>
      <c r="D77" t="s">
        <v>510</v>
      </c>
      <c r="E77" t="s">
        <v>511</v>
      </c>
      <c r="F77" t="s">
        <v>173</v>
      </c>
      <c r="G77" t="s">
        <v>172</v>
      </c>
      <c r="H77" t="s">
        <v>83</v>
      </c>
      <c r="I77" t="s">
        <v>461</v>
      </c>
      <c r="J77" t="s">
        <v>461</v>
      </c>
      <c r="K77" s="4">
        <v>12000</v>
      </c>
      <c r="L77" s="4">
        <v>12000</v>
      </c>
      <c r="M77" t="s">
        <v>166</v>
      </c>
      <c r="N77" t="s">
        <v>77</v>
      </c>
      <c r="O77" t="s">
        <v>174</v>
      </c>
      <c r="P77" t="s">
        <v>175</v>
      </c>
      <c r="Q77" t="s">
        <v>81</v>
      </c>
      <c r="R77" t="s">
        <v>174</v>
      </c>
      <c r="S77" t="s">
        <v>167</v>
      </c>
      <c r="T77" t="s">
        <v>167</v>
      </c>
      <c r="U77" t="s">
        <v>168</v>
      </c>
      <c r="V77" t="s">
        <v>169</v>
      </c>
      <c r="W77" t="s">
        <v>77</v>
      </c>
      <c r="X77" t="s">
        <v>44</v>
      </c>
      <c r="Y77" t="s">
        <v>99</v>
      </c>
      <c r="Z77" t="s">
        <v>421</v>
      </c>
      <c r="AC77" t="str">
        <f>IF(AA77="",M77,AA77)</f>
        <v>não</v>
      </c>
      <c r="AD77" t="str">
        <f>IF(AB77="",X77,AB77)</f>
        <v>sim</v>
      </c>
      <c r="AE77" t="str">
        <f>IF(OR(Configuracao!B9="",Configuracao!B10=""),"aguardando limiar",IF(AND(K77&gt;=Configuracao!B9,K77/MAX(Reconciliacao!C2,1)&gt;=Configuracao!B10/100),"sim","não"))</f>
        <v>aguardando limiar</v>
      </c>
    </row>
    <row r="78" spans="1:31" x14ac:dyDescent="0.25">
      <c r="A78">
        <v>17791</v>
      </c>
      <c r="C78" t="s">
        <v>509</v>
      </c>
      <c r="D78" t="s">
        <v>510</v>
      </c>
      <c r="E78" t="s">
        <v>511</v>
      </c>
      <c r="F78" t="s">
        <v>173</v>
      </c>
      <c r="G78" t="s">
        <v>172</v>
      </c>
      <c r="H78" t="s">
        <v>83</v>
      </c>
      <c r="I78" t="s">
        <v>442</v>
      </c>
      <c r="J78" t="s">
        <v>442</v>
      </c>
      <c r="K78" s="4">
        <v>12000</v>
      </c>
      <c r="L78" s="4">
        <v>12000</v>
      </c>
      <c r="M78" t="s">
        <v>166</v>
      </c>
      <c r="N78" t="s">
        <v>77</v>
      </c>
      <c r="O78" t="s">
        <v>174</v>
      </c>
      <c r="P78" t="s">
        <v>175</v>
      </c>
      <c r="Q78" t="s">
        <v>81</v>
      </c>
      <c r="R78" t="s">
        <v>174</v>
      </c>
      <c r="S78" t="s">
        <v>167</v>
      </c>
      <c r="T78" t="s">
        <v>167</v>
      </c>
      <c r="U78" t="s">
        <v>168</v>
      </c>
      <c r="V78" t="s">
        <v>169</v>
      </c>
      <c r="W78" t="s">
        <v>77</v>
      </c>
      <c r="X78" t="s">
        <v>44</v>
      </c>
      <c r="Y78" t="s">
        <v>99</v>
      </c>
      <c r="Z78" t="s">
        <v>421</v>
      </c>
      <c r="AC78" t="str">
        <f>IF(AA78="",M78,AA78)</f>
        <v>não</v>
      </c>
      <c r="AD78" t="str">
        <f>IF(AB78="",X78,AB78)</f>
        <v>sim</v>
      </c>
      <c r="AE78" t="str">
        <f>IF(OR(Configuracao!B9="",Configuracao!B10=""),"aguardando limiar",IF(AND(K78&gt;=Configuracao!B9,K78/MAX(Reconciliacao!C2,1)&gt;=Configuracao!B10/100),"sim","não"))</f>
        <v>aguardando limiar</v>
      </c>
    </row>
    <row r="79" spans="1:31" x14ac:dyDescent="0.25">
      <c r="A79">
        <v>17517</v>
      </c>
      <c r="C79" t="s">
        <v>485</v>
      </c>
      <c r="D79" t="s">
        <v>481</v>
      </c>
      <c r="E79" t="s">
        <v>486</v>
      </c>
      <c r="F79" t="s">
        <v>173</v>
      </c>
      <c r="G79" t="s">
        <v>172</v>
      </c>
      <c r="H79" t="s">
        <v>83</v>
      </c>
      <c r="I79" t="s">
        <v>442</v>
      </c>
      <c r="J79" t="s">
        <v>442</v>
      </c>
      <c r="K79" s="4">
        <v>13060.56</v>
      </c>
      <c r="L79" s="4">
        <v>13060.56</v>
      </c>
      <c r="M79" t="s">
        <v>166</v>
      </c>
      <c r="N79" t="s">
        <v>77</v>
      </c>
      <c r="O79" t="s">
        <v>174</v>
      </c>
      <c r="P79" t="s">
        <v>175</v>
      </c>
      <c r="Q79" t="s">
        <v>81</v>
      </c>
      <c r="R79" t="s">
        <v>174</v>
      </c>
      <c r="S79" t="s">
        <v>167</v>
      </c>
      <c r="T79" t="s">
        <v>167</v>
      </c>
      <c r="U79" t="s">
        <v>168</v>
      </c>
      <c r="V79" t="s">
        <v>169</v>
      </c>
      <c r="W79" t="s">
        <v>77</v>
      </c>
      <c r="X79" t="s">
        <v>44</v>
      </c>
      <c r="Y79" t="s">
        <v>99</v>
      </c>
      <c r="Z79" t="s">
        <v>421</v>
      </c>
      <c r="AC79" t="str">
        <f>IF(AA79="",M79,AA79)</f>
        <v>não</v>
      </c>
      <c r="AD79" t="str">
        <f>IF(AB79="",X79,AB79)</f>
        <v>sim</v>
      </c>
      <c r="AE79" t="str">
        <f>IF(OR(Configuracao!B9="",Configuracao!B10=""),"aguardando limiar",IF(AND(K79&gt;=Configuracao!B9,K79/MAX(Reconciliacao!C2,1)&gt;=Configuracao!B10/100),"sim","não"))</f>
        <v>aguardando limiar</v>
      </c>
    </row>
    <row r="80" spans="1:31" x14ac:dyDescent="0.25">
      <c r="A80">
        <v>17172</v>
      </c>
      <c r="C80" t="s">
        <v>512</v>
      </c>
      <c r="D80" t="s">
        <v>513</v>
      </c>
      <c r="E80" t="s">
        <v>486</v>
      </c>
      <c r="F80" t="s">
        <v>173</v>
      </c>
      <c r="G80" t="s">
        <v>172</v>
      </c>
      <c r="H80" t="s">
        <v>83</v>
      </c>
      <c r="I80" t="s">
        <v>442</v>
      </c>
      <c r="J80" t="s">
        <v>442</v>
      </c>
      <c r="K80" s="4">
        <v>22041.31</v>
      </c>
      <c r="L80" s="4">
        <v>22041.31</v>
      </c>
      <c r="M80" t="s">
        <v>166</v>
      </c>
      <c r="N80" t="s">
        <v>77</v>
      </c>
      <c r="O80" t="s">
        <v>174</v>
      </c>
      <c r="P80" t="s">
        <v>175</v>
      </c>
      <c r="Q80" t="s">
        <v>81</v>
      </c>
      <c r="R80" t="s">
        <v>174</v>
      </c>
      <c r="S80" t="s">
        <v>167</v>
      </c>
      <c r="T80" t="s">
        <v>167</v>
      </c>
      <c r="U80" t="s">
        <v>168</v>
      </c>
      <c r="V80" t="s">
        <v>169</v>
      </c>
      <c r="W80" t="s">
        <v>77</v>
      </c>
      <c r="X80" t="s">
        <v>44</v>
      </c>
      <c r="Y80" t="s">
        <v>99</v>
      </c>
      <c r="Z80" t="s">
        <v>421</v>
      </c>
      <c r="AC80" t="str">
        <f>IF(AA80="",M80,AA80)</f>
        <v>não</v>
      </c>
      <c r="AD80" t="str">
        <f>IF(AB80="",X80,AB80)</f>
        <v>sim</v>
      </c>
      <c r="AE80" t="str">
        <f>IF(OR(Configuracao!B9="",Configuracao!B10=""),"aguardando limiar",IF(AND(K80&gt;=Configuracao!B9,K80/MAX(Reconciliacao!C2,1)&gt;=Configuracao!B10/100),"sim","não"))</f>
        <v>aguardando limiar</v>
      </c>
    </row>
    <row r="81" spans="1:31" x14ac:dyDescent="0.25">
      <c r="A81">
        <v>15855</v>
      </c>
      <c r="C81" t="s">
        <v>514</v>
      </c>
      <c r="D81" t="s">
        <v>438</v>
      </c>
      <c r="E81" t="s">
        <v>74</v>
      </c>
      <c r="F81" t="s">
        <v>173</v>
      </c>
      <c r="G81" t="s">
        <v>172</v>
      </c>
      <c r="H81" t="s">
        <v>83</v>
      </c>
      <c r="I81" t="s">
        <v>454</v>
      </c>
      <c r="J81" t="s">
        <v>454</v>
      </c>
      <c r="K81" s="4">
        <v>31960</v>
      </c>
      <c r="L81" s="4">
        <v>31960</v>
      </c>
      <c r="M81" t="s">
        <v>166</v>
      </c>
      <c r="N81" t="s">
        <v>77</v>
      </c>
      <c r="O81" t="s">
        <v>76</v>
      </c>
      <c r="P81" t="s">
        <v>187</v>
      </c>
      <c r="Q81" t="s">
        <v>76</v>
      </c>
      <c r="R81" t="s">
        <v>76</v>
      </c>
      <c r="S81" t="s">
        <v>167</v>
      </c>
      <c r="T81" t="s">
        <v>167</v>
      </c>
      <c r="U81" t="s">
        <v>168</v>
      </c>
      <c r="V81" t="s">
        <v>169</v>
      </c>
      <c r="W81" t="s">
        <v>77</v>
      </c>
      <c r="X81" t="s">
        <v>166</v>
      </c>
      <c r="Y81" t="s">
        <v>515</v>
      </c>
      <c r="Z81" t="s">
        <v>434</v>
      </c>
      <c r="AC81" t="str">
        <f>IF(AA81="",M81,AA81)</f>
        <v>não</v>
      </c>
      <c r="AD81" t="str">
        <f>IF(AB81="",X81,AB81)</f>
        <v>não</v>
      </c>
      <c r="AE81" t="str">
        <f>IF(OR(Configuracao!B9="",Configuracao!B10=""),"aguardando limiar",IF(AND(K81&gt;=Configuracao!B9,K81/MAX(Reconciliacao!C2,1)&gt;=Configuracao!B10/100),"sim","não"))</f>
        <v>aguardando limiar</v>
      </c>
    </row>
    <row r="82" spans="1:31" x14ac:dyDescent="0.25">
      <c r="A82">
        <v>17994</v>
      </c>
      <c r="C82" t="s">
        <v>516</v>
      </c>
      <c r="D82" t="s">
        <v>513</v>
      </c>
      <c r="E82" t="s">
        <v>486</v>
      </c>
      <c r="F82" t="s">
        <v>173</v>
      </c>
      <c r="G82" t="s">
        <v>172</v>
      </c>
      <c r="H82" t="s">
        <v>83</v>
      </c>
      <c r="I82" t="s">
        <v>439</v>
      </c>
      <c r="J82" t="s">
        <v>439</v>
      </c>
      <c r="K82" s="4">
        <v>46790.12</v>
      </c>
      <c r="L82" s="4">
        <v>46790.12</v>
      </c>
      <c r="M82" t="s">
        <v>166</v>
      </c>
      <c r="N82" t="s">
        <v>77</v>
      </c>
      <c r="O82" t="s">
        <v>174</v>
      </c>
      <c r="P82" t="s">
        <v>175</v>
      </c>
      <c r="Q82" t="s">
        <v>81</v>
      </c>
      <c r="R82" t="s">
        <v>174</v>
      </c>
      <c r="S82" t="s">
        <v>167</v>
      </c>
      <c r="T82" t="s">
        <v>167</v>
      </c>
      <c r="U82" t="s">
        <v>168</v>
      </c>
      <c r="V82" t="s">
        <v>169</v>
      </c>
      <c r="W82" t="s">
        <v>77</v>
      </c>
      <c r="X82" t="s">
        <v>166</v>
      </c>
      <c r="Y82" t="s">
        <v>517</v>
      </c>
      <c r="Z82" t="s">
        <v>434</v>
      </c>
      <c r="AC82" t="str">
        <f>IF(AA82="",M82,AA82)</f>
        <v>não</v>
      </c>
      <c r="AD82" t="str">
        <f>IF(AB82="",X82,AB82)</f>
        <v>não</v>
      </c>
      <c r="AE82" t="str">
        <f>IF(OR(Configuracao!B9="",Configuracao!B10=""),"aguardando limiar",IF(AND(K82&gt;=Configuracao!B9,K82/MAX(Reconciliacao!C2,1)&gt;=Configuracao!B10/100),"sim","não"))</f>
        <v>aguardando limiar</v>
      </c>
    </row>
    <row r="83" spans="1:31" x14ac:dyDescent="0.25">
      <c r="A83">
        <v>16664</v>
      </c>
      <c r="C83" t="s">
        <v>518</v>
      </c>
      <c r="D83" t="s">
        <v>489</v>
      </c>
      <c r="E83" t="s">
        <v>486</v>
      </c>
      <c r="F83" t="s">
        <v>173</v>
      </c>
      <c r="G83" t="s">
        <v>172</v>
      </c>
      <c r="H83" t="s">
        <v>83</v>
      </c>
      <c r="I83" t="s">
        <v>461</v>
      </c>
      <c r="J83" t="s">
        <v>461</v>
      </c>
      <c r="K83" s="4">
        <v>91298.03</v>
      </c>
      <c r="L83" s="4">
        <v>91298.03</v>
      </c>
      <c r="M83" t="s">
        <v>166</v>
      </c>
      <c r="N83" t="s">
        <v>77</v>
      </c>
      <c r="O83" t="s">
        <v>174</v>
      </c>
      <c r="P83" t="s">
        <v>175</v>
      </c>
      <c r="Q83" t="s">
        <v>81</v>
      </c>
      <c r="R83" t="s">
        <v>174</v>
      </c>
      <c r="S83" t="s">
        <v>167</v>
      </c>
      <c r="T83" t="s">
        <v>167</v>
      </c>
      <c r="U83" t="s">
        <v>168</v>
      </c>
      <c r="V83" t="s">
        <v>169</v>
      </c>
      <c r="W83" t="s">
        <v>77</v>
      </c>
      <c r="X83" t="s">
        <v>166</v>
      </c>
      <c r="Y83" t="s">
        <v>517</v>
      </c>
      <c r="Z83" t="s">
        <v>434</v>
      </c>
      <c r="AC83" t="str">
        <f>IF(AA83="",M83,AA83)</f>
        <v>não</v>
      </c>
      <c r="AD83" t="str">
        <f>IF(AB83="",X83,AB83)</f>
        <v>não</v>
      </c>
      <c r="AE83" t="str">
        <f>IF(OR(Configuracao!B9="",Configuracao!B10=""),"aguardando limiar",IF(AND(K83&gt;=Configuracao!B9,K83/MAX(Reconciliacao!C2,1)&gt;=Configuracao!B10/100),"sim","não"))</f>
        <v>aguardando limiar</v>
      </c>
    </row>
    <row r="84" spans="1:31" x14ac:dyDescent="0.25">
      <c r="A84">
        <v>17549</v>
      </c>
      <c r="C84" t="s">
        <v>518</v>
      </c>
      <c r="D84" t="s">
        <v>489</v>
      </c>
      <c r="E84" t="s">
        <v>486</v>
      </c>
      <c r="F84" t="s">
        <v>173</v>
      </c>
      <c r="G84" t="s">
        <v>172</v>
      </c>
      <c r="H84" t="s">
        <v>83</v>
      </c>
      <c r="I84" t="s">
        <v>442</v>
      </c>
      <c r="J84" t="s">
        <v>442</v>
      </c>
      <c r="K84" s="4">
        <v>91298.03</v>
      </c>
      <c r="L84" s="4">
        <v>91298.03</v>
      </c>
      <c r="M84" t="s">
        <v>166</v>
      </c>
      <c r="N84" t="s">
        <v>77</v>
      </c>
      <c r="O84" t="s">
        <v>174</v>
      </c>
      <c r="P84" t="s">
        <v>175</v>
      </c>
      <c r="Q84" t="s">
        <v>81</v>
      </c>
      <c r="R84" t="s">
        <v>174</v>
      </c>
      <c r="S84" t="s">
        <v>167</v>
      </c>
      <c r="T84" t="s">
        <v>167</v>
      </c>
      <c r="U84" t="s">
        <v>168</v>
      </c>
      <c r="V84" t="s">
        <v>169</v>
      </c>
      <c r="W84" t="s">
        <v>77</v>
      </c>
      <c r="X84" t="s">
        <v>166</v>
      </c>
      <c r="Y84" t="s">
        <v>517</v>
      </c>
      <c r="Z84" t="s">
        <v>434</v>
      </c>
      <c r="AC84" t="str">
        <f>IF(AA84="",M84,AA84)</f>
        <v>não</v>
      </c>
      <c r="AD84" t="str">
        <f>IF(AB84="",X84,AB84)</f>
        <v>não</v>
      </c>
      <c r="AE84" t="str">
        <f>IF(OR(Configuracao!B9="",Configuracao!B10=""),"aguardando limiar",IF(AND(K84&gt;=Configuracao!B9,K84/MAX(Reconciliacao!C2,1)&gt;=Configuracao!B10/100),"sim","não"))</f>
        <v>aguardando limiar</v>
      </c>
    </row>
    <row r="85" spans="1:31" x14ac:dyDescent="0.25">
      <c r="A85">
        <v>18178</v>
      </c>
      <c r="C85" t="s">
        <v>518</v>
      </c>
      <c r="D85" t="s">
        <v>489</v>
      </c>
      <c r="E85" t="s">
        <v>486</v>
      </c>
      <c r="F85" t="s">
        <v>173</v>
      </c>
      <c r="G85" t="s">
        <v>172</v>
      </c>
      <c r="H85" t="s">
        <v>83</v>
      </c>
      <c r="I85" t="s">
        <v>439</v>
      </c>
      <c r="J85" t="s">
        <v>439</v>
      </c>
      <c r="K85" s="4">
        <v>91298.03</v>
      </c>
      <c r="L85" s="4">
        <v>91298.03</v>
      </c>
      <c r="M85" t="s">
        <v>166</v>
      </c>
      <c r="N85" t="s">
        <v>77</v>
      </c>
      <c r="O85" t="s">
        <v>174</v>
      </c>
      <c r="P85" t="s">
        <v>175</v>
      </c>
      <c r="Q85" t="s">
        <v>81</v>
      </c>
      <c r="R85" t="s">
        <v>174</v>
      </c>
      <c r="S85" t="s">
        <v>167</v>
      </c>
      <c r="T85" t="s">
        <v>167</v>
      </c>
      <c r="U85" t="s">
        <v>168</v>
      </c>
      <c r="V85" t="s">
        <v>169</v>
      </c>
      <c r="W85" t="s">
        <v>77</v>
      </c>
      <c r="X85" t="s">
        <v>166</v>
      </c>
      <c r="Y85" t="s">
        <v>517</v>
      </c>
      <c r="Z85" t="s">
        <v>434</v>
      </c>
      <c r="AC85" t="str">
        <f>IF(AA85="",M85,AA85)</f>
        <v>não</v>
      </c>
      <c r="AD85" t="str">
        <f>IF(AB85="",X85,AB85)</f>
        <v>não</v>
      </c>
      <c r="AE85" t="str">
        <f>IF(OR(Configuracao!B9="",Configuracao!B10=""),"aguardando limiar",IF(AND(K85&gt;=Configuracao!B9,K85/MAX(Reconciliacao!C2,1)&gt;=Configuracao!B10/100),"sim","não"))</f>
        <v>aguardando limiar</v>
      </c>
    </row>
    <row r="86" spans="1:31" x14ac:dyDescent="0.25">
      <c r="A86">
        <v>18901</v>
      </c>
      <c r="C86" t="s">
        <v>519</v>
      </c>
      <c r="D86" t="s">
        <v>489</v>
      </c>
      <c r="E86" t="s">
        <v>486</v>
      </c>
      <c r="F86" t="s">
        <v>173</v>
      </c>
      <c r="G86" t="s">
        <v>172</v>
      </c>
      <c r="H86" t="s">
        <v>83</v>
      </c>
      <c r="I86" t="s">
        <v>35</v>
      </c>
      <c r="J86" t="s">
        <v>35</v>
      </c>
      <c r="K86" s="4">
        <v>98445.9</v>
      </c>
      <c r="L86" s="4">
        <v>98445.9</v>
      </c>
      <c r="M86" t="s">
        <v>166</v>
      </c>
      <c r="N86" t="s">
        <v>77</v>
      </c>
      <c r="O86" t="s">
        <v>174</v>
      </c>
      <c r="P86" t="s">
        <v>175</v>
      </c>
      <c r="Q86" t="s">
        <v>81</v>
      </c>
      <c r="R86" t="s">
        <v>174</v>
      </c>
      <c r="S86" t="s">
        <v>167</v>
      </c>
      <c r="T86" t="s">
        <v>167</v>
      </c>
      <c r="U86" t="s">
        <v>168</v>
      </c>
      <c r="V86" t="s">
        <v>169</v>
      </c>
      <c r="W86" t="s">
        <v>77</v>
      </c>
      <c r="X86" t="s">
        <v>166</v>
      </c>
      <c r="Y86" t="s">
        <v>517</v>
      </c>
      <c r="Z86" t="s">
        <v>434</v>
      </c>
      <c r="AC86" t="str">
        <f>IF(AA86="",M86,AA86)</f>
        <v>não</v>
      </c>
      <c r="AD86" t="str">
        <f>IF(AB86="",X86,AB86)</f>
        <v>não</v>
      </c>
      <c r="AE86" t="str">
        <f>IF(OR(Configuracao!B9="",Configuracao!B10=""),"aguardando limiar",IF(AND(K86&gt;=Configuracao!B9,K86/MAX(Reconciliacao!C2,1)&gt;=Configuracao!B10/100),"sim","não"))</f>
        <v>aguardando limiar</v>
      </c>
    </row>
    <row r="87" spans="1:31" x14ac:dyDescent="0.25">
      <c r="A87">
        <v>16481</v>
      </c>
      <c r="C87" t="s">
        <v>518</v>
      </c>
      <c r="D87" t="s">
        <v>489</v>
      </c>
      <c r="E87" t="s">
        <v>486</v>
      </c>
      <c r="F87" t="s">
        <v>173</v>
      </c>
      <c r="G87" t="s">
        <v>172</v>
      </c>
      <c r="H87" t="s">
        <v>83</v>
      </c>
      <c r="I87" t="s">
        <v>454</v>
      </c>
      <c r="J87" t="s">
        <v>454</v>
      </c>
      <c r="K87" s="4">
        <v>167400</v>
      </c>
      <c r="L87" s="4">
        <v>167400</v>
      </c>
      <c r="M87" t="s">
        <v>166</v>
      </c>
      <c r="N87" t="s">
        <v>77</v>
      </c>
      <c r="O87" t="s">
        <v>174</v>
      </c>
      <c r="P87" t="s">
        <v>175</v>
      </c>
      <c r="Q87" t="s">
        <v>81</v>
      </c>
      <c r="R87" t="s">
        <v>174</v>
      </c>
      <c r="S87" t="s">
        <v>167</v>
      </c>
      <c r="T87" t="s">
        <v>167</v>
      </c>
      <c r="U87" t="s">
        <v>168</v>
      </c>
      <c r="V87" t="s">
        <v>169</v>
      </c>
      <c r="W87" t="s">
        <v>77</v>
      </c>
      <c r="X87" t="s">
        <v>166</v>
      </c>
      <c r="Y87" t="s">
        <v>517</v>
      </c>
      <c r="Z87" t="s">
        <v>434</v>
      </c>
      <c r="AC87" t="str">
        <f>IF(AA87="",M87,AA87)</f>
        <v>não</v>
      </c>
      <c r="AD87" t="str">
        <f>IF(AB87="",X87,AB87)</f>
        <v>não</v>
      </c>
      <c r="AE87" t="str">
        <f>IF(OR(Configuracao!B9="",Configuracao!B10=""),"aguardando limiar",IF(AND(K87&gt;=Configuracao!B9,K87/MAX(Reconciliacao!C2,1)&gt;=Configuracao!B10/100),"sim","não"))</f>
        <v>aguardando limiar</v>
      </c>
    </row>
    <row r="88" spans="1:31" x14ac:dyDescent="0.25">
      <c r="A88">
        <v>14888</v>
      </c>
      <c r="C88" t="s">
        <v>520</v>
      </c>
      <c r="D88" t="s">
        <v>521</v>
      </c>
      <c r="E88" t="s">
        <v>74</v>
      </c>
      <c r="F88" t="s">
        <v>173</v>
      </c>
      <c r="G88" t="s">
        <v>172</v>
      </c>
      <c r="H88" t="s">
        <v>83</v>
      </c>
      <c r="I88" t="s">
        <v>420</v>
      </c>
      <c r="J88" t="s">
        <v>420</v>
      </c>
      <c r="K88" s="4">
        <v>200754.8</v>
      </c>
      <c r="L88" s="4">
        <v>200754.8</v>
      </c>
      <c r="M88" t="s">
        <v>166</v>
      </c>
      <c r="N88" t="s">
        <v>77</v>
      </c>
      <c r="O88" t="s">
        <v>76</v>
      </c>
      <c r="P88" t="s">
        <v>187</v>
      </c>
      <c r="Q88" t="s">
        <v>76</v>
      </c>
      <c r="R88" t="s">
        <v>76</v>
      </c>
      <c r="S88" t="s">
        <v>167</v>
      </c>
      <c r="T88" t="s">
        <v>167</v>
      </c>
      <c r="U88" t="s">
        <v>168</v>
      </c>
      <c r="V88" t="s">
        <v>169</v>
      </c>
      <c r="W88" t="s">
        <v>77</v>
      </c>
      <c r="X88" t="s">
        <v>166</v>
      </c>
      <c r="Y88" t="s">
        <v>517</v>
      </c>
      <c r="Z88" t="s">
        <v>434</v>
      </c>
      <c r="AC88" t="str">
        <f>IF(AA88="",M88,AA88)</f>
        <v>não</v>
      </c>
      <c r="AD88" t="str">
        <f>IF(AB88="",X88,AB88)</f>
        <v>não</v>
      </c>
      <c r="AE88" t="str">
        <f>IF(OR(Configuracao!B9="",Configuracao!B10=""),"aguardando limiar",IF(AND(K88&gt;=Configuracao!B9,K88/MAX(Reconciliacao!C2,1)&gt;=Configuracao!B10/100),"sim","não"))</f>
        <v>aguardando limiar</v>
      </c>
    </row>
    <row r="89" spans="1:31" x14ac:dyDescent="0.25">
      <c r="A89">
        <v>6930</v>
      </c>
      <c r="D89" t="s">
        <v>522</v>
      </c>
      <c r="E89" t="s">
        <v>451</v>
      </c>
      <c r="F89" t="s">
        <v>396</v>
      </c>
      <c r="G89" t="s">
        <v>395</v>
      </c>
      <c r="H89" t="s">
        <v>108</v>
      </c>
      <c r="I89" t="s">
        <v>420</v>
      </c>
      <c r="J89" t="s">
        <v>420</v>
      </c>
      <c r="K89" s="4">
        <v>9.59</v>
      </c>
      <c r="L89" s="4">
        <v>9.59</v>
      </c>
      <c r="M89" t="s">
        <v>166</v>
      </c>
      <c r="N89" t="s">
        <v>77</v>
      </c>
      <c r="O89" t="s">
        <v>104</v>
      </c>
      <c r="P89" t="s">
        <v>397</v>
      </c>
      <c r="Q89" t="s">
        <v>104</v>
      </c>
      <c r="R89" t="s">
        <v>104</v>
      </c>
      <c r="S89" t="s">
        <v>167</v>
      </c>
      <c r="T89" t="s">
        <v>167</v>
      </c>
      <c r="U89" t="s">
        <v>168</v>
      </c>
      <c r="V89" t="s">
        <v>169</v>
      </c>
      <c r="W89" t="s">
        <v>77</v>
      </c>
      <c r="X89" t="s">
        <v>44</v>
      </c>
      <c r="Y89" t="s">
        <v>99</v>
      </c>
      <c r="Z89" t="s">
        <v>421</v>
      </c>
      <c r="AC89" t="str">
        <f>IF(AA89="",M89,AA89)</f>
        <v>não</v>
      </c>
      <c r="AD89" t="str">
        <f>IF(AB89="",X89,AB89)</f>
        <v>sim</v>
      </c>
      <c r="AE89" t="str">
        <f>IF(OR(Configuracao!B9="",Configuracao!B10=""),"aguardando limiar",IF(AND(K89&gt;=Configuracao!B9,K89/MAX(Reconciliacao!C2,1)&gt;=Configuracao!B10/100),"sim","não"))</f>
        <v>aguardando limiar</v>
      </c>
    </row>
    <row r="90" spans="1:31" x14ac:dyDescent="0.25">
      <c r="A90">
        <v>6931</v>
      </c>
      <c r="D90" t="s">
        <v>522</v>
      </c>
      <c r="E90" t="s">
        <v>451</v>
      </c>
      <c r="F90" t="s">
        <v>396</v>
      </c>
      <c r="G90" t="s">
        <v>395</v>
      </c>
      <c r="H90" t="s">
        <v>108</v>
      </c>
      <c r="I90" t="s">
        <v>454</v>
      </c>
      <c r="J90" t="s">
        <v>454</v>
      </c>
      <c r="K90" s="4">
        <v>9.59</v>
      </c>
      <c r="L90" s="4">
        <v>9.59</v>
      </c>
      <c r="M90" t="s">
        <v>166</v>
      </c>
      <c r="N90" t="s">
        <v>77</v>
      </c>
      <c r="O90" t="s">
        <v>104</v>
      </c>
      <c r="P90" t="s">
        <v>397</v>
      </c>
      <c r="Q90" t="s">
        <v>104</v>
      </c>
      <c r="R90" t="s">
        <v>104</v>
      </c>
      <c r="S90" t="s">
        <v>167</v>
      </c>
      <c r="T90" t="s">
        <v>167</v>
      </c>
      <c r="U90" t="s">
        <v>168</v>
      </c>
      <c r="V90" t="s">
        <v>169</v>
      </c>
      <c r="W90" t="s">
        <v>77</v>
      </c>
      <c r="X90" t="s">
        <v>44</v>
      </c>
      <c r="Y90" t="s">
        <v>99</v>
      </c>
      <c r="Z90" t="s">
        <v>421</v>
      </c>
      <c r="AC90" t="str">
        <f>IF(AA90="",M90,AA90)</f>
        <v>não</v>
      </c>
      <c r="AD90" t="str">
        <f>IF(AB90="",X90,AB90)</f>
        <v>sim</v>
      </c>
      <c r="AE90" t="str">
        <f>IF(OR(Configuracao!B9="",Configuracao!B10=""),"aguardando limiar",IF(AND(K90&gt;=Configuracao!B9,K90/MAX(Reconciliacao!C2,1)&gt;=Configuracao!B10/100),"sim","não"))</f>
        <v>aguardando limiar</v>
      </c>
    </row>
    <row r="91" spans="1:31" x14ac:dyDescent="0.25">
      <c r="A91">
        <v>6932</v>
      </c>
      <c r="D91" t="s">
        <v>522</v>
      </c>
      <c r="E91" t="s">
        <v>451</v>
      </c>
      <c r="F91" t="s">
        <v>396</v>
      </c>
      <c r="G91" t="s">
        <v>395</v>
      </c>
      <c r="H91" t="s">
        <v>108</v>
      </c>
      <c r="I91" t="s">
        <v>461</v>
      </c>
      <c r="J91" t="s">
        <v>461</v>
      </c>
      <c r="K91" s="4">
        <v>9.59</v>
      </c>
      <c r="L91" s="4">
        <v>9.59</v>
      </c>
      <c r="M91" t="s">
        <v>166</v>
      </c>
      <c r="N91" t="s">
        <v>77</v>
      </c>
      <c r="O91" t="s">
        <v>104</v>
      </c>
      <c r="P91" t="s">
        <v>397</v>
      </c>
      <c r="Q91" t="s">
        <v>104</v>
      </c>
      <c r="R91" t="s">
        <v>104</v>
      </c>
      <c r="S91" t="s">
        <v>167</v>
      </c>
      <c r="T91" t="s">
        <v>167</v>
      </c>
      <c r="U91" t="s">
        <v>168</v>
      </c>
      <c r="V91" t="s">
        <v>169</v>
      </c>
      <c r="W91" t="s">
        <v>77</v>
      </c>
      <c r="X91" t="s">
        <v>44</v>
      </c>
      <c r="Y91" t="s">
        <v>99</v>
      </c>
      <c r="Z91" t="s">
        <v>421</v>
      </c>
      <c r="AC91" t="str">
        <f>IF(AA91="",M91,AA91)</f>
        <v>não</v>
      </c>
      <c r="AD91" t="str">
        <f>IF(AB91="",X91,AB91)</f>
        <v>sim</v>
      </c>
      <c r="AE91" t="str">
        <f>IF(OR(Configuracao!B9="",Configuracao!B10=""),"aguardando limiar",IF(AND(K91&gt;=Configuracao!B9,K91/MAX(Reconciliacao!C2,1)&gt;=Configuracao!B10/100),"sim","não"))</f>
        <v>aguardando limiar</v>
      </c>
    </row>
    <row r="92" spans="1:31" x14ac:dyDescent="0.25">
      <c r="A92">
        <v>6935</v>
      </c>
      <c r="D92" t="s">
        <v>522</v>
      </c>
      <c r="E92" t="s">
        <v>451</v>
      </c>
      <c r="F92" t="s">
        <v>396</v>
      </c>
      <c r="G92" t="s">
        <v>395</v>
      </c>
      <c r="H92" t="s">
        <v>108</v>
      </c>
      <c r="I92" t="s">
        <v>35</v>
      </c>
      <c r="J92" t="s">
        <v>35</v>
      </c>
      <c r="K92" s="4">
        <v>9.59</v>
      </c>
      <c r="L92" s="4">
        <v>9.59</v>
      </c>
      <c r="M92" t="s">
        <v>166</v>
      </c>
      <c r="N92" t="s">
        <v>77</v>
      </c>
      <c r="O92" t="s">
        <v>104</v>
      </c>
      <c r="P92" t="s">
        <v>397</v>
      </c>
      <c r="Q92" t="s">
        <v>104</v>
      </c>
      <c r="R92" t="s">
        <v>104</v>
      </c>
      <c r="S92" t="s">
        <v>167</v>
      </c>
      <c r="T92" t="s">
        <v>167</v>
      </c>
      <c r="U92" t="s">
        <v>168</v>
      </c>
      <c r="V92" t="s">
        <v>169</v>
      </c>
      <c r="W92" t="s">
        <v>77</v>
      </c>
      <c r="X92" t="s">
        <v>44</v>
      </c>
      <c r="Y92" t="s">
        <v>99</v>
      </c>
      <c r="Z92" t="s">
        <v>421</v>
      </c>
      <c r="AC92" t="str">
        <f>IF(AA92="",M92,AA92)</f>
        <v>não</v>
      </c>
      <c r="AD92" t="str">
        <f>IF(AB92="",X92,AB92)</f>
        <v>sim</v>
      </c>
      <c r="AE92" t="str">
        <f>IF(OR(Configuracao!B9="",Configuracao!B10=""),"aguardando limiar",IF(AND(K92&gt;=Configuracao!B9,K92/MAX(Reconciliacao!C2,1)&gt;=Configuracao!B10/100),"sim","não"))</f>
        <v>aguardando limiar</v>
      </c>
    </row>
    <row r="93" spans="1:31" x14ac:dyDescent="0.25">
      <c r="A93">
        <v>6933</v>
      </c>
      <c r="D93" t="s">
        <v>522</v>
      </c>
      <c r="E93" t="s">
        <v>451</v>
      </c>
      <c r="F93" t="s">
        <v>396</v>
      </c>
      <c r="G93" t="s">
        <v>395</v>
      </c>
      <c r="H93" t="s">
        <v>108</v>
      </c>
      <c r="I93" t="s">
        <v>442</v>
      </c>
      <c r="J93" t="s">
        <v>442</v>
      </c>
      <c r="K93" s="4">
        <v>28.12</v>
      </c>
      <c r="L93" s="4">
        <v>28.12</v>
      </c>
      <c r="M93" t="s">
        <v>166</v>
      </c>
      <c r="N93" t="s">
        <v>77</v>
      </c>
      <c r="O93" t="s">
        <v>104</v>
      </c>
      <c r="P93" t="s">
        <v>397</v>
      </c>
      <c r="Q93" t="s">
        <v>104</v>
      </c>
      <c r="R93" t="s">
        <v>104</v>
      </c>
      <c r="S93" t="s">
        <v>167</v>
      </c>
      <c r="T93" t="s">
        <v>167</v>
      </c>
      <c r="U93" t="s">
        <v>168</v>
      </c>
      <c r="V93" t="s">
        <v>169</v>
      </c>
      <c r="W93" t="s">
        <v>77</v>
      </c>
      <c r="X93" t="s">
        <v>44</v>
      </c>
      <c r="Y93" t="s">
        <v>99</v>
      </c>
      <c r="Z93" t="s">
        <v>421</v>
      </c>
      <c r="AC93" t="str">
        <f>IF(AA93="",M93,AA93)</f>
        <v>não</v>
      </c>
      <c r="AD93" t="str">
        <f>IF(AB93="",X93,AB93)</f>
        <v>sim</v>
      </c>
      <c r="AE93" t="str">
        <f>IF(OR(Configuracao!B9="",Configuracao!B10=""),"aguardando limiar",IF(AND(K93&gt;=Configuracao!B9,K93/MAX(Reconciliacao!C2,1)&gt;=Configuracao!B10/100),"sim","não"))</f>
        <v>aguardando limiar</v>
      </c>
    </row>
    <row r="94" spans="1:31" x14ac:dyDescent="0.25">
      <c r="A94">
        <v>6928</v>
      </c>
      <c r="D94" t="s">
        <v>522</v>
      </c>
      <c r="E94" t="s">
        <v>451</v>
      </c>
      <c r="F94" t="s">
        <v>396</v>
      </c>
      <c r="G94" t="s">
        <v>395</v>
      </c>
      <c r="H94" t="s">
        <v>108</v>
      </c>
      <c r="I94" t="s">
        <v>32</v>
      </c>
      <c r="J94" t="s">
        <v>32</v>
      </c>
      <c r="K94" s="4">
        <v>31.7</v>
      </c>
      <c r="L94" s="4">
        <v>31.7</v>
      </c>
      <c r="M94" t="s">
        <v>166</v>
      </c>
      <c r="N94" t="s">
        <v>77</v>
      </c>
      <c r="O94" t="s">
        <v>104</v>
      </c>
      <c r="P94" t="s">
        <v>397</v>
      </c>
      <c r="Q94" t="s">
        <v>104</v>
      </c>
      <c r="R94" t="s">
        <v>104</v>
      </c>
      <c r="S94" t="s">
        <v>167</v>
      </c>
      <c r="T94" t="s">
        <v>167</v>
      </c>
      <c r="U94" t="s">
        <v>168</v>
      </c>
      <c r="V94" t="s">
        <v>169</v>
      </c>
      <c r="W94" t="s">
        <v>77</v>
      </c>
      <c r="X94" t="s">
        <v>44</v>
      </c>
      <c r="Y94" t="s">
        <v>99</v>
      </c>
      <c r="Z94" t="s">
        <v>421</v>
      </c>
      <c r="AC94" t="str">
        <f>IF(AA94="",M94,AA94)</f>
        <v>não</v>
      </c>
      <c r="AD94" t="str">
        <f>IF(AB94="",X94,AB94)</f>
        <v>sim</v>
      </c>
      <c r="AE94" t="str">
        <f>IF(OR(Configuracao!B9="",Configuracao!B10=""),"aguardando limiar",IF(AND(K94&gt;=Configuracao!B9,K94/MAX(Reconciliacao!C2,1)&gt;=Configuracao!B10/100),"sim","não"))</f>
        <v>aguardando limiar</v>
      </c>
    </row>
    <row r="95" spans="1:31" x14ac:dyDescent="0.25">
      <c r="A95">
        <v>6929</v>
      </c>
      <c r="D95" t="s">
        <v>522</v>
      </c>
      <c r="E95" t="s">
        <v>451</v>
      </c>
      <c r="F95" t="s">
        <v>396</v>
      </c>
      <c r="G95" t="s">
        <v>395</v>
      </c>
      <c r="H95" t="s">
        <v>108</v>
      </c>
      <c r="I95" t="s">
        <v>424</v>
      </c>
      <c r="J95" t="s">
        <v>424</v>
      </c>
      <c r="K95" s="4">
        <v>37.25</v>
      </c>
      <c r="L95" s="4">
        <v>37.25</v>
      </c>
      <c r="M95" t="s">
        <v>166</v>
      </c>
      <c r="N95" t="s">
        <v>77</v>
      </c>
      <c r="O95" t="s">
        <v>104</v>
      </c>
      <c r="P95" t="s">
        <v>397</v>
      </c>
      <c r="Q95" t="s">
        <v>104</v>
      </c>
      <c r="R95" t="s">
        <v>104</v>
      </c>
      <c r="S95" t="s">
        <v>167</v>
      </c>
      <c r="T95" t="s">
        <v>167</v>
      </c>
      <c r="U95" t="s">
        <v>168</v>
      </c>
      <c r="V95" t="s">
        <v>169</v>
      </c>
      <c r="W95" t="s">
        <v>77</v>
      </c>
      <c r="X95" t="s">
        <v>44</v>
      </c>
      <c r="Y95" t="s">
        <v>99</v>
      </c>
      <c r="Z95" t="s">
        <v>421</v>
      </c>
      <c r="AC95" t="str">
        <f>IF(AA95="",M95,AA95)</f>
        <v>não</v>
      </c>
      <c r="AD95" t="str">
        <f>IF(AB95="",X95,AB95)</f>
        <v>sim</v>
      </c>
      <c r="AE95" t="str">
        <f>IF(OR(Configuracao!B9="",Configuracao!B10=""),"aguardando limiar",IF(AND(K95&gt;=Configuracao!B9,K95/MAX(Reconciliacao!C2,1)&gt;=Configuracao!B10/100),"sim","não"))</f>
        <v>aguardando limiar</v>
      </c>
    </row>
    <row r="96" spans="1:31" x14ac:dyDescent="0.25">
      <c r="A96">
        <v>6934</v>
      </c>
      <c r="D96" t="s">
        <v>522</v>
      </c>
      <c r="E96" t="s">
        <v>451</v>
      </c>
      <c r="F96" t="s">
        <v>396</v>
      </c>
      <c r="G96" t="s">
        <v>395</v>
      </c>
      <c r="H96" t="s">
        <v>108</v>
      </c>
      <c r="I96" t="s">
        <v>439</v>
      </c>
      <c r="J96" t="s">
        <v>439</v>
      </c>
      <c r="K96" s="4">
        <v>73.7</v>
      </c>
      <c r="L96" s="4">
        <v>73.7</v>
      </c>
      <c r="M96" t="s">
        <v>166</v>
      </c>
      <c r="N96" t="s">
        <v>77</v>
      </c>
      <c r="O96" t="s">
        <v>104</v>
      </c>
      <c r="P96" t="s">
        <v>397</v>
      </c>
      <c r="Q96" t="s">
        <v>104</v>
      </c>
      <c r="R96" t="s">
        <v>104</v>
      </c>
      <c r="S96" t="s">
        <v>167</v>
      </c>
      <c r="T96" t="s">
        <v>167</v>
      </c>
      <c r="U96" t="s">
        <v>168</v>
      </c>
      <c r="V96" t="s">
        <v>169</v>
      </c>
      <c r="W96" t="s">
        <v>77</v>
      </c>
      <c r="X96" t="s">
        <v>44</v>
      </c>
      <c r="Y96" t="s">
        <v>99</v>
      </c>
      <c r="Z96" t="s">
        <v>421</v>
      </c>
      <c r="AC96" t="str">
        <f>IF(AA96="",M96,AA96)</f>
        <v>não</v>
      </c>
      <c r="AD96" t="str">
        <f>IF(AB96="",X96,AB96)</f>
        <v>sim</v>
      </c>
      <c r="AE96" t="str">
        <f>IF(OR(Configuracao!B9="",Configuracao!B10=""),"aguardando limiar",IF(AND(K96&gt;=Configuracao!B9,K96/MAX(Reconciliacao!C2,1)&gt;=Configuracao!B10/100),"sim","não"))</f>
        <v>aguardando limiar</v>
      </c>
    </row>
    <row r="97" spans="1:31" x14ac:dyDescent="0.25">
      <c r="A97">
        <v>17737</v>
      </c>
      <c r="C97" t="s">
        <v>523</v>
      </c>
      <c r="D97" t="s">
        <v>524</v>
      </c>
      <c r="E97" t="s">
        <v>525</v>
      </c>
      <c r="F97" t="s">
        <v>360</v>
      </c>
      <c r="G97" t="s">
        <v>359</v>
      </c>
      <c r="H97" t="s">
        <v>358</v>
      </c>
      <c r="I97" t="s">
        <v>439</v>
      </c>
      <c r="J97" t="s">
        <v>439</v>
      </c>
      <c r="K97" s="4">
        <v>2000</v>
      </c>
      <c r="L97" s="4">
        <v>2000</v>
      </c>
      <c r="M97" t="s">
        <v>166</v>
      </c>
      <c r="N97" t="s">
        <v>77</v>
      </c>
      <c r="O97" t="s">
        <v>361</v>
      </c>
      <c r="P97" t="s">
        <v>99</v>
      </c>
      <c r="Q97" t="s">
        <v>101</v>
      </c>
      <c r="R97" t="s">
        <v>361</v>
      </c>
      <c r="S97" t="s">
        <v>167</v>
      </c>
      <c r="T97" t="s">
        <v>167</v>
      </c>
      <c r="U97" t="s">
        <v>168</v>
      </c>
      <c r="V97" t="s">
        <v>169</v>
      </c>
      <c r="W97" t="s">
        <v>77</v>
      </c>
      <c r="X97" t="s">
        <v>166</v>
      </c>
      <c r="Y97" t="s">
        <v>472</v>
      </c>
      <c r="Z97" t="s">
        <v>434</v>
      </c>
      <c r="AC97" t="str">
        <f>IF(AA97="",M97,AA97)</f>
        <v>não</v>
      </c>
      <c r="AD97" t="str">
        <f>IF(AB97="",X97,AB97)</f>
        <v>não</v>
      </c>
      <c r="AE97" t="str">
        <f>IF(OR(Configuracao!B9="",Configuracao!B10=""),"aguardando limiar",IF(AND(K97&gt;=Configuracao!B9,K97/MAX(Reconciliacao!C2,1)&gt;=Configuracao!B10/100),"sim","não"))</f>
        <v>aguardando limiar</v>
      </c>
    </row>
    <row r="98" spans="1:31" x14ac:dyDescent="0.25">
      <c r="A98">
        <v>16484</v>
      </c>
      <c r="C98" t="s">
        <v>526</v>
      </c>
      <c r="D98" t="s">
        <v>527</v>
      </c>
      <c r="E98" t="s">
        <v>445</v>
      </c>
      <c r="F98" t="s">
        <v>196</v>
      </c>
      <c r="G98" t="s">
        <v>213</v>
      </c>
      <c r="H98" t="s">
        <v>212</v>
      </c>
      <c r="I98" t="s">
        <v>454</v>
      </c>
      <c r="J98" t="s">
        <v>454</v>
      </c>
      <c r="K98" s="4">
        <v>7.94</v>
      </c>
      <c r="L98" s="4">
        <v>7.94</v>
      </c>
      <c r="M98" t="s">
        <v>44</v>
      </c>
      <c r="N98" t="s">
        <v>77</v>
      </c>
      <c r="O98" t="s">
        <v>99</v>
      </c>
      <c r="P98" t="s">
        <v>99</v>
      </c>
      <c r="Q98" t="s">
        <v>128</v>
      </c>
      <c r="R98" t="s">
        <v>128</v>
      </c>
      <c r="S98" t="s">
        <v>197</v>
      </c>
      <c r="T98" t="s">
        <v>198</v>
      </c>
      <c r="U98" t="s">
        <v>163</v>
      </c>
      <c r="V98" t="s">
        <v>164</v>
      </c>
      <c r="W98" t="s">
        <v>77</v>
      </c>
      <c r="X98" t="s">
        <v>44</v>
      </c>
      <c r="Y98" t="s">
        <v>99</v>
      </c>
      <c r="Z98" t="s">
        <v>421</v>
      </c>
      <c r="AC98" t="str">
        <f>IF(AA98="",M98,AA98)</f>
        <v>sim</v>
      </c>
      <c r="AD98" t="str">
        <f>IF(AB98="",X98,AB98)</f>
        <v>sim</v>
      </c>
      <c r="AE98" t="str">
        <f>IF(OR(Configuracao!B9="",Configuracao!B10=""),"aguardando limiar",IF(AND(K98&gt;=Configuracao!B9,K98/MAX(Reconciliacao!C2,1)&gt;=Configuracao!B10/100),"sim","não"))</f>
        <v>aguardando limiar</v>
      </c>
    </row>
    <row r="99" spans="1:31" x14ac:dyDescent="0.25">
      <c r="A99">
        <v>14175</v>
      </c>
      <c r="C99" t="s">
        <v>528</v>
      </c>
      <c r="D99" t="s">
        <v>527</v>
      </c>
      <c r="E99" t="s">
        <v>445</v>
      </c>
      <c r="F99" t="s">
        <v>196</v>
      </c>
      <c r="G99" t="s">
        <v>213</v>
      </c>
      <c r="H99" t="s">
        <v>212</v>
      </c>
      <c r="I99" t="s">
        <v>454</v>
      </c>
      <c r="J99" t="s">
        <v>454</v>
      </c>
      <c r="K99" s="4">
        <v>8.35</v>
      </c>
      <c r="L99" s="4">
        <v>8.35</v>
      </c>
      <c r="M99" t="s">
        <v>44</v>
      </c>
      <c r="N99" t="s">
        <v>77</v>
      </c>
      <c r="O99" t="s">
        <v>99</v>
      </c>
      <c r="P99" t="s">
        <v>99</v>
      </c>
      <c r="Q99" t="s">
        <v>128</v>
      </c>
      <c r="R99" t="s">
        <v>128</v>
      </c>
      <c r="S99" t="s">
        <v>197</v>
      </c>
      <c r="T99" t="s">
        <v>198</v>
      </c>
      <c r="U99" t="s">
        <v>163</v>
      </c>
      <c r="V99" t="s">
        <v>164</v>
      </c>
      <c r="W99" t="s">
        <v>77</v>
      </c>
      <c r="X99" t="s">
        <v>44</v>
      </c>
      <c r="Y99" t="s">
        <v>99</v>
      </c>
      <c r="Z99" t="s">
        <v>421</v>
      </c>
      <c r="AC99" t="str">
        <f>IF(AA99="",M99,AA99)</f>
        <v>sim</v>
      </c>
      <c r="AD99" t="str">
        <f>IF(AB99="",X99,AB99)</f>
        <v>sim</v>
      </c>
      <c r="AE99" t="str">
        <f>IF(OR(Configuracao!B9="",Configuracao!B10=""),"aguardando limiar",IF(AND(K99&gt;=Configuracao!B9,K99/MAX(Reconciliacao!C2,1)&gt;=Configuracao!B10/100),"sim","não"))</f>
        <v>aguardando limiar</v>
      </c>
    </row>
    <row r="100" spans="1:31" x14ac:dyDescent="0.25">
      <c r="A100">
        <v>12766</v>
      </c>
      <c r="C100" t="s">
        <v>529</v>
      </c>
      <c r="D100" t="s">
        <v>527</v>
      </c>
      <c r="E100" t="s">
        <v>445</v>
      </c>
      <c r="F100" t="s">
        <v>196</v>
      </c>
      <c r="G100" t="s">
        <v>213</v>
      </c>
      <c r="H100" t="s">
        <v>212</v>
      </c>
      <c r="I100" t="s">
        <v>420</v>
      </c>
      <c r="J100" t="s">
        <v>420</v>
      </c>
      <c r="K100" s="4">
        <v>12.52</v>
      </c>
      <c r="L100" s="4">
        <v>12.52</v>
      </c>
      <c r="M100" t="s">
        <v>44</v>
      </c>
      <c r="N100" t="s">
        <v>77</v>
      </c>
      <c r="O100" t="s">
        <v>99</v>
      </c>
      <c r="P100" t="s">
        <v>99</v>
      </c>
      <c r="Q100" t="s">
        <v>128</v>
      </c>
      <c r="R100" t="s">
        <v>128</v>
      </c>
      <c r="S100" t="s">
        <v>197</v>
      </c>
      <c r="T100" t="s">
        <v>198</v>
      </c>
      <c r="U100" t="s">
        <v>163</v>
      </c>
      <c r="V100" t="s">
        <v>164</v>
      </c>
      <c r="W100" t="s">
        <v>77</v>
      </c>
      <c r="X100" t="s">
        <v>44</v>
      </c>
      <c r="Y100" t="s">
        <v>99</v>
      </c>
      <c r="Z100" t="s">
        <v>421</v>
      </c>
      <c r="AC100" t="str">
        <f>IF(AA100="",M100,AA100)</f>
        <v>sim</v>
      </c>
      <c r="AD100" t="str">
        <f>IF(AB100="",X100,AB100)</f>
        <v>sim</v>
      </c>
      <c r="AE100" t="str">
        <f>IF(OR(Configuracao!B9="",Configuracao!B10=""),"aguardando limiar",IF(AND(K100&gt;=Configuracao!B9,K100/MAX(Reconciliacao!C2,1)&gt;=Configuracao!B10/100),"sim","não"))</f>
        <v>aguardando limiar</v>
      </c>
    </row>
    <row r="101" spans="1:31" x14ac:dyDescent="0.25">
      <c r="A101">
        <v>16483</v>
      </c>
      <c r="C101" t="s">
        <v>526</v>
      </c>
      <c r="D101" t="s">
        <v>527</v>
      </c>
      <c r="E101" t="s">
        <v>511</v>
      </c>
      <c r="F101" t="s">
        <v>196</v>
      </c>
      <c r="G101" t="s">
        <v>213</v>
      </c>
      <c r="H101" t="s">
        <v>212</v>
      </c>
      <c r="I101" t="s">
        <v>454</v>
      </c>
      <c r="J101" t="s">
        <v>454</v>
      </c>
      <c r="K101" s="4">
        <v>14.21</v>
      </c>
      <c r="L101" s="4">
        <v>14.21</v>
      </c>
      <c r="M101" t="s">
        <v>44</v>
      </c>
      <c r="N101" t="s">
        <v>77</v>
      </c>
      <c r="O101" t="s">
        <v>99</v>
      </c>
      <c r="P101" t="s">
        <v>99</v>
      </c>
      <c r="Q101" t="s">
        <v>128</v>
      </c>
      <c r="R101" t="s">
        <v>128</v>
      </c>
      <c r="S101" t="s">
        <v>197</v>
      </c>
      <c r="T101" t="s">
        <v>198</v>
      </c>
      <c r="U101" t="s">
        <v>163</v>
      </c>
      <c r="V101" t="s">
        <v>164</v>
      </c>
      <c r="W101" t="s">
        <v>77</v>
      </c>
      <c r="X101" t="s">
        <v>44</v>
      </c>
      <c r="Y101" t="s">
        <v>99</v>
      </c>
      <c r="Z101" t="s">
        <v>421</v>
      </c>
      <c r="AC101" t="str">
        <f>IF(AA101="",M101,AA101)</f>
        <v>sim</v>
      </c>
      <c r="AD101" t="str">
        <f>IF(AB101="",X101,AB101)</f>
        <v>sim</v>
      </c>
      <c r="AE101" t="str">
        <f>IF(OR(Configuracao!B9="",Configuracao!B10=""),"aguardando limiar",IF(AND(K101&gt;=Configuracao!B9,K101/MAX(Reconciliacao!C2,1)&gt;=Configuracao!B10/100),"sim","não"))</f>
        <v>aguardando limiar</v>
      </c>
    </row>
    <row r="102" spans="1:31" x14ac:dyDescent="0.25">
      <c r="A102">
        <v>14176</v>
      </c>
      <c r="C102" t="s">
        <v>528</v>
      </c>
      <c r="D102" t="s">
        <v>527</v>
      </c>
      <c r="E102" t="s">
        <v>511</v>
      </c>
      <c r="F102" t="s">
        <v>196</v>
      </c>
      <c r="G102" t="s">
        <v>213</v>
      </c>
      <c r="H102" t="s">
        <v>212</v>
      </c>
      <c r="I102" t="s">
        <v>454</v>
      </c>
      <c r="J102" t="s">
        <v>454</v>
      </c>
      <c r="K102" s="4">
        <v>15.03</v>
      </c>
      <c r="L102" s="4">
        <v>15.03</v>
      </c>
      <c r="M102" t="s">
        <v>44</v>
      </c>
      <c r="N102" t="s">
        <v>77</v>
      </c>
      <c r="O102" t="s">
        <v>99</v>
      </c>
      <c r="P102" t="s">
        <v>99</v>
      </c>
      <c r="Q102" t="s">
        <v>128</v>
      </c>
      <c r="R102" t="s">
        <v>128</v>
      </c>
      <c r="S102" t="s">
        <v>197</v>
      </c>
      <c r="T102" t="s">
        <v>198</v>
      </c>
      <c r="U102" t="s">
        <v>163</v>
      </c>
      <c r="V102" t="s">
        <v>164</v>
      </c>
      <c r="W102" t="s">
        <v>77</v>
      </c>
      <c r="X102" t="s">
        <v>44</v>
      </c>
      <c r="Y102" t="s">
        <v>99</v>
      </c>
      <c r="Z102" t="s">
        <v>421</v>
      </c>
      <c r="AC102" t="str">
        <f>IF(AA102="",M102,AA102)</f>
        <v>sim</v>
      </c>
      <c r="AD102" t="str">
        <f>IF(AB102="",X102,AB102)</f>
        <v>sim</v>
      </c>
      <c r="AE102" t="str">
        <f>IF(OR(Configuracao!B9="",Configuracao!B10=""),"aguardando limiar",IF(AND(K102&gt;=Configuracao!B9,K102/MAX(Reconciliacao!C2,1)&gt;=Configuracao!B10/100),"sim","não"))</f>
        <v>aguardando limiar</v>
      </c>
    </row>
    <row r="103" spans="1:31" x14ac:dyDescent="0.25">
      <c r="A103">
        <v>17673</v>
      </c>
      <c r="C103" t="s">
        <v>530</v>
      </c>
      <c r="D103" t="s">
        <v>527</v>
      </c>
      <c r="E103" t="s">
        <v>445</v>
      </c>
      <c r="F103" t="s">
        <v>196</v>
      </c>
      <c r="G103" t="s">
        <v>213</v>
      </c>
      <c r="H103" t="s">
        <v>212</v>
      </c>
      <c r="I103" t="s">
        <v>442</v>
      </c>
      <c r="J103" t="s">
        <v>442</v>
      </c>
      <c r="K103" s="4">
        <v>19.42</v>
      </c>
      <c r="L103" s="4">
        <v>19.42</v>
      </c>
      <c r="M103" t="s">
        <v>44</v>
      </c>
      <c r="N103" t="s">
        <v>77</v>
      </c>
      <c r="O103" t="s">
        <v>99</v>
      </c>
      <c r="P103" t="s">
        <v>99</v>
      </c>
      <c r="Q103" t="s">
        <v>128</v>
      </c>
      <c r="R103" t="s">
        <v>128</v>
      </c>
      <c r="S103" t="s">
        <v>197</v>
      </c>
      <c r="T103" t="s">
        <v>198</v>
      </c>
      <c r="U103" t="s">
        <v>163</v>
      </c>
      <c r="V103" t="s">
        <v>164</v>
      </c>
      <c r="W103" t="s">
        <v>77</v>
      </c>
      <c r="X103" t="s">
        <v>44</v>
      </c>
      <c r="Y103" t="s">
        <v>99</v>
      </c>
      <c r="Z103" t="s">
        <v>421</v>
      </c>
      <c r="AC103" t="str">
        <f>IF(AA103="",M103,AA103)</f>
        <v>sim</v>
      </c>
      <c r="AD103" t="str">
        <f>IF(AB103="",X103,AB103)</f>
        <v>sim</v>
      </c>
      <c r="AE103" t="str">
        <f>IF(OR(Configuracao!B9="",Configuracao!B10=""),"aguardando limiar",IF(AND(K103&gt;=Configuracao!B9,K103/MAX(Reconciliacao!C2,1)&gt;=Configuracao!B10/100),"sim","não"))</f>
        <v>aguardando limiar</v>
      </c>
    </row>
    <row r="104" spans="1:31" x14ac:dyDescent="0.25">
      <c r="A104">
        <v>17840</v>
      </c>
      <c r="C104" t="s">
        <v>530</v>
      </c>
      <c r="D104" t="s">
        <v>527</v>
      </c>
      <c r="E104" t="s">
        <v>445</v>
      </c>
      <c r="F104" t="s">
        <v>196</v>
      </c>
      <c r="G104" t="s">
        <v>213</v>
      </c>
      <c r="H104" t="s">
        <v>212</v>
      </c>
      <c r="I104" t="s">
        <v>439</v>
      </c>
      <c r="J104" t="s">
        <v>439</v>
      </c>
      <c r="K104" s="4">
        <v>19.42</v>
      </c>
      <c r="L104" s="4">
        <v>19.42</v>
      </c>
      <c r="M104" t="s">
        <v>44</v>
      </c>
      <c r="N104" t="s">
        <v>77</v>
      </c>
      <c r="O104" t="s">
        <v>99</v>
      </c>
      <c r="P104" t="s">
        <v>99</v>
      </c>
      <c r="Q104" t="s">
        <v>128</v>
      </c>
      <c r="R104" t="s">
        <v>128</v>
      </c>
      <c r="S104" t="s">
        <v>197</v>
      </c>
      <c r="T104" t="s">
        <v>198</v>
      </c>
      <c r="U104" t="s">
        <v>163</v>
      </c>
      <c r="V104" t="s">
        <v>164</v>
      </c>
      <c r="W104" t="s">
        <v>77</v>
      </c>
      <c r="X104" t="s">
        <v>44</v>
      </c>
      <c r="Y104" t="s">
        <v>99</v>
      </c>
      <c r="Z104" t="s">
        <v>421</v>
      </c>
      <c r="AC104" t="str">
        <f>IF(AA104="",M104,AA104)</f>
        <v>sim</v>
      </c>
      <c r="AD104" t="str">
        <f>IF(AB104="",X104,AB104)</f>
        <v>sim</v>
      </c>
      <c r="AE104" t="str">
        <f>IF(OR(Configuracao!B9="",Configuracao!B10=""),"aguardando limiar",IF(AND(K104&gt;=Configuracao!B9,K104/MAX(Reconciliacao!C2,1)&gt;=Configuracao!B10/100),"sim","não"))</f>
        <v>aguardando limiar</v>
      </c>
    </row>
    <row r="105" spans="1:31" x14ac:dyDescent="0.25">
      <c r="A105">
        <v>16563</v>
      </c>
      <c r="C105" t="s">
        <v>530</v>
      </c>
      <c r="D105" t="s">
        <v>527</v>
      </c>
      <c r="E105" t="s">
        <v>445</v>
      </c>
      <c r="F105" t="s">
        <v>196</v>
      </c>
      <c r="G105" t="s">
        <v>213</v>
      </c>
      <c r="H105" t="s">
        <v>212</v>
      </c>
      <c r="I105" t="s">
        <v>454</v>
      </c>
      <c r="J105" t="s">
        <v>454</v>
      </c>
      <c r="K105" s="4">
        <v>19.85</v>
      </c>
      <c r="L105" s="4">
        <v>19.85</v>
      </c>
      <c r="M105" t="s">
        <v>44</v>
      </c>
      <c r="N105" t="s">
        <v>77</v>
      </c>
      <c r="O105" t="s">
        <v>99</v>
      </c>
      <c r="P105" t="s">
        <v>99</v>
      </c>
      <c r="Q105" t="s">
        <v>128</v>
      </c>
      <c r="R105" t="s">
        <v>128</v>
      </c>
      <c r="S105" t="s">
        <v>197</v>
      </c>
      <c r="T105" t="s">
        <v>198</v>
      </c>
      <c r="U105" t="s">
        <v>163</v>
      </c>
      <c r="V105" t="s">
        <v>164</v>
      </c>
      <c r="W105" t="s">
        <v>77</v>
      </c>
      <c r="X105" t="s">
        <v>44</v>
      </c>
      <c r="Y105" t="s">
        <v>99</v>
      </c>
      <c r="Z105" t="s">
        <v>421</v>
      </c>
      <c r="AC105" t="str">
        <f>IF(AA105="",M105,AA105)</f>
        <v>sim</v>
      </c>
      <c r="AD105" t="str">
        <f>IF(AB105="",X105,AB105)</f>
        <v>sim</v>
      </c>
      <c r="AE105" t="str">
        <f>IF(OR(Configuracao!B9="",Configuracao!B10=""),"aguardando limiar",IF(AND(K105&gt;=Configuracao!B9,K105/MAX(Reconciliacao!C2,1)&gt;=Configuracao!B10/100),"sim","não"))</f>
        <v>aguardando limiar</v>
      </c>
    </row>
    <row r="106" spans="1:31" x14ac:dyDescent="0.25">
      <c r="A106">
        <v>12438</v>
      </c>
      <c r="C106" t="s">
        <v>531</v>
      </c>
      <c r="D106" t="s">
        <v>527</v>
      </c>
      <c r="E106" t="s">
        <v>445</v>
      </c>
      <c r="F106" t="s">
        <v>196</v>
      </c>
      <c r="G106" t="s">
        <v>213</v>
      </c>
      <c r="H106" t="s">
        <v>212</v>
      </c>
      <c r="I106" t="s">
        <v>424</v>
      </c>
      <c r="J106" t="s">
        <v>424</v>
      </c>
      <c r="K106" s="4">
        <v>20.88</v>
      </c>
      <c r="L106" s="4">
        <v>20.88</v>
      </c>
      <c r="M106" t="s">
        <v>44</v>
      </c>
      <c r="N106" t="s">
        <v>77</v>
      </c>
      <c r="O106" t="s">
        <v>99</v>
      </c>
      <c r="P106" t="s">
        <v>99</v>
      </c>
      <c r="Q106" t="s">
        <v>128</v>
      </c>
      <c r="R106" t="s">
        <v>128</v>
      </c>
      <c r="S106" t="s">
        <v>197</v>
      </c>
      <c r="T106" t="s">
        <v>198</v>
      </c>
      <c r="U106" t="s">
        <v>163</v>
      </c>
      <c r="V106" t="s">
        <v>164</v>
      </c>
      <c r="W106" t="s">
        <v>77</v>
      </c>
      <c r="X106" t="s">
        <v>44</v>
      </c>
      <c r="Y106" t="s">
        <v>99</v>
      </c>
      <c r="Z106" t="s">
        <v>421</v>
      </c>
      <c r="AC106" t="str">
        <f>IF(AA106="",M106,AA106)</f>
        <v>sim</v>
      </c>
      <c r="AD106" t="str">
        <f>IF(AB106="",X106,AB106)</f>
        <v>sim</v>
      </c>
      <c r="AE106" t="str">
        <f>IF(OR(Configuracao!B9="",Configuracao!B10=""),"aguardando limiar",IF(AND(K106&gt;=Configuracao!B9,K106/MAX(Reconciliacao!C2,1)&gt;=Configuracao!B10/100),"sim","não"))</f>
        <v>aguardando limiar</v>
      </c>
    </row>
    <row r="107" spans="1:31" x14ac:dyDescent="0.25">
      <c r="A107">
        <v>11999</v>
      </c>
      <c r="C107" t="s">
        <v>532</v>
      </c>
      <c r="D107" t="s">
        <v>527</v>
      </c>
      <c r="E107" t="s">
        <v>445</v>
      </c>
      <c r="F107" t="s">
        <v>196</v>
      </c>
      <c r="G107" t="s">
        <v>213</v>
      </c>
      <c r="H107" t="s">
        <v>212</v>
      </c>
      <c r="I107" t="s">
        <v>32</v>
      </c>
      <c r="J107" t="s">
        <v>32</v>
      </c>
      <c r="K107" s="4">
        <v>25.05</v>
      </c>
      <c r="L107" s="4">
        <v>25.05</v>
      </c>
      <c r="M107" t="s">
        <v>44</v>
      </c>
      <c r="N107" t="s">
        <v>77</v>
      </c>
      <c r="O107" t="s">
        <v>99</v>
      </c>
      <c r="P107" t="s">
        <v>99</v>
      </c>
      <c r="Q107" t="s">
        <v>128</v>
      </c>
      <c r="R107" t="s">
        <v>128</v>
      </c>
      <c r="S107" t="s">
        <v>197</v>
      </c>
      <c r="T107" t="s">
        <v>198</v>
      </c>
      <c r="U107" t="s">
        <v>163</v>
      </c>
      <c r="V107" t="s">
        <v>164</v>
      </c>
      <c r="W107" t="s">
        <v>77</v>
      </c>
      <c r="X107" t="s">
        <v>44</v>
      </c>
      <c r="Y107" t="s">
        <v>99</v>
      </c>
      <c r="Z107" t="s">
        <v>421</v>
      </c>
      <c r="AC107" t="str">
        <f>IF(AA107="",M107,AA107)</f>
        <v>sim</v>
      </c>
      <c r="AD107" t="str">
        <f>IF(AB107="",X107,AB107)</f>
        <v>sim</v>
      </c>
      <c r="AE107" t="str">
        <f>IF(OR(Configuracao!B9="",Configuracao!B10=""),"aguardando limiar",IF(AND(K107&gt;=Configuracao!B9,K107/MAX(Reconciliacao!C2,1)&gt;=Configuracao!B10/100),"sim","não"))</f>
        <v>aguardando limiar</v>
      </c>
    </row>
    <row r="108" spans="1:31" x14ac:dyDescent="0.25">
      <c r="A108">
        <v>12765</v>
      </c>
      <c r="C108" t="s">
        <v>529</v>
      </c>
      <c r="D108" t="s">
        <v>527</v>
      </c>
      <c r="E108" t="s">
        <v>511</v>
      </c>
      <c r="F108" t="s">
        <v>196</v>
      </c>
      <c r="G108" t="s">
        <v>213</v>
      </c>
      <c r="H108" t="s">
        <v>212</v>
      </c>
      <c r="I108" t="s">
        <v>420</v>
      </c>
      <c r="J108" t="s">
        <v>420</v>
      </c>
      <c r="K108" s="4">
        <v>25.05</v>
      </c>
      <c r="L108" s="4">
        <v>25.05</v>
      </c>
      <c r="M108" t="s">
        <v>44</v>
      </c>
      <c r="N108" t="s">
        <v>77</v>
      </c>
      <c r="O108" t="s">
        <v>99</v>
      </c>
      <c r="P108" t="s">
        <v>99</v>
      </c>
      <c r="Q108" t="s">
        <v>128</v>
      </c>
      <c r="R108" t="s">
        <v>128</v>
      </c>
      <c r="S108" t="s">
        <v>197</v>
      </c>
      <c r="T108" t="s">
        <v>198</v>
      </c>
      <c r="U108" t="s">
        <v>163</v>
      </c>
      <c r="V108" t="s">
        <v>164</v>
      </c>
      <c r="W108" t="s">
        <v>77</v>
      </c>
      <c r="X108" t="s">
        <v>44</v>
      </c>
      <c r="Y108" t="s">
        <v>99</v>
      </c>
      <c r="Z108" t="s">
        <v>421</v>
      </c>
      <c r="AC108" t="str">
        <f>IF(AA108="",M108,AA108)</f>
        <v>sim</v>
      </c>
      <c r="AD108" t="str">
        <f>IF(AB108="",X108,AB108)</f>
        <v>sim</v>
      </c>
      <c r="AE108" t="str">
        <f>IF(OR(Configuracao!B9="",Configuracao!B10=""),"aguardando limiar",IF(AND(K108&gt;=Configuracao!B9,K108/MAX(Reconciliacao!C2,1)&gt;=Configuracao!B10/100),"sim","não"))</f>
        <v>aguardando limiar</v>
      </c>
    </row>
    <row r="109" spans="1:31" x14ac:dyDescent="0.25">
      <c r="A109">
        <v>16562</v>
      </c>
      <c r="C109" t="s">
        <v>530</v>
      </c>
      <c r="D109" t="s">
        <v>527</v>
      </c>
      <c r="E109" t="s">
        <v>511</v>
      </c>
      <c r="F109" t="s">
        <v>196</v>
      </c>
      <c r="G109" t="s">
        <v>213</v>
      </c>
      <c r="H109" t="s">
        <v>212</v>
      </c>
      <c r="I109" t="s">
        <v>454</v>
      </c>
      <c r="J109" t="s">
        <v>454</v>
      </c>
      <c r="K109" s="4">
        <v>35.52</v>
      </c>
      <c r="L109" s="4">
        <v>35.52</v>
      </c>
      <c r="M109" t="s">
        <v>44</v>
      </c>
      <c r="N109" t="s">
        <v>77</v>
      </c>
      <c r="O109" t="s">
        <v>99</v>
      </c>
      <c r="P109" t="s">
        <v>99</v>
      </c>
      <c r="Q109" t="s">
        <v>128</v>
      </c>
      <c r="R109" t="s">
        <v>128</v>
      </c>
      <c r="S109" t="s">
        <v>197</v>
      </c>
      <c r="T109" t="s">
        <v>198</v>
      </c>
      <c r="U109" t="s">
        <v>163</v>
      </c>
      <c r="V109" t="s">
        <v>164</v>
      </c>
      <c r="W109" t="s">
        <v>77</v>
      </c>
      <c r="X109" t="s">
        <v>44</v>
      </c>
      <c r="Y109" t="s">
        <v>99</v>
      </c>
      <c r="Z109" t="s">
        <v>421</v>
      </c>
      <c r="AC109" t="str">
        <f>IF(AA109="",M109,AA109)</f>
        <v>sim</v>
      </c>
      <c r="AD109" t="str">
        <f>IF(AB109="",X109,AB109)</f>
        <v>sim</v>
      </c>
      <c r="AE109" t="str">
        <f>IF(OR(Configuracao!B9="",Configuracao!B10=""),"aguardando limiar",IF(AND(K109&gt;=Configuracao!B9,K109/MAX(Reconciliacao!C2,1)&gt;=Configuracao!B10/100),"sim","não"))</f>
        <v>aguardando limiar</v>
      </c>
    </row>
    <row r="110" spans="1:31" x14ac:dyDescent="0.25">
      <c r="A110">
        <v>17672</v>
      </c>
      <c r="C110" t="s">
        <v>530</v>
      </c>
      <c r="D110" t="s">
        <v>527</v>
      </c>
      <c r="E110" t="s">
        <v>511</v>
      </c>
      <c r="F110" t="s">
        <v>196</v>
      </c>
      <c r="G110" t="s">
        <v>213</v>
      </c>
      <c r="H110" t="s">
        <v>212</v>
      </c>
      <c r="I110" t="s">
        <v>442</v>
      </c>
      <c r="J110" t="s">
        <v>442</v>
      </c>
      <c r="K110" s="4">
        <v>35.95</v>
      </c>
      <c r="L110" s="4">
        <v>35.95</v>
      </c>
      <c r="M110" t="s">
        <v>44</v>
      </c>
      <c r="N110" t="s">
        <v>77</v>
      </c>
      <c r="O110" t="s">
        <v>99</v>
      </c>
      <c r="P110" t="s">
        <v>99</v>
      </c>
      <c r="Q110" t="s">
        <v>128</v>
      </c>
      <c r="R110" t="s">
        <v>128</v>
      </c>
      <c r="S110" t="s">
        <v>197</v>
      </c>
      <c r="T110" t="s">
        <v>198</v>
      </c>
      <c r="U110" t="s">
        <v>163</v>
      </c>
      <c r="V110" t="s">
        <v>164</v>
      </c>
      <c r="W110" t="s">
        <v>77</v>
      </c>
      <c r="X110" t="s">
        <v>44</v>
      </c>
      <c r="Y110" t="s">
        <v>99</v>
      </c>
      <c r="Z110" t="s">
        <v>421</v>
      </c>
      <c r="AC110" t="str">
        <f>IF(AA110="",M110,AA110)</f>
        <v>sim</v>
      </c>
      <c r="AD110" t="str">
        <f>IF(AB110="",X110,AB110)</f>
        <v>sim</v>
      </c>
      <c r="AE110" t="str">
        <f>IF(OR(Configuracao!B9="",Configuracao!B10=""),"aguardando limiar",IF(AND(K110&gt;=Configuracao!B9,K110/MAX(Reconciliacao!C2,1)&gt;=Configuracao!B10/100),"sim","não"))</f>
        <v>aguardando limiar</v>
      </c>
    </row>
    <row r="111" spans="1:31" x14ac:dyDescent="0.25">
      <c r="A111">
        <v>17839</v>
      </c>
      <c r="C111" t="s">
        <v>530</v>
      </c>
      <c r="D111" t="s">
        <v>527</v>
      </c>
      <c r="E111" t="s">
        <v>511</v>
      </c>
      <c r="F111" t="s">
        <v>196</v>
      </c>
      <c r="G111" t="s">
        <v>213</v>
      </c>
      <c r="H111" t="s">
        <v>212</v>
      </c>
      <c r="I111" t="s">
        <v>439</v>
      </c>
      <c r="J111" t="s">
        <v>439</v>
      </c>
      <c r="K111" s="4">
        <v>35.95</v>
      </c>
      <c r="L111" s="4">
        <v>35.95</v>
      </c>
      <c r="M111" t="s">
        <v>44</v>
      </c>
      <c r="N111" t="s">
        <v>77</v>
      </c>
      <c r="O111" t="s">
        <v>99</v>
      </c>
      <c r="P111" t="s">
        <v>99</v>
      </c>
      <c r="Q111" t="s">
        <v>128</v>
      </c>
      <c r="R111" t="s">
        <v>128</v>
      </c>
      <c r="S111" t="s">
        <v>197</v>
      </c>
      <c r="T111" t="s">
        <v>198</v>
      </c>
      <c r="U111" t="s">
        <v>163</v>
      </c>
      <c r="V111" t="s">
        <v>164</v>
      </c>
      <c r="W111" t="s">
        <v>77</v>
      </c>
      <c r="X111" t="s">
        <v>44</v>
      </c>
      <c r="Y111" t="s">
        <v>99</v>
      </c>
      <c r="Z111" t="s">
        <v>421</v>
      </c>
      <c r="AC111" t="str">
        <f>IF(AA111="",M111,AA111)</f>
        <v>sim</v>
      </c>
      <c r="AD111" t="str">
        <f>IF(AB111="",X111,AB111)</f>
        <v>sim</v>
      </c>
      <c r="AE111" t="str">
        <f>IF(OR(Configuracao!B9="",Configuracao!B10=""),"aguardando limiar",IF(AND(K111&gt;=Configuracao!B9,K111/MAX(Reconciliacao!C2,1)&gt;=Configuracao!B10/100),"sim","não"))</f>
        <v>aguardando limiar</v>
      </c>
    </row>
    <row r="112" spans="1:31" x14ac:dyDescent="0.25">
      <c r="A112">
        <v>12439</v>
      </c>
      <c r="C112" t="s">
        <v>531</v>
      </c>
      <c r="D112" t="s">
        <v>527</v>
      </c>
      <c r="E112" t="s">
        <v>511</v>
      </c>
      <c r="F112" t="s">
        <v>196</v>
      </c>
      <c r="G112" t="s">
        <v>213</v>
      </c>
      <c r="H112" t="s">
        <v>212</v>
      </c>
      <c r="I112" t="s">
        <v>424</v>
      </c>
      <c r="J112" t="s">
        <v>424</v>
      </c>
      <c r="K112" s="4">
        <v>41.75</v>
      </c>
      <c r="L112" s="4">
        <v>41.75</v>
      </c>
      <c r="M112" t="s">
        <v>44</v>
      </c>
      <c r="N112" t="s">
        <v>77</v>
      </c>
      <c r="O112" t="s">
        <v>99</v>
      </c>
      <c r="P112" t="s">
        <v>99</v>
      </c>
      <c r="Q112" t="s">
        <v>128</v>
      </c>
      <c r="R112" t="s">
        <v>128</v>
      </c>
      <c r="S112" t="s">
        <v>197</v>
      </c>
      <c r="T112" t="s">
        <v>198</v>
      </c>
      <c r="U112" t="s">
        <v>163</v>
      </c>
      <c r="V112" t="s">
        <v>164</v>
      </c>
      <c r="W112" t="s">
        <v>77</v>
      </c>
      <c r="X112" t="s">
        <v>44</v>
      </c>
      <c r="Y112" t="s">
        <v>99</v>
      </c>
      <c r="Z112" t="s">
        <v>421</v>
      </c>
      <c r="AC112" t="str">
        <f>IF(AA112="",M112,AA112)</f>
        <v>sim</v>
      </c>
      <c r="AD112" t="str">
        <f>IF(AB112="",X112,AB112)</f>
        <v>sim</v>
      </c>
      <c r="AE112" t="str">
        <f>IF(OR(Configuracao!B9="",Configuracao!B10=""),"aguardando limiar",IF(AND(K112&gt;=Configuracao!B9,K112/MAX(Reconciliacao!C2,1)&gt;=Configuracao!B10/100),"sim","não"))</f>
        <v>aguardando limiar</v>
      </c>
    </row>
    <row r="113" spans="1:31" x14ac:dyDescent="0.25">
      <c r="A113">
        <v>13365</v>
      </c>
      <c r="C113" t="s">
        <v>529</v>
      </c>
      <c r="D113" t="s">
        <v>527</v>
      </c>
      <c r="E113" t="s">
        <v>445</v>
      </c>
      <c r="F113" t="s">
        <v>196</v>
      </c>
      <c r="G113" t="s">
        <v>213</v>
      </c>
      <c r="H113" t="s">
        <v>212</v>
      </c>
      <c r="I113" t="s">
        <v>420</v>
      </c>
      <c r="J113" t="s">
        <v>420</v>
      </c>
      <c r="K113" s="4">
        <v>41.75</v>
      </c>
      <c r="L113" s="4">
        <v>41.75</v>
      </c>
      <c r="M113" t="s">
        <v>44</v>
      </c>
      <c r="N113" t="s">
        <v>77</v>
      </c>
      <c r="O113" t="s">
        <v>99</v>
      </c>
      <c r="P113" t="s">
        <v>99</v>
      </c>
      <c r="Q113" t="s">
        <v>128</v>
      </c>
      <c r="R113" t="s">
        <v>128</v>
      </c>
      <c r="S113" t="s">
        <v>197</v>
      </c>
      <c r="T113" t="s">
        <v>198</v>
      </c>
      <c r="U113" t="s">
        <v>163</v>
      </c>
      <c r="V113" t="s">
        <v>164</v>
      </c>
      <c r="W113" t="s">
        <v>77</v>
      </c>
      <c r="X113" t="s">
        <v>44</v>
      </c>
      <c r="Y113" t="s">
        <v>99</v>
      </c>
      <c r="Z113" t="s">
        <v>421</v>
      </c>
      <c r="AC113" t="str">
        <f>IF(AA113="",M113,AA113)</f>
        <v>sim</v>
      </c>
      <c r="AD113" t="str">
        <f>IF(AB113="",X113,AB113)</f>
        <v>sim</v>
      </c>
      <c r="AE113" t="str">
        <f>IF(OR(Configuracao!B9="",Configuracao!B10=""),"aguardando limiar",IF(AND(K113&gt;=Configuracao!B9,K113/MAX(Reconciliacao!C2,1)&gt;=Configuracao!B10/100),"sim","não"))</f>
        <v>aguardando limiar</v>
      </c>
    </row>
    <row r="114" spans="1:31" x14ac:dyDescent="0.25">
      <c r="A114">
        <v>11998</v>
      </c>
      <c r="C114" t="s">
        <v>532</v>
      </c>
      <c r="D114" t="s">
        <v>527</v>
      </c>
      <c r="E114" t="s">
        <v>511</v>
      </c>
      <c r="F114" t="s">
        <v>196</v>
      </c>
      <c r="G114" t="s">
        <v>213</v>
      </c>
      <c r="H114" t="s">
        <v>212</v>
      </c>
      <c r="I114" t="s">
        <v>32</v>
      </c>
      <c r="J114" t="s">
        <v>32</v>
      </c>
      <c r="K114" s="4">
        <v>50.1</v>
      </c>
      <c r="L114" s="4">
        <v>50.1</v>
      </c>
      <c r="M114" t="s">
        <v>44</v>
      </c>
      <c r="N114" t="s">
        <v>77</v>
      </c>
      <c r="O114" t="s">
        <v>99</v>
      </c>
      <c r="P114" t="s">
        <v>99</v>
      </c>
      <c r="Q114" t="s">
        <v>128</v>
      </c>
      <c r="R114" t="s">
        <v>128</v>
      </c>
      <c r="S114" t="s">
        <v>197</v>
      </c>
      <c r="T114" t="s">
        <v>198</v>
      </c>
      <c r="U114" t="s">
        <v>163</v>
      </c>
      <c r="V114" t="s">
        <v>164</v>
      </c>
      <c r="W114" t="s">
        <v>77</v>
      </c>
      <c r="X114" t="s">
        <v>44</v>
      </c>
      <c r="Y114" t="s">
        <v>99</v>
      </c>
      <c r="Z114" t="s">
        <v>421</v>
      </c>
      <c r="AC114" t="str">
        <f>IF(AA114="",M114,AA114)</f>
        <v>sim</v>
      </c>
      <c r="AD114" t="str">
        <f>IF(AB114="",X114,AB114)</f>
        <v>sim</v>
      </c>
      <c r="AE114" t="str">
        <f>IF(OR(Configuracao!B9="",Configuracao!B10=""),"aguardando limiar",IF(AND(K114&gt;=Configuracao!B9,K114/MAX(Reconciliacao!C2,1)&gt;=Configuracao!B10/100),"sim","não"))</f>
        <v>aguardando limiar</v>
      </c>
    </row>
    <row r="115" spans="1:31" x14ac:dyDescent="0.25">
      <c r="A115">
        <v>16984</v>
      </c>
      <c r="C115" t="s">
        <v>533</v>
      </c>
      <c r="D115" t="s">
        <v>534</v>
      </c>
      <c r="E115" t="s">
        <v>467</v>
      </c>
      <c r="F115" t="s">
        <v>196</v>
      </c>
      <c r="G115" t="s">
        <v>213</v>
      </c>
      <c r="H115" t="s">
        <v>212</v>
      </c>
      <c r="I115" t="s">
        <v>439</v>
      </c>
      <c r="J115" t="s">
        <v>439</v>
      </c>
      <c r="K115" s="4">
        <v>50.62</v>
      </c>
      <c r="L115" s="4">
        <v>50.62</v>
      </c>
      <c r="M115" t="s">
        <v>44</v>
      </c>
      <c r="N115" t="s">
        <v>77</v>
      </c>
      <c r="O115" t="s">
        <v>99</v>
      </c>
      <c r="P115" t="s">
        <v>99</v>
      </c>
      <c r="Q115" t="s">
        <v>128</v>
      </c>
      <c r="R115" t="s">
        <v>128</v>
      </c>
      <c r="S115" t="s">
        <v>197</v>
      </c>
      <c r="T115" t="s">
        <v>198</v>
      </c>
      <c r="U115" t="s">
        <v>163</v>
      </c>
      <c r="V115" t="s">
        <v>164</v>
      </c>
      <c r="W115" t="s">
        <v>77</v>
      </c>
      <c r="X115" t="s">
        <v>44</v>
      </c>
      <c r="Y115" t="s">
        <v>99</v>
      </c>
      <c r="Z115" t="s">
        <v>421</v>
      </c>
      <c r="AC115" t="str">
        <f>IF(AA115="",M115,AA115)</f>
        <v>sim</v>
      </c>
      <c r="AD115" t="str">
        <f>IF(AB115="",X115,AB115)</f>
        <v>sim</v>
      </c>
      <c r="AE115" t="str">
        <f>IF(OR(Configuracao!B9="",Configuracao!B10=""),"aguardando limiar",IF(AND(K115&gt;=Configuracao!B9,K115/MAX(Reconciliacao!C2,1)&gt;=Configuracao!B10/100),"sim","não"))</f>
        <v>aguardando limiar</v>
      </c>
    </row>
    <row r="116" spans="1:31" x14ac:dyDescent="0.25">
      <c r="A116">
        <v>12453</v>
      </c>
      <c r="C116" t="s">
        <v>535</v>
      </c>
      <c r="D116" t="s">
        <v>536</v>
      </c>
      <c r="E116" t="s">
        <v>511</v>
      </c>
      <c r="F116" t="s">
        <v>196</v>
      </c>
      <c r="G116" t="s">
        <v>213</v>
      </c>
      <c r="H116" t="s">
        <v>212</v>
      </c>
      <c r="I116" t="s">
        <v>32</v>
      </c>
      <c r="J116" t="s">
        <v>424</v>
      </c>
      <c r="K116" s="4">
        <v>57</v>
      </c>
      <c r="L116" s="4">
        <v>57</v>
      </c>
      <c r="M116" t="s">
        <v>44</v>
      </c>
      <c r="N116" t="s">
        <v>77</v>
      </c>
      <c r="O116" t="s">
        <v>99</v>
      </c>
      <c r="P116" t="s">
        <v>99</v>
      </c>
      <c r="Q116" t="s">
        <v>128</v>
      </c>
      <c r="R116" t="s">
        <v>128</v>
      </c>
      <c r="S116" t="s">
        <v>197</v>
      </c>
      <c r="T116" t="s">
        <v>198</v>
      </c>
      <c r="U116" t="s">
        <v>163</v>
      </c>
      <c r="V116" t="s">
        <v>164</v>
      </c>
      <c r="W116" t="s">
        <v>77</v>
      </c>
      <c r="X116" t="s">
        <v>44</v>
      </c>
      <c r="Y116" t="s">
        <v>99</v>
      </c>
      <c r="Z116" t="s">
        <v>421</v>
      </c>
      <c r="AC116" t="str">
        <f>IF(AA116="",M116,AA116)</f>
        <v>sim</v>
      </c>
      <c r="AD116" t="str">
        <f>IF(AB116="",X116,AB116)</f>
        <v>sim</v>
      </c>
      <c r="AE116" t="str">
        <f>IF(OR(Configuracao!B9="",Configuracao!B10=""),"aguardando limiar",IF(AND(K116&gt;=Configuracao!B9,K116/MAX(Reconciliacao!C2,1)&gt;=Configuracao!B10/100),"sim","não"))</f>
        <v>aguardando limiar</v>
      </c>
    </row>
    <row r="117" spans="1:31" x14ac:dyDescent="0.25">
      <c r="A117">
        <v>12903</v>
      </c>
      <c r="C117" t="s">
        <v>535</v>
      </c>
      <c r="D117" t="s">
        <v>536</v>
      </c>
      <c r="E117" t="s">
        <v>511</v>
      </c>
      <c r="F117" t="s">
        <v>196</v>
      </c>
      <c r="G117" t="s">
        <v>213</v>
      </c>
      <c r="H117" t="s">
        <v>212</v>
      </c>
      <c r="I117" t="s">
        <v>424</v>
      </c>
      <c r="J117" t="s">
        <v>420</v>
      </c>
      <c r="K117" s="4">
        <v>57</v>
      </c>
      <c r="L117" s="4">
        <v>57</v>
      </c>
      <c r="M117" t="s">
        <v>44</v>
      </c>
      <c r="N117" t="s">
        <v>77</v>
      </c>
      <c r="O117" t="s">
        <v>99</v>
      </c>
      <c r="P117" t="s">
        <v>99</v>
      </c>
      <c r="Q117" t="s">
        <v>128</v>
      </c>
      <c r="R117" t="s">
        <v>128</v>
      </c>
      <c r="S117" t="s">
        <v>197</v>
      </c>
      <c r="T117" t="s">
        <v>198</v>
      </c>
      <c r="U117" t="s">
        <v>163</v>
      </c>
      <c r="V117" t="s">
        <v>164</v>
      </c>
      <c r="W117" t="s">
        <v>77</v>
      </c>
      <c r="X117" t="s">
        <v>44</v>
      </c>
      <c r="Y117" t="s">
        <v>99</v>
      </c>
      <c r="Z117" t="s">
        <v>421</v>
      </c>
      <c r="AC117" t="str">
        <f>IF(AA117="",M117,AA117)</f>
        <v>sim</v>
      </c>
      <c r="AD117" t="str">
        <f>IF(AB117="",X117,AB117)</f>
        <v>sim</v>
      </c>
      <c r="AE117" t="str">
        <f>IF(OR(Configuracao!B9="",Configuracao!B10=""),"aguardando limiar",IF(AND(K117&gt;=Configuracao!B9,K117/MAX(Reconciliacao!C2,1)&gt;=Configuracao!B10/100),"sim","não"))</f>
        <v>aguardando limiar</v>
      </c>
    </row>
    <row r="118" spans="1:31" x14ac:dyDescent="0.25">
      <c r="A118">
        <v>14591</v>
      </c>
      <c r="C118" t="s">
        <v>535</v>
      </c>
      <c r="D118" t="s">
        <v>536</v>
      </c>
      <c r="E118" t="s">
        <v>511</v>
      </c>
      <c r="F118" t="s">
        <v>196</v>
      </c>
      <c r="G118" t="s">
        <v>213</v>
      </c>
      <c r="H118" t="s">
        <v>212</v>
      </c>
      <c r="I118" t="s">
        <v>420</v>
      </c>
      <c r="J118" t="s">
        <v>454</v>
      </c>
      <c r="K118" s="4">
        <v>57</v>
      </c>
      <c r="L118" s="4">
        <v>57</v>
      </c>
      <c r="M118" t="s">
        <v>44</v>
      </c>
      <c r="N118" t="s">
        <v>77</v>
      </c>
      <c r="O118" t="s">
        <v>99</v>
      </c>
      <c r="P118" t="s">
        <v>99</v>
      </c>
      <c r="Q118" t="s">
        <v>128</v>
      </c>
      <c r="R118" t="s">
        <v>128</v>
      </c>
      <c r="S118" t="s">
        <v>197</v>
      </c>
      <c r="T118" t="s">
        <v>198</v>
      </c>
      <c r="U118" t="s">
        <v>163</v>
      </c>
      <c r="V118" t="s">
        <v>164</v>
      </c>
      <c r="W118" t="s">
        <v>77</v>
      </c>
      <c r="X118" t="s">
        <v>44</v>
      </c>
      <c r="Y118" t="s">
        <v>99</v>
      </c>
      <c r="Z118" t="s">
        <v>421</v>
      </c>
      <c r="AC118" t="str">
        <f>IF(AA118="",M118,AA118)</f>
        <v>sim</v>
      </c>
      <c r="AD118" t="str">
        <f>IF(AB118="",X118,AB118)</f>
        <v>sim</v>
      </c>
      <c r="AE118" t="str">
        <f>IF(OR(Configuracao!B9="",Configuracao!B10=""),"aguardando limiar",IF(AND(K118&gt;=Configuracao!B9,K118/MAX(Reconciliacao!C2,1)&gt;=Configuracao!B10/100),"sim","não"))</f>
        <v>aguardando limiar</v>
      </c>
    </row>
    <row r="119" spans="1:31" x14ac:dyDescent="0.25">
      <c r="A119">
        <v>14909</v>
      </c>
      <c r="C119" t="s">
        <v>535</v>
      </c>
      <c r="D119" t="s">
        <v>536</v>
      </c>
      <c r="E119" t="s">
        <v>511</v>
      </c>
      <c r="F119" t="s">
        <v>196</v>
      </c>
      <c r="G119" t="s">
        <v>213</v>
      </c>
      <c r="H119" t="s">
        <v>212</v>
      </c>
      <c r="I119" t="s">
        <v>454</v>
      </c>
      <c r="J119" t="s">
        <v>454</v>
      </c>
      <c r="K119" s="4">
        <v>57</v>
      </c>
      <c r="L119" s="4">
        <v>57</v>
      </c>
      <c r="M119" t="s">
        <v>44</v>
      </c>
      <c r="N119" t="s">
        <v>77</v>
      </c>
      <c r="O119" t="s">
        <v>99</v>
      </c>
      <c r="P119" t="s">
        <v>99</v>
      </c>
      <c r="Q119" t="s">
        <v>128</v>
      </c>
      <c r="R119" t="s">
        <v>128</v>
      </c>
      <c r="S119" t="s">
        <v>197</v>
      </c>
      <c r="T119" t="s">
        <v>198</v>
      </c>
      <c r="U119" t="s">
        <v>163</v>
      </c>
      <c r="V119" t="s">
        <v>164</v>
      </c>
      <c r="W119" t="s">
        <v>77</v>
      </c>
      <c r="X119" t="s">
        <v>44</v>
      </c>
      <c r="Y119" t="s">
        <v>99</v>
      </c>
      <c r="Z119" t="s">
        <v>421</v>
      </c>
      <c r="AC119" t="str">
        <f>IF(AA119="",M119,AA119)</f>
        <v>sim</v>
      </c>
      <c r="AD119" t="str">
        <f>IF(AB119="",X119,AB119)</f>
        <v>sim</v>
      </c>
      <c r="AE119" t="str">
        <f>IF(OR(Configuracao!B9="",Configuracao!B10=""),"aguardando limiar",IF(AND(K119&gt;=Configuracao!B9,K119/MAX(Reconciliacao!C2,1)&gt;=Configuracao!B10/100),"sim","não"))</f>
        <v>aguardando limiar</v>
      </c>
    </row>
    <row r="120" spans="1:31" x14ac:dyDescent="0.25">
      <c r="A120">
        <v>16203</v>
      </c>
      <c r="C120" t="s">
        <v>535</v>
      </c>
      <c r="D120" t="s">
        <v>536</v>
      </c>
      <c r="E120" t="s">
        <v>511</v>
      </c>
      <c r="F120" t="s">
        <v>196</v>
      </c>
      <c r="G120" t="s">
        <v>213</v>
      </c>
      <c r="H120" t="s">
        <v>212</v>
      </c>
      <c r="I120" t="s">
        <v>461</v>
      </c>
      <c r="J120" t="s">
        <v>461</v>
      </c>
      <c r="K120" s="4">
        <v>57</v>
      </c>
      <c r="L120" s="4">
        <v>57</v>
      </c>
      <c r="M120" t="s">
        <v>44</v>
      </c>
      <c r="N120" t="s">
        <v>77</v>
      </c>
      <c r="O120" t="s">
        <v>99</v>
      </c>
      <c r="P120" t="s">
        <v>99</v>
      </c>
      <c r="Q120" t="s">
        <v>128</v>
      </c>
      <c r="R120" t="s">
        <v>128</v>
      </c>
      <c r="S120" t="s">
        <v>197</v>
      </c>
      <c r="T120" t="s">
        <v>198</v>
      </c>
      <c r="U120" t="s">
        <v>163</v>
      </c>
      <c r="V120" t="s">
        <v>164</v>
      </c>
      <c r="W120" t="s">
        <v>77</v>
      </c>
      <c r="X120" t="s">
        <v>44</v>
      </c>
      <c r="Y120" t="s">
        <v>99</v>
      </c>
      <c r="Z120" t="s">
        <v>421</v>
      </c>
      <c r="AC120" t="str">
        <f>IF(AA120="",M120,AA120)</f>
        <v>sim</v>
      </c>
      <c r="AD120" t="str">
        <f>IF(AB120="",X120,AB120)</f>
        <v>sim</v>
      </c>
      <c r="AE120" t="str">
        <f>IF(OR(Configuracao!B9="",Configuracao!B10=""),"aguardando limiar",IF(AND(K120&gt;=Configuracao!B9,K120/MAX(Reconciliacao!C2,1)&gt;=Configuracao!B10/100),"sim","não"))</f>
        <v>aguardando limiar</v>
      </c>
    </row>
    <row r="121" spans="1:31" x14ac:dyDescent="0.25">
      <c r="A121">
        <v>17213</v>
      </c>
      <c r="C121" t="s">
        <v>535</v>
      </c>
      <c r="D121" t="s">
        <v>536</v>
      </c>
      <c r="E121" t="s">
        <v>511</v>
      </c>
      <c r="F121" t="s">
        <v>196</v>
      </c>
      <c r="G121" t="s">
        <v>213</v>
      </c>
      <c r="H121" t="s">
        <v>212</v>
      </c>
      <c r="I121" t="s">
        <v>442</v>
      </c>
      <c r="J121" t="s">
        <v>442</v>
      </c>
      <c r="K121" s="4">
        <v>57</v>
      </c>
      <c r="L121" s="4">
        <v>57</v>
      </c>
      <c r="M121" t="s">
        <v>44</v>
      </c>
      <c r="N121" t="s">
        <v>77</v>
      </c>
      <c r="O121" t="s">
        <v>99</v>
      </c>
      <c r="P121" t="s">
        <v>99</v>
      </c>
      <c r="Q121" t="s">
        <v>128</v>
      </c>
      <c r="R121" t="s">
        <v>128</v>
      </c>
      <c r="S121" t="s">
        <v>197</v>
      </c>
      <c r="T121" t="s">
        <v>198</v>
      </c>
      <c r="U121" t="s">
        <v>163</v>
      </c>
      <c r="V121" t="s">
        <v>164</v>
      </c>
      <c r="W121" t="s">
        <v>77</v>
      </c>
      <c r="X121" t="s">
        <v>44</v>
      </c>
      <c r="Y121" t="s">
        <v>99</v>
      </c>
      <c r="Z121" t="s">
        <v>421</v>
      </c>
      <c r="AC121" t="str">
        <f>IF(AA121="",M121,AA121)</f>
        <v>sim</v>
      </c>
      <c r="AD121" t="str">
        <f>IF(AB121="",X121,AB121)</f>
        <v>sim</v>
      </c>
      <c r="AE121" t="str">
        <f>IF(OR(Configuracao!B9="",Configuracao!B10=""),"aguardando limiar",IF(AND(K121&gt;=Configuracao!B9,K121/MAX(Reconciliacao!C2,1)&gt;=Configuracao!B10/100),"sim","não"))</f>
        <v>aguardando limiar</v>
      </c>
    </row>
    <row r="122" spans="1:31" x14ac:dyDescent="0.25">
      <c r="A122">
        <v>17834</v>
      </c>
      <c r="C122" t="s">
        <v>535</v>
      </c>
      <c r="D122" t="s">
        <v>536</v>
      </c>
      <c r="E122" t="s">
        <v>511</v>
      </c>
      <c r="F122" t="s">
        <v>196</v>
      </c>
      <c r="G122" t="s">
        <v>213</v>
      </c>
      <c r="H122" t="s">
        <v>212</v>
      </c>
      <c r="I122" t="s">
        <v>439</v>
      </c>
      <c r="J122" t="s">
        <v>439</v>
      </c>
      <c r="K122" s="4">
        <v>57</v>
      </c>
      <c r="L122" s="4">
        <v>57</v>
      </c>
      <c r="M122" t="s">
        <v>44</v>
      </c>
      <c r="N122" t="s">
        <v>77</v>
      </c>
      <c r="O122" t="s">
        <v>99</v>
      </c>
      <c r="P122" t="s">
        <v>99</v>
      </c>
      <c r="Q122" t="s">
        <v>128</v>
      </c>
      <c r="R122" t="s">
        <v>128</v>
      </c>
      <c r="S122" t="s">
        <v>197</v>
      </c>
      <c r="T122" t="s">
        <v>198</v>
      </c>
      <c r="U122" t="s">
        <v>163</v>
      </c>
      <c r="V122" t="s">
        <v>164</v>
      </c>
      <c r="W122" t="s">
        <v>77</v>
      </c>
      <c r="X122" t="s">
        <v>44</v>
      </c>
      <c r="Y122" t="s">
        <v>99</v>
      </c>
      <c r="Z122" t="s">
        <v>421</v>
      </c>
      <c r="AC122" t="str">
        <f>IF(AA122="",M122,AA122)</f>
        <v>sim</v>
      </c>
      <c r="AD122" t="str">
        <f>IF(AB122="",X122,AB122)</f>
        <v>sim</v>
      </c>
      <c r="AE122" t="str">
        <f>IF(OR(Configuracao!B9="",Configuracao!B10=""),"aguardando limiar",IF(AND(K122&gt;=Configuracao!B9,K122/MAX(Reconciliacao!C2,1)&gt;=Configuracao!B10/100),"sim","não"))</f>
        <v>aguardando limiar</v>
      </c>
    </row>
    <row r="123" spans="1:31" x14ac:dyDescent="0.25">
      <c r="A123">
        <v>18692</v>
      </c>
      <c r="C123" t="s">
        <v>535</v>
      </c>
      <c r="D123" t="s">
        <v>536</v>
      </c>
      <c r="E123" t="s">
        <v>511</v>
      </c>
      <c r="F123" t="s">
        <v>196</v>
      </c>
      <c r="G123" t="s">
        <v>213</v>
      </c>
      <c r="H123" t="s">
        <v>212</v>
      </c>
      <c r="I123" t="s">
        <v>35</v>
      </c>
      <c r="J123" t="s">
        <v>35</v>
      </c>
      <c r="K123" s="4">
        <v>57</v>
      </c>
      <c r="L123" s="4">
        <v>57</v>
      </c>
      <c r="M123" t="s">
        <v>44</v>
      </c>
      <c r="N123" t="s">
        <v>77</v>
      </c>
      <c r="O123" t="s">
        <v>99</v>
      </c>
      <c r="P123" t="s">
        <v>99</v>
      </c>
      <c r="Q123" t="s">
        <v>128</v>
      </c>
      <c r="R123" t="s">
        <v>128</v>
      </c>
      <c r="S123" t="s">
        <v>197</v>
      </c>
      <c r="T123" t="s">
        <v>198</v>
      </c>
      <c r="U123" t="s">
        <v>163</v>
      </c>
      <c r="V123" t="s">
        <v>164</v>
      </c>
      <c r="W123" t="s">
        <v>77</v>
      </c>
      <c r="X123" t="s">
        <v>44</v>
      </c>
      <c r="Y123" t="s">
        <v>99</v>
      </c>
      <c r="Z123" t="s">
        <v>421</v>
      </c>
      <c r="AC123" t="str">
        <f>IF(AA123="",M123,AA123)</f>
        <v>sim</v>
      </c>
      <c r="AD123" t="str">
        <f>IF(AB123="",X123,AB123)</f>
        <v>sim</v>
      </c>
      <c r="AE123" t="str">
        <f>IF(OR(Configuracao!B9="",Configuracao!B10=""),"aguardando limiar",IF(AND(K123&gt;=Configuracao!B9,K123/MAX(Reconciliacao!C2,1)&gt;=Configuracao!B10/100),"sim","não"))</f>
        <v>aguardando limiar</v>
      </c>
    </row>
    <row r="124" spans="1:31" x14ac:dyDescent="0.25">
      <c r="A124">
        <v>11527</v>
      </c>
      <c r="D124" t="s">
        <v>527</v>
      </c>
      <c r="E124" t="s">
        <v>445</v>
      </c>
      <c r="F124" t="s">
        <v>196</v>
      </c>
      <c r="G124" t="s">
        <v>213</v>
      </c>
      <c r="H124" t="s">
        <v>212</v>
      </c>
      <c r="I124" t="s">
        <v>32</v>
      </c>
      <c r="J124" t="s">
        <v>32</v>
      </c>
      <c r="K124" s="4">
        <v>62.62</v>
      </c>
      <c r="L124" s="4">
        <v>62.62</v>
      </c>
      <c r="M124" t="s">
        <v>44</v>
      </c>
      <c r="N124" t="s">
        <v>77</v>
      </c>
      <c r="O124" t="s">
        <v>99</v>
      </c>
      <c r="P124" t="s">
        <v>99</v>
      </c>
      <c r="Q124" t="s">
        <v>128</v>
      </c>
      <c r="R124" t="s">
        <v>128</v>
      </c>
      <c r="S124" t="s">
        <v>197</v>
      </c>
      <c r="T124" t="s">
        <v>198</v>
      </c>
      <c r="U124" t="s">
        <v>163</v>
      </c>
      <c r="V124" t="s">
        <v>164</v>
      </c>
      <c r="W124" t="s">
        <v>77</v>
      </c>
      <c r="X124" t="s">
        <v>44</v>
      </c>
      <c r="Y124" t="s">
        <v>99</v>
      </c>
      <c r="Z124" t="s">
        <v>421</v>
      </c>
      <c r="AC124" t="str">
        <f>IF(AA124="",M124,AA124)</f>
        <v>sim</v>
      </c>
      <c r="AD124" t="str">
        <f>IF(AB124="",X124,AB124)</f>
        <v>sim</v>
      </c>
      <c r="AE124" t="str">
        <f>IF(OR(Configuracao!B9="",Configuracao!B10=""),"aguardando limiar",IF(AND(K124&gt;=Configuracao!B9,K124/MAX(Reconciliacao!C2,1)&gt;=Configuracao!B10/100),"sim","não"))</f>
        <v>aguardando limiar</v>
      </c>
    </row>
    <row r="125" spans="1:31" x14ac:dyDescent="0.25">
      <c r="A125">
        <v>13364</v>
      </c>
      <c r="C125" t="s">
        <v>529</v>
      </c>
      <c r="D125" t="s">
        <v>527</v>
      </c>
      <c r="E125" t="s">
        <v>511</v>
      </c>
      <c r="F125" t="s">
        <v>196</v>
      </c>
      <c r="G125" t="s">
        <v>213</v>
      </c>
      <c r="H125" t="s">
        <v>212</v>
      </c>
      <c r="I125" t="s">
        <v>420</v>
      </c>
      <c r="J125" t="s">
        <v>420</v>
      </c>
      <c r="K125" s="4">
        <v>75.15</v>
      </c>
      <c r="L125" s="4">
        <v>75.15</v>
      </c>
      <c r="M125" t="s">
        <v>44</v>
      </c>
      <c r="N125" t="s">
        <v>77</v>
      </c>
      <c r="O125" t="s">
        <v>99</v>
      </c>
      <c r="P125" t="s">
        <v>99</v>
      </c>
      <c r="Q125" t="s">
        <v>128</v>
      </c>
      <c r="R125" t="s">
        <v>128</v>
      </c>
      <c r="S125" t="s">
        <v>197</v>
      </c>
      <c r="T125" t="s">
        <v>198</v>
      </c>
      <c r="U125" t="s">
        <v>163</v>
      </c>
      <c r="V125" t="s">
        <v>164</v>
      </c>
      <c r="W125" t="s">
        <v>77</v>
      </c>
      <c r="X125" t="s">
        <v>44</v>
      </c>
      <c r="Y125" t="s">
        <v>99</v>
      </c>
      <c r="Z125" t="s">
        <v>421</v>
      </c>
      <c r="AC125" t="str">
        <f>IF(AA125="",M125,AA125)</f>
        <v>sim</v>
      </c>
      <c r="AD125" t="str">
        <f>IF(AB125="",X125,AB125)</f>
        <v>sim</v>
      </c>
      <c r="AE125" t="str">
        <f>IF(OR(Configuracao!B9="",Configuracao!B10=""),"aguardando limiar",IF(AND(K125&gt;=Configuracao!B9,K125/MAX(Reconciliacao!C2,1)&gt;=Configuracao!B10/100),"sim","não"))</f>
        <v>aguardando limiar</v>
      </c>
    </row>
    <row r="126" spans="1:31" x14ac:dyDescent="0.25">
      <c r="A126">
        <v>18690</v>
      </c>
      <c r="C126" t="s">
        <v>537</v>
      </c>
      <c r="D126" t="s">
        <v>527</v>
      </c>
      <c r="E126" t="s">
        <v>525</v>
      </c>
      <c r="F126" t="s">
        <v>196</v>
      </c>
      <c r="G126" t="s">
        <v>213</v>
      </c>
      <c r="H126" t="s">
        <v>212</v>
      </c>
      <c r="I126" t="s">
        <v>35</v>
      </c>
      <c r="J126" t="s">
        <v>35</v>
      </c>
      <c r="K126" s="4">
        <v>84.32</v>
      </c>
      <c r="L126" s="4">
        <v>84.32</v>
      </c>
      <c r="M126" t="s">
        <v>44</v>
      </c>
      <c r="N126" t="s">
        <v>77</v>
      </c>
      <c r="O126" t="s">
        <v>99</v>
      </c>
      <c r="P126" t="s">
        <v>99</v>
      </c>
      <c r="Q126" t="s">
        <v>128</v>
      </c>
      <c r="R126" t="s">
        <v>128</v>
      </c>
      <c r="S126" t="s">
        <v>197</v>
      </c>
      <c r="T126" t="s">
        <v>198</v>
      </c>
      <c r="U126" t="s">
        <v>163</v>
      </c>
      <c r="V126" t="s">
        <v>164</v>
      </c>
      <c r="W126" t="s">
        <v>77</v>
      </c>
      <c r="X126" t="s">
        <v>44</v>
      </c>
      <c r="Y126" t="s">
        <v>99</v>
      </c>
      <c r="Z126" t="s">
        <v>421</v>
      </c>
      <c r="AC126" t="str">
        <f>IF(AA126="",M126,AA126)</f>
        <v>sim</v>
      </c>
      <c r="AD126" t="str">
        <f>IF(AB126="",X126,AB126)</f>
        <v>sim</v>
      </c>
      <c r="AE126" t="str">
        <f>IF(OR(Configuracao!B9="",Configuracao!B10=""),"aguardando limiar",IF(AND(K126&gt;=Configuracao!B9,K126/MAX(Reconciliacao!C2,1)&gt;=Configuracao!B10/100),"sim","não"))</f>
        <v>aguardando limiar</v>
      </c>
    </row>
    <row r="127" spans="1:31" x14ac:dyDescent="0.25">
      <c r="A127">
        <v>16213</v>
      </c>
      <c r="C127" t="s">
        <v>537</v>
      </c>
      <c r="D127" t="s">
        <v>527</v>
      </c>
      <c r="E127" t="s">
        <v>525</v>
      </c>
      <c r="F127" t="s">
        <v>196</v>
      </c>
      <c r="G127" t="s">
        <v>213</v>
      </c>
      <c r="H127" t="s">
        <v>212</v>
      </c>
      <c r="I127" t="s">
        <v>461</v>
      </c>
      <c r="J127" t="s">
        <v>461</v>
      </c>
      <c r="K127" s="4">
        <v>85.23</v>
      </c>
      <c r="L127" s="4">
        <v>85.23</v>
      </c>
      <c r="M127" t="s">
        <v>44</v>
      </c>
      <c r="N127" t="s">
        <v>77</v>
      </c>
      <c r="O127" t="s">
        <v>99</v>
      </c>
      <c r="P127" t="s">
        <v>99</v>
      </c>
      <c r="Q127" t="s">
        <v>128</v>
      </c>
      <c r="R127" t="s">
        <v>128</v>
      </c>
      <c r="S127" t="s">
        <v>197</v>
      </c>
      <c r="T127" t="s">
        <v>198</v>
      </c>
      <c r="U127" t="s">
        <v>163</v>
      </c>
      <c r="V127" t="s">
        <v>164</v>
      </c>
      <c r="W127" t="s">
        <v>77</v>
      </c>
      <c r="X127" t="s">
        <v>44</v>
      </c>
      <c r="Y127" t="s">
        <v>99</v>
      </c>
      <c r="Z127" t="s">
        <v>421</v>
      </c>
      <c r="AC127" t="str">
        <f>IF(AA127="",M127,AA127)</f>
        <v>sim</v>
      </c>
      <c r="AD127" t="str">
        <f>IF(AB127="",X127,AB127)</f>
        <v>sim</v>
      </c>
      <c r="AE127" t="str">
        <f>IF(OR(Configuracao!B9="",Configuracao!B10=""),"aguardando limiar",IF(AND(K127&gt;=Configuracao!B9,K127/MAX(Reconciliacao!C2,1)&gt;=Configuracao!B10/100),"sim","não"))</f>
        <v>aguardando limiar</v>
      </c>
    </row>
    <row r="128" spans="1:31" x14ac:dyDescent="0.25">
      <c r="A128">
        <v>16486</v>
      </c>
      <c r="C128" t="s">
        <v>538</v>
      </c>
      <c r="D128" t="s">
        <v>527</v>
      </c>
      <c r="E128" t="s">
        <v>525</v>
      </c>
      <c r="F128" t="s">
        <v>196</v>
      </c>
      <c r="G128" t="s">
        <v>213</v>
      </c>
      <c r="H128" t="s">
        <v>212</v>
      </c>
      <c r="I128" t="s">
        <v>454</v>
      </c>
      <c r="J128" t="s">
        <v>454</v>
      </c>
      <c r="K128" s="4">
        <v>85.23</v>
      </c>
      <c r="L128" s="4">
        <v>85.23</v>
      </c>
      <c r="M128" t="s">
        <v>44</v>
      </c>
      <c r="N128" t="s">
        <v>77</v>
      </c>
      <c r="O128" t="s">
        <v>99</v>
      </c>
      <c r="P128" t="s">
        <v>99</v>
      </c>
      <c r="Q128" t="s">
        <v>128</v>
      </c>
      <c r="R128" t="s">
        <v>128</v>
      </c>
      <c r="S128" t="s">
        <v>197</v>
      </c>
      <c r="T128" t="s">
        <v>198</v>
      </c>
      <c r="U128" t="s">
        <v>163</v>
      </c>
      <c r="V128" t="s">
        <v>164</v>
      </c>
      <c r="W128" t="s">
        <v>77</v>
      </c>
      <c r="X128" t="s">
        <v>44</v>
      </c>
      <c r="Y128" t="s">
        <v>99</v>
      </c>
      <c r="Z128" t="s">
        <v>421</v>
      </c>
      <c r="AC128" t="str">
        <f>IF(AA128="",M128,AA128)</f>
        <v>sim</v>
      </c>
      <c r="AD128" t="str">
        <f>IF(AB128="",X128,AB128)</f>
        <v>sim</v>
      </c>
      <c r="AE128" t="str">
        <f>IF(OR(Configuracao!B9="",Configuracao!B10=""),"aguardando limiar",IF(AND(K128&gt;=Configuracao!B9,K128/MAX(Reconciliacao!C2,1)&gt;=Configuracao!B10/100),"sim","não"))</f>
        <v>aguardando limiar</v>
      </c>
    </row>
    <row r="129" spans="1:31" x14ac:dyDescent="0.25">
      <c r="A129">
        <v>11525</v>
      </c>
      <c r="D129" t="s">
        <v>527</v>
      </c>
      <c r="E129" t="s">
        <v>525</v>
      </c>
      <c r="F129" t="s">
        <v>196</v>
      </c>
      <c r="G129" t="s">
        <v>213</v>
      </c>
      <c r="H129" t="s">
        <v>212</v>
      </c>
      <c r="I129" t="s">
        <v>32</v>
      </c>
      <c r="J129" t="s">
        <v>32</v>
      </c>
      <c r="K129" s="4">
        <v>100.2</v>
      </c>
      <c r="L129" s="4">
        <v>100.2</v>
      </c>
      <c r="M129" t="s">
        <v>44</v>
      </c>
      <c r="N129" t="s">
        <v>77</v>
      </c>
      <c r="O129" t="s">
        <v>99</v>
      </c>
      <c r="P129" t="s">
        <v>99</v>
      </c>
      <c r="Q129" t="s">
        <v>128</v>
      </c>
      <c r="R129" t="s">
        <v>128</v>
      </c>
      <c r="S129" t="s">
        <v>197</v>
      </c>
      <c r="T129" t="s">
        <v>198</v>
      </c>
      <c r="U129" t="s">
        <v>163</v>
      </c>
      <c r="V129" t="s">
        <v>164</v>
      </c>
      <c r="W129" t="s">
        <v>77</v>
      </c>
      <c r="X129" t="s">
        <v>44</v>
      </c>
      <c r="Y129" t="s">
        <v>99</v>
      </c>
      <c r="Z129" t="s">
        <v>421</v>
      </c>
      <c r="AC129" t="str">
        <f>IF(AA129="",M129,AA129)</f>
        <v>sim</v>
      </c>
      <c r="AD129" t="str">
        <f>IF(AB129="",X129,AB129)</f>
        <v>sim</v>
      </c>
      <c r="AE129" t="str">
        <f>IF(OR(Configuracao!B9="",Configuracao!B10=""),"aguardando limiar",IF(AND(K129&gt;=Configuracao!B9,K129/MAX(Reconciliacao!C2,1)&gt;=Configuracao!B10/100),"sim","não"))</f>
        <v>aguardando limiar</v>
      </c>
    </row>
    <row r="130" spans="1:31" x14ac:dyDescent="0.25">
      <c r="A130">
        <v>16983</v>
      </c>
      <c r="C130" t="s">
        <v>539</v>
      </c>
      <c r="D130" t="s">
        <v>534</v>
      </c>
      <c r="E130" t="s">
        <v>445</v>
      </c>
      <c r="F130" t="s">
        <v>196</v>
      </c>
      <c r="G130" t="s">
        <v>213</v>
      </c>
      <c r="H130" t="s">
        <v>212</v>
      </c>
      <c r="I130" t="s">
        <v>439</v>
      </c>
      <c r="J130" t="s">
        <v>439</v>
      </c>
      <c r="K130" s="4">
        <v>103.05</v>
      </c>
      <c r="L130" s="4">
        <v>103.05</v>
      </c>
      <c r="M130" t="s">
        <v>44</v>
      </c>
      <c r="N130" t="s">
        <v>77</v>
      </c>
      <c r="O130" t="s">
        <v>99</v>
      </c>
      <c r="P130" t="s">
        <v>99</v>
      </c>
      <c r="Q130" t="s">
        <v>128</v>
      </c>
      <c r="R130" t="s">
        <v>128</v>
      </c>
      <c r="S130" t="s">
        <v>197</v>
      </c>
      <c r="T130" t="s">
        <v>198</v>
      </c>
      <c r="U130" t="s">
        <v>163</v>
      </c>
      <c r="V130" t="s">
        <v>164</v>
      </c>
      <c r="W130" t="s">
        <v>77</v>
      </c>
      <c r="X130" t="s">
        <v>44</v>
      </c>
      <c r="Y130" t="s">
        <v>99</v>
      </c>
      <c r="Z130" t="s">
        <v>421</v>
      </c>
      <c r="AC130" t="str">
        <f>IF(AA130="",M130,AA130)</f>
        <v>sim</v>
      </c>
      <c r="AD130" t="str">
        <f>IF(AB130="",X130,AB130)</f>
        <v>sim</v>
      </c>
      <c r="AE130" t="str">
        <f>IF(OR(Configuracao!B9="",Configuracao!B10=""),"aguardando limiar",IF(AND(K130&gt;=Configuracao!B9,K130/MAX(Reconciliacao!C2,1)&gt;=Configuracao!B10/100),"sim","não"))</f>
        <v>aguardando limiar</v>
      </c>
    </row>
    <row r="131" spans="1:31" x14ac:dyDescent="0.25">
      <c r="A131">
        <v>11997</v>
      </c>
      <c r="C131" t="s">
        <v>540</v>
      </c>
      <c r="D131" t="s">
        <v>527</v>
      </c>
      <c r="E131" t="s">
        <v>525</v>
      </c>
      <c r="F131" t="s">
        <v>196</v>
      </c>
      <c r="G131" t="s">
        <v>213</v>
      </c>
      <c r="H131" t="s">
        <v>212</v>
      </c>
      <c r="I131" t="s">
        <v>32</v>
      </c>
      <c r="J131" t="s">
        <v>32</v>
      </c>
      <c r="K131" s="4">
        <v>116.9</v>
      </c>
      <c r="L131" s="4">
        <v>116.9</v>
      </c>
      <c r="M131" t="s">
        <v>44</v>
      </c>
      <c r="N131" t="s">
        <v>77</v>
      </c>
      <c r="O131" t="s">
        <v>99</v>
      </c>
      <c r="P131" t="s">
        <v>99</v>
      </c>
      <c r="Q131" t="s">
        <v>128</v>
      </c>
      <c r="R131" t="s">
        <v>128</v>
      </c>
      <c r="S131" t="s">
        <v>197</v>
      </c>
      <c r="T131" t="s">
        <v>198</v>
      </c>
      <c r="U131" t="s">
        <v>163</v>
      </c>
      <c r="V131" t="s">
        <v>164</v>
      </c>
      <c r="W131" t="s">
        <v>77</v>
      </c>
      <c r="X131" t="s">
        <v>44</v>
      </c>
      <c r="Y131" t="s">
        <v>99</v>
      </c>
      <c r="Z131" t="s">
        <v>421</v>
      </c>
      <c r="AC131" t="str">
        <f>IF(AA131="",M131,AA131)</f>
        <v>sim</v>
      </c>
      <c r="AD131" t="str">
        <f>IF(AB131="",X131,AB131)</f>
        <v>sim</v>
      </c>
      <c r="AE131" t="str">
        <f>IF(OR(Configuracao!B9="",Configuracao!B10=""),"aguardando limiar",IF(AND(K131&gt;=Configuracao!B9,K131/MAX(Reconciliacao!C2,1)&gt;=Configuracao!B10/100),"sim","não"))</f>
        <v>aguardando limiar</v>
      </c>
    </row>
    <row r="132" spans="1:31" x14ac:dyDescent="0.25">
      <c r="A132">
        <v>11526</v>
      </c>
      <c r="D132" t="s">
        <v>527</v>
      </c>
      <c r="E132" t="s">
        <v>511</v>
      </c>
      <c r="F132" t="s">
        <v>196</v>
      </c>
      <c r="G132" t="s">
        <v>213</v>
      </c>
      <c r="H132" t="s">
        <v>212</v>
      </c>
      <c r="I132" t="s">
        <v>32</v>
      </c>
      <c r="J132" t="s">
        <v>32</v>
      </c>
      <c r="K132" s="4">
        <v>125.25</v>
      </c>
      <c r="L132" s="4">
        <v>125.25</v>
      </c>
      <c r="M132" t="s">
        <v>44</v>
      </c>
      <c r="N132" t="s">
        <v>77</v>
      </c>
      <c r="O132" t="s">
        <v>99</v>
      </c>
      <c r="P132" t="s">
        <v>99</v>
      </c>
      <c r="Q132" t="s">
        <v>128</v>
      </c>
      <c r="R132" t="s">
        <v>128</v>
      </c>
      <c r="S132" t="s">
        <v>197</v>
      </c>
      <c r="T132" t="s">
        <v>198</v>
      </c>
      <c r="U132" t="s">
        <v>163</v>
      </c>
      <c r="V132" t="s">
        <v>164</v>
      </c>
      <c r="W132" t="s">
        <v>77</v>
      </c>
      <c r="X132" t="s">
        <v>44</v>
      </c>
      <c r="Y132" t="s">
        <v>99</v>
      </c>
      <c r="Z132" t="s">
        <v>421</v>
      </c>
      <c r="AC132" t="str">
        <f>IF(AA132="",M132,AA132)</f>
        <v>sim</v>
      </c>
      <c r="AD132" t="str">
        <f>IF(AB132="",X132,AB132)</f>
        <v>sim</v>
      </c>
      <c r="AE132" t="str">
        <f>IF(OR(Configuracao!B9="",Configuracao!B10=""),"aguardando limiar",IF(AND(K132&gt;=Configuracao!B9,K132/MAX(Reconciliacao!C2,1)&gt;=Configuracao!B10/100),"sim","não"))</f>
        <v>aguardando limiar</v>
      </c>
    </row>
    <row r="133" spans="1:31" x14ac:dyDescent="0.25">
      <c r="A133">
        <v>16982</v>
      </c>
      <c r="C133" t="s">
        <v>539</v>
      </c>
      <c r="D133" t="s">
        <v>534</v>
      </c>
      <c r="E133" t="s">
        <v>525</v>
      </c>
      <c r="F133" t="s">
        <v>196</v>
      </c>
      <c r="G133" t="s">
        <v>213</v>
      </c>
      <c r="H133" t="s">
        <v>212</v>
      </c>
      <c r="I133" t="s">
        <v>439</v>
      </c>
      <c r="J133" t="s">
        <v>439</v>
      </c>
      <c r="K133" s="4">
        <v>142.42</v>
      </c>
      <c r="L133" s="4">
        <v>142.42</v>
      </c>
      <c r="M133" t="s">
        <v>44</v>
      </c>
      <c r="N133" t="s">
        <v>77</v>
      </c>
      <c r="O133" t="s">
        <v>99</v>
      </c>
      <c r="P133" t="s">
        <v>99</v>
      </c>
      <c r="Q133" t="s">
        <v>128</v>
      </c>
      <c r="R133" t="s">
        <v>128</v>
      </c>
      <c r="S133" t="s">
        <v>197</v>
      </c>
      <c r="T133" t="s">
        <v>198</v>
      </c>
      <c r="U133" t="s">
        <v>163</v>
      </c>
      <c r="V133" t="s">
        <v>164</v>
      </c>
      <c r="W133" t="s">
        <v>77</v>
      </c>
      <c r="X133" t="s">
        <v>44</v>
      </c>
      <c r="Y133" t="s">
        <v>99</v>
      </c>
      <c r="Z133" t="s">
        <v>421</v>
      </c>
      <c r="AC133" t="str">
        <f>IF(AA133="",M133,AA133)</f>
        <v>sim</v>
      </c>
      <c r="AD133" t="str">
        <f>IF(AB133="",X133,AB133)</f>
        <v>sim</v>
      </c>
      <c r="AE133" t="str">
        <f>IF(OR(Configuracao!B9="",Configuracao!B10=""),"aguardando limiar",IF(AND(K133&gt;=Configuracao!B9,K133/MAX(Reconciliacao!C2,1)&gt;=Configuracao!B10/100),"sim","não"))</f>
        <v>aguardando limiar</v>
      </c>
    </row>
    <row r="134" spans="1:31" x14ac:dyDescent="0.25">
      <c r="A134">
        <v>16988</v>
      </c>
      <c r="C134" t="s">
        <v>533</v>
      </c>
      <c r="D134" t="s">
        <v>534</v>
      </c>
      <c r="E134" t="s">
        <v>467</v>
      </c>
      <c r="F134" t="s">
        <v>196</v>
      </c>
      <c r="G134" t="s">
        <v>213</v>
      </c>
      <c r="H134" t="s">
        <v>212</v>
      </c>
      <c r="I134" t="s">
        <v>35</v>
      </c>
      <c r="J134" t="s">
        <v>459</v>
      </c>
      <c r="K134" s="4">
        <v>151.87</v>
      </c>
      <c r="L134" s="4">
        <v>0</v>
      </c>
      <c r="M134" t="s">
        <v>44</v>
      </c>
      <c r="N134" t="s">
        <v>77</v>
      </c>
      <c r="O134" t="s">
        <v>99</v>
      </c>
      <c r="P134" t="s">
        <v>99</v>
      </c>
      <c r="Q134" t="s">
        <v>128</v>
      </c>
      <c r="R134" t="s">
        <v>128</v>
      </c>
      <c r="S134" t="s">
        <v>197</v>
      </c>
      <c r="T134" t="s">
        <v>198</v>
      </c>
      <c r="U134" t="s">
        <v>163</v>
      </c>
      <c r="V134" t="s">
        <v>164</v>
      </c>
      <c r="W134" t="s">
        <v>77</v>
      </c>
      <c r="X134" t="s">
        <v>44</v>
      </c>
      <c r="Y134" t="s">
        <v>99</v>
      </c>
      <c r="Z134" t="s">
        <v>421</v>
      </c>
      <c r="AC134" t="str">
        <f>IF(AA134="",M134,AA134)</f>
        <v>sim</v>
      </c>
      <c r="AD134" t="str">
        <f>IF(AB134="",X134,AB134)</f>
        <v>sim</v>
      </c>
      <c r="AE134" t="str">
        <f>IF(OR(Configuracao!B9="",Configuracao!B10=""),"aguardando limiar",IF(AND(K134&gt;=Configuracao!B9,K134/MAX(Reconciliacao!C2,1)&gt;=Configuracao!B10/100),"sim","não"))</f>
        <v>aguardando limiar</v>
      </c>
    </row>
    <row r="135" spans="1:31" x14ac:dyDescent="0.25">
      <c r="A135">
        <v>18550</v>
      </c>
      <c r="C135" t="s">
        <v>533</v>
      </c>
      <c r="D135" t="s">
        <v>534</v>
      </c>
      <c r="E135" t="s">
        <v>467</v>
      </c>
      <c r="F135" t="s">
        <v>196</v>
      </c>
      <c r="G135" t="s">
        <v>213</v>
      </c>
      <c r="H135" t="s">
        <v>212</v>
      </c>
      <c r="I135" t="s">
        <v>439</v>
      </c>
      <c r="J135" t="s">
        <v>35</v>
      </c>
      <c r="K135" s="4">
        <v>151.88</v>
      </c>
      <c r="L135" s="4">
        <v>151.88</v>
      </c>
      <c r="M135" t="s">
        <v>44</v>
      </c>
      <c r="N135" t="s">
        <v>77</v>
      </c>
      <c r="O135" t="s">
        <v>99</v>
      </c>
      <c r="P135" t="s">
        <v>99</v>
      </c>
      <c r="Q135" t="s">
        <v>128</v>
      </c>
      <c r="R135" t="s">
        <v>128</v>
      </c>
      <c r="S135" t="s">
        <v>197</v>
      </c>
      <c r="T135" t="s">
        <v>198</v>
      </c>
      <c r="U135" t="s">
        <v>163</v>
      </c>
      <c r="V135" t="s">
        <v>164</v>
      </c>
      <c r="W135" t="s">
        <v>77</v>
      </c>
      <c r="X135" t="s">
        <v>44</v>
      </c>
      <c r="Y135" t="s">
        <v>99</v>
      </c>
      <c r="Z135" t="s">
        <v>421</v>
      </c>
      <c r="AC135" t="str">
        <f>IF(AA135="",M135,AA135)</f>
        <v>sim</v>
      </c>
      <c r="AD135" t="str">
        <f>IF(AB135="",X135,AB135)</f>
        <v>sim</v>
      </c>
      <c r="AE135" t="str">
        <f>IF(OR(Configuracao!B9="",Configuracao!B10=""),"aguardando limiar",IF(AND(K135&gt;=Configuracao!B9,K135/MAX(Reconciliacao!C2,1)&gt;=Configuracao!B10/100),"sim","não"))</f>
        <v>aguardando limiar</v>
      </c>
    </row>
    <row r="136" spans="1:31" x14ac:dyDescent="0.25">
      <c r="A136">
        <v>16981</v>
      </c>
      <c r="C136" t="s">
        <v>541</v>
      </c>
      <c r="D136" t="s">
        <v>534</v>
      </c>
      <c r="E136" t="s">
        <v>511</v>
      </c>
      <c r="F136" t="s">
        <v>196</v>
      </c>
      <c r="G136" t="s">
        <v>213</v>
      </c>
      <c r="H136" t="s">
        <v>212</v>
      </c>
      <c r="I136" t="s">
        <v>439</v>
      </c>
      <c r="J136" t="s">
        <v>439</v>
      </c>
      <c r="K136" s="4">
        <v>153.9</v>
      </c>
      <c r="L136" s="4">
        <v>153.9</v>
      </c>
      <c r="M136" t="s">
        <v>44</v>
      </c>
      <c r="N136" t="s">
        <v>77</v>
      </c>
      <c r="O136" t="s">
        <v>99</v>
      </c>
      <c r="P136" t="s">
        <v>99</v>
      </c>
      <c r="Q136" t="s">
        <v>128</v>
      </c>
      <c r="R136" t="s">
        <v>128</v>
      </c>
      <c r="S136" t="s">
        <v>197</v>
      </c>
      <c r="T136" t="s">
        <v>198</v>
      </c>
      <c r="U136" t="s">
        <v>163</v>
      </c>
      <c r="V136" t="s">
        <v>164</v>
      </c>
      <c r="W136" t="s">
        <v>77</v>
      </c>
      <c r="X136" t="s">
        <v>44</v>
      </c>
      <c r="Y136" t="s">
        <v>99</v>
      </c>
      <c r="Z136" t="s">
        <v>421</v>
      </c>
      <c r="AC136" t="str">
        <f>IF(AA136="",M136,AA136)</f>
        <v>sim</v>
      </c>
      <c r="AD136" t="str">
        <f>IF(AB136="",X136,AB136)</f>
        <v>sim</v>
      </c>
      <c r="AE136" t="str">
        <f>IF(OR(Configuracao!B9="",Configuracao!B10=""),"aguardando limiar",IF(AND(K136&gt;=Configuracao!B9,K136/MAX(Reconciliacao!C2,1)&gt;=Configuracao!B10/100),"sim","não"))</f>
        <v>aguardando limiar</v>
      </c>
    </row>
    <row r="137" spans="1:31" x14ac:dyDescent="0.25">
      <c r="A137">
        <v>17329</v>
      </c>
      <c r="C137" t="s">
        <v>542</v>
      </c>
      <c r="D137" t="s">
        <v>543</v>
      </c>
      <c r="E137" t="s">
        <v>525</v>
      </c>
      <c r="F137" t="s">
        <v>196</v>
      </c>
      <c r="G137" t="s">
        <v>213</v>
      </c>
      <c r="H137" t="s">
        <v>212</v>
      </c>
      <c r="I137" t="s">
        <v>442</v>
      </c>
      <c r="J137" t="s">
        <v>442</v>
      </c>
      <c r="K137" s="4">
        <v>159.8</v>
      </c>
      <c r="L137" s="4">
        <v>159.8</v>
      </c>
      <c r="M137" t="s">
        <v>44</v>
      </c>
      <c r="N137" t="s">
        <v>77</v>
      </c>
      <c r="O137" t="s">
        <v>99</v>
      </c>
      <c r="P137" t="s">
        <v>99</v>
      </c>
      <c r="Q137" t="s">
        <v>128</v>
      </c>
      <c r="R137" t="s">
        <v>128</v>
      </c>
      <c r="S137" t="s">
        <v>197</v>
      </c>
      <c r="T137" t="s">
        <v>198</v>
      </c>
      <c r="U137" t="s">
        <v>163</v>
      </c>
      <c r="V137" t="s">
        <v>164</v>
      </c>
      <c r="W137" t="s">
        <v>77</v>
      </c>
      <c r="X137" t="s">
        <v>44</v>
      </c>
      <c r="Y137" t="s">
        <v>99</v>
      </c>
      <c r="Z137" t="s">
        <v>421</v>
      </c>
      <c r="AC137" t="str">
        <f>IF(AA137="",M137,AA137)</f>
        <v>sim</v>
      </c>
      <c r="AD137" t="str">
        <f>IF(AB137="",X137,AB137)</f>
        <v>sim</v>
      </c>
      <c r="AE137" t="str">
        <f>IF(OR(Configuracao!B9="",Configuracao!B10=""),"aguardando limiar",IF(AND(K137&gt;=Configuracao!B9,K137/MAX(Reconciliacao!C2,1)&gt;=Configuracao!B10/100),"sim","não"))</f>
        <v>aguardando limiar</v>
      </c>
    </row>
    <row r="138" spans="1:31" x14ac:dyDescent="0.25">
      <c r="A138">
        <v>16577</v>
      </c>
      <c r="C138" t="s">
        <v>544</v>
      </c>
      <c r="D138" t="s">
        <v>545</v>
      </c>
      <c r="E138" t="s">
        <v>546</v>
      </c>
      <c r="F138" t="s">
        <v>196</v>
      </c>
      <c r="G138" t="s">
        <v>213</v>
      </c>
      <c r="H138" t="s">
        <v>212</v>
      </c>
      <c r="I138" t="s">
        <v>454</v>
      </c>
      <c r="J138" t="s">
        <v>454</v>
      </c>
      <c r="K138" s="4">
        <v>173.5</v>
      </c>
      <c r="L138" s="4">
        <v>173.5</v>
      </c>
      <c r="M138" t="s">
        <v>44</v>
      </c>
      <c r="N138" t="s">
        <v>77</v>
      </c>
      <c r="O138" t="s">
        <v>99</v>
      </c>
      <c r="P138" t="s">
        <v>99</v>
      </c>
      <c r="Q138" t="s">
        <v>128</v>
      </c>
      <c r="R138" t="s">
        <v>128</v>
      </c>
      <c r="S138" t="s">
        <v>197</v>
      </c>
      <c r="T138" t="s">
        <v>198</v>
      </c>
      <c r="U138" t="s">
        <v>163</v>
      </c>
      <c r="V138" t="s">
        <v>164</v>
      </c>
      <c r="W138" t="s">
        <v>77</v>
      </c>
      <c r="X138" t="s">
        <v>44</v>
      </c>
      <c r="Y138" t="s">
        <v>99</v>
      </c>
      <c r="Z138" t="s">
        <v>421</v>
      </c>
      <c r="AC138" t="str">
        <f>IF(AA138="",M138,AA138)</f>
        <v>sim</v>
      </c>
      <c r="AD138" t="str">
        <f>IF(AB138="",X138,AB138)</f>
        <v>sim</v>
      </c>
      <c r="AE138" t="str">
        <f>IF(OR(Configuracao!B9="",Configuracao!B10=""),"aguardando limiar",IF(AND(K138&gt;=Configuracao!B9,K138/MAX(Reconciliacao!C2,1)&gt;=Configuracao!B10/100),"sim","não"))</f>
        <v>aguardando limiar</v>
      </c>
    </row>
    <row r="139" spans="1:31" x14ac:dyDescent="0.25">
      <c r="A139">
        <v>16582</v>
      </c>
      <c r="C139" t="s">
        <v>544</v>
      </c>
      <c r="D139" t="s">
        <v>545</v>
      </c>
      <c r="E139" t="s">
        <v>546</v>
      </c>
      <c r="F139" t="s">
        <v>196</v>
      </c>
      <c r="G139" t="s">
        <v>213</v>
      </c>
      <c r="H139" t="s">
        <v>212</v>
      </c>
      <c r="I139" t="s">
        <v>461</v>
      </c>
      <c r="J139" t="s">
        <v>439</v>
      </c>
      <c r="K139" s="4">
        <v>173.5</v>
      </c>
      <c r="L139" s="4">
        <v>173.5</v>
      </c>
      <c r="M139" t="s">
        <v>44</v>
      </c>
      <c r="N139" t="s">
        <v>77</v>
      </c>
      <c r="O139" t="s">
        <v>99</v>
      </c>
      <c r="P139" t="s">
        <v>99</v>
      </c>
      <c r="Q139" t="s">
        <v>128</v>
      </c>
      <c r="R139" t="s">
        <v>128</v>
      </c>
      <c r="S139" t="s">
        <v>197</v>
      </c>
      <c r="T139" t="s">
        <v>198</v>
      </c>
      <c r="U139" t="s">
        <v>163</v>
      </c>
      <c r="V139" t="s">
        <v>164</v>
      </c>
      <c r="W139" t="s">
        <v>77</v>
      </c>
      <c r="X139" t="s">
        <v>44</v>
      </c>
      <c r="Y139" t="s">
        <v>99</v>
      </c>
      <c r="Z139" t="s">
        <v>421</v>
      </c>
      <c r="AC139" t="str">
        <f>IF(AA139="",M139,AA139)</f>
        <v>sim</v>
      </c>
      <c r="AD139" t="str">
        <f>IF(AB139="",X139,AB139)</f>
        <v>sim</v>
      </c>
      <c r="AE139" t="str">
        <f>IF(OR(Configuracao!B9="",Configuracao!B10=""),"aguardando limiar",IF(AND(K139&gt;=Configuracao!B9,K139/MAX(Reconciliacao!C2,1)&gt;=Configuracao!B10/100),"sim","não"))</f>
        <v>aguardando limiar</v>
      </c>
    </row>
    <row r="140" spans="1:31" x14ac:dyDescent="0.25">
      <c r="A140">
        <v>16587</v>
      </c>
      <c r="C140" t="s">
        <v>544</v>
      </c>
      <c r="D140" t="s">
        <v>545</v>
      </c>
      <c r="E140" t="s">
        <v>546</v>
      </c>
      <c r="F140" t="s">
        <v>196</v>
      </c>
      <c r="G140" t="s">
        <v>213</v>
      </c>
      <c r="H140" t="s">
        <v>212</v>
      </c>
      <c r="I140" t="s">
        <v>442</v>
      </c>
      <c r="J140" t="s">
        <v>99</v>
      </c>
      <c r="K140" s="4">
        <v>173.5</v>
      </c>
      <c r="L140" s="4">
        <v>0</v>
      </c>
      <c r="M140" t="s">
        <v>44</v>
      </c>
      <c r="N140" t="s">
        <v>77</v>
      </c>
      <c r="O140" t="s">
        <v>99</v>
      </c>
      <c r="P140" t="s">
        <v>99</v>
      </c>
      <c r="Q140" t="s">
        <v>128</v>
      </c>
      <c r="R140" t="s">
        <v>128</v>
      </c>
      <c r="S140" t="s">
        <v>197</v>
      </c>
      <c r="T140" t="s">
        <v>198</v>
      </c>
      <c r="U140" t="s">
        <v>163</v>
      </c>
      <c r="V140" t="s">
        <v>164</v>
      </c>
      <c r="W140" t="s">
        <v>77</v>
      </c>
      <c r="X140" t="s">
        <v>44</v>
      </c>
      <c r="Y140" t="s">
        <v>99</v>
      </c>
      <c r="Z140" t="s">
        <v>421</v>
      </c>
      <c r="AC140" t="str">
        <f>IF(AA140="",M140,AA140)</f>
        <v>sim</v>
      </c>
      <c r="AD140" t="str">
        <f>IF(AB140="",X140,AB140)</f>
        <v>sim</v>
      </c>
      <c r="AE140" t="str">
        <f>IF(OR(Configuracao!B9="",Configuracao!B10=""),"aguardando limiar",IF(AND(K140&gt;=Configuracao!B9,K140/MAX(Reconciliacao!C2,1)&gt;=Configuracao!B10/100),"sim","não"))</f>
        <v>aguardando limiar</v>
      </c>
    </row>
    <row r="141" spans="1:31" x14ac:dyDescent="0.25">
      <c r="A141">
        <v>16592</v>
      </c>
      <c r="C141" t="s">
        <v>544</v>
      </c>
      <c r="D141" t="s">
        <v>545</v>
      </c>
      <c r="E141" t="s">
        <v>546</v>
      </c>
      <c r="F141" t="s">
        <v>196</v>
      </c>
      <c r="G141" t="s">
        <v>213</v>
      </c>
      <c r="H141" t="s">
        <v>212</v>
      </c>
      <c r="I141" t="s">
        <v>439</v>
      </c>
      <c r="J141" t="s">
        <v>99</v>
      </c>
      <c r="K141" s="4">
        <v>173.5</v>
      </c>
      <c r="L141" s="4">
        <v>0</v>
      </c>
      <c r="M141" t="s">
        <v>44</v>
      </c>
      <c r="N141" t="s">
        <v>77</v>
      </c>
      <c r="O141" t="s">
        <v>99</v>
      </c>
      <c r="P141" t="s">
        <v>99</v>
      </c>
      <c r="Q141" t="s">
        <v>128</v>
      </c>
      <c r="R141" t="s">
        <v>128</v>
      </c>
      <c r="S141" t="s">
        <v>197</v>
      </c>
      <c r="T141" t="s">
        <v>198</v>
      </c>
      <c r="U141" t="s">
        <v>163</v>
      </c>
      <c r="V141" t="s">
        <v>164</v>
      </c>
      <c r="W141" t="s">
        <v>77</v>
      </c>
      <c r="X141" t="s">
        <v>44</v>
      </c>
      <c r="Y141" t="s">
        <v>99</v>
      </c>
      <c r="Z141" t="s">
        <v>421</v>
      </c>
      <c r="AC141" t="str">
        <f>IF(AA141="",M141,AA141)</f>
        <v>sim</v>
      </c>
      <c r="AD141" t="str">
        <f>IF(AB141="",X141,AB141)</f>
        <v>sim</v>
      </c>
      <c r="AE141" t="str">
        <f>IF(OR(Configuracao!B9="",Configuracao!B10=""),"aguardando limiar",IF(AND(K141&gt;=Configuracao!B9,K141/MAX(Reconciliacao!C2,1)&gt;=Configuracao!B10/100),"sim","não"))</f>
        <v>aguardando limiar</v>
      </c>
    </row>
    <row r="142" spans="1:31" x14ac:dyDescent="0.25">
      <c r="A142">
        <v>16597</v>
      </c>
      <c r="C142" t="s">
        <v>544</v>
      </c>
      <c r="D142" t="s">
        <v>545</v>
      </c>
      <c r="E142" t="s">
        <v>546</v>
      </c>
      <c r="F142" t="s">
        <v>196</v>
      </c>
      <c r="G142" t="s">
        <v>213</v>
      </c>
      <c r="H142" t="s">
        <v>212</v>
      </c>
      <c r="I142" t="s">
        <v>35</v>
      </c>
      <c r="J142" t="s">
        <v>99</v>
      </c>
      <c r="K142" s="4">
        <v>173.5</v>
      </c>
      <c r="L142" s="4">
        <v>0</v>
      </c>
      <c r="M142" t="s">
        <v>44</v>
      </c>
      <c r="N142" t="s">
        <v>77</v>
      </c>
      <c r="O142" t="s">
        <v>99</v>
      </c>
      <c r="P142" t="s">
        <v>99</v>
      </c>
      <c r="Q142" t="s">
        <v>128</v>
      </c>
      <c r="R142" t="s">
        <v>128</v>
      </c>
      <c r="S142" t="s">
        <v>197</v>
      </c>
      <c r="T142" t="s">
        <v>198</v>
      </c>
      <c r="U142" t="s">
        <v>163</v>
      </c>
      <c r="V142" t="s">
        <v>164</v>
      </c>
      <c r="W142" t="s">
        <v>77</v>
      </c>
      <c r="X142" t="s">
        <v>44</v>
      </c>
      <c r="Y142" t="s">
        <v>99</v>
      </c>
      <c r="Z142" t="s">
        <v>421</v>
      </c>
      <c r="AC142" t="str">
        <f>IF(AA142="",M142,AA142)</f>
        <v>sim</v>
      </c>
      <c r="AD142" t="str">
        <f>IF(AB142="",X142,AB142)</f>
        <v>sim</v>
      </c>
      <c r="AE142" t="str">
        <f>IF(OR(Configuracao!B9="",Configuracao!B10=""),"aguardando limiar",IF(AND(K142&gt;=Configuracao!B9,K142/MAX(Reconciliacao!C2,1)&gt;=Configuracao!B10/100),"sim","não"))</f>
        <v>aguardando limiar</v>
      </c>
    </row>
    <row r="143" spans="1:31" x14ac:dyDescent="0.25">
      <c r="A143">
        <v>16663</v>
      </c>
      <c r="C143" t="s">
        <v>544</v>
      </c>
      <c r="D143" t="s">
        <v>545</v>
      </c>
      <c r="E143" t="s">
        <v>546</v>
      </c>
      <c r="F143" t="s">
        <v>196</v>
      </c>
      <c r="G143" t="s">
        <v>213</v>
      </c>
      <c r="H143" t="s">
        <v>212</v>
      </c>
      <c r="I143" t="s">
        <v>454</v>
      </c>
      <c r="J143" t="s">
        <v>461</v>
      </c>
      <c r="K143" s="4">
        <v>173.5</v>
      </c>
      <c r="L143" s="4">
        <v>173.5</v>
      </c>
      <c r="M143" t="s">
        <v>44</v>
      </c>
      <c r="N143" t="s">
        <v>77</v>
      </c>
      <c r="O143" t="s">
        <v>99</v>
      </c>
      <c r="P143" t="s">
        <v>99</v>
      </c>
      <c r="Q143" t="s">
        <v>128</v>
      </c>
      <c r="R143" t="s">
        <v>128</v>
      </c>
      <c r="S143" t="s">
        <v>197</v>
      </c>
      <c r="T143" t="s">
        <v>198</v>
      </c>
      <c r="U143" t="s">
        <v>163</v>
      </c>
      <c r="V143" t="s">
        <v>164</v>
      </c>
      <c r="W143" t="s">
        <v>77</v>
      </c>
      <c r="X143" t="s">
        <v>44</v>
      </c>
      <c r="Y143" t="s">
        <v>99</v>
      </c>
      <c r="Z143" t="s">
        <v>421</v>
      </c>
      <c r="AC143" t="str">
        <f>IF(AA143="",M143,AA143)</f>
        <v>sim</v>
      </c>
      <c r="AD143" t="str">
        <f>IF(AB143="",X143,AB143)</f>
        <v>sim</v>
      </c>
      <c r="AE143" t="str">
        <f>IF(OR(Configuracao!B9="",Configuracao!B10=""),"aguardando limiar",IF(AND(K143&gt;=Configuracao!B9,K143/MAX(Reconciliacao!C2,1)&gt;=Configuracao!B10/100),"sim","não"))</f>
        <v>aguardando limiar</v>
      </c>
    </row>
    <row r="144" spans="1:31" x14ac:dyDescent="0.25">
      <c r="A144">
        <v>16573</v>
      </c>
      <c r="C144" t="s">
        <v>544</v>
      </c>
      <c r="D144" t="s">
        <v>545</v>
      </c>
      <c r="E144" t="s">
        <v>511</v>
      </c>
      <c r="F144" t="s">
        <v>196</v>
      </c>
      <c r="G144" t="s">
        <v>213</v>
      </c>
      <c r="H144" t="s">
        <v>212</v>
      </c>
      <c r="I144" t="s">
        <v>454</v>
      </c>
      <c r="J144" t="s">
        <v>454</v>
      </c>
      <c r="K144" s="4">
        <v>179.75</v>
      </c>
      <c r="L144" s="4">
        <v>179.75</v>
      </c>
      <c r="M144" t="s">
        <v>44</v>
      </c>
      <c r="N144" t="s">
        <v>77</v>
      </c>
      <c r="O144" t="s">
        <v>99</v>
      </c>
      <c r="P144" t="s">
        <v>99</v>
      </c>
      <c r="Q144" t="s">
        <v>128</v>
      </c>
      <c r="R144" t="s">
        <v>128</v>
      </c>
      <c r="S144" t="s">
        <v>197</v>
      </c>
      <c r="T144" t="s">
        <v>198</v>
      </c>
      <c r="U144" t="s">
        <v>163</v>
      </c>
      <c r="V144" t="s">
        <v>164</v>
      </c>
      <c r="W144" t="s">
        <v>77</v>
      </c>
      <c r="X144" t="s">
        <v>44</v>
      </c>
      <c r="Y144" t="s">
        <v>99</v>
      </c>
      <c r="Z144" t="s">
        <v>421</v>
      </c>
      <c r="AC144" t="str">
        <f>IF(AA144="",M144,AA144)</f>
        <v>sim</v>
      </c>
      <c r="AD144" t="str">
        <f>IF(AB144="",X144,AB144)</f>
        <v>sim</v>
      </c>
      <c r="AE144" t="str">
        <f>IF(OR(Configuracao!B9="",Configuracao!B10=""),"aguardando limiar",IF(AND(K144&gt;=Configuracao!B9,K144/MAX(Reconciliacao!C2,1)&gt;=Configuracao!B10/100),"sim","não"))</f>
        <v>aguardando limiar</v>
      </c>
    </row>
    <row r="145" spans="1:31" x14ac:dyDescent="0.25">
      <c r="A145">
        <v>16578</v>
      </c>
      <c r="C145" t="s">
        <v>544</v>
      </c>
      <c r="D145" t="s">
        <v>545</v>
      </c>
      <c r="E145" t="s">
        <v>511</v>
      </c>
      <c r="F145" t="s">
        <v>196</v>
      </c>
      <c r="G145" t="s">
        <v>213</v>
      </c>
      <c r="H145" t="s">
        <v>212</v>
      </c>
      <c r="I145" t="s">
        <v>461</v>
      </c>
      <c r="J145" t="s">
        <v>439</v>
      </c>
      <c r="K145" s="4">
        <v>179.75</v>
      </c>
      <c r="L145" s="4">
        <v>179.75</v>
      </c>
      <c r="M145" t="s">
        <v>44</v>
      </c>
      <c r="N145" t="s">
        <v>77</v>
      </c>
      <c r="O145" t="s">
        <v>99</v>
      </c>
      <c r="P145" t="s">
        <v>99</v>
      </c>
      <c r="Q145" t="s">
        <v>128</v>
      </c>
      <c r="R145" t="s">
        <v>128</v>
      </c>
      <c r="S145" t="s">
        <v>197</v>
      </c>
      <c r="T145" t="s">
        <v>198</v>
      </c>
      <c r="U145" t="s">
        <v>163</v>
      </c>
      <c r="V145" t="s">
        <v>164</v>
      </c>
      <c r="W145" t="s">
        <v>77</v>
      </c>
      <c r="X145" t="s">
        <v>44</v>
      </c>
      <c r="Y145" t="s">
        <v>99</v>
      </c>
      <c r="Z145" t="s">
        <v>421</v>
      </c>
      <c r="AC145" t="str">
        <f>IF(AA145="",M145,AA145)</f>
        <v>sim</v>
      </c>
      <c r="AD145" t="str">
        <f>IF(AB145="",X145,AB145)</f>
        <v>sim</v>
      </c>
      <c r="AE145" t="str">
        <f>IF(OR(Configuracao!B9="",Configuracao!B10=""),"aguardando limiar",IF(AND(K145&gt;=Configuracao!B9,K145/MAX(Reconciliacao!C2,1)&gt;=Configuracao!B10/100),"sim","não"))</f>
        <v>aguardando limiar</v>
      </c>
    </row>
    <row r="146" spans="1:31" x14ac:dyDescent="0.25">
      <c r="A146">
        <v>16583</v>
      </c>
      <c r="C146" t="s">
        <v>544</v>
      </c>
      <c r="D146" t="s">
        <v>545</v>
      </c>
      <c r="E146" t="s">
        <v>511</v>
      </c>
      <c r="F146" t="s">
        <v>196</v>
      </c>
      <c r="G146" t="s">
        <v>213</v>
      </c>
      <c r="H146" t="s">
        <v>212</v>
      </c>
      <c r="I146" t="s">
        <v>442</v>
      </c>
      <c r="J146" t="s">
        <v>99</v>
      </c>
      <c r="K146" s="4">
        <v>179.75</v>
      </c>
      <c r="L146" s="4">
        <v>0</v>
      </c>
      <c r="M146" t="s">
        <v>44</v>
      </c>
      <c r="N146" t="s">
        <v>77</v>
      </c>
      <c r="O146" t="s">
        <v>99</v>
      </c>
      <c r="P146" t="s">
        <v>99</v>
      </c>
      <c r="Q146" t="s">
        <v>128</v>
      </c>
      <c r="R146" t="s">
        <v>128</v>
      </c>
      <c r="S146" t="s">
        <v>197</v>
      </c>
      <c r="T146" t="s">
        <v>198</v>
      </c>
      <c r="U146" t="s">
        <v>163</v>
      </c>
      <c r="V146" t="s">
        <v>164</v>
      </c>
      <c r="W146" t="s">
        <v>77</v>
      </c>
      <c r="X146" t="s">
        <v>44</v>
      </c>
      <c r="Y146" t="s">
        <v>99</v>
      </c>
      <c r="Z146" t="s">
        <v>421</v>
      </c>
      <c r="AC146" t="str">
        <f>IF(AA146="",M146,AA146)</f>
        <v>sim</v>
      </c>
      <c r="AD146" t="str">
        <f>IF(AB146="",X146,AB146)</f>
        <v>sim</v>
      </c>
      <c r="AE146" t="str">
        <f>IF(OR(Configuracao!B9="",Configuracao!B10=""),"aguardando limiar",IF(AND(K146&gt;=Configuracao!B9,K146/MAX(Reconciliacao!C2,1)&gt;=Configuracao!B10/100),"sim","não"))</f>
        <v>aguardando limiar</v>
      </c>
    </row>
    <row r="147" spans="1:31" x14ac:dyDescent="0.25">
      <c r="A147">
        <v>16588</v>
      </c>
      <c r="C147" t="s">
        <v>544</v>
      </c>
      <c r="D147" t="s">
        <v>545</v>
      </c>
      <c r="E147" t="s">
        <v>511</v>
      </c>
      <c r="F147" t="s">
        <v>196</v>
      </c>
      <c r="G147" t="s">
        <v>213</v>
      </c>
      <c r="H147" t="s">
        <v>212</v>
      </c>
      <c r="I147" t="s">
        <v>439</v>
      </c>
      <c r="J147" t="s">
        <v>99</v>
      </c>
      <c r="K147" s="4">
        <v>179.75</v>
      </c>
      <c r="L147" s="4">
        <v>0</v>
      </c>
      <c r="M147" t="s">
        <v>44</v>
      </c>
      <c r="N147" t="s">
        <v>77</v>
      </c>
      <c r="O147" t="s">
        <v>99</v>
      </c>
      <c r="P147" t="s">
        <v>99</v>
      </c>
      <c r="Q147" t="s">
        <v>128</v>
      </c>
      <c r="R147" t="s">
        <v>128</v>
      </c>
      <c r="S147" t="s">
        <v>197</v>
      </c>
      <c r="T147" t="s">
        <v>198</v>
      </c>
      <c r="U147" t="s">
        <v>163</v>
      </c>
      <c r="V147" t="s">
        <v>164</v>
      </c>
      <c r="W147" t="s">
        <v>77</v>
      </c>
      <c r="X147" t="s">
        <v>44</v>
      </c>
      <c r="Y147" t="s">
        <v>99</v>
      </c>
      <c r="Z147" t="s">
        <v>421</v>
      </c>
      <c r="AC147" t="str">
        <f>IF(AA147="",M147,AA147)</f>
        <v>sim</v>
      </c>
      <c r="AD147" t="str">
        <f>IF(AB147="",X147,AB147)</f>
        <v>sim</v>
      </c>
      <c r="AE147" t="str">
        <f>IF(OR(Configuracao!B9="",Configuracao!B10=""),"aguardando limiar",IF(AND(K147&gt;=Configuracao!B9,K147/MAX(Reconciliacao!C2,1)&gt;=Configuracao!B10/100),"sim","não"))</f>
        <v>aguardando limiar</v>
      </c>
    </row>
    <row r="148" spans="1:31" x14ac:dyDescent="0.25">
      <c r="A148">
        <v>16593</v>
      </c>
      <c r="C148" t="s">
        <v>544</v>
      </c>
      <c r="D148" t="s">
        <v>545</v>
      </c>
      <c r="E148" t="s">
        <v>511</v>
      </c>
      <c r="F148" t="s">
        <v>196</v>
      </c>
      <c r="G148" t="s">
        <v>213</v>
      </c>
      <c r="H148" t="s">
        <v>212</v>
      </c>
      <c r="I148" t="s">
        <v>35</v>
      </c>
      <c r="J148" t="s">
        <v>99</v>
      </c>
      <c r="K148" s="4">
        <v>179.75</v>
      </c>
      <c r="L148" s="4">
        <v>0</v>
      </c>
      <c r="M148" t="s">
        <v>44</v>
      </c>
      <c r="N148" t="s">
        <v>77</v>
      </c>
      <c r="O148" t="s">
        <v>99</v>
      </c>
      <c r="P148" t="s">
        <v>99</v>
      </c>
      <c r="Q148" t="s">
        <v>128</v>
      </c>
      <c r="R148" t="s">
        <v>128</v>
      </c>
      <c r="S148" t="s">
        <v>197</v>
      </c>
      <c r="T148" t="s">
        <v>198</v>
      </c>
      <c r="U148" t="s">
        <v>163</v>
      </c>
      <c r="V148" t="s">
        <v>164</v>
      </c>
      <c r="W148" t="s">
        <v>77</v>
      </c>
      <c r="X148" t="s">
        <v>44</v>
      </c>
      <c r="Y148" t="s">
        <v>99</v>
      </c>
      <c r="Z148" t="s">
        <v>421</v>
      </c>
      <c r="AC148" t="str">
        <f>IF(AA148="",M148,AA148)</f>
        <v>sim</v>
      </c>
      <c r="AD148" t="str">
        <f>IF(AB148="",X148,AB148)</f>
        <v>sim</v>
      </c>
      <c r="AE148" t="str">
        <f>IF(OR(Configuracao!B9="",Configuracao!B10=""),"aguardando limiar",IF(AND(K148&gt;=Configuracao!B9,K148/MAX(Reconciliacao!C2,1)&gt;=Configuracao!B10/100),"sim","não"))</f>
        <v>aguardando limiar</v>
      </c>
    </row>
    <row r="149" spans="1:31" x14ac:dyDescent="0.25">
      <c r="A149">
        <v>16659</v>
      </c>
      <c r="C149" t="s">
        <v>544</v>
      </c>
      <c r="D149" t="s">
        <v>545</v>
      </c>
      <c r="E149" t="s">
        <v>511</v>
      </c>
      <c r="F149" t="s">
        <v>196</v>
      </c>
      <c r="G149" t="s">
        <v>213</v>
      </c>
      <c r="H149" t="s">
        <v>212</v>
      </c>
      <c r="I149" t="s">
        <v>454</v>
      </c>
      <c r="J149" t="s">
        <v>461</v>
      </c>
      <c r="K149" s="4">
        <v>179.75</v>
      </c>
      <c r="L149" s="4">
        <v>179.75</v>
      </c>
      <c r="M149" t="s">
        <v>44</v>
      </c>
      <c r="N149" t="s">
        <v>77</v>
      </c>
      <c r="O149" t="s">
        <v>99</v>
      </c>
      <c r="P149" t="s">
        <v>99</v>
      </c>
      <c r="Q149" t="s">
        <v>128</v>
      </c>
      <c r="R149" t="s">
        <v>128</v>
      </c>
      <c r="S149" t="s">
        <v>197</v>
      </c>
      <c r="T149" t="s">
        <v>198</v>
      </c>
      <c r="U149" t="s">
        <v>163</v>
      </c>
      <c r="V149" t="s">
        <v>164</v>
      </c>
      <c r="W149" t="s">
        <v>77</v>
      </c>
      <c r="X149" t="s">
        <v>44</v>
      </c>
      <c r="Y149" t="s">
        <v>99</v>
      </c>
      <c r="Z149" t="s">
        <v>421</v>
      </c>
      <c r="AC149" t="str">
        <f>IF(AA149="",M149,AA149)</f>
        <v>sim</v>
      </c>
      <c r="AD149" t="str">
        <f>IF(AB149="",X149,AB149)</f>
        <v>sim</v>
      </c>
      <c r="AE149" t="str">
        <f>IF(OR(Configuracao!B9="",Configuracao!B10=""),"aguardando limiar",IF(AND(K149&gt;=Configuracao!B9,K149/MAX(Reconciliacao!C2,1)&gt;=Configuracao!B10/100),"sim","não"))</f>
        <v>aguardando limiar</v>
      </c>
    </row>
    <row r="150" spans="1:31" x14ac:dyDescent="0.25">
      <c r="A150">
        <v>16558</v>
      </c>
      <c r="C150" t="s">
        <v>533</v>
      </c>
      <c r="D150" t="s">
        <v>534</v>
      </c>
      <c r="E150" t="s">
        <v>467</v>
      </c>
      <c r="F150" t="s">
        <v>196</v>
      </c>
      <c r="G150" t="s">
        <v>213</v>
      </c>
      <c r="H150" t="s">
        <v>212</v>
      </c>
      <c r="I150" t="s">
        <v>454</v>
      </c>
      <c r="J150" t="s">
        <v>454</v>
      </c>
      <c r="K150" s="4">
        <v>202.5</v>
      </c>
      <c r="L150" s="4">
        <v>202.5</v>
      </c>
      <c r="M150" t="s">
        <v>44</v>
      </c>
      <c r="N150" t="s">
        <v>77</v>
      </c>
      <c r="O150" t="s">
        <v>99</v>
      </c>
      <c r="P150" t="s">
        <v>99</v>
      </c>
      <c r="Q150" t="s">
        <v>128</v>
      </c>
      <c r="R150" t="s">
        <v>128</v>
      </c>
      <c r="S150" t="s">
        <v>197</v>
      </c>
      <c r="T150" t="s">
        <v>198</v>
      </c>
      <c r="U150" t="s">
        <v>163</v>
      </c>
      <c r="V150" t="s">
        <v>164</v>
      </c>
      <c r="W150" t="s">
        <v>77</v>
      </c>
      <c r="X150" t="s">
        <v>44</v>
      </c>
      <c r="Y150" t="s">
        <v>99</v>
      </c>
      <c r="Z150" t="s">
        <v>421</v>
      </c>
      <c r="AC150" t="str">
        <f>IF(AA150="",M150,AA150)</f>
        <v>sim</v>
      </c>
      <c r="AD150" t="str">
        <f>IF(AB150="",X150,AB150)</f>
        <v>sim</v>
      </c>
      <c r="AE150" t="str">
        <f>IF(OR(Configuracao!B9="",Configuracao!B10=""),"aguardando limiar",IF(AND(K150&gt;=Configuracao!B9,K150/MAX(Reconciliacao!C2,1)&gt;=Configuracao!B10/100),"sim","não"))</f>
        <v>aguardando limiar</v>
      </c>
    </row>
    <row r="151" spans="1:31" x14ac:dyDescent="0.25">
      <c r="A151">
        <v>16976</v>
      </c>
      <c r="C151" t="s">
        <v>533</v>
      </c>
      <c r="D151" t="s">
        <v>534</v>
      </c>
      <c r="E151" t="s">
        <v>467</v>
      </c>
      <c r="F151" t="s">
        <v>196</v>
      </c>
      <c r="G151" t="s">
        <v>213</v>
      </c>
      <c r="H151" t="s">
        <v>212</v>
      </c>
      <c r="I151" t="s">
        <v>461</v>
      </c>
      <c r="J151" t="s">
        <v>461</v>
      </c>
      <c r="K151" s="4">
        <v>202.5</v>
      </c>
      <c r="L151" s="4">
        <v>202.5</v>
      </c>
      <c r="M151" t="s">
        <v>44</v>
      </c>
      <c r="N151" t="s">
        <v>77</v>
      </c>
      <c r="O151" t="s">
        <v>99</v>
      </c>
      <c r="P151" t="s">
        <v>99</v>
      </c>
      <c r="Q151" t="s">
        <v>128</v>
      </c>
      <c r="R151" t="s">
        <v>128</v>
      </c>
      <c r="S151" t="s">
        <v>197</v>
      </c>
      <c r="T151" t="s">
        <v>198</v>
      </c>
      <c r="U151" t="s">
        <v>163</v>
      </c>
      <c r="V151" t="s">
        <v>164</v>
      </c>
      <c r="W151" t="s">
        <v>77</v>
      </c>
      <c r="X151" t="s">
        <v>44</v>
      </c>
      <c r="Y151" t="s">
        <v>99</v>
      </c>
      <c r="Z151" t="s">
        <v>421</v>
      </c>
      <c r="AC151" t="str">
        <f>IF(AA151="",M151,AA151)</f>
        <v>sim</v>
      </c>
      <c r="AD151" t="str">
        <f>IF(AB151="",X151,AB151)</f>
        <v>sim</v>
      </c>
      <c r="AE151" t="str">
        <f>IF(OR(Configuracao!B9="",Configuracao!B10=""),"aguardando limiar",IF(AND(K151&gt;=Configuracao!B9,K151/MAX(Reconciliacao!C2,1)&gt;=Configuracao!B10/100),"sim","não"))</f>
        <v>aguardando limiar</v>
      </c>
    </row>
    <row r="152" spans="1:31" x14ac:dyDescent="0.25">
      <c r="A152">
        <v>16980</v>
      </c>
      <c r="C152" t="s">
        <v>533</v>
      </c>
      <c r="D152" t="s">
        <v>534</v>
      </c>
      <c r="E152" t="s">
        <v>467</v>
      </c>
      <c r="F152" t="s">
        <v>196</v>
      </c>
      <c r="G152" t="s">
        <v>213</v>
      </c>
      <c r="H152" t="s">
        <v>212</v>
      </c>
      <c r="I152" t="s">
        <v>442</v>
      </c>
      <c r="J152" t="s">
        <v>439</v>
      </c>
      <c r="K152" s="4">
        <v>202.5</v>
      </c>
      <c r="L152" s="4">
        <v>202.5</v>
      </c>
      <c r="M152" t="s">
        <v>44</v>
      </c>
      <c r="N152" t="s">
        <v>77</v>
      </c>
      <c r="O152" t="s">
        <v>99</v>
      </c>
      <c r="P152" t="s">
        <v>99</v>
      </c>
      <c r="Q152" t="s">
        <v>128</v>
      </c>
      <c r="R152" t="s">
        <v>128</v>
      </c>
      <c r="S152" t="s">
        <v>197</v>
      </c>
      <c r="T152" t="s">
        <v>198</v>
      </c>
      <c r="U152" t="s">
        <v>163</v>
      </c>
      <c r="V152" t="s">
        <v>164</v>
      </c>
      <c r="W152" t="s">
        <v>77</v>
      </c>
      <c r="X152" t="s">
        <v>44</v>
      </c>
      <c r="Y152" t="s">
        <v>99</v>
      </c>
      <c r="Z152" t="s">
        <v>421</v>
      </c>
      <c r="AC152" t="str">
        <f>IF(AA152="",M152,AA152)</f>
        <v>sim</v>
      </c>
      <c r="AD152" t="str">
        <f>IF(AB152="",X152,AB152)</f>
        <v>sim</v>
      </c>
      <c r="AE152" t="str">
        <f>IF(OR(Configuracao!B9="",Configuracao!B10=""),"aguardando limiar",IF(AND(K152&gt;=Configuracao!B9,K152/MAX(Reconciliacao!C2,1)&gt;=Configuracao!B10/100),"sim","não"))</f>
        <v>aguardando limiar</v>
      </c>
    </row>
    <row r="153" spans="1:31" x14ac:dyDescent="0.25">
      <c r="A153">
        <v>16575</v>
      </c>
      <c r="C153" t="s">
        <v>544</v>
      </c>
      <c r="D153" t="s">
        <v>545</v>
      </c>
      <c r="E153" t="s">
        <v>525</v>
      </c>
      <c r="F153" t="s">
        <v>196</v>
      </c>
      <c r="G153" t="s">
        <v>213</v>
      </c>
      <c r="H153" t="s">
        <v>212</v>
      </c>
      <c r="I153" t="s">
        <v>454</v>
      </c>
      <c r="J153" t="s">
        <v>454</v>
      </c>
      <c r="K153" s="4">
        <v>208.25</v>
      </c>
      <c r="L153" s="4">
        <v>208.25</v>
      </c>
      <c r="M153" t="s">
        <v>44</v>
      </c>
      <c r="N153" t="s">
        <v>77</v>
      </c>
      <c r="O153" t="s">
        <v>99</v>
      </c>
      <c r="P153" t="s">
        <v>99</v>
      </c>
      <c r="Q153" t="s">
        <v>128</v>
      </c>
      <c r="R153" t="s">
        <v>128</v>
      </c>
      <c r="S153" t="s">
        <v>197</v>
      </c>
      <c r="T153" t="s">
        <v>198</v>
      </c>
      <c r="U153" t="s">
        <v>163</v>
      </c>
      <c r="V153" t="s">
        <v>164</v>
      </c>
      <c r="W153" t="s">
        <v>77</v>
      </c>
      <c r="X153" t="s">
        <v>44</v>
      </c>
      <c r="Y153" t="s">
        <v>99</v>
      </c>
      <c r="Z153" t="s">
        <v>421</v>
      </c>
      <c r="AC153" t="str">
        <f>IF(AA153="",M153,AA153)</f>
        <v>sim</v>
      </c>
      <c r="AD153" t="str">
        <f>IF(AB153="",X153,AB153)</f>
        <v>sim</v>
      </c>
      <c r="AE153" t="str">
        <f>IF(OR(Configuracao!B9="",Configuracao!B10=""),"aguardando limiar",IF(AND(K153&gt;=Configuracao!B9,K153/MAX(Reconciliacao!C2,1)&gt;=Configuracao!B10/100),"sim","não"))</f>
        <v>aguardando limiar</v>
      </c>
    </row>
    <row r="154" spans="1:31" x14ac:dyDescent="0.25">
      <c r="A154">
        <v>16580</v>
      </c>
      <c r="C154" t="s">
        <v>544</v>
      </c>
      <c r="D154" t="s">
        <v>545</v>
      </c>
      <c r="E154" t="s">
        <v>525</v>
      </c>
      <c r="F154" t="s">
        <v>196</v>
      </c>
      <c r="G154" t="s">
        <v>213</v>
      </c>
      <c r="H154" t="s">
        <v>212</v>
      </c>
      <c r="I154" t="s">
        <v>461</v>
      </c>
      <c r="J154" t="s">
        <v>439</v>
      </c>
      <c r="K154" s="4">
        <v>208.25</v>
      </c>
      <c r="L154" s="4">
        <v>208.25</v>
      </c>
      <c r="M154" t="s">
        <v>44</v>
      </c>
      <c r="N154" t="s">
        <v>77</v>
      </c>
      <c r="O154" t="s">
        <v>99</v>
      </c>
      <c r="P154" t="s">
        <v>99</v>
      </c>
      <c r="Q154" t="s">
        <v>128</v>
      </c>
      <c r="R154" t="s">
        <v>128</v>
      </c>
      <c r="S154" t="s">
        <v>197</v>
      </c>
      <c r="T154" t="s">
        <v>198</v>
      </c>
      <c r="U154" t="s">
        <v>163</v>
      </c>
      <c r="V154" t="s">
        <v>164</v>
      </c>
      <c r="W154" t="s">
        <v>77</v>
      </c>
      <c r="X154" t="s">
        <v>44</v>
      </c>
      <c r="Y154" t="s">
        <v>99</v>
      </c>
      <c r="Z154" t="s">
        <v>421</v>
      </c>
      <c r="AC154" t="str">
        <f>IF(AA154="",M154,AA154)</f>
        <v>sim</v>
      </c>
      <c r="AD154" t="str">
        <f>IF(AB154="",X154,AB154)</f>
        <v>sim</v>
      </c>
      <c r="AE154" t="str">
        <f>IF(OR(Configuracao!B9="",Configuracao!B10=""),"aguardando limiar",IF(AND(K154&gt;=Configuracao!B9,K154/MAX(Reconciliacao!C2,1)&gt;=Configuracao!B10/100),"sim","não"))</f>
        <v>aguardando limiar</v>
      </c>
    </row>
    <row r="155" spans="1:31" x14ac:dyDescent="0.25">
      <c r="A155">
        <v>16585</v>
      </c>
      <c r="C155" t="s">
        <v>544</v>
      </c>
      <c r="D155" t="s">
        <v>545</v>
      </c>
      <c r="E155" t="s">
        <v>525</v>
      </c>
      <c r="F155" t="s">
        <v>196</v>
      </c>
      <c r="G155" t="s">
        <v>213</v>
      </c>
      <c r="H155" t="s">
        <v>212</v>
      </c>
      <c r="I155" t="s">
        <v>442</v>
      </c>
      <c r="J155" t="s">
        <v>99</v>
      </c>
      <c r="K155" s="4">
        <v>208.25</v>
      </c>
      <c r="L155" s="4">
        <v>0</v>
      </c>
      <c r="M155" t="s">
        <v>44</v>
      </c>
      <c r="N155" t="s">
        <v>77</v>
      </c>
      <c r="O155" t="s">
        <v>99</v>
      </c>
      <c r="P155" t="s">
        <v>99</v>
      </c>
      <c r="Q155" t="s">
        <v>128</v>
      </c>
      <c r="R155" t="s">
        <v>128</v>
      </c>
      <c r="S155" t="s">
        <v>197</v>
      </c>
      <c r="T155" t="s">
        <v>198</v>
      </c>
      <c r="U155" t="s">
        <v>163</v>
      </c>
      <c r="V155" t="s">
        <v>164</v>
      </c>
      <c r="W155" t="s">
        <v>77</v>
      </c>
      <c r="X155" t="s">
        <v>44</v>
      </c>
      <c r="Y155" t="s">
        <v>99</v>
      </c>
      <c r="Z155" t="s">
        <v>421</v>
      </c>
      <c r="AC155" t="str">
        <f>IF(AA155="",M155,AA155)</f>
        <v>sim</v>
      </c>
      <c r="AD155" t="str">
        <f>IF(AB155="",X155,AB155)</f>
        <v>sim</v>
      </c>
      <c r="AE155" t="str">
        <f>IF(OR(Configuracao!B9="",Configuracao!B10=""),"aguardando limiar",IF(AND(K155&gt;=Configuracao!B9,K155/MAX(Reconciliacao!C2,1)&gt;=Configuracao!B10/100),"sim","não"))</f>
        <v>aguardando limiar</v>
      </c>
    </row>
    <row r="156" spans="1:31" x14ac:dyDescent="0.25">
      <c r="A156">
        <v>16590</v>
      </c>
      <c r="C156" t="s">
        <v>544</v>
      </c>
      <c r="D156" t="s">
        <v>545</v>
      </c>
      <c r="E156" t="s">
        <v>525</v>
      </c>
      <c r="F156" t="s">
        <v>196</v>
      </c>
      <c r="G156" t="s">
        <v>213</v>
      </c>
      <c r="H156" t="s">
        <v>212</v>
      </c>
      <c r="I156" t="s">
        <v>439</v>
      </c>
      <c r="J156" t="s">
        <v>99</v>
      </c>
      <c r="K156" s="4">
        <v>208.25</v>
      </c>
      <c r="L156" s="4">
        <v>0</v>
      </c>
      <c r="M156" t="s">
        <v>44</v>
      </c>
      <c r="N156" t="s">
        <v>77</v>
      </c>
      <c r="O156" t="s">
        <v>99</v>
      </c>
      <c r="P156" t="s">
        <v>99</v>
      </c>
      <c r="Q156" t="s">
        <v>128</v>
      </c>
      <c r="R156" t="s">
        <v>128</v>
      </c>
      <c r="S156" t="s">
        <v>197</v>
      </c>
      <c r="T156" t="s">
        <v>198</v>
      </c>
      <c r="U156" t="s">
        <v>163</v>
      </c>
      <c r="V156" t="s">
        <v>164</v>
      </c>
      <c r="W156" t="s">
        <v>77</v>
      </c>
      <c r="X156" t="s">
        <v>44</v>
      </c>
      <c r="Y156" t="s">
        <v>99</v>
      </c>
      <c r="Z156" t="s">
        <v>421</v>
      </c>
      <c r="AC156" t="str">
        <f>IF(AA156="",M156,AA156)</f>
        <v>sim</v>
      </c>
      <c r="AD156" t="str">
        <f>IF(AB156="",X156,AB156)</f>
        <v>sim</v>
      </c>
      <c r="AE156" t="str">
        <f>IF(OR(Configuracao!B9="",Configuracao!B10=""),"aguardando limiar",IF(AND(K156&gt;=Configuracao!B9,K156/MAX(Reconciliacao!C2,1)&gt;=Configuracao!B10/100),"sim","não"))</f>
        <v>aguardando limiar</v>
      </c>
    </row>
    <row r="157" spans="1:31" x14ac:dyDescent="0.25">
      <c r="A157">
        <v>16595</v>
      </c>
      <c r="C157" t="s">
        <v>544</v>
      </c>
      <c r="D157" t="s">
        <v>545</v>
      </c>
      <c r="E157" t="s">
        <v>525</v>
      </c>
      <c r="F157" t="s">
        <v>196</v>
      </c>
      <c r="G157" t="s">
        <v>213</v>
      </c>
      <c r="H157" t="s">
        <v>212</v>
      </c>
      <c r="I157" t="s">
        <v>35</v>
      </c>
      <c r="J157" t="s">
        <v>99</v>
      </c>
      <c r="K157" s="4">
        <v>208.25</v>
      </c>
      <c r="L157" s="4">
        <v>0</v>
      </c>
      <c r="M157" t="s">
        <v>44</v>
      </c>
      <c r="N157" t="s">
        <v>77</v>
      </c>
      <c r="O157" t="s">
        <v>99</v>
      </c>
      <c r="P157" t="s">
        <v>99</v>
      </c>
      <c r="Q157" t="s">
        <v>128</v>
      </c>
      <c r="R157" t="s">
        <v>128</v>
      </c>
      <c r="S157" t="s">
        <v>197</v>
      </c>
      <c r="T157" t="s">
        <v>198</v>
      </c>
      <c r="U157" t="s">
        <v>163</v>
      </c>
      <c r="V157" t="s">
        <v>164</v>
      </c>
      <c r="W157" t="s">
        <v>77</v>
      </c>
      <c r="X157" t="s">
        <v>44</v>
      </c>
      <c r="Y157" t="s">
        <v>99</v>
      </c>
      <c r="Z157" t="s">
        <v>421</v>
      </c>
      <c r="AC157" t="str">
        <f>IF(AA157="",M157,AA157)</f>
        <v>sim</v>
      </c>
      <c r="AD157" t="str">
        <f>IF(AB157="",X157,AB157)</f>
        <v>sim</v>
      </c>
      <c r="AE157" t="str">
        <f>IF(OR(Configuracao!B9="",Configuracao!B10=""),"aguardando limiar",IF(AND(K157&gt;=Configuracao!B9,K157/MAX(Reconciliacao!C2,1)&gt;=Configuracao!B10/100),"sim","não"))</f>
        <v>aguardando limiar</v>
      </c>
    </row>
    <row r="158" spans="1:31" x14ac:dyDescent="0.25">
      <c r="A158">
        <v>16661</v>
      </c>
      <c r="C158" t="s">
        <v>544</v>
      </c>
      <c r="D158" t="s">
        <v>545</v>
      </c>
      <c r="E158" t="s">
        <v>525</v>
      </c>
      <c r="F158" t="s">
        <v>196</v>
      </c>
      <c r="G158" t="s">
        <v>213</v>
      </c>
      <c r="H158" t="s">
        <v>212</v>
      </c>
      <c r="I158" t="s">
        <v>454</v>
      </c>
      <c r="J158" t="s">
        <v>461</v>
      </c>
      <c r="K158" s="4">
        <v>208.25</v>
      </c>
      <c r="L158" s="4">
        <v>208.25</v>
      </c>
      <c r="M158" t="s">
        <v>44</v>
      </c>
      <c r="N158" t="s">
        <v>77</v>
      </c>
      <c r="O158" t="s">
        <v>99</v>
      </c>
      <c r="P158" t="s">
        <v>99</v>
      </c>
      <c r="Q158" t="s">
        <v>128</v>
      </c>
      <c r="R158" t="s">
        <v>128</v>
      </c>
      <c r="S158" t="s">
        <v>197</v>
      </c>
      <c r="T158" t="s">
        <v>198</v>
      </c>
      <c r="U158" t="s">
        <v>163</v>
      </c>
      <c r="V158" t="s">
        <v>164</v>
      </c>
      <c r="W158" t="s">
        <v>77</v>
      </c>
      <c r="X158" t="s">
        <v>44</v>
      </c>
      <c r="Y158" t="s">
        <v>99</v>
      </c>
      <c r="Z158" t="s">
        <v>421</v>
      </c>
      <c r="AC158" t="str">
        <f>IF(AA158="",M158,AA158)</f>
        <v>sim</v>
      </c>
      <c r="AD158" t="str">
        <f>IF(AB158="",X158,AB158)</f>
        <v>sim</v>
      </c>
      <c r="AE158" t="str">
        <f>IF(OR(Configuracao!B9="",Configuracao!B10=""),"aguardando limiar",IF(AND(K158&gt;=Configuracao!B9,K158/MAX(Reconciliacao!C2,1)&gt;=Configuracao!B10/100),"sim","não"))</f>
        <v>aguardando limiar</v>
      </c>
    </row>
    <row r="159" spans="1:31" x14ac:dyDescent="0.25">
      <c r="A159">
        <v>12764</v>
      </c>
      <c r="C159" t="s">
        <v>529</v>
      </c>
      <c r="D159" t="s">
        <v>527</v>
      </c>
      <c r="E159" t="s">
        <v>467</v>
      </c>
      <c r="F159" t="s">
        <v>196</v>
      </c>
      <c r="G159" t="s">
        <v>213</v>
      </c>
      <c r="H159" t="s">
        <v>212</v>
      </c>
      <c r="I159" t="s">
        <v>420</v>
      </c>
      <c r="J159" t="s">
        <v>420</v>
      </c>
      <c r="K159" s="4">
        <v>212.93</v>
      </c>
      <c r="L159" s="4">
        <v>212.93</v>
      </c>
      <c r="M159" t="s">
        <v>44</v>
      </c>
      <c r="N159" t="s">
        <v>77</v>
      </c>
      <c r="O159" t="s">
        <v>99</v>
      </c>
      <c r="P159" t="s">
        <v>99</v>
      </c>
      <c r="Q159" t="s">
        <v>128</v>
      </c>
      <c r="R159" t="s">
        <v>128</v>
      </c>
      <c r="S159" t="s">
        <v>197</v>
      </c>
      <c r="T159" t="s">
        <v>198</v>
      </c>
      <c r="U159" t="s">
        <v>163</v>
      </c>
      <c r="V159" t="s">
        <v>164</v>
      </c>
      <c r="W159" t="s">
        <v>77</v>
      </c>
      <c r="X159" t="s">
        <v>44</v>
      </c>
      <c r="Y159" t="s">
        <v>99</v>
      </c>
      <c r="Z159" t="s">
        <v>421</v>
      </c>
      <c r="AC159" t="str">
        <f>IF(AA159="",M159,AA159)</f>
        <v>sim</v>
      </c>
      <c r="AD159" t="str">
        <f>IF(AB159="",X159,AB159)</f>
        <v>sim</v>
      </c>
      <c r="AE159" t="str">
        <f>IF(OR(Configuracao!B9="",Configuracao!B10=""),"aguardando limiar",IF(AND(K159&gt;=Configuracao!B9,K159/MAX(Reconciliacao!C2,1)&gt;=Configuracao!B10/100),"sim","não"))</f>
        <v>aguardando limiar</v>
      </c>
    </row>
    <row r="160" spans="1:31" x14ac:dyDescent="0.25">
      <c r="A160">
        <v>12454</v>
      </c>
      <c r="C160" t="s">
        <v>535</v>
      </c>
      <c r="D160" t="s">
        <v>536</v>
      </c>
      <c r="E160" t="s">
        <v>525</v>
      </c>
      <c r="F160" t="s">
        <v>196</v>
      </c>
      <c r="G160" t="s">
        <v>213</v>
      </c>
      <c r="H160" t="s">
        <v>212</v>
      </c>
      <c r="I160" t="s">
        <v>32</v>
      </c>
      <c r="J160" t="s">
        <v>424</v>
      </c>
      <c r="K160" s="4">
        <v>256.5</v>
      </c>
      <c r="L160" s="4">
        <v>256.5</v>
      </c>
      <c r="M160" t="s">
        <v>44</v>
      </c>
      <c r="N160" t="s">
        <v>77</v>
      </c>
      <c r="O160" t="s">
        <v>99</v>
      </c>
      <c r="P160" t="s">
        <v>99</v>
      </c>
      <c r="Q160" t="s">
        <v>128</v>
      </c>
      <c r="R160" t="s">
        <v>128</v>
      </c>
      <c r="S160" t="s">
        <v>197</v>
      </c>
      <c r="T160" t="s">
        <v>198</v>
      </c>
      <c r="U160" t="s">
        <v>163</v>
      </c>
      <c r="V160" t="s">
        <v>164</v>
      </c>
      <c r="W160" t="s">
        <v>77</v>
      </c>
      <c r="X160" t="s">
        <v>44</v>
      </c>
      <c r="Y160" t="s">
        <v>99</v>
      </c>
      <c r="Z160" t="s">
        <v>421</v>
      </c>
      <c r="AC160" t="str">
        <f>IF(AA160="",M160,AA160)</f>
        <v>sim</v>
      </c>
      <c r="AD160" t="str">
        <f>IF(AB160="",X160,AB160)</f>
        <v>sim</v>
      </c>
      <c r="AE160" t="str">
        <f>IF(OR(Configuracao!B9="",Configuracao!B10=""),"aguardando limiar",IF(AND(K160&gt;=Configuracao!B9,K160/MAX(Reconciliacao!C2,1)&gt;=Configuracao!B10/100),"sim","não"))</f>
        <v>aguardando limiar</v>
      </c>
    </row>
    <row r="161" spans="1:31" x14ac:dyDescent="0.25">
      <c r="A161">
        <v>12904</v>
      </c>
      <c r="C161" t="s">
        <v>535</v>
      </c>
      <c r="D161" t="s">
        <v>536</v>
      </c>
      <c r="E161" t="s">
        <v>525</v>
      </c>
      <c r="F161" t="s">
        <v>196</v>
      </c>
      <c r="G161" t="s">
        <v>213</v>
      </c>
      <c r="H161" t="s">
        <v>212</v>
      </c>
      <c r="I161" t="s">
        <v>424</v>
      </c>
      <c r="J161" t="s">
        <v>420</v>
      </c>
      <c r="K161" s="4">
        <v>256.5</v>
      </c>
      <c r="L161" s="4">
        <v>256.5</v>
      </c>
      <c r="M161" t="s">
        <v>44</v>
      </c>
      <c r="N161" t="s">
        <v>77</v>
      </c>
      <c r="O161" t="s">
        <v>99</v>
      </c>
      <c r="P161" t="s">
        <v>99</v>
      </c>
      <c r="Q161" t="s">
        <v>128</v>
      </c>
      <c r="R161" t="s">
        <v>128</v>
      </c>
      <c r="S161" t="s">
        <v>197</v>
      </c>
      <c r="T161" t="s">
        <v>198</v>
      </c>
      <c r="U161" t="s">
        <v>163</v>
      </c>
      <c r="V161" t="s">
        <v>164</v>
      </c>
      <c r="W161" t="s">
        <v>77</v>
      </c>
      <c r="X161" t="s">
        <v>44</v>
      </c>
      <c r="Y161" t="s">
        <v>99</v>
      </c>
      <c r="Z161" t="s">
        <v>421</v>
      </c>
      <c r="AC161" t="str">
        <f>IF(AA161="",M161,AA161)</f>
        <v>sim</v>
      </c>
      <c r="AD161" t="str">
        <f>IF(AB161="",X161,AB161)</f>
        <v>sim</v>
      </c>
      <c r="AE161" t="str">
        <f>IF(OR(Configuracao!B9="",Configuracao!B10=""),"aguardando limiar",IF(AND(K161&gt;=Configuracao!B9,K161/MAX(Reconciliacao!C2,1)&gt;=Configuracao!B10/100),"sim","não"))</f>
        <v>aguardando limiar</v>
      </c>
    </row>
    <row r="162" spans="1:31" x14ac:dyDescent="0.25">
      <c r="A162">
        <v>14592</v>
      </c>
      <c r="C162" t="s">
        <v>535</v>
      </c>
      <c r="D162" t="s">
        <v>536</v>
      </c>
      <c r="E162" t="s">
        <v>525</v>
      </c>
      <c r="F162" t="s">
        <v>196</v>
      </c>
      <c r="G162" t="s">
        <v>213</v>
      </c>
      <c r="H162" t="s">
        <v>212</v>
      </c>
      <c r="I162" t="s">
        <v>420</v>
      </c>
      <c r="J162" t="s">
        <v>454</v>
      </c>
      <c r="K162" s="4">
        <v>256.5</v>
      </c>
      <c r="L162" s="4">
        <v>256.5</v>
      </c>
      <c r="M162" t="s">
        <v>44</v>
      </c>
      <c r="N162" t="s">
        <v>77</v>
      </c>
      <c r="O162" t="s">
        <v>99</v>
      </c>
      <c r="P162" t="s">
        <v>99</v>
      </c>
      <c r="Q162" t="s">
        <v>128</v>
      </c>
      <c r="R162" t="s">
        <v>128</v>
      </c>
      <c r="S162" t="s">
        <v>197</v>
      </c>
      <c r="T162" t="s">
        <v>198</v>
      </c>
      <c r="U162" t="s">
        <v>163</v>
      </c>
      <c r="V162" t="s">
        <v>164</v>
      </c>
      <c r="W162" t="s">
        <v>77</v>
      </c>
      <c r="X162" t="s">
        <v>44</v>
      </c>
      <c r="Y162" t="s">
        <v>99</v>
      </c>
      <c r="Z162" t="s">
        <v>421</v>
      </c>
      <c r="AC162" t="str">
        <f>IF(AA162="",M162,AA162)</f>
        <v>sim</v>
      </c>
      <c r="AD162" t="str">
        <f>IF(AB162="",X162,AB162)</f>
        <v>sim</v>
      </c>
      <c r="AE162" t="str">
        <f>IF(OR(Configuracao!B9="",Configuracao!B10=""),"aguardando limiar",IF(AND(K162&gt;=Configuracao!B9,K162/MAX(Reconciliacao!C2,1)&gt;=Configuracao!B10/100),"sim","não"))</f>
        <v>aguardando limiar</v>
      </c>
    </row>
    <row r="163" spans="1:31" x14ac:dyDescent="0.25">
      <c r="A163">
        <v>14910</v>
      </c>
      <c r="C163" t="s">
        <v>535</v>
      </c>
      <c r="D163" t="s">
        <v>536</v>
      </c>
      <c r="E163" t="s">
        <v>525</v>
      </c>
      <c r="F163" t="s">
        <v>196</v>
      </c>
      <c r="G163" t="s">
        <v>213</v>
      </c>
      <c r="H163" t="s">
        <v>212</v>
      </c>
      <c r="I163" t="s">
        <v>454</v>
      </c>
      <c r="J163" t="s">
        <v>454</v>
      </c>
      <c r="K163" s="4">
        <v>256.5</v>
      </c>
      <c r="L163" s="4">
        <v>256.5</v>
      </c>
      <c r="M163" t="s">
        <v>44</v>
      </c>
      <c r="N163" t="s">
        <v>77</v>
      </c>
      <c r="O163" t="s">
        <v>99</v>
      </c>
      <c r="P163" t="s">
        <v>99</v>
      </c>
      <c r="Q163" t="s">
        <v>128</v>
      </c>
      <c r="R163" t="s">
        <v>128</v>
      </c>
      <c r="S163" t="s">
        <v>197</v>
      </c>
      <c r="T163" t="s">
        <v>198</v>
      </c>
      <c r="U163" t="s">
        <v>163</v>
      </c>
      <c r="V163" t="s">
        <v>164</v>
      </c>
      <c r="W163" t="s">
        <v>77</v>
      </c>
      <c r="X163" t="s">
        <v>44</v>
      </c>
      <c r="Y163" t="s">
        <v>99</v>
      </c>
      <c r="Z163" t="s">
        <v>421</v>
      </c>
      <c r="AC163" t="str">
        <f>IF(AA163="",M163,AA163)</f>
        <v>sim</v>
      </c>
      <c r="AD163" t="str">
        <f>IF(AB163="",X163,AB163)</f>
        <v>sim</v>
      </c>
      <c r="AE163" t="str">
        <f>IF(OR(Configuracao!B9="",Configuracao!B10=""),"aguardando limiar",IF(AND(K163&gt;=Configuracao!B9,K163/MAX(Reconciliacao!C2,1)&gt;=Configuracao!B10/100),"sim","não"))</f>
        <v>aguardando limiar</v>
      </c>
    </row>
    <row r="164" spans="1:31" x14ac:dyDescent="0.25">
      <c r="A164">
        <v>16204</v>
      </c>
      <c r="C164" t="s">
        <v>535</v>
      </c>
      <c r="D164" t="s">
        <v>536</v>
      </c>
      <c r="E164" t="s">
        <v>525</v>
      </c>
      <c r="F164" t="s">
        <v>196</v>
      </c>
      <c r="G164" t="s">
        <v>213</v>
      </c>
      <c r="H164" t="s">
        <v>212</v>
      </c>
      <c r="I164" t="s">
        <v>461</v>
      </c>
      <c r="J164" t="s">
        <v>461</v>
      </c>
      <c r="K164" s="4">
        <v>256.5</v>
      </c>
      <c r="L164" s="4">
        <v>256.5</v>
      </c>
      <c r="M164" t="s">
        <v>44</v>
      </c>
      <c r="N164" t="s">
        <v>77</v>
      </c>
      <c r="O164" t="s">
        <v>99</v>
      </c>
      <c r="P164" t="s">
        <v>99</v>
      </c>
      <c r="Q164" t="s">
        <v>128</v>
      </c>
      <c r="R164" t="s">
        <v>128</v>
      </c>
      <c r="S164" t="s">
        <v>197</v>
      </c>
      <c r="T164" t="s">
        <v>198</v>
      </c>
      <c r="U164" t="s">
        <v>163</v>
      </c>
      <c r="V164" t="s">
        <v>164</v>
      </c>
      <c r="W164" t="s">
        <v>77</v>
      </c>
      <c r="X164" t="s">
        <v>44</v>
      </c>
      <c r="Y164" t="s">
        <v>99</v>
      </c>
      <c r="Z164" t="s">
        <v>421</v>
      </c>
      <c r="AC164" t="str">
        <f>IF(AA164="",M164,AA164)</f>
        <v>sim</v>
      </c>
      <c r="AD164" t="str">
        <f>IF(AB164="",X164,AB164)</f>
        <v>sim</v>
      </c>
      <c r="AE164" t="str">
        <f>IF(OR(Configuracao!B9="",Configuracao!B10=""),"aguardando limiar",IF(AND(K164&gt;=Configuracao!B9,K164/MAX(Reconciliacao!C2,1)&gt;=Configuracao!B10/100),"sim","não"))</f>
        <v>aguardando limiar</v>
      </c>
    </row>
    <row r="165" spans="1:31" x14ac:dyDescent="0.25">
      <c r="A165">
        <v>17214</v>
      </c>
      <c r="C165" t="s">
        <v>535</v>
      </c>
      <c r="D165" t="s">
        <v>536</v>
      </c>
      <c r="E165" t="s">
        <v>525</v>
      </c>
      <c r="F165" t="s">
        <v>196</v>
      </c>
      <c r="G165" t="s">
        <v>213</v>
      </c>
      <c r="H165" t="s">
        <v>212</v>
      </c>
      <c r="I165" t="s">
        <v>442</v>
      </c>
      <c r="J165" t="s">
        <v>442</v>
      </c>
      <c r="K165" s="4">
        <v>256.5</v>
      </c>
      <c r="L165" s="4">
        <v>256.5</v>
      </c>
      <c r="M165" t="s">
        <v>44</v>
      </c>
      <c r="N165" t="s">
        <v>77</v>
      </c>
      <c r="O165" t="s">
        <v>99</v>
      </c>
      <c r="P165" t="s">
        <v>99</v>
      </c>
      <c r="Q165" t="s">
        <v>128</v>
      </c>
      <c r="R165" t="s">
        <v>128</v>
      </c>
      <c r="S165" t="s">
        <v>197</v>
      </c>
      <c r="T165" t="s">
        <v>198</v>
      </c>
      <c r="U165" t="s">
        <v>163</v>
      </c>
      <c r="V165" t="s">
        <v>164</v>
      </c>
      <c r="W165" t="s">
        <v>77</v>
      </c>
      <c r="X165" t="s">
        <v>44</v>
      </c>
      <c r="Y165" t="s">
        <v>99</v>
      </c>
      <c r="Z165" t="s">
        <v>421</v>
      </c>
      <c r="AC165" t="str">
        <f>IF(AA165="",M165,AA165)</f>
        <v>sim</v>
      </c>
      <c r="AD165" t="str">
        <f>IF(AB165="",X165,AB165)</f>
        <v>sim</v>
      </c>
      <c r="AE165" t="str">
        <f>IF(OR(Configuracao!B9="",Configuracao!B10=""),"aguardando limiar",IF(AND(K165&gt;=Configuracao!B9,K165/MAX(Reconciliacao!C2,1)&gt;=Configuracao!B10/100),"sim","não"))</f>
        <v>aguardando limiar</v>
      </c>
    </row>
    <row r="166" spans="1:31" x14ac:dyDescent="0.25">
      <c r="A166">
        <v>17835</v>
      </c>
      <c r="C166" t="s">
        <v>535</v>
      </c>
      <c r="D166" t="s">
        <v>536</v>
      </c>
      <c r="E166" t="s">
        <v>525</v>
      </c>
      <c r="F166" t="s">
        <v>196</v>
      </c>
      <c r="G166" t="s">
        <v>213</v>
      </c>
      <c r="H166" t="s">
        <v>212</v>
      </c>
      <c r="I166" t="s">
        <v>439</v>
      </c>
      <c r="J166" t="s">
        <v>439</v>
      </c>
      <c r="K166" s="4">
        <v>256.5</v>
      </c>
      <c r="L166" s="4">
        <v>256.5</v>
      </c>
      <c r="M166" t="s">
        <v>44</v>
      </c>
      <c r="N166" t="s">
        <v>77</v>
      </c>
      <c r="O166" t="s">
        <v>99</v>
      </c>
      <c r="P166" t="s">
        <v>99</v>
      </c>
      <c r="Q166" t="s">
        <v>128</v>
      </c>
      <c r="R166" t="s">
        <v>128</v>
      </c>
      <c r="S166" t="s">
        <v>197</v>
      </c>
      <c r="T166" t="s">
        <v>198</v>
      </c>
      <c r="U166" t="s">
        <v>163</v>
      </c>
      <c r="V166" t="s">
        <v>164</v>
      </c>
      <c r="W166" t="s">
        <v>77</v>
      </c>
      <c r="X166" t="s">
        <v>44</v>
      </c>
      <c r="Y166" t="s">
        <v>99</v>
      </c>
      <c r="Z166" t="s">
        <v>421</v>
      </c>
      <c r="AC166" t="str">
        <f>IF(AA166="",M166,AA166)</f>
        <v>sim</v>
      </c>
      <c r="AD166" t="str">
        <f>IF(AB166="",X166,AB166)</f>
        <v>sim</v>
      </c>
      <c r="AE166" t="str">
        <f>IF(OR(Configuracao!B9="",Configuracao!B10=""),"aguardando limiar",IF(AND(K166&gt;=Configuracao!B9,K166/MAX(Reconciliacao!C2,1)&gt;=Configuracao!B10/100),"sim","não"))</f>
        <v>aguardando limiar</v>
      </c>
    </row>
    <row r="167" spans="1:31" x14ac:dyDescent="0.25">
      <c r="A167">
        <v>18693</v>
      </c>
      <c r="C167" t="s">
        <v>535</v>
      </c>
      <c r="D167" t="s">
        <v>536</v>
      </c>
      <c r="E167" t="s">
        <v>525</v>
      </c>
      <c r="F167" t="s">
        <v>196</v>
      </c>
      <c r="G167" t="s">
        <v>213</v>
      </c>
      <c r="H167" t="s">
        <v>212</v>
      </c>
      <c r="I167" t="s">
        <v>35</v>
      </c>
      <c r="J167" t="s">
        <v>35</v>
      </c>
      <c r="K167" s="4">
        <v>256.5</v>
      </c>
      <c r="L167" s="4">
        <v>256.5</v>
      </c>
      <c r="M167" t="s">
        <v>44</v>
      </c>
      <c r="N167" t="s">
        <v>77</v>
      </c>
      <c r="O167" t="s">
        <v>99</v>
      </c>
      <c r="P167" t="s">
        <v>99</v>
      </c>
      <c r="Q167" t="s">
        <v>128</v>
      </c>
      <c r="R167" t="s">
        <v>128</v>
      </c>
      <c r="S167" t="s">
        <v>197</v>
      </c>
      <c r="T167" t="s">
        <v>198</v>
      </c>
      <c r="U167" t="s">
        <v>163</v>
      </c>
      <c r="V167" t="s">
        <v>164</v>
      </c>
      <c r="W167" t="s">
        <v>77</v>
      </c>
      <c r="X167" t="s">
        <v>44</v>
      </c>
      <c r="Y167" t="s">
        <v>99</v>
      </c>
      <c r="Z167" t="s">
        <v>421</v>
      </c>
      <c r="AC167" t="str">
        <f>IF(AA167="",M167,AA167)</f>
        <v>sim</v>
      </c>
      <c r="AD167" t="str">
        <f>IF(AB167="",X167,AB167)</f>
        <v>sim</v>
      </c>
      <c r="AE167" t="str">
        <f>IF(OR(Configuracao!B9="",Configuracao!B10=""),"aguardando limiar",IF(AND(K167&gt;=Configuracao!B9,K167/MAX(Reconciliacao!C2,1)&gt;=Configuracao!B10/100),"sim","não"))</f>
        <v>aguardando limiar</v>
      </c>
    </row>
    <row r="168" spans="1:31" x14ac:dyDescent="0.25">
      <c r="A168">
        <v>16987</v>
      </c>
      <c r="C168" t="s">
        <v>539</v>
      </c>
      <c r="D168" t="s">
        <v>534</v>
      </c>
      <c r="E168" t="s">
        <v>445</v>
      </c>
      <c r="F168" t="s">
        <v>196</v>
      </c>
      <c r="G168" t="s">
        <v>213</v>
      </c>
      <c r="H168" t="s">
        <v>212</v>
      </c>
      <c r="I168" t="s">
        <v>35</v>
      </c>
      <c r="J168" t="s">
        <v>459</v>
      </c>
      <c r="K168" s="4">
        <v>309.15</v>
      </c>
      <c r="L168" s="4">
        <v>0</v>
      </c>
      <c r="M168" t="s">
        <v>44</v>
      </c>
      <c r="N168" t="s">
        <v>77</v>
      </c>
      <c r="O168" t="s">
        <v>99</v>
      </c>
      <c r="P168" t="s">
        <v>99</v>
      </c>
      <c r="Q168" t="s">
        <v>128</v>
      </c>
      <c r="R168" t="s">
        <v>128</v>
      </c>
      <c r="S168" t="s">
        <v>197</v>
      </c>
      <c r="T168" t="s">
        <v>198</v>
      </c>
      <c r="U168" t="s">
        <v>163</v>
      </c>
      <c r="V168" t="s">
        <v>164</v>
      </c>
      <c r="W168" t="s">
        <v>77</v>
      </c>
      <c r="X168" t="s">
        <v>44</v>
      </c>
      <c r="Y168" t="s">
        <v>99</v>
      </c>
      <c r="Z168" t="s">
        <v>421</v>
      </c>
      <c r="AC168" t="str">
        <f>IF(AA168="",M168,AA168)</f>
        <v>sim</v>
      </c>
      <c r="AD168" t="str">
        <f>IF(AB168="",X168,AB168)</f>
        <v>sim</v>
      </c>
      <c r="AE168" t="str">
        <f>IF(OR(Configuracao!B9="",Configuracao!B10=""),"aguardando limiar",IF(AND(K168&gt;=Configuracao!B9,K168/MAX(Reconciliacao!C2,1)&gt;=Configuracao!B10/100),"sim","não"))</f>
        <v>aguardando limiar</v>
      </c>
    </row>
    <row r="169" spans="1:31" x14ac:dyDescent="0.25">
      <c r="A169">
        <v>18549</v>
      </c>
      <c r="C169" t="s">
        <v>539</v>
      </c>
      <c r="D169" t="s">
        <v>534</v>
      </c>
      <c r="E169" t="s">
        <v>445</v>
      </c>
      <c r="F169" t="s">
        <v>196</v>
      </c>
      <c r="G169" t="s">
        <v>213</v>
      </c>
      <c r="H169" t="s">
        <v>212</v>
      </c>
      <c r="I169" t="s">
        <v>439</v>
      </c>
      <c r="J169" t="s">
        <v>35</v>
      </c>
      <c r="K169" s="4">
        <v>309.15</v>
      </c>
      <c r="L169" s="4">
        <v>309.15</v>
      </c>
      <c r="M169" t="s">
        <v>44</v>
      </c>
      <c r="N169" t="s">
        <v>77</v>
      </c>
      <c r="O169" t="s">
        <v>99</v>
      </c>
      <c r="P169" t="s">
        <v>99</v>
      </c>
      <c r="Q169" t="s">
        <v>128</v>
      </c>
      <c r="R169" t="s">
        <v>128</v>
      </c>
      <c r="S169" t="s">
        <v>197</v>
      </c>
      <c r="T169" t="s">
        <v>198</v>
      </c>
      <c r="U169" t="s">
        <v>163</v>
      </c>
      <c r="V169" t="s">
        <v>164</v>
      </c>
      <c r="W169" t="s">
        <v>77</v>
      </c>
      <c r="X169" t="s">
        <v>44</v>
      </c>
      <c r="Y169" t="s">
        <v>99</v>
      </c>
      <c r="Z169" t="s">
        <v>421</v>
      </c>
      <c r="AC169" t="str">
        <f>IF(AA169="",M169,AA169)</f>
        <v>sim</v>
      </c>
      <c r="AD169" t="str">
        <f>IF(AB169="",X169,AB169)</f>
        <v>sim</v>
      </c>
      <c r="AE169" t="str">
        <f>IF(OR(Configuracao!B9="",Configuracao!B10=""),"aguardando limiar",IF(AND(K169&gt;=Configuracao!B9,K169/MAX(Reconciliacao!C2,1)&gt;=Configuracao!B10/100),"sim","não"))</f>
        <v>aguardando limiar</v>
      </c>
    </row>
    <row r="170" spans="1:31" x14ac:dyDescent="0.25">
      <c r="A170">
        <v>18689</v>
      </c>
      <c r="C170" t="s">
        <v>537</v>
      </c>
      <c r="D170" t="s">
        <v>527</v>
      </c>
      <c r="E170" t="s">
        <v>467</v>
      </c>
      <c r="F170" t="s">
        <v>196</v>
      </c>
      <c r="G170" t="s">
        <v>213</v>
      </c>
      <c r="H170" t="s">
        <v>212</v>
      </c>
      <c r="I170" t="s">
        <v>35</v>
      </c>
      <c r="J170" t="s">
        <v>35</v>
      </c>
      <c r="K170" s="4">
        <v>337.28</v>
      </c>
      <c r="L170" s="4">
        <v>337.28</v>
      </c>
      <c r="M170" t="s">
        <v>44</v>
      </c>
      <c r="N170" t="s">
        <v>77</v>
      </c>
      <c r="O170" t="s">
        <v>99</v>
      </c>
      <c r="P170" t="s">
        <v>99</v>
      </c>
      <c r="Q170" t="s">
        <v>128</v>
      </c>
      <c r="R170" t="s">
        <v>128</v>
      </c>
      <c r="S170" t="s">
        <v>197</v>
      </c>
      <c r="T170" t="s">
        <v>198</v>
      </c>
      <c r="U170" t="s">
        <v>163</v>
      </c>
      <c r="V170" t="s">
        <v>164</v>
      </c>
      <c r="W170" t="s">
        <v>77</v>
      </c>
      <c r="X170" t="s">
        <v>44</v>
      </c>
      <c r="Y170" t="s">
        <v>99</v>
      </c>
      <c r="Z170" t="s">
        <v>421</v>
      </c>
      <c r="AC170" t="str">
        <f>IF(AA170="",M170,AA170)</f>
        <v>sim</v>
      </c>
      <c r="AD170" t="str">
        <f>IF(AB170="",X170,AB170)</f>
        <v>sim</v>
      </c>
      <c r="AE170" t="str">
        <f>IF(OR(Configuracao!B9="",Configuracao!B10=""),"aguardando limiar",IF(AND(K170&gt;=Configuracao!B9,K170/MAX(Reconciliacao!C2,1)&gt;=Configuracao!B10/100),"sim","não"))</f>
        <v>aguardando limiar</v>
      </c>
    </row>
    <row r="171" spans="1:31" x14ac:dyDescent="0.25">
      <c r="A171">
        <v>16212</v>
      </c>
      <c r="C171" t="s">
        <v>537</v>
      </c>
      <c r="D171" t="s">
        <v>527</v>
      </c>
      <c r="E171" t="s">
        <v>467</v>
      </c>
      <c r="F171" t="s">
        <v>196</v>
      </c>
      <c r="G171" t="s">
        <v>213</v>
      </c>
      <c r="H171" t="s">
        <v>212</v>
      </c>
      <c r="I171" t="s">
        <v>461</v>
      </c>
      <c r="J171" t="s">
        <v>461</v>
      </c>
      <c r="K171" s="4">
        <v>340.9</v>
      </c>
      <c r="L171" s="4">
        <v>340.9</v>
      </c>
      <c r="M171" t="s">
        <v>44</v>
      </c>
      <c r="N171" t="s">
        <v>77</v>
      </c>
      <c r="O171" t="s">
        <v>99</v>
      </c>
      <c r="P171" t="s">
        <v>99</v>
      </c>
      <c r="Q171" t="s">
        <v>128</v>
      </c>
      <c r="R171" t="s">
        <v>128</v>
      </c>
      <c r="S171" t="s">
        <v>197</v>
      </c>
      <c r="T171" t="s">
        <v>198</v>
      </c>
      <c r="U171" t="s">
        <v>163</v>
      </c>
      <c r="V171" t="s">
        <v>164</v>
      </c>
      <c r="W171" t="s">
        <v>77</v>
      </c>
      <c r="X171" t="s">
        <v>44</v>
      </c>
      <c r="Y171" t="s">
        <v>99</v>
      </c>
      <c r="Z171" t="s">
        <v>421</v>
      </c>
      <c r="AC171" t="str">
        <f>IF(AA171="",M171,AA171)</f>
        <v>sim</v>
      </c>
      <c r="AD171" t="str">
        <f>IF(AB171="",X171,AB171)</f>
        <v>sim</v>
      </c>
      <c r="AE171" t="str">
        <f>IF(OR(Configuracao!B9="",Configuracao!B10=""),"aguardando limiar",IF(AND(K171&gt;=Configuracao!B9,K171/MAX(Reconciliacao!C2,1)&gt;=Configuracao!B10/100),"sim","não"))</f>
        <v>aguardando limiar</v>
      </c>
    </row>
    <row r="172" spans="1:31" x14ac:dyDescent="0.25">
      <c r="A172">
        <v>12455</v>
      </c>
      <c r="C172" t="s">
        <v>535</v>
      </c>
      <c r="D172" t="s">
        <v>536</v>
      </c>
      <c r="E172" t="s">
        <v>445</v>
      </c>
      <c r="F172" t="s">
        <v>196</v>
      </c>
      <c r="G172" t="s">
        <v>213</v>
      </c>
      <c r="H172" t="s">
        <v>212</v>
      </c>
      <c r="I172" t="s">
        <v>32</v>
      </c>
      <c r="J172" t="s">
        <v>424</v>
      </c>
      <c r="K172" s="4">
        <v>342</v>
      </c>
      <c r="L172" s="4">
        <v>342</v>
      </c>
      <c r="M172" t="s">
        <v>44</v>
      </c>
      <c r="N172" t="s">
        <v>77</v>
      </c>
      <c r="O172" t="s">
        <v>99</v>
      </c>
      <c r="P172" t="s">
        <v>99</v>
      </c>
      <c r="Q172" t="s">
        <v>128</v>
      </c>
      <c r="R172" t="s">
        <v>128</v>
      </c>
      <c r="S172" t="s">
        <v>197</v>
      </c>
      <c r="T172" t="s">
        <v>198</v>
      </c>
      <c r="U172" t="s">
        <v>163</v>
      </c>
      <c r="V172" t="s">
        <v>164</v>
      </c>
      <c r="W172" t="s">
        <v>77</v>
      </c>
      <c r="X172" t="s">
        <v>44</v>
      </c>
      <c r="Y172" t="s">
        <v>99</v>
      </c>
      <c r="Z172" t="s">
        <v>421</v>
      </c>
      <c r="AC172" t="str">
        <f>IF(AA172="",M172,AA172)</f>
        <v>sim</v>
      </c>
      <c r="AD172" t="str">
        <f>IF(AB172="",X172,AB172)</f>
        <v>sim</v>
      </c>
      <c r="AE172" t="str">
        <f>IF(OR(Configuracao!B9="",Configuracao!B10=""),"aguardando limiar",IF(AND(K172&gt;=Configuracao!B9,K172/MAX(Reconciliacao!C2,1)&gt;=Configuracao!B10/100),"sim","não"))</f>
        <v>aguardando limiar</v>
      </c>
    </row>
    <row r="173" spans="1:31" x14ac:dyDescent="0.25">
      <c r="A173">
        <v>12905</v>
      </c>
      <c r="C173" t="s">
        <v>535</v>
      </c>
      <c r="D173" t="s">
        <v>536</v>
      </c>
      <c r="E173" t="s">
        <v>445</v>
      </c>
      <c r="F173" t="s">
        <v>196</v>
      </c>
      <c r="G173" t="s">
        <v>213</v>
      </c>
      <c r="H173" t="s">
        <v>212</v>
      </c>
      <c r="I173" t="s">
        <v>424</v>
      </c>
      <c r="J173" t="s">
        <v>420</v>
      </c>
      <c r="K173" s="4">
        <v>342</v>
      </c>
      <c r="L173" s="4">
        <v>342</v>
      </c>
      <c r="M173" t="s">
        <v>44</v>
      </c>
      <c r="N173" t="s">
        <v>77</v>
      </c>
      <c r="O173" t="s">
        <v>99</v>
      </c>
      <c r="P173" t="s">
        <v>99</v>
      </c>
      <c r="Q173" t="s">
        <v>128</v>
      </c>
      <c r="R173" t="s">
        <v>128</v>
      </c>
      <c r="S173" t="s">
        <v>197</v>
      </c>
      <c r="T173" t="s">
        <v>198</v>
      </c>
      <c r="U173" t="s">
        <v>163</v>
      </c>
      <c r="V173" t="s">
        <v>164</v>
      </c>
      <c r="W173" t="s">
        <v>77</v>
      </c>
      <c r="X173" t="s">
        <v>44</v>
      </c>
      <c r="Y173" t="s">
        <v>99</v>
      </c>
      <c r="Z173" t="s">
        <v>421</v>
      </c>
      <c r="AC173" t="str">
        <f>IF(AA173="",M173,AA173)</f>
        <v>sim</v>
      </c>
      <c r="AD173" t="str">
        <f>IF(AB173="",X173,AB173)</f>
        <v>sim</v>
      </c>
      <c r="AE173" t="str">
        <f>IF(OR(Configuracao!B9="",Configuracao!B10=""),"aguardando limiar",IF(AND(K173&gt;=Configuracao!B9,K173/MAX(Reconciliacao!C2,1)&gt;=Configuracao!B10/100),"sim","não"))</f>
        <v>aguardando limiar</v>
      </c>
    </row>
    <row r="174" spans="1:31" x14ac:dyDescent="0.25">
      <c r="A174">
        <v>14593</v>
      </c>
      <c r="C174" t="s">
        <v>535</v>
      </c>
      <c r="D174" t="s">
        <v>536</v>
      </c>
      <c r="E174" t="s">
        <v>445</v>
      </c>
      <c r="F174" t="s">
        <v>196</v>
      </c>
      <c r="G174" t="s">
        <v>213</v>
      </c>
      <c r="H174" t="s">
        <v>212</v>
      </c>
      <c r="I174" t="s">
        <v>420</v>
      </c>
      <c r="J174" t="s">
        <v>454</v>
      </c>
      <c r="K174" s="4">
        <v>342</v>
      </c>
      <c r="L174" s="4">
        <v>342</v>
      </c>
      <c r="M174" t="s">
        <v>44</v>
      </c>
      <c r="N174" t="s">
        <v>77</v>
      </c>
      <c r="O174" t="s">
        <v>99</v>
      </c>
      <c r="P174" t="s">
        <v>99</v>
      </c>
      <c r="Q174" t="s">
        <v>128</v>
      </c>
      <c r="R174" t="s">
        <v>128</v>
      </c>
      <c r="S174" t="s">
        <v>197</v>
      </c>
      <c r="T174" t="s">
        <v>198</v>
      </c>
      <c r="U174" t="s">
        <v>163</v>
      </c>
      <c r="V174" t="s">
        <v>164</v>
      </c>
      <c r="W174" t="s">
        <v>77</v>
      </c>
      <c r="X174" t="s">
        <v>44</v>
      </c>
      <c r="Y174" t="s">
        <v>99</v>
      </c>
      <c r="Z174" t="s">
        <v>421</v>
      </c>
      <c r="AC174" t="str">
        <f>IF(AA174="",M174,AA174)</f>
        <v>sim</v>
      </c>
      <c r="AD174" t="str">
        <f>IF(AB174="",X174,AB174)</f>
        <v>sim</v>
      </c>
      <c r="AE174" t="str">
        <f>IF(OR(Configuracao!B9="",Configuracao!B10=""),"aguardando limiar",IF(AND(K174&gt;=Configuracao!B9,K174/MAX(Reconciliacao!C2,1)&gt;=Configuracao!B10/100),"sim","não"))</f>
        <v>aguardando limiar</v>
      </c>
    </row>
    <row r="175" spans="1:31" x14ac:dyDescent="0.25">
      <c r="A175">
        <v>14911</v>
      </c>
      <c r="C175" t="s">
        <v>535</v>
      </c>
      <c r="D175" t="s">
        <v>536</v>
      </c>
      <c r="E175" t="s">
        <v>445</v>
      </c>
      <c r="F175" t="s">
        <v>196</v>
      </c>
      <c r="G175" t="s">
        <v>213</v>
      </c>
      <c r="H175" t="s">
        <v>212</v>
      </c>
      <c r="I175" t="s">
        <v>454</v>
      </c>
      <c r="J175" t="s">
        <v>454</v>
      </c>
      <c r="K175" s="4">
        <v>342</v>
      </c>
      <c r="L175" s="4">
        <v>342</v>
      </c>
      <c r="M175" t="s">
        <v>44</v>
      </c>
      <c r="N175" t="s">
        <v>77</v>
      </c>
      <c r="O175" t="s">
        <v>99</v>
      </c>
      <c r="P175" t="s">
        <v>99</v>
      </c>
      <c r="Q175" t="s">
        <v>128</v>
      </c>
      <c r="R175" t="s">
        <v>128</v>
      </c>
      <c r="S175" t="s">
        <v>197</v>
      </c>
      <c r="T175" t="s">
        <v>198</v>
      </c>
      <c r="U175" t="s">
        <v>163</v>
      </c>
      <c r="V175" t="s">
        <v>164</v>
      </c>
      <c r="W175" t="s">
        <v>77</v>
      </c>
      <c r="X175" t="s">
        <v>44</v>
      </c>
      <c r="Y175" t="s">
        <v>99</v>
      </c>
      <c r="Z175" t="s">
        <v>421</v>
      </c>
      <c r="AC175" t="str">
        <f>IF(AA175="",M175,AA175)</f>
        <v>sim</v>
      </c>
      <c r="AD175" t="str">
        <f>IF(AB175="",X175,AB175)</f>
        <v>sim</v>
      </c>
      <c r="AE175" t="str">
        <f>IF(OR(Configuracao!B9="",Configuracao!B10=""),"aguardando limiar",IF(AND(K175&gt;=Configuracao!B9,K175/MAX(Reconciliacao!C2,1)&gt;=Configuracao!B10/100),"sim","não"))</f>
        <v>aguardando limiar</v>
      </c>
    </row>
    <row r="176" spans="1:31" x14ac:dyDescent="0.25">
      <c r="A176">
        <v>16205</v>
      </c>
      <c r="C176" t="s">
        <v>535</v>
      </c>
      <c r="D176" t="s">
        <v>536</v>
      </c>
      <c r="E176" t="s">
        <v>445</v>
      </c>
      <c r="F176" t="s">
        <v>196</v>
      </c>
      <c r="G176" t="s">
        <v>213</v>
      </c>
      <c r="H176" t="s">
        <v>212</v>
      </c>
      <c r="I176" t="s">
        <v>461</v>
      </c>
      <c r="J176" t="s">
        <v>461</v>
      </c>
      <c r="K176" s="4">
        <v>342</v>
      </c>
      <c r="L176" s="4">
        <v>342</v>
      </c>
      <c r="M176" t="s">
        <v>44</v>
      </c>
      <c r="N176" t="s">
        <v>77</v>
      </c>
      <c r="O176" t="s">
        <v>99</v>
      </c>
      <c r="P176" t="s">
        <v>99</v>
      </c>
      <c r="Q176" t="s">
        <v>128</v>
      </c>
      <c r="R176" t="s">
        <v>128</v>
      </c>
      <c r="S176" t="s">
        <v>197</v>
      </c>
      <c r="T176" t="s">
        <v>198</v>
      </c>
      <c r="U176" t="s">
        <v>163</v>
      </c>
      <c r="V176" t="s">
        <v>164</v>
      </c>
      <c r="W176" t="s">
        <v>77</v>
      </c>
      <c r="X176" t="s">
        <v>44</v>
      </c>
      <c r="Y176" t="s">
        <v>99</v>
      </c>
      <c r="Z176" t="s">
        <v>421</v>
      </c>
      <c r="AC176" t="str">
        <f>IF(AA176="",M176,AA176)</f>
        <v>sim</v>
      </c>
      <c r="AD176" t="str">
        <f>IF(AB176="",X176,AB176)</f>
        <v>sim</v>
      </c>
      <c r="AE176" t="str">
        <f>IF(OR(Configuracao!B9="",Configuracao!B10=""),"aguardando limiar",IF(AND(K176&gt;=Configuracao!B9,K176/MAX(Reconciliacao!C2,1)&gt;=Configuracao!B10/100),"sim","não"))</f>
        <v>aguardando limiar</v>
      </c>
    </row>
    <row r="177" spans="1:31" x14ac:dyDescent="0.25">
      <c r="A177">
        <v>17215</v>
      </c>
      <c r="C177" t="s">
        <v>535</v>
      </c>
      <c r="D177" t="s">
        <v>536</v>
      </c>
      <c r="E177" t="s">
        <v>445</v>
      </c>
      <c r="F177" t="s">
        <v>196</v>
      </c>
      <c r="G177" t="s">
        <v>213</v>
      </c>
      <c r="H177" t="s">
        <v>212</v>
      </c>
      <c r="I177" t="s">
        <v>442</v>
      </c>
      <c r="J177" t="s">
        <v>442</v>
      </c>
      <c r="K177" s="4">
        <v>342</v>
      </c>
      <c r="L177" s="4">
        <v>342</v>
      </c>
      <c r="M177" t="s">
        <v>44</v>
      </c>
      <c r="N177" t="s">
        <v>77</v>
      </c>
      <c r="O177" t="s">
        <v>99</v>
      </c>
      <c r="P177" t="s">
        <v>99</v>
      </c>
      <c r="Q177" t="s">
        <v>128</v>
      </c>
      <c r="R177" t="s">
        <v>128</v>
      </c>
      <c r="S177" t="s">
        <v>197</v>
      </c>
      <c r="T177" t="s">
        <v>198</v>
      </c>
      <c r="U177" t="s">
        <v>163</v>
      </c>
      <c r="V177" t="s">
        <v>164</v>
      </c>
      <c r="W177" t="s">
        <v>77</v>
      </c>
      <c r="X177" t="s">
        <v>44</v>
      </c>
      <c r="Y177" t="s">
        <v>99</v>
      </c>
      <c r="Z177" t="s">
        <v>421</v>
      </c>
      <c r="AC177" t="str">
        <f>IF(AA177="",M177,AA177)</f>
        <v>sim</v>
      </c>
      <c r="AD177" t="str">
        <f>IF(AB177="",X177,AB177)</f>
        <v>sim</v>
      </c>
      <c r="AE177" t="str">
        <f>IF(OR(Configuracao!B9="",Configuracao!B10=""),"aguardando limiar",IF(AND(K177&gt;=Configuracao!B9,K177/MAX(Reconciliacao!C2,1)&gt;=Configuracao!B10/100),"sim","não"))</f>
        <v>aguardando limiar</v>
      </c>
    </row>
    <row r="178" spans="1:31" x14ac:dyDescent="0.25">
      <c r="A178">
        <v>17836</v>
      </c>
      <c r="C178" t="s">
        <v>535</v>
      </c>
      <c r="D178" t="s">
        <v>536</v>
      </c>
      <c r="E178" t="s">
        <v>445</v>
      </c>
      <c r="F178" t="s">
        <v>196</v>
      </c>
      <c r="G178" t="s">
        <v>213</v>
      </c>
      <c r="H178" t="s">
        <v>212</v>
      </c>
      <c r="I178" t="s">
        <v>439</v>
      </c>
      <c r="J178" t="s">
        <v>439</v>
      </c>
      <c r="K178" s="4">
        <v>342</v>
      </c>
      <c r="L178" s="4">
        <v>342</v>
      </c>
      <c r="M178" t="s">
        <v>44</v>
      </c>
      <c r="N178" t="s">
        <v>77</v>
      </c>
      <c r="O178" t="s">
        <v>99</v>
      </c>
      <c r="P178" t="s">
        <v>99</v>
      </c>
      <c r="Q178" t="s">
        <v>128</v>
      </c>
      <c r="R178" t="s">
        <v>128</v>
      </c>
      <c r="S178" t="s">
        <v>197</v>
      </c>
      <c r="T178" t="s">
        <v>198</v>
      </c>
      <c r="U178" t="s">
        <v>163</v>
      </c>
      <c r="V178" t="s">
        <v>164</v>
      </c>
      <c r="W178" t="s">
        <v>77</v>
      </c>
      <c r="X178" t="s">
        <v>44</v>
      </c>
      <c r="Y178" t="s">
        <v>99</v>
      </c>
      <c r="Z178" t="s">
        <v>421</v>
      </c>
      <c r="AC178" t="str">
        <f>IF(AA178="",M178,AA178)</f>
        <v>sim</v>
      </c>
      <c r="AD178" t="str">
        <f>IF(AB178="",X178,AB178)</f>
        <v>sim</v>
      </c>
      <c r="AE178" t="str">
        <f>IF(OR(Configuracao!B9="",Configuracao!B10=""),"aguardando limiar",IF(AND(K178&gt;=Configuracao!B9,K178/MAX(Reconciliacao!C2,1)&gt;=Configuracao!B10/100),"sim","não"))</f>
        <v>aguardando limiar</v>
      </c>
    </row>
    <row r="179" spans="1:31" x14ac:dyDescent="0.25">
      <c r="A179">
        <v>18694</v>
      </c>
      <c r="C179" t="s">
        <v>535</v>
      </c>
      <c r="D179" t="s">
        <v>536</v>
      </c>
      <c r="E179" t="s">
        <v>445</v>
      </c>
      <c r="F179" t="s">
        <v>196</v>
      </c>
      <c r="G179" t="s">
        <v>213</v>
      </c>
      <c r="H179" t="s">
        <v>212</v>
      </c>
      <c r="I179" t="s">
        <v>35</v>
      </c>
      <c r="J179" t="s">
        <v>35</v>
      </c>
      <c r="K179" s="4">
        <v>342</v>
      </c>
      <c r="L179" s="4">
        <v>342</v>
      </c>
      <c r="M179" t="s">
        <v>44</v>
      </c>
      <c r="N179" t="s">
        <v>77</v>
      </c>
      <c r="O179" t="s">
        <v>99</v>
      </c>
      <c r="P179" t="s">
        <v>99</v>
      </c>
      <c r="Q179" t="s">
        <v>128</v>
      </c>
      <c r="R179" t="s">
        <v>128</v>
      </c>
      <c r="S179" t="s">
        <v>197</v>
      </c>
      <c r="T179" t="s">
        <v>198</v>
      </c>
      <c r="U179" t="s">
        <v>163</v>
      </c>
      <c r="V179" t="s">
        <v>164</v>
      </c>
      <c r="W179" t="s">
        <v>77</v>
      </c>
      <c r="X179" t="s">
        <v>44</v>
      </c>
      <c r="Y179" t="s">
        <v>99</v>
      </c>
      <c r="Z179" t="s">
        <v>421</v>
      </c>
      <c r="AC179" t="str">
        <f>IF(AA179="",M179,AA179)</f>
        <v>sim</v>
      </c>
      <c r="AD179" t="str">
        <f>IF(AB179="",X179,AB179)</f>
        <v>sim</v>
      </c>
      <c r="AE179" t="str">
        <f>IF(OR(Configuracao!B9="",Configuracao!B10=""),"aguardando limiar",IF(AND(K179&gt;=Configuracao!B9,K179/MAX(Reconciliacao!C2,1)&gt;=Configuracao!B10/100),"sim","não"))</f>
        <v>aguardando limiar</v>
      </c>
    </row>
    <row r="180" spans="1:31" x14ac:dyDescent="0.25">
      <c r="A180">
        <v>18251</v>
      </c>
      <c r="C180" t="s">
        <v>547</v>
      </c>
      <c r="D180" t="s">
        <v>548</v>
      </c>
      <c r="E180" t="s">
        <v>467</v>
      </c>
      <c r="F180" t="s">
        <v>196</v>
      </c>
      <c r="G180" t="s">
        <v>213</v>
      </c>
      <c r="H180" t="s">
        <v>212</v>
      </c>
      <c r="I180" t="s">
        <v>461</v>
      </c>
      <c r="J180" t="s">
        <v>439</v>
      </c>
      <c r="K180" s="4">
        <v>395.25</v>
      </c>
      <c r="L180" s="4">
        <v>395.25</v>
      </c>
      <c r="M180" t="s">
        <v>44</v>
      </c>
      <c r="N180" t="s">
        <v>77</v>
      </c>
      <c r="O180" t="s">
        <v>99</v>
      </c>
      <c r="P180" t="s">
        <v>99</v>
      </c>
      <c r="Q180" t="s">
        <v>128</v>
      </c>
      <c r="R180" t="s">
        <v>128</v>
      </c>
      <c r="S180" t="s">
        <v>197</v>
      </c>
      <c r="T180" t="s">
        <v>198</v>
      </c>
      <c r="U180" t="s">
        <v>163</v>
      </c>
      <c r="V180" t="s">
        <v>164</v>
      </c>
      <c r="W180" t="s">
        <v>77</v>
      </c>
      <c r="X180" t="s">
        <v>44</v>
      </c>
      <c r="Y180" t="s">
        <v>99</v>
      </c>
      <c r="Z180" t="s">
        <v>421</v>
      </c>
      <c r="AC180" t="str">
        <f>IF(AA180="",M180,AA180)</f>
        <v>sim</v>
      </c>
      <c r="AD180" t="str">
        <f>IF(AB180="",X180,AB180)</f>
        <v>sim</v>
      </c>
      <c r="AE180" t="str">
        <f>IF(OR(Configuracao!B9="",Configuracao!B10=""),"aguardando limiar",IF(AND(K180&gt;=Configuracao!B9,K180/MAX(Reconciliacao!C2,1)&gt;=Configuracao!B10/100),"sim","não"))</f>
        <v>aguardando limiar</v>
      </c>
    </row>
    <row r="181" spans="1:31" x14ac:dyDescent="0.25">
      <c r="A181">
        <v>18252</v>
      </c>
      <c r="C181" t="s">
        <v>547</v>
      </c>
      <c r="D181" t="s">
        <v>548</v>
      </c>
      <c r="E181" t="s">
        <v>525</v>
      </c>
      <c r="F181" t="s">
        <v>196</v>
      </c>
      <c r="G181" t="s">
        <v>213</v>
      </c>
      <c r="H181" t="s">
        <v>212</v>
      </c>
      <c r="I181" t="s">
        <v>461</v>
      </c>
      <c r="J181" t="s">
        <v>439</v>
      </c>
      <c r="K181" s="4">
        <v>395.25</v>
      </c>
      <c r="L181" s="4">
        <v>395.25</v>
      </c>
      <c r="M181" t="s">
        <v>44</v>
      </c>
      <c r="N181" t="s">
        <v>77</v>
      </c>
      <c r="O181" t="s">
        <v>99</v>
      </c>
      <c r="P181" t="s">
        <v>99</v>
      </c>
      <c r="Q181" t="s">
        <v>128</v>
      </c>
      <c r="R181" t="s">
        <v>128</v>
      </c>
      <c r="S181" t="s">
        <v>197</v>
      </c>
      <c r="T181" t="s">
        <v>198</v>
      </c>
      <c r="U181" t="s">
        <v>163</v>
      </c>
      <c r="V181" t="s">
        <v>164</v>
      </c>
      <c r="W181" t="s">
        <v>77</v>
      </c>
      <c r="X181" t="s">
        <v>44</v>
      </c>
      <c r="Y181" t="s">
        <v>99</v>
      </c>
      <c r="Z181" t="s">
        <v>421</v>
      </c>
      <c r="AC181" t="str">
        <f>IF(AA181="",M181,AA181)</f>
        <v>sim</v>
      </c>
      <c r="AD181" t="str">
        <f>IF(AB181="",X181,AB181)</f>
        <v>sim</v>
      </c>
      <c r="AE181" t="str">
        <f>IF(OR(Configuracao!B9="",Configuracao!B10=""),"aguardando limiar",IF(AND(K181&gt;=Configuracao!B9,K181/MAX(Reconciliacao!C2,1)&gt;=Configuracao!B10/100),"sim","não"))</f>
        <v>aguardando limiar</v>
      </c>
    </row>
    <row r="182" spans="1:31" x14ac:dyDescent="0.25">
      <c r="A182">
        <v>18253</v>
      </c>
      <c r="C182" t="s">
        <v>547</v>
      </c>
      <c r="D182" t="s">
        <v>548</v>
      </c>
      <c r="E182" t="s">
        <v>467</v>
      </c>
      <c r="F182" t="s">
        <v>196</v>
      </c>
      <c r="G182" t="s">
        <v>213</v>
      </c>
      <c r="H182" t="s">
        <v>212</v>
      </c>
      <c r="I182" t="s">
        <v>442</v>
      </c>
      <c r="J182" t="s">
        <v>439</v>
      </c>
      <c r="K182" s="4">
        <v>395.25</v>
      </c>
      <c r="L182" s="4">
        <v>395.25</v>
      </c>
      <c r="M182" t="s">
        <v>44</v>
      </c>
      <c r="N182" t="s">
        <v>77</v>
      </c>
      <c r="O182" t="s">
        <v>99</v>
      </c>
      <c r="P182" t="s">
        <v>99</v>
      </c>
      <c r="Q182" t="s">
        <v>128</v>
      </c>
      <c r="R182" t="s">
        <v>128</v>
      </c>
      <c r="S182" t="s">
        <v>197</v>
      </c>
      <c r="T182" t="s">
        <v>198</v>
      </c>
      <c r="U182" t="s">
        <v>163</v>
      </c>
      <c r="V182" t="s">
        <v>164</v>
      </c>
      <c r="W182" t="s">
        <v>77</v>
      </c>
      <c r="X182" t="s">
        <v>44</v>
      </c>
      <c r="Y182" t="s">
        <v>99</v>
      </c>
      <c r="Z182" t="s">
        <v>421</v>
      </c>
      <c r="AC182" t="str">
        <f>IF(AA182="",M182,AA182)</f>
        <v>sim</v>
      </c>
      <c r="AD182" t="str">
        <f>IF(AB182="",X182,AB182)</f>
        <v>sim</v>
      </c>
      <c r="AE182" t="str">
        <f>IF(OR(Configuracao!B9="",Configuracao!B10=""),"aguardando limiar",IF(AND(K182&gt;=Configuracao!B9,K182/MAX(Reconciliacao!C2,1)&gt;=Configuracao!B10/100),"sim","não"))</f>
        <v>aguardando limiar</v>
      </c>
    </row>
    <row r="183" spans="1:31" x14ac:dyDescent="0.25">
      <c r="A183">
        <v>18254</v>
      </c>
      <c r="C183" t="s">
        <v>547</v>
      </c>
      <c r="D183" t="s">
        <v>548</v>
      </c>
      <c r="E183" t="s">
        <v>525</v>
      </c>
      <c r="F183" t="s">
        <v>196</v>
      </c>
      <c r="G183" t="s">
        <v>213</v>
      </c>
      <c r="H183" t="s">
        <v>212</v>
      </c>
      <c r="I183" t="s">
        <v>442</v>
      </c>
      <c r="J183" t="s">
        <v>439</v>
      </c>
      <c r="K183" s="4">
        <v>395.25</v>
      </c>
      <c r="L183" s="4">
        <v>395.25</v>
      </c>
      <c r="M183" t="s">
        <v>44</v>
      </c>
      <c r="N183" t="s">
        <v>77</v>
      </c>
      <c r="O183" t="s">
        <v>99</v>
      </c>
      <c r="P183" t="s">
        <v>99</v>
      </c>
      <c r="Q183" t="s">
        <v>128</v>
      </c>
      <c r="R183" t="s">
        <v>128</v>
      </c>
      <c r="S183" t="s">
        <v>197</v>
      </c>
      <c r="T183" t="s">
        <v>198</v>
      </c>
      <c r="U183" t="s">
        <v>163</v>
      </c>
      <c r="V183" t="s">
        <v>164</v>
      </c>
      <c r="W183" t="s">
        <v>77</v>
      </c>
      <c r="X183" t="s">
        <v>44</v>
      </c>
      <c r="Y183" t="s">
        <v>99</v>
      </c>
      <c r="Z183" t="s">
        <v>421</v>
      </c>
      <c r="AC183" t="str">
        <f>IF(AA183="",M183,AA183)</f>
        <v>sim</v>
      </c>
      <c r="AD183" t="str">
        <f>IF(AB183="",X183,AB183)</f>
        <v>sim</v>
      </c>
      <c r="AE183" t="str">
        <f>IF(OR(Configuracao!B9="",Configuracao!B10=""),"aguardando limiar",IF(AND(K183&gt;=Configuracao!B9,K183/MAX(Reconciliacao!C2,1)&gt;=Configuracao!B10/100),"sim","não"))</f>
        <v>aguardando limiar</v>
      </c>
    </row>
    <row r="184" spans="1:31" x14ac:dyDescent="0.25">
      <c r="A184">
        <v>18255</v>
      </c>
      <c r="C184" t="s">
        <v>547</v>
      </c>
      <c r="D184" t="s">
        <v>548</v>
      </c>
      <c r="E184" t="s">
        <v>467</v>
      </c>
      <c r="F184" t="s">
        <v>196</v>
      </c>
      <c r="G184" t="s">
        <v>213</v>
      </c>
      <c r="H184" t="s">
        <v>212</v>
      </c>
      <c r="I184" t="s">
        <v>439</v>
      </c>
      <c r="J184" t="s">
        <v>439</v>
      </c>
      <c r="K184" s="4">
        <v>395.25</v>
      </c>
      <c r="L184" s="4">
        <v>395.25</v>
      </c>
      <c r="M184" t="s">
        <v>44</v>
      </c>
      <c r="N184" t="s">
        <v>77</v>
      </c>
      <c r="O184" t="s">
        <v>99</v>
      </c>
      <c r="P184" t="s">
        <v>99</v>
      </c>
      <c r="Q184" t="s">
        <v>128</v>
      </c>
      <c r="R184" t="s">
        <v>128</v>
      </c>
      <c r="S184" t="s">
        <v>197</v>
      </c>
      <c r="T184" t="s">
        <v>198</v>
      </c>
      <c r="U184" t="s">
        <v>163</v>
      </c>
      <c r="V184" t="s">
        <v>164</v>
      </c>
      <c r="W184" t="s">
        <v>77</v>
      </c>
      <c r="X184" t="s">
        <v>44</v>
      </c>
      <c r="Y184" t="s">
        <v>99</v>
      </c>
      <c r="Z184" t="s">
        <v>421</v>
      </c>
      <c r="AC184" t="str">
        <f>IF(AA184="",M184,AA184)</f>
        <v>sim</v>
      </c>
      <c r="AD184" t="str">
        <f>IF(AB184="",X184,AB184)</f>
        <v>sim</v>
      </c>
      <c r="AE184" t="str">
        <f>IF(OR(Configuracao!B9="",Configuracao!B10=""),"aguardando limiar",IF(AND(K184&gt;=Configuracao!B9,K184/MAX(Reconciliacao!C2,1)&gt;=Configuracao!B10/100),"sim","não"))</f>
        <v>aguardando limiar</v>
      </c>
    </row>
    <row r="185" spans="1:31" x14ac:dyDescent="0.25">
      <c r="A185">
        <v>18256</v>
      </c>
      <c r="C185" t="s">
        <v>547</v>
      </c>
      <c r="D185" t="s">
        <v>548</v>
      </c>
      <c r="E185" t="s">
        <v>525</v>
      </c>
      <c r="F185" t="s">
        <v>196</v>
      </c>
      <c r="G185" t="s">
        <v>213</v>
      </c>
      <c r="H185" t="s">
        <v>212</v>
      </c>
      <c r="I185" t="s">
        <v>439</v>
      </c>
      <c r="J185" t="s">
        <v>439</v>
      </c>
      <c r="K185" s="4">
        <v>395.25</v>
      </c>
      <c r="L185" s="4">
        <v>395.25</v>
      </c>
      <c r="M185" t="s">
        <v>44</v>
      </c>
      <c r="N185" t="s">
        <v>77</v>
      </c>
      <c r="O185" t="s">
        <v>99</v>
      </c>
      <c r="P185" t="s">
        <v>99</v>
      </c>
      <c r="Q185" t="s">
        <v>128</v>
      </c>
      <c r="R185" t="s">
        <v>128</v>
      </c>
      <c r="S185" t="s">
        <v>197</v>
      </c>
      <c r="T185" t="s">
        <v>198</v>
      </c>
      <c r="U185" t="s">
        <v>163</v>
      </c>
      <c r="V185" t="s">
        <v>164</v>
      </c>
      <c r="W185" t="s">
        <v>77</v>
      </c>
      <c r="X185" t="s">
        <v>44</v>
      </c>
      <c r="Y185" t="s">
        <v>99</v>
      </c>
      <c r="Z185" t="s">
        <v>421</v>
      </c>
      <c r="AC185" t="str">
        <f>IF(AA185="",M185,AA185)</f>
        <v>sim</v>
      </c>
      <c r="AD185" t="str">
        <f>IF(AB185="",X185,AB185)</f>
        <v>sim</v>
      </c>
      <c r="AE185" t="str">
        <f>IF(OR(Configuracao!B9="",Configuracao!B10=""),"aguardando limiar",IF(AND(K185&gt;=Configuracao!B9,K185/MAX(Reconciliacao!C2,1)&gt;=Configuracao!B10/100),"sim","não"))</f>
        <v>aguardando limiar</v>
      </c>
    </row>
    <row r="186" spans="1:31" x14ac:dyDescent="0.25">
      <c r="A186">
        <v>18257</v>
      </c>
      <c r="C186" t="s">
        <v>547</v>
      </c>
      <c r="D186" t="s">
        <v>548</v>
      </c>
      <c r="E186" t="s">
        <v>467</v>
      </c>
      <c r="F186" t="s">
        <v>196</v>
      </c>
      <c r="G186" t="s">
        <v>213</v>
      </c>
      <c r="H186" t="s">
        <v>212</v>
      </c>
      <c r="I186" t="s">
        <v>35</v>
      </c>
      <c r="J186" t="s">
        <v>459</v>
      </c>
      <c r="K186" s="4">
        <v>395.25</v>
      </c>
      <c r="L186" s="4">
        <v>0</v>
      </c>
      <c r="M186" t="s">
        <v>44</v>
      </c>
      <c r="N186" t="s">
        <v>77</v>
      </c>
      <c r="O186" t="s">
        <v>99</v>
      </c>
      <c r="P186" t="s">
        <v>99</v>
      </c>
      <c r="Q186" t="s">
        <v>128</v>
      </c>
      <c r="R186" t="s">
        <v>128</v>
      </c>
      <c r="S186" t="s">
        <v>197</v>
      </c>
      <c r="T186" t="s">
        <v>198</v>
      </c>
      <c r="U186" t="s">
        <v>163</v>
      </c>
      <c r="V186" t="s">
        <v>164</v>
      </c>
      <c r="W186" t="s">
        <v>77</v>
      </c>
      <c r="X186" t="s">
        <v>44</v>
      </c>
      <c r="Y186" t="s">
        <v>99</v>
      </c>
      <c r="Z186" t="s">
        <v>421</v>
      </c>
      <c r="AC186" t="str">
        <f>IF(AA186="",M186,AA186)</f>
        <v>sim</v>
      </c>
      <c r="AD186" t="str">
        <f>IF(AB186="",X186,AB186)</f>
        <v>sim</v>
      </c>
      <c r="AE186" t="str">
        <f>IF(OR(Configuracao!B9="",Configuracao!B10=""),"aguardando limiar",IF(AND(K186&gt;=Configuracao!B9,K186/MAX(Reconciliacao!C2,1)&gt;=Configuracao!B10/100),"sim","não"))</f>
        <v>aguardando limiar</v>
      </c>
    </row>
    <row r="187" spans="1:31" x14ac:dyDescent="0.25">
      <c r="A187">
        <v>18258</v>
      </c>
      <c r="C187" t="s">
        <v>547</v>
      </c>
      <c r="D187" t="s">
        <v>548</v>
      </c>
      <c r="E187" t="s">
        <v>525</v>
      </c>
      <c r="F187" t="s">
        <v>196</v>
      </c>
      <c r="G187" t="s">
        <v>213</v>
      </c>
      <c r="H187" t="s">
        <v>212</v>
      </c>
      <c r="I187" t="s">
        <v>35</v>
      </c>
      <c r="J187" t="s">
        <v>459</v>
      </c>
      <c r="K187" s="4">
        <v>395.25</v>
      </c>
      <c r="L187" s="4">
        <v>0</v>
      </c>
      <c r="M187" t="s">
        <v>44</v>
      </c>
      <c r="N187" t="s">
        <v>77</v>
      </c>
      <c r="O187" t="s">
        <v>99</v>
      </c>
      <c r="P187" t="s">
        <v>99</v>
      </c>
      <c r="Q187" t="s">
        <v>128</v>
      </c>
      <c r="R187" t="s">
        <v>128</v>
      </c>
      <c r="S187" t="s">
        <v>197</v>
      </c>
      <c r="T187" t="s">
        <v>198</v>
      </c>
      <c r="U187" t="s">
        <v>163</v>
      </c>
      <c r="V187" t="s">
        <v>164</v>
      </c>
      <c r="W187" t="s">
        <v>77</v>
      </c>
      <c r="X187" t="s">
        <v>44</v>
      </c>
      <c r="Y187" t="s">
        <v>99</v>
      </c>
      <c r="Z187" t="s">
        <v>421</v>
      </c>
      <c r="AC187" t="str">
        <f>IF(AA187="",M187,AA187)</f>
        <v>sim</v>
      </c>
      <c r="AD187" t="str">
        <f>IF(AB187="",X187,AB187)</f>
        <v>sim</v>
      </c>
      <c r="AE187" t="str">
        <f>IF(OR(Configuracao!B9="",Configuracao!B10=""),"aguardando limiar",IF(AND(K187&gt;=Configuracao!B9,K187/MAX(Reconciliacao!C2,1)&gt;=Configuracao!B10/100),"sim","não"))</f>
        <v>aguardando limiar</v>
      </c>
    </row>
    <row r="188" spans="1:31" x14ac:dyDescent="0.25">
      <c r="A188">
        <v>16557</v>
      </c>
      <c r="C188" t="s">
        <v>539</v>
      </c>
      <c r="D188" t="s">
        <v>534</v>
      </c>
      <c r="E188" t="s">
        <v>445</v>
      </c>
      <c r="F188" t="s">
        <v>196</v>
      </c>
      <c r="G188" t="s">
        <v>213</v>
      </c>
      <c r="H188" t="s">
        <v>212</v>
      </c>
      <c r="I188" t="s">
        <v>454</v>
      </c>
      <c r="J188" t="s">
        <v>454</v>
      </c>
      <c r="K188" s="4">
        <v>412.2</v>
      </c>
      <c r="L188" s="4">
        <v>412.2</v>
      </c>
      <c r="M188" t="s">
        <v>44</v>
      </c>
      <c r="N188" t="s">
        <v>77</v>
      </c>
      <c r="O188" t="s">
        <v>99</v>
      </c>
      <c r="P188" t="s">
        <v>99</v>
      </c>
      <c r="Q188" t="s">
        <v>128</v>
      </c>
      <c r="R188" t="s">
        <v>128</v>
      </c>
      <c r="S188" t="s">
        <v>197</v>
      </c>
      <c r="T188" t="s">
        <v>198</v>
      </c>
      <c r="U188" t="s">
        <v>163</v>
      </c>
      <c r="V188" t="s">
        <v>164</v>
      </c>
      <c r="W188" t="s">
        <v>77</v>
      </c>
      <c r="X188" t="s">
        <v>44</v>
      </c>
      <c r="Y188" t="s">
        <v>99</v>
      </c>
      <c r="Z188" t="s">
        <v>421</v>
      </c>
      <c r="AC188" t="str">
        <f>IF(AA188="",M188,AA188)</f>
        <v>sim</v>
      </c>
      <c r="AD188" t="str">
        <f>IF(AB188="",X188,AB188)</f>
        <v>sim</v>
      </c>
      <c r="AE188" t="str">
        <f>IF(OR(Configuracao!B9="",Configuracao!B10=""),"aguardando limiar",IF(AND(K188&gt;=Configuracao!B9,K188/MAX(Reconciliacao!C2,1)&gt;=Configuracao!B10/100),"sim","não"))</f>
        <v>aguardando limiar</v>
      </c>
    </row>
    <row r="189" spans="1:31" x14ac:dyDescent="0.25">
      <c r="A189">
        <v>16975</v>
      </c>
      <c r="C189" t="s">
        <v>539</v>
      </c>
      <c r="D189" t="s">
        <v>534</v>
      </c>
      <c r="E189" t="s">
        <v>445</v>
      </c>
      <c r="F189" t="s">
        <v>196</v>
      </c>
      <c r="G189" t="s">
        <v>213</v>
      </c>
      <c r="H189" t="s">
        <v>212</v>
      </c>
      <c r="I189" t="s">
        <v>461</v>
      </c>
      <c r="J189" t="s">
        <v>461</v>
      </c>
      <c r="K189" s="4">
        <v>412.2</v>
      </c>
      <c r="L189" s="4">
        <v>412.2</v>
      </c>
      <c r="M189" t="s">
        <v>44</v>
      </c>
      <c r="N189" t="s">
        <v>77</v>
      </c>
      <c r="O189" t="s">
        <v>99</v>
      </c>
      <c r="P189" t="s">
        <v>99</v>
      </c>
      <c r="Q189" t="s">
        <v>128</v>
      </c>
      <c r="R189" t="s">
        <v>128</v>
      </c>
      <c r="S189" t="s">
        <v>197</v>
      </c>
      <c r="T189" t="s">
        <v>198</v>
      </c>
      <c r="U189" t="s">
        <v>163</v>
      </c>
      <c r="V189" t="s">
        <v>164</v>
      </c>
      <c r="W189" t="s">
        <v>77</v>
      </c>
      <c r="X189" t="s">
        <v>44</v>
      </c>
      <c r="Y189" t="s">
        <v>99</v>
      </c>
      <c r="Z189" t="s">
        <v>421</v>
      </c>
      <c r="AC189" t="str">
        <f>IF(AA189="",M189,AA189)</f>
        <v>sim</v>
      </c>
      <c r="AD189" t="str">
        <f>IF(AB189="",X189,AB189)</f>
        <v>sim</v>
      </c>
      <c r="AE189" t="str">
        <f>IF(OR(Configuracao!B9="",Configuracao!B10=""),"aguardando limiar",IF(AND(K189&gt;=Configuracao!B9,K189/MAX(Reconciliacao!C2,1)&gt;=Configuracao!B10/100),"sim","não"))</f>
        <v>aguardando limiar</v>
      </c>
    </row>
    <row r="190" spans="1:31" x14ac:dyDescent="0.25">
      <c r="A190">
        <v>16979</v>
      </c>
      <c r="C190" t="s">
        <v>539</v>
      </c>
      <c r="D190" t="s">
        <v>534</v>
      </c>
      <c r="E190" t="s">
        <v>445</v>
      </c>
      <c r="F190" t="s">
        <v>196</v>
      </c>
      <c r="G190" t="s">
        <v>213</v>
      </c>
      <c r="H190" t="s">
        <v>212</v>
      </c>
      <c r="I190" t="s">
        <v>442</v>
      </c>
      <c r="J190" t="s">
        <v>439</v>
      </c>
      <c r="K190" s="4">
        <v>412.2</v>
      </c>
      <c r="L190" s="4">
        <v>412.2</v>
      </c>
      <c r="M190" t="s">
        <v>44</v>
      </c>
      <c r="N190" t="s">
        <v>77</v>
      </c>
      <c r="O190" t="s">
        <v>99</v>
      </c>
      <c r="P190" t="s">
        <v>99</v>
      </c>
      <c r="Q190" t="s">
        <v>128</v>
      </c>
      <c r="R190" t="s">
        <v>128</v>
      </c>
      <c r="S190" t="s">
        <v>197</v>
      </c>
      <c r="T190" t="s">
        <v>198</v>
      </c>
      <c r="U190" t="s">
        <v>163</v>
      </c>
      <c r="V190" t="s">
        <v>164</v>
      </c>
      <c r="W190" t="s">
        <v>77</v>
      </c>
      <c r="X190" t="s">
        <v>44</v>
      </c>
      <c r="Y190" t="s">
        <v>99</v>
      </c>
      <c r="Z190" t="s">
        <v>421</v>
      </c>
      <c r="AC190" t="str">
        <f>IF(AA190="",M190,AA190)</f>
        <v>sim</v>
      </c>
      <c r="AD190" t="str">
        <f>IF(AB190="",X190,AB190)</f>
        <v>sim</v>
      </c>
      <c r="AE190" t="str">
        <f>IF(OR(Configuracao!B9="",Configuracao!B10=""),"aguardando limiar",IF(AND(K190&gt;=Configuracao!B9,K190/MAX(Reconciliacao!C2,1)&gt;=Configuracao!B10/100),"sim","não"))</f>
        <v>aguardando limiar</v>
      </c>
    </row>
    <row r="191" spans="1:31" x14ac:dyDescent="0.25">
      <c r="A191">
        <v>16986</v>
      </c>
      <c r="C191" t="s">
        <v>539</v>
      </c>
      <c r="D191" t="s">
        <v>534</v>
      </c>
      <c r="E191" t="s">
        <v>525</v>
      </c>
      <c r="F191" t="s">
        <v>196</v>
      </c>
      <c r="G191" t="s">
        <v>213</v>
      </c>
      <c r="H191" t="s">
        <v>212</v>
      </c>
      <c r="I191" t="s">
        <v>35</v>
      </c>
      <c r="J191" t="s">
        <v>459</v>
      </c>
      <c r="K191" s="4">
        <v>427.27</v>
      </c>
      <c r="L191" s="4">
        <v>0</v>
      </c>
      <c r="M191" t="s">
        <v>44</v>
      </c>
      <c r="N191" t="s">
        <v>77</v>
      </c>
      <c r="O191" t="s">
        <v>99</v>
      </c>
      <c r="P191" t="s">
        <v>99</v>
      </c>
      <c r="Q191" t="s">
        <v>128</v>
      </c>
      <c r="R191" t="s">
        <v>128</v>
      </c>
      <c r="S191" t="s">
        <v>197</v>
      </c>
      <c r="T191" t="s">
        <v>198</v>
      </c>
      <c r="U191" t="s">
        <v>163</v>
      </c>
      <c r="V191" t="s">
        <v>164</v>
      </c>
      <c r="W191" t="s">
        <v>77</v>
      </c>
      <c r="X191" t="s">
        <v>44</v>
      </c>
      <c r="Y191" t="s">
        <v>99</v>
      </c>
      <c r="Z191" t="s">
        <v>421</v>
      </c>
      <c r="AC191" t="str">
        <f>IF(AA191="",M191,AA191)</f>
        <v>sim</v>
      </c>
      <c r="AD191" t="str">
        <f>IF(AB191="",X191,AB191)</f>
        <v>sim</v>
      </c>
      <c r="AE191" t="str">
        <f>IF(OR(Configuracao!B9="",Configuracao!B10=""),"aguardando limiar",IF(AND(K191&gt;=Configuracao!B9,K191/MAX(Reconciliacao!C2,1)&gt;=Configuracao!B10/100),"sim","não"))</f>
        <v>aguardando limiar</v>
      </c>
    </row>
    <row r="192" spans="1:31" x14ac:dyDescent="0.25">
      <c r="A192">
        <v>18548</v>
      </c>
      <c r="C192" t="s">
        <v>539</v>
      </c>
      <c r="D192" t="s">
        <v>534</v>
      </c>
      <c r="E192" t="s">
        <v>525</v>
      </c>
      <c r="F192" t="s">
        <v>196</v>
      </c>
      <c r="G192" t="s">
        <v>213</v>
      </c>
      <c r="H192" t="s">
        <v>212</v>
      </c>
      <c r="I192" t="s">
        <v>439</v>
      </c>
      <c r="J192" t="s">
        <v>35</v>
      </c>
      <c r="K192" s="4">
        <v>427.28</v>
      </c>
      <c r="L192" s="4">
        <v>427.28</v>
      </c>
      <c r="M192" t="s">
        <v>44</v>
      </c>
      <c r="N192" t="s">
        <v>77</v>
      </c>
      <c r="O192" t="s">
        <v>99</v>
      </c>
      <c r="P192" t="s">
        <v>99</v>
      </c>
      <c r="Q192" t="s">
        <v>128</v>
      </c>
      <c r="R192" t="s">
        <v>128</v>
      </c>
      <c r="S192" t="s">
        <v>197</v>
      </c>
      <c r="T192" t="s">
        <v>198</v>
      </c>
      <c r="U192" t="s">
        <v>163</v>
      </c>
      <c r="V192" t="s">
        <v>164</v>
      </c>
      <c r="W192" t="s">
        <v>77</v>
      </c>
      <c r="X192" t="s">
        <v>44</v>
      </c>
      <c r="Y192" t="s">
        <v>99</v>
      </c>
      <c r="Z192" t="s">
        <v>421</v>
      </c>
      <c r="AC192" t="str">
        <f>IF(AA192="",M192,AA192)</f>
        <v>sim</v>
      </c>
      <c r="AD192" t="str">
        <f>IF(AB192="",X192,AB192)</f>
        <v>sim</v>
      </c>
      <c r="AE192" t="str">
        <f>IF(OR(Configuracao!B9="",Configuracao!B10=""),"aguardando limiar",IF(AND(K192&gt;=Configuracao!B9,K192/MAX(Reconciliacao!C2,1)&gt;=Configuracao!B10/100),"sim","não"))</f>
        <v>aguardando limiar</v>
      </c>
    </row>
    <row r="193" spans="1:31" x14ac:dyDescent="0.25">
      <c r="A193">
        <v>18547</v>
      </c>
      <c r="C193" t="s">
        <v>541</v>
      </c>
      <c r="D193" t="s">
        <v>534</v>
      </c>
      <c r="E193" t="s">
        <v>511</v>
      </c>
      <c r="F193" t="s">
        <v>196</v>
      </c>
      <c r="G193" t="s">
        <v>213</v>
      </c>
      <c r="H193" t="s">
        <v>212</v>
      </c>
      <c r="I193" t="s">
        <v>439</v>
      </c>
      <c r="J193" t="s">
        <v>35</v>
      </c>
      <c r="K193" s="4">
        <v>461.69</v>
      </c>
      <c r="L193" s="4">
        <v>461.69</v>
      </c>
      <c r="M193" t="s">
        <v>44</v>
      </c>
      <c r="N193" t="s">
        <v>77</v>
      </c>
      <c r="O193" t="s">
        <v>99</v>
      </c>
      <c r="P193" t="s">
        <v>99</v>
      </c>
      <c r="Q193" t="s">
        <v>128</v>
      </c>
      <c r="R193" t="s">
        <v>128</v>
      </c>
      <c r="S193" t="s">
        <v>197</v>
      </c>
      <c r="T193" t="s">
        <v>198</v>
      </c>
      <c r="U193" t="s">
        <v>163</v>
      </c>
      <c r="V193" t="s">
        <v>164</v>
      </c>
      <c r="W193" t="s">
        <v>77</v>
      </c>
      <c r="X193" t="s">
        <v>44</v>
      </c>
      <c r="Y193" t="s">
        <v>99</v>
      </c>
      <c r="Z193" t="s">
        <v>421</v>
      </c>
      <c r="AC193" t="str">
        <f>IF(AA193="",M193,AA193)</f>
        <v>sim</v>
      </c>
      <c r="AD193" t="str">
        <f>IF(AB193="",X193,AB193)</f>
        <v>sim</v>
      </c>
      <c r="AE193" t="str">
        <f>IF(OR(Configuracao!B9="",Configuracao!B10=""),"aguardando limiar",IF(AND(K193&gt;=Configuracao!B9,K193/MAX(Reconciliacao!C2,1)&gt;=Configuracao!B10/100),"sim","não"))</f>
        <v>aguardando limiar</v>
      </c>
    </row>
    <row r="194" spans="1:31" x14ac:dyDescent="0.25">
      <c r="A194">
        <v>16985</v>
      </c>
      <c r="C194" t="s">
        <v>541</v>
      </c>
      <c r="D194" t="s">
        <v>534</v>
      </c>
      <c r="E194" t="s">
        <v>511</v>
      </c>
      <c r="F194" t="s">
        <v>196</v>
      </c>
      <c r="G194" t="s">
        <v>213</v>
      </c>
      <c r="H194" t="s">
        <v>212</v>
      </c>
      <c r="I194" t="s">
        <v>35</v>
      </c>
      <c r="J194" t="s">
        <v>459</v>
      </c>
      <c r="K194" s="4">
        <v>461.7</v>
      </c>
      <c r="L194" s="4">
        <v>0</v>
      </c>
      <c r="M194" t="s">
        <v>44</v>
      </c>
      <c r="N194" t="s">
        <v>77</v>
      </c>
      <c r="O194" t="s">
        <v>99</v>
      </c>
      <c r="P194" t="s">
        <v>99</v>
      </c>
      <c r="Q194" t="s">
        <v>128</v>
      </c>
      <c r="R194" t="s">
        <v>128</v>
      </c>
      <c r="S194" t="s">
        <v>197</v>
      </c>
      <c r="T194" t="s">
        <v>198</v>
      </c>
      <c r="U194" t="s">
        <v>163</v>
      </c>
      <c r="V194" t="s">
        <v>164</v>
      </c>
      <c r="W194" t="s">
        <v>77</v>
      </c>
      <c r="X194" t="s">
        <v>44</v>
      </c>
      <c r="Y194" t="s">
        <v>99</v>
      </c>
      <c r="Z194" t="s">
        <v>421</v>
      </c>
      <c r="AC194" t="str">
        <f>IF(AA194="",M194,AA194)</f>
        <v>sim</v>
      </c>
      <c r="AD194" t="str">
        <f>IF(AB194="",X194,AB194)</f>
        <v>sim</v>
      </c>
      <c r="AE194" t="str">
        <f>IF(OR(Configuracao!B9="",Configuracao!B10=""),"aguardando limiar",IF(AND(K194&gt;=Configuracao!B9,K194/MAX(Reconciliacao!C2,1)&gt;=Configuracao!B10/100),"sim","não"))</f>
        <v>aguardando limiar</v>
      </c>
    </row>
    <row r="195" spans="1:31" x14ac:dyDescent="0.25">
      <c r="A195">
        <v>16485</v>
      </c>
      <c r="C195" t="s">
        <v>549</v>
      </c>
      <c r="D195" t="s">
        <v>527</v>
      </c>
      <c r="E195" t="s">
        <v>467</v>
      </c>
      <c r="F195" t="s">
        <v>196</v>
      </c>
      <c r="G195" t="s">
        <v>213</v>
      </c>
      <c r="H195" t="s">
        <v>212</v>
      </c>
      <c r="I195" t="s">
        <v>454</v>
      </c>
      <c r="J195" t="s">
        <v>454</v>
      </c>
      <c r="K195" s="4">
        <v>478.55</v>
      </c>
      <c r="L195" s="4">
        <v>478.55</v>
      </c>
      <c r="M195" t="s">
        <v>44</v>
      </c>
      <c r="N195" t="s">
        <v>77</v>
      </c>
      <c r="O195" t="s">
        <v>99</v>
      </c>
      <c r="P195" t="s">
        <v>99</v>
      </c>
      <c r="Q195" t="s">
        <v>128</v>
      </c>
      <c r="R195" t="s">
        <v>128</v>
      </c>
      <c r="S195" t="s">
        <v>197</v>
      </c>
      <c r="T195" t="s">
        <v>198</v>
      </c>
      <c r="U195" t="s">
        <v>163</v>
      </c>
      <c r="V195" t="s">
        <v>164</v>
      </c>
      <c r="W195" t="s">
        <v>77</v>
      </c>
      <c r="X195" t="s">
        <v>44</v>
      </c>
      <c r="Y195" t="s">
        <v>99</v>
      </c>
      <c r="Z195" t="s">
        <v>421</v>
      </c>
      <c r="AC195" t="str">
        <f>IF(AA195="",M195,AA195)</f>
        <v>sim</v>
      </c>
      <c r="AD195" t="str">
        <f>IF(AB195="",X195,AB195)</f>
        <v>sim</v>
      </c>
      <c r="AE195" t="str">
        <f>IF(OR(Configuracao!B9="",Configuracao!B10=""),"aguardando limiar",IF(AND(K195&gt;=Configuracao!B9,K195/MAX(Reconciliacao!C2,1)&gt;=Configuracao!B10/100),"sim","não"))</f>
        <v>aguardando limiar</v>
      </c>
    </row>
    <row r="196" spans="1:31" x14ac:dyDescent="0.25">
      <c r="A196">
        <v>16556</v>
      </c>
      <c r="C196" t="s">
        <v>539</v>
      </c>
      <c r="D196" t="s">
        <v>534</v>
      </c>
      <c r="E196" t="s">
        <v>525</v>
      </c>
      <c r="F196" t="s">
        <v>196</v>
      </c>
      <c r="G196" t="s">
        <v>213</v>
      </c>
      <c r="H196" t="s">
        <v>212</v>
      </c>
      <c r="I196" t="s">
        <v>454</v>
      </c>
      <c r="J196" t="s">
        <v>454</v>
      </c>
      <c r="K196" s="4">
        <v>569.7</v>
      </c>
      <c r="L196" s="4">
        <v>569.7</v>
      </c>
      <c r="M196" t="s">
        <v>44</v>
      </c>
      <c r="N196" t="s">
        <v>77</v>
      </c>
      <c r="O196" t="s">
        <v>99</v>
      </c>
      <c r="P196" t="s">
        <v>99</v>
      </c>
      <c r="Q196" t="s">
        <v>128</v>
      </c>
      <c r="R196" t="s">
        <v>128</v>
      </c>
      <c r="S196" t="s">
        <v>197</v>
      </c>
      <c r="T196" t="s">
        <v>198</v>
      </c>
      <c r="U196" t="s">
        <v>163</v>
      </c>
      <c r="V196" t="s">
        <v>164</v>
      </c>
      <c r="W196" t="s">
        <v>77</v>
      </c>
      <c r="X196" t="s">
        <v>44</v>
      </c>
      <c r="Y196" t="s">
        <v>99</v>
      </c>
      <c r="Z196" t="s">
        <v>421</v>
      </c>
      <c r="AC196" t="str">
        <f>IF(AA196="",M196,AA196)</f>
        <v>sim</v>
      </c>
      <c r="AD196" t="str">
        <f>IF(AB196="",X196,AB196)</f>
        <v>sim</v>
      </c>
      <c r="AE196" t="str">
        <f>IF(OR(Configuracao!B9="",Configuracao!B10=""),"aguardando limiar",IF(AND(K196&gt;=Configuracao!B9,K196/MAX(Reconciliacao!C2,1)&gt;=Configuracao!B10/100),"sim","não"))</f>
        <v>aguardando limiar</v>
      </c>
    </row>
    <row r="197" spans="1:31" x14ac:dyDescent="0.25">
      <c r="A197">
        <v>16974</v>
      </c>
      <c r="C197" t="s">
        <v>539</v>
      </c>
      <c r="D197" t="s">
        <v>534</v>
      </c>
      <c r="E197" t="s">
        <v>525</v>
      </c>
      <c r="F197" t="s">
        <v>196</v>
      </c>
      <c r="G197" t="s">
        <v>213</v>
      </c>
      <c r="H197" t="s">
        <v>212</v>
      </c>
      <c r="I197" t="s">
        <v>461</v>
      </c>
      <c r="J197" t="s">
        <v>461</v>
      </c>
      <c r="K197" s="4">
        <v>569.7</v>
      </c>
      <c r="L197" s="4">
        <v>569.7</v>
      </c>
      <c r="M197" t="s">
        <v>44</v>
      </c>
      <c r="N197" t="s">
        <v>77</v>
      </c>
      <c r="O197" t="s">
        <v>99</v>
      </c>
      <c r="P197" t="s">
        <v>99</v>
      </c>
      <c r="Q197" t="s">
        <v>128</v>
      </c>
      <c r="R197" t="s">
        <v>128</v>
      </c>
      <c r="S197" t="s">
        <v>197</v>
      </c>
      <c r="T197" t="s">
        <v>198</v>
      </c>
      <c r="U197" t="s">
        <v>163</v>
      </c>
      <c r="V197" t="s">
        <v>164</v>
      </c>
      <c r="W197" t="s">
        <v>77</v>
      </c>
      <c r="X197" t="s">
        <v>44</v>
      </c>
      <c r="Y197" t="s">
        <v>99</v>
      </c>
      <c r="Z197" t="s">
        <v>421</v>
      </c>
      <c r="AC197" t="str">
        <f>IF(AA197="",M197,AA197)</f>
        <v>sim</v>
      </c>
      <c r="AD197" t="str">
        <f>IF(AB197="",X197,AB197)</f>
        <v>sim</v>
      </c>
      <c r="AE197" t="str">
        <f>IF(OR(Configuracao!B9="",Configuracao!B10=""),"aguardando limiar",IF(AND(K197&gt;=Configuracao!B9,K197/MAX(Reconciliacao!C2,1)&gt;=Configuracao!B10/100),"sim","não"))</f>
        <v>aguardando limiar</v>
      </c>
    </row>
    <row r="198" spans="1:31" x14ac:dyDescent="0.25">
      <c r="A198">
        <v>16978</v>
      </c>
      <c r="C198" t="s">
        <v>539</v>
      </c>
      <c r="D198" t="s">
        <v>534</v>
      </c>
      <c r="E198" t="s">
        <v>525</v>
      </c>
      <c r="F198" t="s">
        <v>196</v>
      </c>
      <c r="G198" t="s">
        <v>213</v>
      </c>
      <c r="H198" t="s">
        <v>212</v>
      </c>
      <c r="I198" t="s">
        <v>442</v>
      </c>
      <c r="J198" t="s">
        <v>439</v>
      </c>
      <c r="K198" s="4">
        <v>569.7</v>
      </c>
      <c r="L198" s="4">
        <v>569.7</v>
      </c>
      <c r="M198" t="s">
        <v>44</v>
      </c>
      <c r="N198" t="s">
        <v>77</v>
      </c>
      <c r="O198" t="s">
        <v>99</v>
      </c>
      <c r="P198" t="s">
        <v>99</v>
      </c>
      <c r="Q198" t="s">
        <v>128</v>
      </c>
      <c r="R198" t="s">
        <v>128</v>
      </c>
      <c r="S198" t="s">
        <v>197</v>
      </c>
      <c r="T198" t="s">
        <v>198</v>
      </c>
      <c r="U198" t="s">
        <v>163</v>
      </c>
      <c r="V198" t="s">
        <v>164</v>
      </c>
      <c r="W198" t="s">
        <v>77</v>
      </c>
      <c r="X198" t="s">
        <v>44</v>
      </c>
      <c r="Y198" t="s">
        <v>99</v>
      </c>
      <c r="Z198" t="s">
        <v>421</v>
      </c>
      <c r="AC198" t="str">
        <f>IF(AA198="",M198,AA198)</f>
        <v>sim</v>
      </c>
      <c r="AD198" t="str">
        <f>IF(AB198="",X198,AB198)</f>
        <v>sim</v>
      </c>
      <c r="AE198" t="str">
        <f>IF(OR(Configuracao!B9="",Configuracao!B10=""),"aguardando limiar",IF(AND(K198&gt;=Configuracao!B9,K198/MAX(Reconciliacao!C2,1)&gt;=Configuracao!B10/100),"sim","não"))</f>
        <v>aguardando limiar</v>
      </c>
    </row>
    <row r="199" spans="1:31" x14ac:dyDescent="0.25">
      <c r="A199">
        <v>16555</v>
      </c>
      <c r="C199" t="s">
        <v>541</v>
      </c>
      <c r="D199" t="s">
        <v>534</v>
      </c>
      <c r="E199" t="s">
        <v>511</v>
      </c>
      <c r="F199" t="s">
        <v>196</v>
      </c>
      <c r="G199" t="s">
        <v>213</v>
      </c>
      <c r="H199" t="s">
        <v>212</v>
      </c>
      <c r="I199" t="s">
        <v>454</v>
      </c>
      <c r="J199" t="s">
        <v>454</v>
      </c>
      <c r="K199" s="4">
        <v>615.6</v>
      </c>
      <c r="L199" s="4">
        <v>615.6</v>
      </c>
      <c r="M199" t="s">
        <v>44</v>
      </c>
      <c r="N199" t="s">
        <v>77</v>
      </c>
      <c r="O199" t="s">
        <v>99</v>
      </c>
      <c r="P199" t="s">
        <v>99</v>
      </c>
      <c r="Q199" t="s">
        <v>128</v>
      </c>
      <c r="R199" t="s">
        <v>128</v>
      </c>
      <c r="S199" t="s">
        <v>197</v>
      </c>
      <c r="T199" t="s">
        <v>198</v>
      </c>
      <c r="U199" t="s">
        <v>163</v>
      </c>
      <c r="V199" t="s">
        <v>164</v>
      </c>
      <c r="W199" t="s">
        <v>77</v>
      </c>
      <c r="X199" t="s">
        <v>44</v>
      </c>
      <c r="Y199" t="s">
        <v>99</v>
      </c>
      <c r="Z199" t="s">
        <v>421</v>
      </c>
      <c r="AC199" t="str">
        <f>IF(AA199="",M199,AA199)</f>
        <v>sim</v>
      </c>
      <c r="AD199" t="str">
        <f>IF(AB199="",X199,AB199)</f>
        <v>sim</v>
      </c>
      <c r="AE199" t="str">
        <f>IF(OR(Configuracao!B9="",Configuracao!B10=""),"aguardando limiar",IF(AND(K199&gt;=Configuracao!B9,K199/MAX(Reconciliacao!C2,1)&gt;=Configuracao!B10/100),"sim","não"))</f>
        <v>aguardando limiar</v>
      </c>
    </row>
    <row r="200" spans="1:31" x14ac:dyDescent="0.25">
      <c r="A200">
        <v>16973</v>
      </c>
      <c r="C200" t="s">
        <v>541</v>
      </c>
      <c r="D200" t="s">
        <v>534</v>
      </c>
      <c r="E200" t="s">
        <v>511</v>
      </c>
      <c r="F200" t="s">
        <v>196</v>
      </c>
      <c r="G200" t="s">
        <v>213</v>
      </c>
      <c r="H200" t="s">
        <v>212</v>
      </c>
      <c r="I200" t="s">
        <v>461</v>
      </c>
      <c r="J200" t="s">
        <v>461</v>
      </c>
      <c r="K200" s="4">
        <v>615.6</v>
      </c>
      <c r="L200" s="4">
        <v>615.6</v>
      </c>
      <c r="M200" t="s">
        <v>44</v>
      </c>
      <c r="N200" t="s">
        <v>77</v>
      </c>
      <c r="O200" t="s">
        <v>99</v>
      </c>
      <c r="P200" t="s">
        <v>99</v>
      </c>
      <c r="Q200" t="s">
        <v>128</v>
      </c>
      <c r="R200" t="s">
        <v>128</v>
      </c>
      <c r="S200" t="s">
        <v>197</v>
      </c>
      <c r="T200" t="s">
        <v>198</v>
      </c>
      <c r="U200" t="s">
        <v>163</v>
      </c>
      <c r="V200" t="s">
        <v>164</v>
      </c>
      <c r="W200" t="s">
        <v>77</v>
      </c>
      <c r="X200" t="s">
        <v>44</v>
      </c>
      <c r="Y200" t="s">
        <v>99</v>
      </c>
      <c r="Z200" t="s">
        <v>421</v>
      </c>
      <c r="AC200" t="str">
        <f>IF(AA200="",M200,AA200)</f>
        <v>sim</v>
      </c>
      <c r="AD200" t="str">
        <f>IF(AB200="",X200,AB200)</f>
        <v>sim</v>
      </c>
      <c r="AE200" t="str">
        <f>IF(OR(Configuracao!B9="",Configuracao!B10=""),"aguardando limiar",IF(AND(K200&gt;=Configuracao!B9,K200/MAX(Reconciliacao!C2,1)&gt;=Configuracao!B10/100),"sim","não"))</f>
        <v>aguardando limiar</v>
      </c>
    </row>
    <row r="201" spans="1:31" x14ac:dyDescent="0.25">
      <c r="A201">
        <v>16977</v>
      </c>
      <c r="C201" t="s">
        <v>541</v>
      </c>
      <c r="D201" t="s">
        <v>534</v>
      </c>
      <c r="E201" t="s">
        <v>511</v>
      </c>
      <c r="F201" t="s">
        <v>196</v>
      </c>
      <c r="G201" t="s">
        <v>213</v>
      </c>
      <c r="H201" t="s">
        <v>212</v>
      </c>
      <c r="I201" t="s">
        <v>442</v>
      </c>
      <c r="J201" t="s">
        <v>439</v>
      </c>
      <c r="K201" s="4">
        <v>615.6</v>
      </c>
      <c r="L201" s="4">
        <v>615.6</v>
      </c>
      <c r="M201" t="s">
        <v>44</v>
      </c>
      <c r="N201" t="s">
        <v>77</v>
      </c>
      <c r="O201" t="s">
        <v>99</v>
      </c>
      <c r="P201" t="s">
        <v>99</v>
      </c>
      <c r="Q201" t="s">
        <v>128</v>
      </c>
      <c r="R201" t="s">
        <v>128</v>
      </c>
      <c r="S201" t="s">
        <v>197</v>
      </c>
      <c r="T201" t="s">
        <v>198</v>
      </c>
      <c r="U201" t="s">
        <v>163</v>
      </c>
      <c r="V201" t="s">
        <v>164</v>
      </c>
      <c r="W201" t="s">
        <v>77</v>
      </c>
      <c r="X201" t="s">
        <v>44</v>
      </c>
      <c r="Y201" t="s">
        <v>99</v>
      </c>
      <c r="Z201" t="s">
        <v>421</v>
      </c>
      <c r="AC201" t="str">
        <f>IF(AA201="",M201,AA201)</f>
        <v>sim</v>
      </c>
      <c r="AD201" t="str">
        <f>IF(AB201="",X201,AB201)</f>
        <v>sim</v>
      </c>
      <c r="AE201" t="str">
        <f>IF(OR(Configuracao!B9="",Configuracao!B10=""),"aguardando limiar",IF(AND(K201&gt;=Configuracao!B9,K201/MAX(Reconciliacao!C2,1)&gt;=Configuracao!B10/100),"sim","não"))</f>
        <v>aguardando limiar</v>
      </c>
    </row>
    <row r="202" spans="1:31" x14ac:dyDescent="0.25">
      <c r="A202">
        <v>13363</v>
      </c>
      <c r="C202" t="s">
        <v>529</v>
      </c>
      <c r="D202" t="s">
        <v>527</v>
      </c>
      <c r="E202" t="s">
        <v>467</v>
      </c>
      <c r="F202" t="s">
        <v>196</v>
      </c>
      <c r="G202" t="s">
        <v>213</v>
      </c>
      <c r="H202" t="s">
        <v>212</v>
      </c>
      <c r="I202" t="s">
        <v>420</v>
      </c>
      <c r="J202" t="s">
        <v>420</v>
      </c>
      <c r="K202" s="4">
        <v>718.1</v>
      </c>
      <c r="L202" s="4">
        <v>718.1</v>
      </c>
      <c r="M202" t="s">
        <v>44</v>
      </c>
      <c r="N202" t="s">
        <v>77</v>
      </c>
      <c r="O202" t="s">
        <v>99</v>
      </c>
      <c r="P202" t="s">
        <v>99</v>
      </c>
      <c r="Q202" t="s">
        <v>128</v>
      </c>
      <c r="R202" t="s">
        <v>128</v>
      </c>
      <c r="S202" t="s">
        <v>197</v>
      </c>
      <c r="T202" t="s">
        <v>198</v>
      </c>
      <c r="U202" t="s">
        <v>163</v>
      </c>
      <c r="V202" t="s">
        <v>164</v>
      </c>
      <c r="W202" t="s">
        <v>77</v>
      </c>
      <c r="X202" t="s">
        <v>44</v>
      </c>
      <c r="Y202" t="s">
        <v>99</v>
      </c>
      <c r="Z202" t="s">
        <v>421</v>
      </c>
      <c r="AC202" t="str">
        <f>IF(AA202="",M202,AA202)</f>
        <v>sim</v>
      </c>
      <c r="AD202" t="str">
        <f>IF(AB202="",X202,AB202)</f>
        <v>sim</v>
      </c>
      <c r="AE202" t="str">
        <f>IF(OR(Configuracao!B9="",Configuracao!B10=""),"aguardando limiar",IF(AND(K202&gt;=Configuracao!B9,K202/MAX(Reconciliacao!C2,1)&gt;=Configuracao!B10/100),"sim","não"))</f>
        <v>aguardando limiar</v>
      </c>
    </row>
    <row r="203" spans="1:31" x14ac:dyDescent="0.25">
      <c r="A203">
        <v>16576</v>
      </c>
      <c r="C203" t="s">
        <v>544</v>
      </c>
      <c r="D203" t="s">
        <v>545</v>
      </c>
      <c r="E203" t="s">
        <v>445</v>
      </c>
      <c r="F203" t="s">
        <v>196</v>
      </c>
      <c r="G203" t="s">
        <v>213</v>
      </c>
      <c r="H203" t="s">
        <v>212</v>
      </c>
      <c r="I203" t="s">
        <v>454</v>
      </c>
      <c r="J203" t="s">
        <v>454</v>
      </c>
      <c r="K203" s="4">
        <v>722.5</v>
      </c>
      <c r="L203" s="4">
        <v>722.5</v>
      </c>
      <c r="M203" t="s">
        <v>44</v>
      </c>
      <c r="N203" t="s">
        <v>77</v>
      </c>
      <c r="O203" t="s">
        <v>99</v>
      </c>
      <c r="P203" t="s">
        <v>99</v>
      </c>
      <c r="Q203" t="s">
        <v>128</v>
      </c>
      <c r="R203" t="s">
        <v>128</v>
      </c>
      <c r="S203" t="s">
        <v>197</v>
      </c>
      <c r="T203" t="s">
        <v>198</v>
      </c>
      <c r="U203" t="s">
        <v>163</v>
      </c>
      <c r="V203" t="s">
        <v>164</v>
      </c>
      <c r="W203" t="s">
        <v>77</v>
      </c>
      <c r="X203" t="s">
        <v>44</v>
      </c>
      <c r="Y203" t="s">
        <v>99</v>
      </c>
      <c r="Z203" t="s">
        <v>421</v>
      </c>
      <c r="AC203" t="str">
        <f>IF(AA203="",M203,AA203)</f>
        <v>sim</v>
      </c>
      <c r="AD203" t="str">
        <f>IF(AB203="",X203,AB203)</f>
        <v>sim</v>
      </c>
      <c r="AE203" t="str">
        <f>IF(OR(Configuracao!B9="",Configuracao!B10=""),"aguardando limiar",IF(AND(K203&gt;=Configuracao!B9,K203/MAX(Reconciliacao!C2,1)&gt;=Configuracao!B10/100),"sim","não"))</f>
        <v>aguardando limiar</v>
      </c>
    </row>
    <row r="204" spans="1:31" x14ac:dyDescent="0.25">
      <c r="A204">
        <v>16581</v>
      </c>
      <c r="C204" t="s">
        <v>544</v>
      </c>
      <c r="D204" t="s">
        <v>545</v>
      </c>
      <c r="E204" t="s">
        <v>445</v>
      </c>
      <c r="F204" t="s">
        <v>196</v>
      </c>
      <c r="G204" t="s">
        <v>213</v>
      </c>
      <c r="H204" t="s">
        <v>212</v>
      </c>
      <c r="I204" t="s">
        <v>461</v>
      </c>
      <c r="J204" t="s">
        <v>439</v>
      </c>
      <c r="K204" s="4">
        <v>722.5</v>
      </c>
      <c r="L204" s="4">
        <v>722.5</v>
      </c>
      <c r="M204" t="s">
        <v>44</v>
      </c>
      <c r="N204" t="s">
        <v>77</v>
      </c>
      <c r="O204" t="s">
        <v>99</v>
      </c>
      <c r="P204" t="s">
        <v>99</v>
      </c>
      <c r="Q204" t="s">
        <v>128</v>
      </c>
      <c r="R204" t="s">
        <v>128</v>
      </c>
      <c r="S204" t="s">
        <v>197</v>
      </c>
      <c r="T204" t="s">
        <v>198</v>
      </c>
      <c r="U204" t="s">
        <v>163</v>
      </c>
      <c r="V204" t="s">
        <v>164</v>
      </c>
      <c r="W204" t="s">
        <v>77</v>
      </c>
      <c r="X204" t="s">
        <v>44</v>
      </c>
      <c r="Y204" t="s">
        <v>99</v>
      </c>
      <c r="Z204" t="s">
        <v>421</v>
      </c>
      <c r="AC204" t="str">
        <f>IF(AA204="",M204,AA204)</f>
        <v>sim</v>
      </c>
      <c r="AD204" t="str">
        <f>IF(AB204="",X204,AB204)</f>
        <v>sim</v>
      </c>
      <c r="AE204" t="str">
        <f>IF(OR(Configuracao!B9="",Configuracao!B10=""),"aguardando limiar",IF(AND(K204&gt;=Configuracao!B9,K204/MAX(Reconciliacao!C2,1)&gt;=Configuracao!B10/100),"sim","não"))</f>
        <v>aguardando limiar</v>
      </c>
    </row>
    <row r="205" spans="1:31" x14ac:dyDescent="0.25">
      <c r="A205">
        <v>16586</v>
      </c>
      <c r="C205" t="s">
        <v>544</v>
      </c>
      <c r="D205" t="s">
        <v>545</v>
      </c>
      <c r="E205" t="s">
        <v>445</v>
      </c>
      <c r="F205" t="s">
        <v>196</v>
      </c>
      <c r="G205" t="s">
        <v>213</v>
      </c>
      <c r="H205" t="s">
        <v>212</v>
      </c>
      <c r="I205" t="s">
        <v>442</v>
      </c>
      <c r="J205" t="s">
        <v>99</v>
      </c>
      <c r="K205" s="4">
        <v>722.5</v>
      </c>
      <c r="L205" s="4">
        <v>0</v>
      </c>
      <c r="M205" t="s">
        <v>44</v>
      </c>
      <c r="N205" t="s">
        <v>77</v>
      </c>
      <c r="O205" t="s">
        <v>99</v>
      </c>
      <c r="P205" t="s">
        <v>99</v>
      </c>
      <c r="Q205" t="s">
        <v>128</v>
      </c>
      <c r="R205" t="s">
        <v>128</v>
      </c>
      <c r="S205" t="s">
        <v>197</v>
      </c>
      <c r="T205" t="s">
        <v>198</v>
      </c>
      <c r="U205" t="s">
        <v>163</v>
      </c>
      <c r="V205" t="s">
        <v>164</v>
      </c>
      <c r="W205" t="s">
        <v>77</v>
      </c>
      <c r="X205" t="s">
        <v>44</v>
      </c>
      <c r="Y205" t="s">
        <v>99</v>
      </c>
      <c r="Z205" t="s">
        <v>421</v>
      </c>
      <c r="AC205" t="str">
        <f>IF(AA205="",M205,AA205)</f>
        <v>sim</v>
      </c>
      <c r="AD205" t="str">
        <f>IF(AB205="",X205,AB205)</f>
        <v>sim</v>
      </c>
      <c r="AE205" t="str">
        <f>IF(OR(Configuracao!B9="",Configuracao!B10=""),"aguardando limiar",IF(AND(K205&gt;=Configuracao!B9,K205/MAX(Reconciliacao!C2,1)&gt;=Configuracao!B10/100),"sim","não"))</f>
        <v>aguardando limiar</v>
      </c>
    </row>
    <row r="206" spans="1:31" x14ac:dyDescent="0.25">
      <c r="A206">
        <v>16591</v>
      </c>
      <c r="C206" t="s">
        <v>544</v>
      </c>
      <c r="D206" t="s">
        <v>545</v>
      </c>
      <c r="E206" t="s">
        <v>445</v>
      </c>
      <c r="F206" t="s">
        <v>196</v>
      </c>
      <c r="G206" t="s">
        <v>213</v>
      </c>
      <c r="H206" t="s">
        <v>212</v>
      </c>
      <c r="I206" t="s">
        <v>439</v>
      </c>
      <c r="J206" t="s">
        <v>99</v>
      </c>
      <c r="K206" s="4">
        <v>722.5</v>
      </c>
      <c r="L206" s="4">
        <v>0</v>
      </c>
      <c r="M206" t="s">
        <v>44</v>
      </c>
      <c r="N206" t="s">
        <v>77</v>
      </c>
      <c r="O206" t="s">
        <v>99</v>
      </c>
      <c r="P206" t="s">
        <v>99</v>
      </c>
      <c r="Q206" t="s">
        <v>128</v>
      </c>
      <c r="R206" t="s">
        <v>128</v>
      </c>
      <c r="S206" t="s">
        <v>197</v>
      </c>
      <c r="T206" t="s">
        <v>198</v>
      </c>
      <c r="U206" t="s">
        <v>163</v>
      </c>
      <c r="V206" t="s">
        <v>164</v>
      </c>
      <c r="W206" t="s">
        <v>77</v>
      </c>
      <c r="X206" t="s">
        <v>44</v>
      </c>
      <c r="Y206" t="s">
        <v>99</v>
      </c>
      <c r="Z206" t="s">
        <v>421</v>
      </c>
      <c r="AC206" t="str">
        <f>IF(AA206="",M206,AA206)</f>
        <v>sim</v>
      </c>
      <c r="AD206" t="str">
        <f>IF(AB206="",X206,AB206)</f>
        <v>sim</v>
      </c>
      <c r="AE206" t="str">
        <f>IF(OR(Configuracao!B9="",Configuracao!B10=""),"aguardando limiar",IF(AND(K206&gt;=Configuracao!B9,K206/MAX(Reconciliacao!C2,1)&gt;=Configuracao!B10/100),"sim","não"))</f>
        <v>aguardando limiar</v>
      </c>
    </row>
    <row r="207" spans="1:31" x14ac:dyDescent="0.25">
      <c r="A207">
        <v>16596</v>
      </c>
      <c r="C207" t="s">
        <v>544</v>
      </c>
      <c r="D207" t="s">
        <v>545</v>
      </c>
      <c r="E207" t="s">
        <v>445</v>
      </c>
      <c r="F207" t="s">
        <v>196</v>
      </c>
      <c r="G207" t="s">
        <v>213</v>
      </c>
      <c r="H207" t="s">
        <v>212</v>
      </c>
      <c r="I207" t="s">
        <v>35</v>
      </c>
      <c r="J207" t="s">
        <v>99</v>
      </c>
      <c r="K207" s="4">
        <v>722.5</v>
      </c>
      <c r="L207" s="4">
        <v>0</v>
      </c>
      <c r="M207" t="s">
        <v>44</v>
      </c>
      <c r="N207" t="s">
        <v>77</v>
      </c>
      <c r="O207" t="s">
        <v>99</v>
      </c>
      <c r="P207" t="s">
        <v>99</v>
      </c>
      <c r="Q207" t="s">
        <v>128</v>
      </c>
      <c r="R207" t="s">
        <v>128</v>
      </c>
      <c r="S207" t="s">
        <v>197</v>
      </c>
      <c r="T207" t="s">
        <v>198</v>
      </c>
      <c r="U207" t="s">
        <v>163</v>
      </c>
      <c r="V207" t="s">
        <v>164</v>
      </c>
      <c r="W207" t="s">
        <v>77</v>
      </c>
      <c r="X207" t="s">
        <v>44</v>
      </c>
      <c r="Y207" t="s">
        <v>99</v>
      </c>
      <c r="Z207" t="s">
        <v>421</v>
      </c>
      <c r="AC207" t="str">
        <f>IF(AA207="",M207,AA207)</f>
        <v>sim</v>
      </c>
      <c r="AD207" t="str">
        <f>IF(AB207="",X207,AB207)</f>
        <v>sim</v>
      </c>
      <c r="AE207" t="str">
        <f>IF(OR(Configuracao!B9="",Configuracao!B10=""),"aguardando limiar",IF(AND(K207&gt;=Configuracao!B9,K207/MAX(Reconciliacao!C2,1)&gt;=Configuracao!B10/100),"sim","não"))</f>
        <v>aguardando limiar</v>
      </c>
    </row>
    <row r="208" spans="1:31" x14ac:dyDescent="0.25">
      <c r="A208">
        <v>16662</v>
      </c>
      <c r="C208" t="s">
        <v>544</v>
      </c>
      <c r="D208" t="s">
        <v>545</v>
      </c>
      <c r="E208" t="s">
        <v>445</v>
      </c>
      <c r="F208" t="s">
        <v>196</v>
      </c>
      <c r="G208" t="s">
        <v>213</v>
      </c>
      <c r="H208" t="s">
        <v>212</v>
      </c>
      <c r="I208" t="s">
        <v>454</v>
      </c>
      <c r="J208" t="s">
        <v>461</v>
      </c>
      <c r="K208" s="4">
        <v>722.5</v>
      </c>
      <c r="L208" s="4">
        <v>722.5</v>
      </c>
      <c r="M208" t="s">
        <v>44</v>
      </c>
      <c r="N208" t="s">
        <v>77</v>
      </c>
      <c r="O208" t="s">
        <v>99</v>
      </c>
      <c r="P208" t="s">
        <v>99</v>
      </c>
      <c r="Q208" t="s">
        <v>128</v>
      </c>
      <c r="R208" t="s">
        <v>128</v>
      </c>
      <c r="S208" t="s">
        <v>197</v>
      </c>
      <c r="T208" t="s">
        <v>198</v>
      </c>
      <c r="U208" t="s">
        <v>163</v>
      </c>
      <c r="V208" t="s">
        <v>164</v>
      </c>
      <c r="W208" t="s">
        <v>77</v>
      </c>
      <c r="X208" t="s">
        <v>44</v>
      </c>
      <c r="Y208" t="s">
        <v>99</v>
      </c>
      <c r="Z208" t="s">
        <v>421</v>
      </c>
      <c r="AC208" t="str">
        <f>IF(AA208="",M208,AA208)</f>
        <v>sim</v>
      </c>
      <c r="AD208" t="str">
        <f>IF(AB208="",X208,AB208)</f>
        <v>sim</v>
      </c>
      <c r="AE208" t="str">
        <f>IF(OR(Configuracao!B9="",Configuracao!B10=""),"aguardando limiar",IF(AND(K208&gt;=Configuracao!B9,K208/MAX(Reconciliacao!C2,1)&gt;=Configuracao!B10/100),"sim","não"))</f>
        <v>aguardando limiar</v>
      </c>
    </row>
    <row r="209" spans="1:31" x14ac:dyDescent="0.25">
      <c r="A209">
        <v>13046</v>
      </c>
      <c r="C209" t="s">
        <v>550</v>
      </c>
      <c r="D209" t="s">
        <v>534</v>
      </c>
      <c r="E209" t="s">
        <v>467</v>
      </c>
      <c r="F209" t="s">
        <v>196</v>
      </c>
      <c r="G209" t="s">
        <v>213</v>
      </c>
      <c r="H209" t="s">
        <v>212</v>
      </c>
      <c r="I209" t="s">
        <v>424</v>
      </c>
      <c r="J209" t="s">
        <v>424</v>
      </c>
      <c r="K209" s="4">
        <v>750</v>
      </c>
      <c r="L209" s="4">
        <v>750</v>
      </c>
      <c r="M209" t="s">
        <v>44</v>
      </c>
      <c r="N209" t="s">
        <v>77</v>
      </c>
      <c r="O209" t="s">
        <v>99</v>
      </c>
      <c r="P209" t="s">
        <v>99</v>
      </c>
      <c r="Q209" t="s">
        <v>128</v>
      </c>
      <c r="R209" t="s">
        <v>128</v>
      </c>
      <c r="S209" t="s">
        <v>197</v>
      </c>
      <c r="T209" t="s">
        <v>198</v>
      </c>
      <c r="U209" t="s">
        <v>163</v>
      </c>
      <c r="V209" t="s">
        <v>164</v>
      </c>
      <c r="W209" t="s">
        <v>77</v>
      </c>
      <c r="X209" t="s">
        <v>44</v>
      </c>
      <c r="Y209" t="s">
        <v>99</v>
      </c>
      <c r="Z209" t="s">
        <v>421</v>
      </c>
      <c r="AC209" t="str">
        <f>IF(AA209="",M209,AA209)</f>
        <v>sim</v>
      </c>
      <c r="AD209" t="str">
        <f>IF(AB209="",X209,AB209)</f>
        <v>sim</v>
      </c>
      <c r="AE209" t="str">
        <f>IF(OR(Configuracao!B9="",Configuracao!B10=""),"aguardando limiar",IF(AND(K209&gt;=Configuracao!B9,K209/MAX(Reconciliacao!C2,1)&gt;=Configuracao!B10/100),"sim","não"))</f>
        <v>aguardando limiar</v>
      </c>
    </row>
    <row r="210" spans="1:31" x14ac:dyDescent="0.25">
      <c r="A210">
        <v>13047</v>
      </c>
      <c r="C210" t="s">
        <v>550</v>
      </c>
      <c r="D210" t="s">
        <v>534</v>
      </c>
      <c r="E210" t="s">
        <v>525</v>
      </c>
      <c r="F210" t="s">
        <v>196</v>
      </c>
      <c r="G210" t="s">
        <v>213</v>
      </c>
      <c r="H210" t="s">
        <v>212</v>
      </c>
      <c r="I210" t="s">
        <v>424</v>
      </c>
      <c r="J210" t="s">
        <v>424</v>
      </c>
      <c r="K210" s="4">
        <v>750</v>
      </c>
      <c r="L210" s="4">
        <v>750</v>
      </c>
      <c r="M210" t="s">
        <v>44</v>
      </c>
      <c r="N210" t="s">
        <v>77</v>
      </c>
      <c r="O210" t="s">
        <v>99</v>
      </c>
      <c r="P210" t="s">
        <v>99</v>
      </c>
      <c r="Q210" t="s">
        <v>128</v>
      </c>
      <c r="R210" t="s">
        <v>128</v>
      </c>
      <c r="S210" t="s">
        <v>197</v>
      </c>
      <c r="T210" t="s">
        <v>198</v>
      </c>
      <c r="U210" t="s">
        <v>163</v>
      </c>
      <c r="V210" t="s">
        <v>164</v>
      </c>
      <c r="W210" t="s">
        <v>77</v>
      </c>
      <c r="X210" t="s">
        <v>44</v>
      </c>
      <c r="Y210" t="s">
        <v>99</v>
      </c>
      <c r="Z210" t="s">
        <v>421</v>
      </c>
      <c r="AC210" t="str">
        <f>IF(AA210="",M210,AA210)</f>
        <v>sim</v>
      </c>
      <c r="AD210" t="str">
        <f>IF(AB210="",X210,AB210)</f>
        <v>sim</v>
      </c>
      <c r="AE210" t="str">
        <f>IF(OR(Configuracao!B9="",Configuracao!B10=""),"aguardando limiar",IF(AND(K210&gt;=Configuracao!B9,K210/MAX(Reconciliacao!C2,1)&gt;=Configuracao!B10/100),"sim","não"))</f>
        <v>aguardando limiar</v>
      </c>
    </row>
    <row r="211" spans="1:31" x14ac:dyDescent="0.25">
      <c r="A211">
        <v>17838</v>
      </c>
      <c r="C211" t="s">
        <v>551</v>
      </c>
      <c r="D211" t="s">
        <v>527</v>
      </c>
      <c r="E211" t="s">
        <v>467</v>
      </c>
      <c r="F211" t="s">
        <v>196</v>
      </c>
      <c r="G211" t="s">
        <v>213</v>
      </c>
      <c r="H211" t="s">
        <v>212</v>
      </c>
      <c r="I211" t="s">
        <v>439</v>
      </c>
      <c r="J211" t="s">
        <v>439</v>
      </c>
      <c r="K211" s="4">
        <v>770.26</v>
      </c>
      <c r="L211" s="4">
        <v>770.26</v>
      </c>
      <c r="M211" t="s">
        <v>44</v>
      </c>
      <c r="N211" t="s">
        <v>77</v>
      </c>
      <c r="O211" t="s">
        <v>99</v>
      </c>
      <c r="P211" t="s">
        <v>99</v>
      </c>
      <c r="Q211" t="s">
        <v>128</v>
      </c>
      <c r="R211" t="s">
        <v>128</v>
      </c>
      <c r="S211" t="s">
        <v>197</v>
      </c>
      <c r="T211" t="s">
        <v>198</v>
      </c>
      <c r="U211" t="s">
        <v>163</v>
      </c>
      <c r="V211" t="s">
        <v>164</v>
      </c>
      <c r="W211" t="s">
        <v>77</v>
      </c>
      <c r="X211" t="s">
        <v>44</v>
      </c>
      <c r="Y211" t="s">
        <v>99</v>
      </c>
      <c r="Z211" t="s">
        <v>421</v>
      </c>
      <c r="AC211" t="str">
        <f>IF(AA211="",M211,AA211)</f>
        <v>sim</v>
      </c>
      <c r="AD211" t="str">
        <f>IF(AB211="",X211,AB211)</f>
        <v>sim</v>
      </c>
      <c r="AE211" t="str">
        <f>IF(OR(Configuracao!B9="",Configuracao!B10=""),"aguardando limiar",IF(AND(K211&gt;=Configuracao!B9,K211/MAX(Reconciliacao!C2,1)&gt;=Configuracao!B10/100),"sim","não"))</f>
        <v>aguardando limiar</v>
      </c>
    </row>
    <row r="212" spans="1:31" x14ac:dyDescent="0.25">
      <c r="A212">
        <v>18494</v>
      </c>
      <c r="C212" t="s">
        <v>552</v>
      </c>
      <c r="D212" t="s">
        <v>527</v>
      </c>
      <c r="E212" t="s">
        <v>467</v>
      </c>
      <c r="F212" t="s">
        <v>196</v>
      </c>
      <c r="G212" t="s">
        <v>213</v>
      </c>
      <c r="H212" t="s">
        <v>212</v>
      </c>
      <c r="I212" t="s">
        <v>439</v>
      </c>
      <c r="J212" t="s">
        <v>439</v>
      </c>
      <c r="K212" s="4">
        <v>790.5</v>
      </c>
      <c r="L212" s="4">
        <v>790.5</v>
      </c>
      <c r="M212" t="s">
        <v>44</v>
      </c>
      <c r="N212" t="s">
        <v>77</v>
      </c>
      <c r="O212" t="s">
        <v>99</v>
      </c>
      <c r="P212" t="s">
        <v>99</v>
      </c>
      <c r="Q212" t="s">
        <v>128</v>
      </c>
      <c r="R212" t="s">
        <v>128</v>
      </c>
      <c r="S212" t="s">
        <v>197</v>
      </c>
      <c r="T212" t="s">
        <v>198</v>
      </c>
      <c r="U212" t="s">
        <v>163</v>
      </c>
      <c r="V212" t="s">
        <v>164</v>
      </c>
      <c r="W212" t="s">
        <v>77</v>
      </c>
      <c r="X212" t="s">
        <v>44</v>
      </c>
      <c r="Y212" t="s">
        <v>99</v>
      </c>
      <c r="Z212" t="s">
        <v>421</v>
      </c>
      <c r="AC212" t="str">
        <f>IF(AA212="",M212,AA212)</f>
        <v>sim</v>
      </c>
      <c r="AD212" t="str">
        <f>IF(AB212="",X212,AB212)</f>
        <v>sim</v>
      </c>
      <c r="AE212" t="str">
        <f>IF(OR(Configuracao!B9="",Configuracao!B10=""),"aguardando limiar",IF(AND(K212&gt;=Configuracao!B9,K212/MAX(Reconciliacao!C2,1)&gt;=Configuracao!B10/100),"sim","não"))</f>
        <v>aguardando limiar</v>
      </c>
    </row>
    <row r="213" spans="1:31" x14ac:dyDescent="0.25">
      <c r="A213">
        <v>18868</v>
      </c>
      <c r="C213" t="s">
        <v>552</v>
      </c>
      <c r="D213" t="s">
        <v>527</v>
      </c>
      <c r="E213" t="s">
        <v>467</v>
      </c>
      <c r="F213" t="s">
        <v>196</v>
      </c>
      <c r="G213" t="s">
        <v>213</v>
      </c>
      <c r="H213" t="s">
        <v>212</v>
      </c>
      <c r="I213" t="s">
        <v>35</v>
      </c>
      <c r="J213" t="s">
        <v>35</v>
      </c>
      <c r="K213" s="4">
        <v>790.5</v>
      </c>
      <c r="L213" s="4">
        <v>790.5</v>
      </c>
      <c r="M213" t="s">
        <v>44</v>
      </c>
      <c r="N213" t="s">
        <v>77</v>
      </c>
      <c r="O213" t="s">
        <v>99</v>
      </c>
      <c r="P213" t="s">
        <v>99</v>
      </c>
      <c r="Q213" t="s">
        <v>128</v>
      </c>
      <c r="R213" t="s">
        <v>128</v>
      </c>
      <c r="S213" t="s">
        <v>197</v>
      </c>
      <c r="T213" t="s">
        <v>198</v>
      </c>
      <c r="U213" t="s">
        <v>163</v>
      </c>
      <c r="V213" t="s">
        <v>164</v>
      </c>
      <c r="W213" t="s">
        <v>77</v>
      </c>
      <c r="X213" t="s">
        <v>44</v>
      </c>
      <c r="Y213" t="s">
        <v>99</v>
      </c>
      <c r="Z213" t="s">
        <v>421</v>
      </c>
      <c r="AC213" t="str">
        <f>IF(AA213="",M213,AA213)</f>
        <v>sim</v>
      </c>
      <c r="AD213" t="str">
        <f>IF(AB213="",X213,AB213)</f>
        <v>sim</v>
      </c>
      <c r="AE213" t="str">
        <f>IF(OR(Configuracao!B9="",Configuracao!B10=""),"aguardando limiar",IF(AND(K213&gt;=Configuracao!B9,K213/MAX(Reconciliacao!C2,1)&gt;=Configuracao!B10/100),"sim","não"))</f>
        <v>aguardando limiar</v>
      </c>
    </row>
    <row r="214" spans="1:31" x14ac:dyDescent="0.25">
      <c r="A214">
        <v>19020</v>
      </c>
      <c r="C214" t="s">
        <v>552</v>
      </c>
      <c r="D214" t="s">
        <v>527</v>
      </c>
      <c r="E214" t="s">
        <v>467</v>
      </c>
      <c r="F214" t="s">
        <v>196</v>
      </c>
      <c r="G214" t="s">
        <v>213</v>
      </c>
      <c r="H214" t="s">
        <v>212</v>
      </c>
      <c r="I214" t="s">
        <v>35</v>
      </c>
      <c r="J214" t="s">
        <v>35</v>
      </c>
      <c r="K214" s="4">
        <v>790.5</v>
      </c>
      <c r="L214" s="4">
        <v>790.5</v>
      </c>
      <c r="M214" t="s">
        <v>44</v>
      </c>
      <c r="N214" t="s">
        <v>77</v>
      </c>
      <c r="O214" t="s">
        <v>99</v>
      </c>
      <c r="P214" t="s">
        <v>99</v>
      </c>
      <c r="Q214" t="s">
        <v>128</v>
      </c>
      <c r="R214" t="s">
        <v>128</v>
      </c>
      <c r="S214" t="s">
        <v>197</v>
      </c>
      <c r="T214" t="s">
        <v>198</v>
      </c>
      <c r="U214" t="s">
        <v>163</v>
      </c>
      <c r="V214" t="s">
        <v>164</v>
      </c>
      <c r="W214" t="s">
        <v>77</v>
      </c>
      <c r="X214" t="s">
        <v>44</v>
      </c>
      <c r="Y214" t="s">
        <v>99</v>
      </c>
      <c r="Z214" t="s">
        <v>421</v>
      </c>
      <c r="AC214" t="str">
        <f>IF(AA214="",M214,AA214)</f>
        <v>sim</v>
      </c>
      <c r="AD214" t="str">
        <f>IF(AB214="",X214,AB214)</f>
        <v>sim</v>
      </c>
      <c r="AE214" t="str">
        <f>IF(OR(Configuracao!B9="",Configuracao!B10=""),"aguardando limiar",IF(AND(K214&gt;=Configuracao!B9,K214/MAX(Reconciliacao!C2,1)&gt;=Configuracao!B10/100),"sim","não"))</f>
        <v>aguardando limiar</v>
      </c>
    </row>
    <row r="215" spans="1:31" x14ac:dyDescent="0.25">
      <c r="A215">
        <v>19135</v>
      </c>
      <c r="C215" t="s">
        <v>552</v>
      </c>
      <c r="D215" t="s">
        <v>527</v>
      </c>
      <c r="E215" t="s">
        <v>467</v>
      </c>
      <c r="F215" t="s">
        <v>196</v>
      </c>
      <c r="G215" t="s">
        <v>213</v>
      </c>
      <c r="H215" t="s">
        <v>212</v>
      </c>
      <c r="I215" t="s">
        <v>35</v>
      </c>
      <c r="J215" t="s">
        <v>35</v>
      </c>
      <c r="K215" s="4">
        <v>790.5</v>
      </c>
      <c r="L215" s="4">
        <v>790.5</v>
      </c>
      <c r="M215" t="s">
        <v>44</v>
      </c>
      <c r="N215" t="s">
        <v>77</v>
      </c>
      <c r="O215" t="s">
        <v>99</v>
      </c>
      <c r="P215" t="s">
        <v>99</v>
      </c>
      <c r="Q215" t="s">
        <v>128</v>
      </c>
      <c r="R215" t="s">
        <v>128</v>
      </c>
      <c r="S215" t="s">
        <v>197</v>
      </c>
      <c r="T215" t="s">
        <v>198</v>
      </c>
      <c r="U215" t="s">
        <v>163</v>
      </c>
      <c r="V215" t="s">
        <v>164</v>
      </c>
      <c r="W215" t="s">
        <v>77</v>
      </c>
      <c r="X215" t="s">
        <v>44</v>
      </c>
      <c r="Y215" t="s">
        <v>99</v>
      </c>
      <c r="Z215" t="s">
        <v>421</v>
      </c>
      <c r="AC215" t="str">
        <f>IF(AA215="",M215,AA215)</f>
        <v>sim</v>
      </c>
      <c r="AD215" t="str">
        <f>IF(AB215="",X215,AB215)</f>
        <v>sim</v>
      </c>
      <c r="AE215" t="str">
        <f>IF(OR(Configuracao!B9="",Configuracao!B10=""),"aguardando limiar",IF(AND(K215&gt;=Configuracao!B9,K215/MAX(Reconciliacao!C2,1)&gt;=Configuracao!B10/100),"sim","não"))</f>
        <v>aguardando limiar</v>
      </c>
    </row>
    <row r="216" spans="1:31" x14ac:dyDescent="0.25">
      <c r="A216">
        <v>15848</v>
      </c>
      <c r="C216" t="s">
        <v>542</v>
      </c>
      <c r="D216" t="s">
        <v>543</v>
      </c>
      <c r="E216" t="s">
        <v>525</v>
      </c>
      <c r="F216" t="s">
        <v>196</v>
      </c>
      <c r="G216" t="s">
        <v>213</v>
      </c>
      <c r="H216" t="s">
        <v>212</v>
      </c>
      <c r="I216" t="s">
        <v>454</v>
      </c>
      <c r="J216" t="s">
        <v>454</v>
      </c>
      <c r="K216" s="4">
        <v>799</v>
      </c>
      <c r="L216" s="4">
        <v>799</v>
      </c>
      <c r="M216" t="s">
        <v>44</v>
      </c>
      <c r="N216" t="s">
        <v>77</v>
      </c>
      <c r="O216" t="s">
        <v>99</v>
      </c>
      <c r="P216" t="s">
        <v>99</v>
      </c>
      <c r="Q216" t="s">
        <v>128</v>
      </c>
      <c r="R216" t="s">
        <v>128</v>
      </c>
      <c r="S216" t="s">
        <v>197</v>
      </c>
      <c r="T216" t="s">
        <v>198</v>
      </c>
      <c r="U216" t="s">
        <v>163</v>
      </c>
      <c r="V216" t="s">
        <v>164</v>
      </c>
      <c r="W216" t="s">
        <v>77</v>
      </c>
      <c r="X216" t="s">
        <v>44</v>
      </c>
      <c r="Y216" t="s">
        <v>99</v>
      </c>
      <c r="Z216" t="s">
        <v>421</v>
      </c>
      <c r="AC216" t="str">
        <f>IF(AA216="",M216,AA216)</f>
        <v>sim</v>
      </c>
      <c r="AD216" t="str">
        <f>IF(AB216="",X216,AB216)</f>
        <v>sim</v>
      </c>
      <c r="AE216" t="str">
        <f>IF(OR(Configuracao!B9="",Configuracao!B10=""),"aguardando limiar",IF(AND(K216&gt;=Configuracao!B9,K216/MAX(Reconciliacao!C2,1)&gt;=Configuracao!B10/100),"sim","não"))</f>
        <v>aguardando limiar</v>
      </c>
    </row>
    <row r="217" spans="1:31" x14ac:dyDescent="0.25">
      <c r="A217">
        <v>16963</v>
      </c>
      <c r="C217" t="s">
        <v>552</v>
      </c>
      <c r="D217" t="s">
        <v>527</v>
      </c>
      <c r="E217" t="s">
        <v>467</v>
      </c>
      <c r="F217" t="s">
        <v>196</v>
      </c>
      <c r="G217" t="s">
        <v>213</v>
      </c>
      <c r="H217" t="s">
        <v>212</v>
      </c>
      <c r="I217" t="s">
        <v>461</v>
      </c>
      <c r="J217" t="s">
        <v>461</v>
      </c>
      <c r="K217" s="4">
        <v>799</v>
      </c>
      <c r="L217" s="4">
        <v>799</v>
      </c>
      <c r="M217" t="s">
        <v>44</v>
      </c>
      <c r="N217" t="s">
        <v>77</v>
      </c>
      <c r="O217" t="s">
        <v>99</v>
      </c>
      <c r="P217" t="s">
        <v>99</v>
      </c>
      <c r="Q217" t="s">
        <v>128</v>
      </c>
      <c r="R217" t="s">
        <v>128</v>
      </c>
      <c r="S217" t="s">
        <v>197</v>
      </c>
      <c r="T217" t="s">
        <v>198</v>
      </c>
      <c r="U217" t="s">
        <v>163</v>
      </c>
      <c r="V217" t="s">
        <v>164</v>
      </c>
      <c r="W217" t="s">
        <v>77</v>
      </c>
      <c r="X217" t="s">
        <v>44</v>
      </c>
      <c r="Y217" t="s">
        <v>99</v>
      </c>
      <c r="Z217" t="s">
        <v>421</v>
      </c>
      <c r="AC217" t="str">
        <f>IF(AA217="",M217,AA217)</f>
        <v>sim</v>
      </c>
      <c r="AD217" t="str">
        <f>IF(AB217="",X217,AB217)</f>
        <v>sim</v>
      </c>
      <c r="AE217" t="str">
        <f>IF(OR(Configuracao!B9="",Configuracao!B10=""),"aguardando limiar",IF(AND(K217&gt;=Configuracao!B9,K217/MAX(Reconciliacao!C2,1)&gt;=Configuracao!B10/100),"sim","não"))</f>
        <v>aguardando limiar</v>
      </c>
    </row>
    <row r="218" spans="1:31" x14ac:dyDescent="0.25">
      <c r="A218">
        <v>12705</v>
      </c>
      <c r="C218" t="s">
        <v>542</v>
      </c>
      <c r="D218" t="s">
        <v>543</v>
      </c>
      <c r="E218" t="s">
        <v>525</v>
      </c>
      <c r="F218" t="s">
        <v>196</v>
      </c>
      <c r="G218" t="s">
        <v>213</v>
      </c>
      <c r="H218" t="s">
        <v>212</v>
      </c>
      <c r="I218" t="s">
        <v>420</v>
      </c>
      <c r="J218" t="s">
        <v>420</v>
      </c>
      <c r="K218" s="4">
        <v>835</v>
      </c>
      <c r="L218" s="4">
        <v>835</v>
      </c>
      <c r="M218" t="s">
        <v>44</v>
      </c>
      <c r="N218" t="s">
        <v>77</v>
      </c>
      <c r="O218" t="s">
        <v>99</v>
      </c>
      <c r="P218" t="s">
        <v>99</v>
      </c>
      <c r="Q218" t="s">
        <v>128</v>
      </c>
      <c r="R218" t="s">
        <v>128</v>
      </c>
      <c r="S218" t="s">
        <v>197</v>
      </c>
      <c r="T218" t="s">
        <v>198</v>
      </c>
      <c r="U218" t="s">
        <v>163</v>
      </c>
      <c r="V218" t="s">
        <v>164</v>
      </c>
      <c r="W218" t="s">
        <v>77</v>
      </c>
      <c r="X218" t="s">
        <v>44</v>
      </c>
      <c r="Y218" t="s">
        <v>99</v>
      </c>
      <c r="Z218" t="s">
        <v>421</v>
      </c>
      <c r="AC218" t="str">
        <f>IF(AA218="",M218,AA218)</f>
        <v>sim</v>
      </c>
      <c r="AD218" t="str">
        <f>IF(AB218="",X218,AB218)</f>
        <v>sim</v>
      </c>
      <c r="AE218" t="str">
        <f>IF(OR(Configuracao!B9="",Configuracao!B10=""),"aguardando limiar",IF(AND(K218&gt;=Configuracao!B9,K218/MAX(Reconciliacao!C2,1)&gt;=Configuracao!B10/100),"sim","não"))</f>
        <v>aguardando limiar</v>
      </c>
    </row>
    <row r="219" spans="1:31" x14ac:dyDescent="0.25">
      <c r="A219">
        <v>13362</v>
      </c>
      <c r="C219" t="s">
        <v>542</v>
      </c>
      <c r="D219" t="s">
        <v>543</v>
      </c>
      <c r="E219" t="s">
        <v>525</v>
      </c>
      <c r="F219" t="s">
        <v>196</v>
      </c>
      <c r="G219" t="s">
        <v>213</v>
      </c>
      <c r="H219" t="s">
        <v>212</v>
      </c>
      <c r="I219" t="s">
        <v>420</v>
      </c>
      <c r="J219" t="s">
        <v>420</v>
      </c>
      <c r="K219" s="4">
        <v>835</v>
      </c>
      <c r="L219" s="4">
        <v>835</v>
      </c>
      <c r="M219" t="s">
        <v>44</v>
      </c>
      <c r="N219" t="s">
        <v>77</v>
      </c>
      <c r="O219" t="s">
        <v>99</v>
      </c>
      <c r="P219" t="s">
        <v>99</v>
      </c>
      <c r="Q219" t="s">
        <v>128</v>
      </c>
      <c r="R219" t="s">
        <v>128</v>
      </c>
      <c r="S219" t="s">
        <v>197</v>
      </c>
      <c r="T219" t="s">
        <v>198</v>
      </c>
      <c r="U219" t="s">
        <v>163</v>
      </c>
      <c r="V219" t="s">
        <v>164</v>
      </c>
      <c r="W219" t="s">
        <v>77</v>
      </c>
      <c r="X219" t="s">
        <v>44</v>
      </c>
      <c r="Y219" t="s">
        <v>99</v>
      </c>
      <c r="Z219" t="s">
        <v>421</v>
      </c>
      <c r="AC219" t="str">
        <f>IF(AA219="",M219,AA219)</f>
        <v>sim</v>
      </c>
      <c r="AD219" t="str">
        <f>IF(AB219="",X219,AB219)</f>
        <v>sim</v>
      </c>
      <c r="AE219" t="str">
        <f>IF(OR(Configuracao!B9="",Configuracao!B10=""),"aguardando limiar",IF(AND(K219&gt;=Configuracao!B9,K219/MAX(Reconciliacao!C2,1)&gt;=Configuracao!B10/100),"sim","não"))</f>
        <v>aguardando limiar</v>
      </c>
    </row>
    <row r="220" spans="1:31" x14ac:dyDescent="0.25">
      <c r="A220">
        <v>16561</v>
      </c>
      <c r="C220" t="s">
        <v>553</v>
      </c>
      <c r="D220" t="s">
        <v>527</v>
      </c>
      <c r="E220" t="s">
        <v>467</v>
      </c>
      <c r="F220" t="s">
        <v>196</v>
      </c>
      <c r="G220" t="s">
        <v>213</v>
      </c>
      <c r="H220" t="s">
        <v>212</v>
      </c>
      <c r="I220" t="s">
        <v>454</v>
      </c>
      <c r="J220" t="s">
        <v>454</v>
      </c>
      <c r="K220" s="4">
        <v>1143.13</v>
      </c>
      <c r="L220" s="4">
        <v>1143.13</v>
      </c>
      <c r="M220" t="s">
        <v>44</v>
      </c>
      <c r="N220" t="s">
        <v>77</v>
      </c>
      <c r="O220" t="s">
        <v>99</v>
      </c>
      <c r="P220" t="s">
        <v>99</v>
      </c>
      <c r="Q220" t="s">
        <v>128</v>
      </c>
      <c r="R220" t="s">
        <v>128</v>
      </c>
      <c r="S220" t="s">
        <v>197</v>
      </c>
      <c r="T220" t="s">
        <v>198</v>
      </c>
      <c r="U220" t="s">
        <v>163</v>
      </c>
      <c r="V220" t="s">
        <v>164</v>
      </c>
      <c r="W220" t="s">
        <v>77</v>
      </c>
      <c r="X220" t="s">
        <v>44</v>
      </c>
      <c r="Y220" t="s">
        <v>99</v>
      </c>
      <c r="Z220" t="s">
        <v>421</v>
      </c>
      <c r="AC220" t="str">
        <f>IF(AA220="",M220,AA220)</f>
        <v>sim</v>
      </c>
      <c r="AD220" t="str">
        <f>IF(AB220="",X220,AB220)</f>
        <v>sim</v>
      </c>
      <c r="AE220" t="str">
        <f>IF(OR(Configuracao!B9="",Configuracao!B10=""),"aguardando limiar",IF(AND(K220&gt;=Configuracao!B9,K220/MAX(Reconciliacao!C2,1)&gt;=Configuracao!B10/100),"sim","não"))</f>
        <v>aguardando limiar</v>
      </c>
    </row>
    <row r="221" spans="1:31" x14ac:dyDescent="0.25">
      <c r="A221">
        <v>17671</v>
      </c>
      <c r="C221" t="s">
        <v>553</v>
      </c>
      <c r="D221" t="s">
        <v>527</v>
      </c>
      <c r="E221" t="s">
        <v>467</v>
      </c>
      <c r="F221" t="s">
        <v>196</v>
      </c>
      <c r="G221" t="s">
        <v>213</v>
      </c>
      <c r="H221" t="s">
        <v>212</v>
      </c>
      <c r="I221" t="s">
        <v>442</v>
      </c>
      <c r="J221" t="s">
        <v>442</v>
      </c>
      <c r="K221" s="4">
        <v>1143.13</v>
      </c>
      <c r="L221" s="4">
        <v>1143.13</v>
      </c>
      <c r="M221" t="s">
        <v>44</v>
      </c>
      <c r="N221" t="s">
        <v>77</v>
      </c>
      <c r="O221" t="s">
        <v>99</v>
      </c>
      <c r="P221" t="s">
        <v>99</v>
      </c>
      <c r="Q221" t="s">
        <v>128</v>
      </c>
      <c r="R221" t="s">
        <v>128</v>
      </c>
      <c r="S221" t="s">
        <v>197</v>
      </c>
      <c r="T221" t="s">
        <v>198</v>
      </c>
      <c r="U221" t="s">
        <v>163</v>
      </c>
      <c r="V221" t="s">
        <v>164</v>
      </c>
      <c r="W221" t="s">
        <v>77</v>
      </c>
      <c r="X221" t="s">
        <v>44</v>
      </c>
      <c r="Y221" t="s">
        <v>99</v>
      </c>
      <c r="Z221" t="s">
        <v>421</v>
      </c>
      <c r="AC221" t="str">
        <f>IF(AA221="",M221,AA221)</f>
        <v>sim</v>
      </c>
      <c r="AD221" t="str">
        <f>IF(AB221="",X221,AB221)</f>
        <v>sim</v>
      </c>
      <c r="AE221" t="str">
        <f>IF(OR(Configuracao!B9="",Configuracao!B10=""),"aguardando limiar",IF(AND(K221&gt;=Configuracao!B9,K221/MAX(Reconciliacao!C2,1)&gt;=Configuracao!B10/100),"sim","não"))</f>
        <v>aguardando limiar</v>
      </c>
    </row>
    <row r="222" spans="1:31" x14ac:dyDescent="0.25">
      <c r="A222">
        <v>16966</v>
      </c>
      <c r="C222" t="s">
        <v>554</v>
      </c>
      <c r="D222" t="s">
        <v>555</v>
      </c>
      <c r="E222" t="s">
        <v>511</v>
      </c>
      <c r="F222" t="s">
        <v>196</v>
      </c>
      <c r="G222" t="s">
        <v>213</v>
      </c>
      <c r="H222" t="s">
        <v>212</v>
      </c>
      <c r="I222" t="s">
        <v>439</v>
      </c>
      <c r="J222" t="s">
        <v>439</v>
      </c>
      <c r="K222" s="4">
        <v>1185.75</v>
      </c>
      <c r="L222" s="4">
        <v>1185.75</v>
      </c>
      <c r="M222" t="s">
        <v>44</v>
      </c>
      <c r="N222" t="s">
        <v>77</v>
      </c>
      <c r="O222" t="s">
        <v>99</v>
      </c>
      <c r="P222" t="s">
        <v>99</v>
      </c>
      <c r="Q222" t="s">
        <v>128</v>
      </c>
      <c r="R222" t="s">
        <v>128</v>
      </c>
      <c r="S222" t="s">
        <v>197</v>
      </c>
      <c r="T222" t="s">
        <v>198</v>
      </c>
      <c r="U222" t="s">
        <v>163</v>
      </c>
      <c r="V222" t="s">
        <v>164</v>
      </c>
      <c r="W222" t="s">
        <v>77</v>
      </c>
      <c r="X222" t="s">
        <v>44</v>
      </c>
      <c r="Y222" t="s">
        <v>99</v>
      </c>
      <c r="Z222" t="s">
        <v>421</v>
      </c>
      <c r="AC222" t="str">
        <f>IF(AA222="",M222,AA222)</f>
        <v>sim</v>
      </c>
      <c r="AD222" t="str">
        <f>IF(AB222="",X222,AB222)</f>
        <v>sim</v>
      </c>
      <c r="AE222" t="str">
        <f>IF(OR(Configuracao!B9="",Configuracao!B10=""),"aguardando limiar",IF(AND(K222&gt;=Configuracao!B9,K222/MAX(Reconciliacao!C2,1)&gt;=Configuracao!B10/100),"sim","não"))</f>
        <v>aguardando limiar</v>
      </c>
    </row>
    <row r="223" spans="1:31" x14ac:dyDescent="0.25">
      <c r="A223">
        <v>16967</v>
      </c>
      <c r="C223" t="s">
        <v>554</v>
      </c>
      <c r="D223" t="s">
        <v>555</v>
      </c>
      <c r="E223" t="s">
        <v>511</v>
      </c>
      <c r="F223" t="s">
        <v>196</v>
      </c>
      <c r="G223" t="s">
        <v>213</v>
      </c>
      <c r="H223" t="s">
        <v>212</v>
      </c>
      <c r="I223" t="s">
        <v>35</v>
      </c>
      <c r="J223" t="s">
        <v>35</v>
      </c>
      <c r="K223" s="4">
        <v>1185.75</v>
      </c>
      <c r="L223" s="4">
        <v>1185.75</v>
      </c>
      <c r="M223" t="s">
        <v>44</v>
      </c>
      <c r="N223" t="s">
        <v>77</v>
      </c>
      <c r="O223" t="s">
        <v>99</v>
      </c>
      <c r="P223" t="s">
        <v>99</v>
      </c>
      <c r="Q223" t="s">
        <v>128</v>
      </c>
      <c r="R223" t="s">
        <v>128</v>
      </c>
      <c r="S223" t="s">
        <v>197</v>
      </c>
      <c r="T223" t="s">
        <v>198</v>
      </c>
      <c r="U223" t="s">
        <v>163</v>
      </c>
      <c r="V223" t="s">
        <v>164</v>
      </c>
      <c r="W223" t="s">
        <v>77</v>
      </c>
      <c r="X223" t="s">
        <v>44</v>
      </c>
      <c r="Y223" t="s">
        <v>99</v>
      </c>
      <c r="Z223" t="s">
        <v>421</v>
      </c>
      <c r="AC223" t="str">
        <f>IF(AA223="",M223,AA223)</f>
        <v>sim</v>
      </c>
      <c r="AD223" t="str">
        <f>IF(AB223="",X223,AB223)</f>
        <v>sim</v>
      </c>
      <c r="AE223" t="str">
        <f>IF(OR(Configuracao!B9="",Configuracao!B10=""),"aguardando limiar",IF(AND(K223&gt;=Configuracao!B9,K223/MAX(Reconciliacao!C2,1)&gt;=Configuracao!B10/100),"sim","não"))</f>
        <v>aguardando limiar</v>
      </c>
    </row>
    <row r="224" spans="1:31" x14ac:dyDescent="0.25">
      <c r="A224">
        <v>18179</v>
      </c>
      <c r="C224" t="s">
        <v>556</v>
      </c>
      <c r="D224" t="s">
        <v>557</v>
      </c>
      <c r="E224" t="s">
        <v>467</v>
      </c>
      <c r="F224" t="s">
        <v>196</v>
      </c>
      <c r="G224" t="s">
        <v>213</v>
      </c>
      <c r="H224" t="s">
        <v>212</v>
      </c>
      <c r="I224" t="s">
        <v>461</v>
      </c>
      <c r="J224" t="s">
        <v>439</v>
      </c>
      <c r="K224" s="4">
        <v>1185.75</v>
      </c>
      <c r="L224" s="4">
        <v>1185.75</v>
      </c>
      <c r="M224" t="s">
        <v>44</v>
      </c>
      <c r="N224" t="s">
        <v>77</v>
      </c>
      <c r="O224" t="s">
        <v>99</v>
      </c>
      <c r="P224" t="s">
        <v>99</v>
      </c>
      <c r="Q224" t="s">
        <v>128</v>
      </c>
      <c r="R224" t="s">
        <v>128</v>
      </c>
      <c r="S224" t="s">
        <v>197</v>
      </c>
      <c r="T224" t="s">
        <v>198</v>
      </c>
      <c r="U224" t="s">
        <v>163</v>
      </c>
      <c r="V224" t="s">
        <v>164</v>
      </c>
      <c r="W224" t="s">
        <v>77</v>
      </c>
      <c r="X224" t="s">
        <v>44</v>
      </c>
      <c r="Y224" t="s">
        <v>99</v>
      </c>
      <c r="Z224" t="s">
        <v>421</v>
      </c>
      <c r="AC224" t="str">
        <f>IF(AA224="",M224,AA224)</f>
        <v>sim</v>
      </c>
      <c r="AD224" t="str">
        <f>IF(AB224="",X224,AB224)</f>
        <v>sim</v>
      </c>
      <c r="AE224" t="str">
        <f>IF(OR(Configuracao!B9="",Configuracao!B10=""),"aguardando limiar",IF(AND(K224&gt;=Configuracao!B9,K224/MAX(Reconciliacao!C2,1)&gt;=Configuracao!B10/100),"sim","não"))</f>
        <v>aguardando limiar</v>
      </c>
    </row>
    <row r="225" spans="1:31" x14ac:dyDescent="0.25">
      <c r="A225">
        <v>18180</v>
      </c>
      <c r="C225" t="s">
        <v>556</v>
      </c>
      <c r="D225" t="s">
        <v>557</v>
      </c>
      <c r="E225" t="s">
        <v>467</v>
      </c>
      <c r="F225" t="s">
        <v>196</v>
      </c>
      <c r="G225" t="s">
        <v>213</v>
      </c>
      <c r="H225" t="s">
        <v>212</v>
      </c>
      <c r="I225" t="s">
        <v>442</v>
      </c>
      <c r="J225" t="s">
        <v>439</v>
      </c>
      <c r="K225" s="4">
        <v>1185.75</v>
      </c>
      <c r="L225" s="4">
        <v>1185.75</v>
      </c>
      <c r="M225" t="s">
        <v>44</v>
      </c>
      <c r="N225" t="s">
        <v>77</v>
      </c>
      <c r="O225" t="s">
        <v>99</v>
      </c>
      <c r="P225" t="s">
        <v>99</v>
      </c>
      <c r="Q225" t="s">
        <v>128</v>
      </c>
      <c r="R225" t="s">
        <v>128</v>
      </c>
      <c r="S225" t="s">
        <v>197</v>
      </c>
      <c r="T225" t="s">
        <v>198</v>
      </c>
      <c r="U225" t="s">
        <v>163</v>
      </c>
      <c r="V225" t="s">
        <v>164</v>
      </c>
      <c r="W225" t="s">
        <v>77</v>
      </c>
      <c r="X225" t="s">
        <v>44</v>
      </c>
      <c r="Y225" t="s">
        <v>99</v>
      </c>
      <c r="Z225" t="s">
        <v>421</v>
      </c>
      <c r="AC225" t="str">
        <f>IF(AA225="",M225,AA225)</f>
        <v>sim</v>
      </c>
      <c r="AD225" t="str">
        <f>IF(AB225="",X225,AB225)</f>
        <v>sim</v>
      </c>
      <c r="AE225" t="str">
        <f>IF(OR(Configuracao!B9="",Configuracao!B10=""),"aguardando limiar",IF(AND(K225&gt;=Configuracao!B9,K225/MAX(Reconciliacao!C2,1)&gt;=Configuracao!B10/100),"sim","não"))</f>
        <v>aguardando limiar</v>
      </c>
    </row>
    <row r="226" spans="1:31" x14ac:dyDescent="0.25">
      <c r="A226">
        <v>18181</v>
      </c>
      <c r="C226" t="s">
        <v>556</v>
      </c>
      <c r="D226" t="s">
        <v>557</v>
      </c>
      <c r="E226" t="s">
        <v>467</v>
      </c>
      <c r="F226" t="s">
        <v>196</v>
      </c>
      <c r="G226" t="s">
        <v>213</v>
      </c>
      <c r="H226" t="s">
        <v>212</v>
      </c>
      <c r="I226" t="s">
        <v>439</v>
      </c>
      <c r="J226" t="s">
        <v>439</v>
      </c>
      <c r="K226" s="4">
        <v>1185.75</v>
      </c>
      <c r="L226" s="4">
        <v>1185.75</v>
      </c>
      <c r="M226" t="s">
        <v>44</v>
      </c>
      <c r="N226" t="s">
        <v>77</v>
      </c>
      <c r="O226" t="s">
        <v>99</v>
      </c>
      <c r="P226" t="s">
        <v>99</v>
      </c>
      <c r="Q226" t="s">
        <v>128</v>
      </c>
      <c r="R226" t="s">
        <v>128</v>
      </c>
      <c r="S226" t="s">
        <v>197</v>
      </c>
      <c r="T226" t="s">
        <v>198</v>
      </c>
      <c r="U226" t="s">
        <v>163</v>
      </c>
      <c r="V226" t="s">
        <v>164</v>
      </c>
      <c r="W226" t="s">
        <v>77</v>
      </c>
      <c r="X226" t="s">
        <v>44</v>
      </c>
      <c r="Y226" t="s">
        <v>99</v>
      </c>
      <c r="Z226" t="s">
        <v>421</v>
      </c>
      <c r="AC226" t="str">
        <f>IF(AA226="",M226,AA226)</f>
        <v>sim</v>
      </c>
      <c r="AD226" t="str">
        <f>IF(AB226="",X226,AB226)</f>
        <v>sim</v>
      </c>
      <c r="AE226" t="str">
        <f>IF(OR(Configuracao!B9="",Configuracao!B10=""),"aguardando limiar",IF(AND(K226&gt;=Configuracao!B9,K226/MAX(Reconciliacao!C2,1)&gt;=Configuracao!B10/100),"sim","não"))</f>
        <v>aguardando limiar</v>
      </c>
    </row>
    <row r="227" spans="1:31" x14ac:dyDescent="0.25">
      <c r="A227">
        <v>18182</v>
      </c>
      <c r="C227" t="s">
        <v>556</v>
      </c>
      <c r="D227" t="s">
        <v>557</v>
      </c>
      <c r="E227" t="s">
        <v>467</v>
      </c>
      <c r="F227" t="s">
        <v>196</v>
      </c>
      <c r="G227" t="s">
        <v>213</v>
      </c>
      <c r="H227" t="s">
        <v>212</v>
      </c>
      <c r="I227" t="s">
        <v>35</v>
      </c>
      <c r="J227" t="s">
        <v>459</v>
      </c>
      <c r="K227" s="4">
        <v>1185.75</v>
      </c>
      <c r="L227" s="4">
        <v>0</v>
      </c>
      <c r="M227" t="s">
        <v>44</v>
      </c>
      <c r="N227" t="s">
        <v>77</v>
      </c>
      <c r="O227" t="s">
        <v>99</v>
      </c>
      <c r="P227" t="s">
        <v>99</v>
      </c>
      <c r="Q227" t="s">
        <v>128</v>
      </c>
      <c r="R227" t="s">
        <v>128</v>
      </c>
      <c r="S227" t="s">
        <v>197</v>
      </c>
      <c r="T227" t="s">
        <v>198</v>
      </c>
      <c r="U227" t="s">
        <v>163</v>
      </c>
      <c r="V227" t="s">
        <v>164</v>
      </c>
      <c r="W227" t="s">
        <v>77</v>
      </c>
      <c r="X227" t="s">
        <v>44</v>
      </c>
      <c r="Y227" t="s">
        <v>99</v>
      </c>
      <c r="Z227" t="s">
        <v>421</v>
      </c>
      <c r="AC227" t="str">
        <f>IF(AA227="",M227,AA227)</f>
        <v>sim</v>
      </c>
      <c r="AD227" t="str">
        <f>IF(AB227="",X227,AB227)</f>
        <v>sim</v>
      </c>
      <c r="AE227" t="str">
        <f>IF(OR(Configuracao!B9="",Configuracao!B10=""),"aguardando limiar",IF(AND(K227&gt;=Configuracao!B9,K227/MAX(Reconciliacao!C2,1)&gt;=Configuracao!B10/100),"sim","não"))</f>
        <v>aguardando limiar</v>
      </c>
    </row>
    <row r="228" spans="1:31" x14ac:dyDescent="0.25">
      <c r="A228">
        <v>16214</v>
      </c>
      <c r="C228" t="s">
        <v>554</v>
      </c>
      <c r="D228" t="s">
        <v>555</v>
      </c>
      <c r="E228" t="s">
        <v>511</v>
      </c>
      <c r="F228" t="s">
        <v>196</v>
      </c>
      <c r="G228" t="s">
        <v>213</v>
      </c>
      <c r="H228" t="s">
        <v>212</v>
      </c>
      <c r="I228" t="s">
        <v>461</v>
      </c>
      <c r="J228" t="s">
        <v>461</v>
      </c>
      <c r="K228" s="4">
        <v>1198.5</v>
      </c>
      <c r="L228" s="4">
        <v>1198.5</v>
      </c>
      <c r="M228" t="s">
        <v>44</v>
      </c>
      <c r="N228" t="s">
        <v>77</v>
      </c>
      <c r="O228" t="s">
        <v>99</v>
      </c>
      <c r="P228" t="s">
        <v>99</v>
      </c>
      <c r="Q228" t="s">
        <v>128</v>
      </c>
      <c r="R228" t="s">
        <v>128</v>
      </c>
      <c r="S228" t="s">
        <v>197</v>
      </c>
      <c r="T228" t="s">
        <v>198</v>
      </c>
      <c r="U228" t="s">
        <v>163</v>
      </c>
      <c r="V228" t="s">
        <v>164</v>
      </c>
      <c r="W228" t="s">
        <v>77</v>
      </c>
      <c r="X228" t="s">
        <v>44</v>
      </c>
      <c r="Y228" t="s">
        <v>99</v>
      </c>
      <c r="Z228" t="s">
        <v>421</v>
      </c>
      <c r="AC228" t="str">
        <f>IF(AA228="",M228,AA228)</f>
        <v>sim</v>
      </c>
      <c r="AD228" t="str">
        <f>IF(AB228="",X228,AB228)</f>
        <v>sim</v>
      </c>
      <c r="AE228" t="str">
        <f>IF(OR(Configuracao!B9="",Configuracao!B10=""),"aguardando limiar",IF(AND(K228&gt;=Configuracao!B9,K228/MAX(Reconciliacao!C2,1)&gt;=Configuracao!B10/100),"sim","não"))</f>
        <v>aguardando limiar</v>
      </c>
    </row>
    <row r="229" spans="1:31" x14ac:dyDescent="0.25">
      <c r="A229">
        <v>16215</v>
      </c>
      <c r="C229" t="s">
        <v>558</v>
      </c>
      <c r="D229" t="s">
        <v>559</v>
      </c>
      <c r="E229" t="s">
        <v>467</v>
      </c>
      <c r="F229" t="s">
        <v>196</v>
      </c>
      <c r="G229" t="s">
        <v>213</v>
      </c>
      <c r="H229" t="s">
        <v>212</v>
      </c>
      <c r="I229" t="s">
        <v>461</v>
      </c>
      <c r="J229" t="s">
        <v>461</v>
      </c>
      <c r="K229" s="4">
        <v>1198.5</v>
      </c>
      <c r="L229" s="4">
        <v>1198.5</v>
      </c>
      <c r="M229" t="s">
        <v>44</v>
      </c>
      <c r="N229" t="s">
        <v>77</v>
      </c>
      <c r="O229" t="s">
        <v>99</v>
      </c>
      <c r="P229" t="s">
        <v>99</v>
      </c>
      <c r="Q229" t="s">
        <v>128</v>
      </c>
      <c r="R229" t="s">
        <v>128</v>
      </c>
      <c r="S229" t="s">
        <v>197</v>
      </c>
      <c r="T229" t="s">
        <v>198</v>
      </c>
      <c r="U229" t="s">
        <v>163</v>
      </c>
      <c r="V229" t="s">
        <v>164</v>
      </c>
      <c r="W229" t="s">
        <v>77</v>
      </c>
      <c r="X229" t="s">
        <v>44</v>
      </c>
      <c r="Y229" t="s">
        <v>99</v>
      </c>
      <c r="Z229" t="s">
        <v>421</v>
      </c>
      <c r="AC229" t="str">
        <f>IF(AA229="",M229,AA229)</f>
        <v>sim</v>
      </c>
      <c r="AD229" t="str">
        <f>IF(AB229="",X229,AB229)</f>
        <v>sim</v>
      </c>
      <c r="AE229" t="str">
        <f>IF(OR(Configuracao!B9="",Configuracao!B10=""),"aguardando limiar",IF(AND(K229&gt;=Configuracao!B9,K229/MAX(Reconciliacao!C2,1)&gt;=Configuracao!B10/100),"sim","não"))</f>
        <v>aguardando limiar</v>
      </c>
    </row>
    <row r="230" spans="1:31" x14ac:dyDescent="0.25">
      <c r="A230">
        <v>16964</v>
      </c>
      <c r="C230" t="s">
        <v>554</v>
      </c>
      <c r="D230" t="s">
        <v>555</v>
      </c>
      <c r="E230" t="s">
        <v>511</v>
      </c>
      <c r="F230" t="s">
        <v>196</v>
      </c>
      <c r="G230" t="s">
        <v>213</v>
      </c>
      <c r="H230" t="s">
        <v>212</v>
      </c>
      <c r="I230" t="s">
        <v>461</v>
      </c>
      <c r="J230" t="s">
        <v>461</v>
      </c>
      <c r="K230" s="4">
        <v>1198.5</v>
      </c>
      <c r="L230" s="4">
        <v>1198.5</v>
      </c>
      <c r="M230" t="s">
        <v>44</v>
      </c>
      <c r="N230" t="s">
        <v>77</v>
      </c>
      <c r="O230" t="s">
        <v>99</v>
      </c>
      <c r="P230" t="s">
        <v>99</v>
      </c>
      <c r="Q230" t="s">
        <v>128</v>
      </c>
      <c r="R230" t="s">
        <v>128</v>
      </c>
      <c r="S230" t="s">
        <v>197</v>
      </c>
      <c r="T230" t="s">
        <v>198</v>
      </c>
      <c r="U230" t="s">
        <v>163</v>
      </c>
      <c r="V230" t="s">
        <v>164</v>
      </c>
      <c r="W230" t="s">
        <v>77</v>
      </c>
      <c r="X230" t="s">
        <v>44</v>
      </c>
      <c r="Y230" t="s">
        <v>99</v>
      </c>
      <c r="Z230" t="s">
        <v>421</v>
      </c>
      <c r="AC230" t="str">
        <f>IF(AA230="",M230,AA230)</f>
        <v>sim</v>
      </c>
      <c r="AD230" t="str">
        <f>IF(AB230="",X230,AB230)</f>
        <v>sim</v>
      </c>
      <c r="AE230" t="str">
        <f>IF(OR(Configuracao!B9="",Configuracao!B10=""),"aguardando limiar",IF(AND(K230&gt;=Configuracao!B9,K230/MAX(Reconciliacao!C2,1)&gt;=Configuracao!B10/100),"sim","não"))</f>
        <v>aguardando limiar</v>
      </c>
    </row>
    <row r="231" spans="1:31" x14ac:dyDescent="0.25">
      <c r="A231">
        <v>16965</v>
      </c>
      <c r="C231" t="s">
        <v>554</v>
      </c>
      <c r="D231" t="s">
        <v>555</v>
      </c>
      <c r="E231" t="s">
        <v>511</v>
      </c>
      <c r="F231" t="s">
        <v>196</v>
      </c>
      <c r="G231" t="s">
        <v>213</v>
      </c>
      <c r="H231" t="s">
        <v>212</v>
      </c>
      <c r="I231" t="s">
        <v>442</v>
      </c>
      <c r="J231" t="s">
        <v>442</v>
      </c>
      <c r="K231" s="4">
        <v>1198.5</v>
      </c>
      <c r="L231" s="4">
        <v>1198.5</v>
      </c>
      <c r="M231" t="s">
        <v>44</v>
      </c>
      <c r="N231" t="s">
        <v>77</v>
      </c>
      <c r="O231" t="s">
        <v>99</v>
      </c>
      <c r="P231" t="s">
        <v>99</v>
      </c>
      <c r="Q231" t="s">
        <v>128</v>
      </c>
      <c r="R231" t="s">
        <v>128</v>
      </c>
      <c r="S231" t="s">
        <v>197</v>
      </c>
      <c r="T231" t="s">
        <v>198</v>
      </c>
      <c r="U231" t="s">
        <v>163</v>
      </c>
      <c r="V231" t="s">
        <v>164</v>
      </c>
      <c r="W231" t="s">
        <v>77</v>
      </c>
      <c r="X231" t="s">
        <v>44</v>
      </c>
      <c r="Y231" t="s">
        <v>99</v>
      </c>
      <c r="Z231" t="s">
        <v>421</v>
      </c>
      <c r="AC231" t="str">
        <f>IF(AA231="",M231,AA231)</f>
        <v>sim</v>
      </c>
      <c r="AD231" t="str">
        <f>IF(AB231="",X231,AB231)</f>
        <v>sim</v>
      </c>
      <c r="AE231" t="str">
        <f>IF(OR(Configuracao!B9="",Configuracao!B10=""),"aguardando limiar",IF(AND(K231&gt;=Configuracao!B9,K231/MAX(Reconciliacao!C2,1)&gt;=Configuracao!B10/100),"sim","não"))</f>
        <v>aguardando limiar</v>
      </c>
    </row>
    <row r="232" spans="1:31" x14ac:dyDescent="0.25">
      <c r="A232">
        <v>16574</v>
      </c>
      <c r="C232" t="s">
        <v>544</v>
      </c>
      <c r="D232" t="s">
        <v>545</v>
      </c>
      <c r="E232" t="s">
        <v>467</v>
      </c>
      <c r="F232" t="s">
        <v>196</v>
      </c>
      <c r="G232" t="s">
        <v>213</v>
      </c>
      <c r="H232" t="s">
        <v>212</v>
      </c>
      <c r="I232" t="s">
        <v>454</v>
      </c>
      <c r="J232" t="s">
        <v>454</v>
      </c>
      <c r="K232" s="4">
        <v>1216</v>
      </c>
      <c r="L232" s="4">
        <v>1216</v>
      </c>
      <c r="M232" t="s">
        <v>44</v>
      </c>
      <c r="N232" t="s">
        <v>77</v>
      </c>
      <c r="O232" t="s">
        <v>99</v>
      </c>
      <c r="P232" t="s">
        <v>99</v>
      </c>
      <c r="Q232" t="s">
        <v>128</v>
      </c>
      <c r="R232" t="s">
        <v>128</v>
      </c>
      <c r="S232" t="s">
        <v>197</v>
      </c>
      <c r="T232" t="s">
        <v>198</v>
      </c>
      <c r="U232" t="s">
        <v>163</v>
      </c>
      <c r="V232" t="s">
        <v>164</v>
      </c>
      <c r="W232" t="s">
        <v>77</v>
      </c>
      <c r="X232" t="s">
        <v>44</v>
      </c>
      <c r="Y232" t="s">
        <v>99</v>
      </c>
      <c r="Z232" t="s">
        <v>421</v>
      </c>
      <c r="AC232" t="str">
        <f>IF(AA232="",M232,AA232)</f>
        <v>sim</v>
      </c>
      <c r="AD232" t="str">
        <f>IF(AB232="",X232,AB232)</f>
        <v>sim</v>
      </c>
      <c r="AE232" t="str">
        <f>IF(OR(Configuracao!B9="",Configuracao!B10=""),"aguardando limiar",IF(AND(K232&gt;=Configuracao!B9,K232/MAX(Reconciliacao!C2,1)&gt;=Configuracao!B10/100),"sim","não"))</f>
        <v>aguardando limiar</v>
      </c>
    </row>
    <row r="233" spans="1:31" x14ac:dyDescent="0.25">
      <c r="A233">
        <v>16579</v>
      </c>
      <c r="C233" t="s">
        <v>544</v>
      </c>
      <c r="D233" t="s">
        <v>545</v>
      </c>
      <c r="E233" t="s">
        <v>467</v>
      </c>
      <c r="F233" t="s">
        <v>196</v>
      </c>
      <c r="G233" t="s">
        <v>213</v>
      </c>
      <c r="H233" t="s">
        <v>212</v>
      </c>
      <c r="I233" t="s">
        <v>461</v>
      </c>
      <c r="J233" t="s">
        <v>439</v>
      </c>
      <c r="K233" s="4">
        <v>1216</v>
      </c>
      <c r="L233" s="4">
        <v>1216</v>
      </c>
      <c r="M233" t="s">
        <v>44</v>
      </c>
      <c r="N233" t="s">
        <v>77</v>
      </c>
      <c r="O233" t="s">
        <v>99</v>
      </c>
      <c r="P233" t="s">
        <v>99</v>
      </c>
      <c r="Q233" t="s">
        <v>128</v>
      </c>
      <c r="R233" t="s">
        <v>128</v>
      </c>
      <c r="S233" t="s">
        <v>197</v>
      </c>
      <c r="T233" t="s">
        <v>198</v>
      </c>
      <c r="U233" t="s">
        <v>163</v>
      </c>
      <c r="V233" t="s">
        <v>164</v>
      </c>
      <c r="W233" t="s">
        <v>77</v>
      </c>
      <c r="X233" t="s">
        <v>44</v>
      </c>
      <c r="Y233" t="s">
        <v>99</v>
      </c>
      <c r="Z233" t="s">
        <v>421</v>
      </c>
      <c r="AC233" t="str">
        <f>IF(AA233="",M233,AA233)</f>
        <v>sim</v>
      </c>
      <c r="AD233" t="str">
        <f>IF(AB233="",X233,AB233)</f>
        <v>sim</v>
      </c>
      <c r="AE233" t="str">
        <f>IF(OR(Configuracao!B9="",Configuracao!B10=""),"aguardando limiar",IF(AND(K233&gt;=Configuracao!B9,K233/MAX(Reconciliacao!C2,1)&gt;=Configuracao!B10/100),"sim","não"))</f>
        <v>aguardando limiar</v>
      </c>
    </row>
    <row r="234" spans="1:31" x14ac:dyDescent="0.25">
      <c r="A234">
        <v>16584</v>
      </c>
      <c r="C234" t="s">
        <v>544</v>
      </c>
      <c r="D234" t="s">
        <v>545</v>
      </c>
      <c r="E234" t="s">
        <v>467</v>
      </c>
      <c r="F234" t="s">
        <v>196</v>
      </c>
      <c r="G234" t="s">
        <v>213</v>
      </c>
      <c r="H234" t="s">
        <v>212</v>
      </c>
      <c r="I234" t="s">
        <v>442</v>
      </c>
      <c r="J234" t="s">
        <v>99</v>
      </c>
      <c r="K234" s="4">
        <v>1216</v>
      </c>
      <c r="L234" s="4">
        <v>0</v>
      </c>
      <c r="M234" t="s">
        <v>44</v>
      </c>
      <c r="N234" t="s">
        <v>77</v>
      </c>
      <c r="O234" t="s">
        <v>99</v>
      </c>
      <c r="P234" t="s">
        <v>99</v>
      </c>
      <c r="Q234" t="s">
        <v>128</v>
      </c>
      <c r="R234" t="s">
        <v>128</v>
      </c>
      <c r="S234" t="s">
        <v>197</v>
      </c>
      <c r="T234" t="s">
        <v>198</v>
      </c>
      <c r="U234" t="s">
        <v>163</v>
      </c>
      <c r="V234" t="s">
        <v>164</v>
      </c>
      <c r="W234" t="s">
        <v>77</v>
      </c>
      <c r="X234" t="s">
        <v>44</v>
      </c>
      <c r="Y234" t="s">
        <v>99</v>
      </c>
      <c r="Z234" t="s">
        <v>421</v>
      </c>
      <c r="AC234" t="str">
        <f>IF(AA234="",M234,AA234)</f>
        <v>sim</v>
      </c>
      <c r="AD234" t="str">
        <f>IF(AB234="",X234,AB234)</f>
        <v>sim</v>
      </c>
      <c r="AE234" t="str">
        <f>IF(OR(Configuracao!B9="",Configuracao!B10=""),"aguardando limiar",IF(AND(K234&gt;=Configuracao!B9,K234/MAX(Reconciliacao!C2,1)&gt;=Configuracao!B10/100),"sim","não"))</f>
        <v>aguardando limiar</v>
      </c>
    </row>
    <row r="235" spans="1:31" x14ac:dyDescent="0.25">
      <c r="A235">
        <v>16589</v>
      </c>
      <c r="C235" t="s">
        <v>544</v>
      </c>
      <c r="D235" t="s">
        <v>545</v>
      </c>
      <c r="E235" t="s">
        <v>467</v>
      </c>
      <c r="F235" t="s">
        <v>196</v>
      </c>
      <c r="G235" t="s">
        <v>213</v>
      </c>
      <c r="H235" t="s">
        <v>212</v>
      </c>
      <c r="I235" t="s">
        <v>439</v>
      </c>
      <c r="J235" t="s">
        <v>99</v>
      </c>
      <c r="K235" s="4">
        <v>1216</v>
      </c>
      <c r="L235" s="4">
        <v>0</v>
      </c>
      <c r="M235" t="s">
        <v>44</v>
      </c>
      <c r="N235" t="s">
        <v>77</v>
      </c>
      <c r="O235" t="s">
        <v>99</v>
      </c>
      <c r="P235" t="s">
        <v>99</v>
      </c>
      <c r="Q235" t="s">
        <v>128</v>
      </c>
      <c r="R235" t="s">
        <v>128</v>
      </c>
      <c r="S235" t="s">
        <v>197</v>
      </c>
      <c r="T235" t="s">
        <v>198</v>
      </c>
      <c r="U235" t="s">
        <v>163</v>
      </c>
      <c r="V235" t="s">
        <v>164</v>
      </c>
      <c r="W235" t="s">
        <v>77</v>
      </c>
      <c r="X235" t="s">
        <v>44</v>
      </c>
      <c r="Y235" t="s">
        <v>99</v>
      </c>
      <c r="Z235" t="s">
        <v>421</v>
      </c>
      <c r="AC235" t="str">
        <f>IF(AA235="",M235,AA235)</f>
        <v>sim</v>
      </c>
      <c r="AD235" t="str">
        <f>IF(AB235="",X235,AB235)</f>
        <v>sim</v>
      </c>
      <c r="AE235" t="str">
        <f>IF(OR(Configuracao!B9="",Configuracao!B10=""),"aguardando limiar",IF(AND(K235&gt;=Configuracao!B9,K235/MAX(Reconciliacao!C2,1)&gt;=Configuracao!B10/100),"sim","não"))</f>
        <v>aguardando limiar</v>
      </c>
    </row>
    <row r="236" spans="1:31" x14ac:dyDescent="0.25">
      <c r="A236">
        <v>16594</v>
      </c>
      <c r="C236" t="s">
        <v>544</v>
      </c>
      <c r="D236" t="s">
        <v>545</v>
      </c>
      <c r="E236" t="s">
        <v>467</v>
      </c>
      <c r="F236" t="s">
        <v>196</v>
      </c>
      <c r="G236" t="s">
        <v>213</v>
      </c>
      <c r="H236" t="s">
        <v>212</v>
      </c>
      <c r="I236" t="s">
        <v>35</v>
      </c>
      <c r="J236" t="s">
        <v>99</v>
      </c>
      <c r="K236" s="4">
        <v>1216</v>
      </c>
      <c r="L236" s="4">
        <v>0</v>
      </c>
      <c r="M236" t="s">
        <v>44</v>
      </c>
      <c r="N236" t="s">
        <v>77</v>
      </c>
      <c r="O236" t="s">
        <v>99</v>
      </c>
      <c r="P236" t="s">
        <v>99</v>
      </c>
      <c r="Q236" t="s">
        <v>128</v>
      </c>
      <c r="R236" t="s">
        <v>128</v>
      </c>
      <c r="S236" t="s">
        <v>197</v>
      </c>
      <c r="T236" t="s">
        <v>198</v>
      </c>
      <c r="U236" t="s">
        <v>163</v>
      </c>
      <c r="V236" t="s">
        <v>164</v>
      </c>
      <c r="W236" t="s">
        <v>77</v>
      </c>
      <c r="X236" t="s">
        <v>44</v>
      </c>
      <c r="Y236" t="s">
        <v>99</v>
      </c>
      <c r="Z236" t="s">
        <v>421</v>
      </c>
      <c r="AC236" t="str">
        <f>IF(AA236="",M236,AA236)</f>
        <v>sim</v>
      </c>
      <c r="AD236" t="str">
        <f>IF(AB236="",X236,AB236)</f>
        <v>sim</v>
      </c>
      <c r="AE236" t="str">
        <f>IF(OR(Configuracao!B9="",Configuracao!B10=""),"aguardando limiar",IF(AND(K236&gt;=Configuracao!B9,K236/MAX(Reconciliacao!C2,1)&gt;=Configuracao!B10/100),"sim","não"))</f>
        <v>aguardando limiar</v>
      </c>
    </row>
    <row r="237" spans="1:31" x14ac:dyDescent="0.25">
      <c r="A237">
        <v>16660</v>
      </c>
      <c r="C237" t="s">
        <v>544</v>
      </c>
      <c r="D237" t="s">
        <v>545</v>
      </c>
      <c r="E237" t="s">
        <v>467</v>
      </c>
      <c r="F237" t="s">
        <v>196</v>
      </c>
      <c r="G237" t="s">
        <v>213</v>
      </c>
      <c r="H237" t="s">
        <v>212</v>
      </c>
      <c r="I237" t="s">
        <v>454</v>
      </c>
      <c r="J237" t="s">
        <v>461</v>
      </c>
      <c r="K237" s="4">
        <v>1216</v>
      </c>
      <c r="L237" s="4">
        <v>1216</v>
      </c>
      <c r="M237" t="s">
        <v>44</v>
      </c>
      <c r="N237" t="s">
        <v>77</v>
      </c>
      <c r="O237" t="s">
        <v>99</v>
      </c>
      <c r="P237" t="s">
        <v>99</v>
      </c>
      <c r="Q237" t="s">
        <v>128</v>
      </c>
      <c r="R237" t="s">
        <v>128</v>
      </c>
      <c r="S237" t="s">
        <v>197</v>
      </c>
      <c r="T237" t="s">
        <v>198</v>
      </c>
      <c r="U237" t="s">
        <v>163</v>
      </c>
      <c r="V237" t="s">
        <v>164</v>
      </c>
      <c r="W237" t="s">
        <v>77</v>
      </c>
      <c r="X237" t="s">
        <v>44</v>
      </c>
      <c r="Y237" t="s">
        <v>99</v>
      </c>
      <c r="Z237" t="s">
        <v>421</v>
      </c>
      <c r="AC237" t="str">
        <f>IF(AA237="",M237,AA237)</f>
        <v>sim</v>
      </c>
      <c r="AD237" t="str">
        <f>IF(AB237="",X237,AB237)</f>
        <v>sim</v>
      </c>
      <c r="AE237" t="str">
        <f>IF(OR(Configuracao!B9="",Configuracao!B10=""),"aguardando limiar",IF(AND(K237&gt;=Configuracao!B9,K237/MAX(Reconciliacao!C2,1)&gt;=Configuracao!B10/100),"sim","não"))</f>
        <v>aguardando limiar</v>
      </c>
    </row>
    <row r="238" spans="1:31" x14ac:dyDescent="0.25">
      <c r="A238">
        <v>17333</v>
      </c>
      <c r="C238" t="s">
        <v>560</v>
      </c>
      <c r="D238" t="s">
        <v>527</v>
      </c>
      <c r="E238" t="s">
        <v>467</v>
      </c>
      <c r="F238" t="s">
        <v>196</v>
      </c>
      <c r="G238" t="s">
        <v>213</v>
      </c>
      <c r="H238" t="s">
        <v>212</v>
      </c>
      <c r="I238" t="s">
        <v>442</v>
      </c>
      <c r="J238" t="s">
        <v>442</v>
      </c>
      <c r="K238" s="4">
        <v>1225.13</v>
      </c>
      <c r="L238" s="4">
        <v>1225.13</v>
      </c>
      <c r="M238" t="s">
        <v>44</v>
      </c>
      <c r="N238" t="s">
        <v>77</v>
      </c>
      <c r="O238" t="s">
        <v>99</v>
      </c>
      <c r="P238" t="s">
        <v>99</v>
      </c>
      <c r="Q238" t="s">
        <v>128</v>
      </c>
      <c r="R238" t="s">
        <v>128</v>
      </c>
      <c r="S238" t="s">
        <v>197</v>
      </c>
      <c r="T238" t="s">
        <v>198</v>
      </c>
      <c r="U238" t="s">
        <v>163</v>
      </c>
      <c r="V238" t="s">
        <v>164</v>
      </c>
      <c r="W238" t="s">
        <v>77</v>
      </c>
      <c r="X238" t="s">
        <v>44</v>
      </c>
      <c r="Y238" t="s">
        <v>99</v>
      </c>
      <c r="Z238" t="s">
        <v>421</v>
      </c>
      <c r="AC238" t="str">
        <f>IF(AA238="",M238,AA238)</f>
        <v>sim</v>
      </c>
      <c r="AD238" t="str">
        <f>IF(AB238="",X238,AB238)</f>
        <v>sim</v>
      </c>
      <c r="AE238" t="str">
        <f>IF(OR(Configuracao!B9="",Configuracao!B10=""),"aguardando limiar",IF(AND(K238&gt;=Configuracao!B9,K238/MAX(Reconciliacao!C2,1)&gt;=Configuracao!B10/100),"sim","não"))</f>
        <v>aguardando limiar</v>
      </c>
    </row>
    <row r="239" spans="1:31" x14ac:dyDescent="0.25">
      <c r="A239">
        <v>11292</v>
      </c>
      <c r="C239" t="s">
        <v>558</v>
      </c>
      <c r="D239" t="s">
        <v>559</v>
      </c>
      <c r="E239" t="s">
        <v>467</v>
      </c>
      <c r="F239" t="s">
        <v>196</v>
      </c>
      <c r="G239" t="s">
        <v>213</v>
      </c>
      <c r="H239" t="s">
        <v>212</v>
      </c>
      <c r="I239" t="s">
        <v>32</v>
      </c>
      <c r="J239" t="s">
        <v>32</v>
      </c>
      <c r="K239" s="4">
        <v>1252.5</v>
      </c>
      <c r="L239" s="4">
        <v>1252.5</v>
      </c>
      <c r="M239" t="s">
        <v>44</v>
      </c>
      <c r="N239" t="s">
        <v>77</v>
      </c>
      <c r="O239" t="s">
        <v>99</v>
      </c>
      <c r="P239" t="s">
        <v>99</v>
      </c>
      <c r="Q239" t="s">
        <v>128</v>
      </c>
      <c r="R239" t="s">
        <v>128</v>
      </c>
      <c r="S239" t="s">
        <v>197</v>
      </c>
      <c r="T239" t="s">
        <v>198</v>
      </c>
      <c r="U239" t="s">
        <v>163</v>
      </c>
      <c r="V239" t="s">
        <v>164</v>
      </c>
      <c r="W239" t="s">
        <v>77</v>
      </c>
      <c r="X239" t="s">
        <v>166</v>
      </c>
      <c r="Y239" t="s">
        <v>561</v>
      </c>
      <c r="Z239" t="s">
        <v>434</v>
      </c>
      <c r="AC239" t="str">
        <f>IF(AA239="",M239,AA239)</f>
        <v>sim</v>
      </c>
      <c r="AD239" t="str">
        <f>IF(AB239="",X239,AB239)</f>
        <v>não</v>
      </c>
      <c r="AE239" t="str">
        <f>IF(OR(Configuracao!B9="",Configuracao!B10=""),"aguardando limiar",IF(AND(K239&gt;=Configuracao!B9,K239/MAX(Reconciliacao!C2,1)&gt;=Configuracao!B10/100),"sim","não"))</f>
        <v>aguardando limiar</v>
      </c>
    </row>
    <row r="240" spans="1:31" x14ac:dyDescent="0.25">
      <c r="A240">
        <v>11989</v>
      </c>
      <c r="C240" t="s">
        <v>558</v>
      </c>
      <c r="D240" t="s">
        <v>559</v>
      </c>
      <c r="E240" t="s">
        <v>467</v>
      </c>
      <c r="F240" t="s">
        <v>196</v>
      </c>
      <c r="G240" t="s">
        <v>213</v>
      </c>
      <c r="H240" t="s">
        <v>212</v>
      </c>
      <c r="I240" t="s">
        <v>32</v>
      </c>
      <c r="J240" t="s">
        <v>32</v>
      </c>
      <c r="K240" s="4">
        <v>1252.5</v>
      </c>
      <c r="L240" s="4">
        <v>1252.5</v>
      </c>
      <c r="M240" t="s">
        <v>44</v>
      </c>
      <c r="N240" t="s">
        <v>77</v>
      </c>
      <c r="O240" t="s">
        <v>99</v>
      </c>
      <c r="P240" t="s">
        <v>99</v>
      </c>
      <c r="Q240" t="s">
        <v>128</v>
      </c>
      <c r="R240" t="s">
        <v>128</v>
      </c>
      <c r="S240" t="s">
        <v>197</v>
      </c>
      <c r="T240" t="s">
        <v>198</v>
      </c>
      <c r="U240" t="s">
        <v>163</v>
      </c>
      <c r="V240" t="s">
        <v>164</v>
      </c>
      <c r="W240" t="s">
        <v>77</v>
      </c>
      <c r="X240" t="s">
        <v>166</v>
      </c>
      <c r="Y240" t="s">
        <v>561</v>
      </c>
      <c r="Z240" t="s">
        <v>434</v>
      </c>
      <c r="AC240" t="str">
        <f>IF(AA240="",M240,AA240)</f>
        <v>sim</v>
      </c>
      <c r="AD240" t="str">
        <f>IF(AB240="",X240,AB240)</f>
        <v>não</v>
      </c>
      <c r="AE240" t="str">
        <f>IF(OR(Configuracao!B9="",Configuracao!B10=""),"aguardando limiar",IF(AND(K240&gt;=Configuracao!B9,K240/MAX(Reconciliacao!C2,1)&gt;=Configuracao!B10/100),"sim","não"))</f>
        <v>aguardando limiar</v>
      </c>
    </row>
    <row r="241" spans="1:31" x14ac:dyDescent="0.25">
      <c r="A241">
        <v>12456</v>
      </c>
      <c r="C241" t="s">
        <v>558</v>
      </c>
      <c r="D241" t="s">
        <v>559</v>
      </c>
      <c r="E241" t="s">
        <v>467</v>
      </c>
      <c r="F241" t="s">
        <v>196</v>
      </c>
      <c r="G241" t="s">
        <v>213</v>
      </c>
      <c r="H241" t="s">
        <v>212</v>
      </c>
      <c r="I241" t="s">
        <v>424</v>
      </c>
      <c r="J241" t="s">
        <v>424</v>
      </c>
      <c r="K241" s="4">
        <v>1252.5</v>
      </c>
      <c r="L241" s="4">
        <v>1252.5</v>
      </c>
      <c r="M241" t="s">
        <v>44</v>
      </c>
      <c r="N241" t="s">
        <v>77</v>
      </c>
      <c r="O241" t="s">
        <v>99</v>
      </c>
      <c r="P241" t="s">
        <v>99</v>
      </c>
      <c r="Q241" t="s">
        <v>128</v>
      </c>
      <c r="R241" t="s">
        <v>128</v>
      </c>
      <c r="S241" t="s">
        <v>197</v>
      </c>
      <c r="T241" t="s">
        <v>198</v>
      </c>
      <c r="U241" t="s">
        <v>163</v>
      </c>
      <c r="V241" t="s">
        <v>164</v>
      </c>
      <c r="W241" t="s">
        <v>77</v>
      </c>
      <c r="X241" t="s">
        <v>166</v>
      </c>
      <c r="Y241" t="s">
        <v>561</v>
      </c>
      <c r="Z241" t="s">
        <v>434</v>
      </c>
      <c r="AC241" t="str">
        <f>IF(AA241="",M241,AA241)</f>
        <v>sim</v>
      </c>
      <c r="AD241" t="str">
        <f>IF(AB241="",X241,AB241)</f>
        <v>não</v>
      </c>
      <c r="AE241" t="str">
        <f>IF(OR(Configuracao!B9="",Configuracao!B10=""),"aguardando limiar",IF(AND(K241&gt;=Configuracao!B9,K241/MAX(Reconciliacao!C2,1)&gt;=Configuracao!B10/100),"sim","não"))</f>
        <v>aguardando limiar</v>
      </c>
    </row>
    <row r="242" spans="1:31" x14ac:dyDescent="0.25">
      <c r="A242">
        <v>18268</v>
      </c>
      <c r="C242" t="s">
        <v>562</v>
      </c>
      <c r="D242" t="s">
        <v>563</v>
      </c>
      <c r="E242" t="s">
        <v>525</v>
      </c>
      <c r="F242" t="s">
        <v>196</v>
      </c>
      <c r="G242" t="s">
        <v>213</v>
      </c>
      <c r="H242" t="s">
        <v>212</v>
      </c>
      <c r="I242" t="s">
        <v>439</v>
      </c>
      <c r="J242" t="s">
        <v>99</v>
      </c>
      <c r="K242" s="4">
        <v>1581</v>
      </c>
      <c r="L242" s="4">
        <v>0</v>
      </c>
      <c r="M242" t="s">
        <v>44</v>
      </c>
      <c r="N242" t="s">
        <v>77</v>
      </c>
      <c r="O242" t="s">
        <v>99</v>
      </c>
      <c r="P242" t="s">
        <v>99</v>
      </c>
      <c r="Q242" t="s">
        <v>128</v>
      </c>
      <c r="R242" t="s">
        <v>128</v>
      </c>
      <c r="S242" t="s">
        <v>197</v>
      </c>
      <c r="T242" t="s">
        <v>198</v>
      </c>
      <c r="U242" t="s">
        <v>163</v>
      </c>
      <c r="V242" t="s">
        <v>164</v>
      </c>
      <c r="W242" t="s">
        <v>77</v>
      </c>
      <c r="X242" t="s">
        <v>166</v>
      </c>
      <c r="Y242" t="s">
        <v>561</v>
      </c>
      <c r="Z242" t="s">
        <v>434</v>
      </c>
      <c r="AC242" t="str">
        <f>IF(AA242="",M242,AA242)</f>
        <v>sim</v>
      </c>
      <c r="AD242" t="str">
        <f>IF(AB242="",X242,AB242)</f>
        <v>não</v>
      </c>
      <c r="AE242" t="str">
        <f>IF(OR(Configuracao!B9="",Configuracao!B10=""),"aguardando limiar",IF(AND(K242&gt;=Configuracao!B9,K242/MAX(Reconciliacao!C2,1)&gt;=Configuracao!B10/100),"sim","não"))</f>
        <v>aguardando limiar</v>
      </c>
    </row>
    <row r="243" spans="1:31" x14ac:dyDescent="0.25">
      <c r="A243">
        <v>18482</v>
      </c>
      <c r="C243" t="s">
        <v>564</v>
      </c>
      <c r="D243" t="s">
        <v>565</v>
      </c>
      <c r="E243" t="s">
        <v>525</v>
      </c>
      <c r="F243" t="s">
        <v>196</v>
      </c>
      <c r="G243" t="s">
        <v>213</v>
      </c>
      <c r="H243" t="s">
        <v>212</v>
      </c>
      <c r="I243" t="s">
        <v>439</v>
      </c>
      <c r="J243" t="s">
        <v>439</v>
      </c>
      <c r="K243" s="4">
        <v>1581</v>
      </c>
      <c r="L243" s="4">
        <v>1581</v>
      </c>
      <c r="M243" t="s">
        <v>44</v>
      </c>
      <c r="N243" t="s">
        <v>77</v>
      </c>
      <c r="O243" t="s">
        <v>99</v>
      </c>
      <c r="P243" t="s">
        <v>99</v>
      </c>
      <c r="Q243" t="s">
        <v>128</v>
      </c>
      <c r="R243" t="s">
        <v>128</v>
      </c>
      <c r="S243" t="s">
        <v>197</v>
      </c>
      <c r="T243" t="s">
        <v>198</v>
      </c>
      <c r="U243" t="s">
        <v>163</v>
      </c>
      <c r="V243" t="s">
        <v>164</v>
      </c>
      <c r="W243" t="s">
        <v>77</v>
      </c>
      <c r="X243" t="s">
        <v>166</v>
      </c>
      <c r="Y243" t="s">
        <v>561</v>
      </c>
      <c r="Z243" t="s">
        <v>434</v>
      </c>
      <c r="AC243" t="str">
        <f>IF(AA243="",M243,AA243)</f>
        <v>sim</v>
      </c>
      <c r="AD243" t="str">
        <f>IF(AB243="",X243,AB243)</f>
        <v>não</v>
      </c>
      <c r="AE243" t="str">
        <f>IF(OR(Configuracao!B9="",Configuracao!B10=""),"aguardando limiar",IF(AND(K243&gt;=Configuracao!B9,K243/MAX(Reconciliacao!C2,1)&gt;=Configuracao!B10/100),"sim","não"))</f>
        <v>aguardando limiar</v>
      </c>
    </row>
    <row r="244" spans="1:31" x14ac:dyDescent="0.25">
      <c r="A244">
        <v>18483</v>
      </c>
      <c r="C244" t="s">
        <v>564</v>
      </c>
      <c r="D244" t="s">
        <v>565</v>
      </c>
      <c r="E244" t="s">
        <v>525</v>
      </c>
      <c r="F244" t="s">
        <v>196</v>
      </c>
      <c r="G244" t="s">
        <v>213</v>
      </c>
      <c r="H244" t="s">
        <v>212</v>
      </c>
      <c r="I244" t="s">
        <v>439</v>
      </c>
      <c r="J244" t="s">
        <v>35</v>
      </c>
      <c r="K244" s="4">
        <v>1581</v>
      </c>
      <c r="L244" s="4">
        <v>1581</v>
      </c>
      <c r="M244" t="s">
        <v>44</v>
      </c>
      <c r="N244" t="s">
        <v>77</v>
      </c>
      <c r="O244" t="s">
        <v>99</v>
      </c>
      <c r="P244" t="s">
        <v>99</v>
      </c>
      <c r="Q244" t="s">
        <v>128</v>
      </c>
      <c r="R244" t="s">
        <v>128</v>
      </c>
      <c r="S244" t="s">
        <v>197</v>
      </c>
      <c r="T244" t="s">
        <v>198</v>
      </c>
      <c r="U244" t="s">
        <v>163</v>
      </c>
      <c r="V244" t="s">
        <v>164</v>
      </c>
      <c r="W244" t="s">
        <v>77</v>
      </c>
      <c r="X244" t="s">
        <v>166</v>
      </c>
      <c r="Y244" t="s">
        <v>561</v>
      </c>
      <c r="Z244" t="s">
        <v>434</v>
      </c>
      <c r="AC244" t="str">
        <f>IF(AA244="",M244,AA244)</f>
        <v>sim</v>
      </c>
      <c r="AD244" t="str">
        <f>IF(AB244="",X244,AB244)</f>
        <v>não</v>
      </c>
      <c r="AE244" t="str">
        <f>IF(OR(Configuracao!B9="",Configuracao!B10=""),"aguardando limiar",IF(AND(K244&gt;=Configuracao!B9,K244/MAX(Reconciliacao!C2,1)&gt;=Configuracao!B10/100),"sim","não"))</f>
        <v>aguardando limiar</v>
      </c>
    </row>
    <row r="245" spans="1:31" x14ac:dyDescent="0.25">
      <c r="A245">
        <v>18484</v>
      </c>
      <c r="C245" t="s">
        <v>564</v>
      </c>
      <c r="D245" t="s">
        <v>565</v>
      </c>
      <c r="E245" t="s">
        <v>525</v>
      </c>
      <c r="F245" t="s">
        <v>196</v>
      </c>
      <c r="G245" t="s">
        <v>213</v>
      </c>
      <c r="H245" t="s">
        <v>212</v>
      </c>
      <c r="I245" t="s">
        <v>35</v>
      </c>
      <c r="J245" t="s">
        <v>459</v>
      </c>
      <c r="K245" s="4">
        <v>1581</v>
      </c>
      <c r="L245" s="4">
        <v>0</v>
      </c>
      <c r="M245" t="s">
        <v>44</v>
      </c>
      <c r="N245" t="s">
        <v>77</v>
      </c>
      <c r="O245" t="s">
        <v>99</v>
      </c>
      <c r="P245" t="s">
        <v>99</v>
      </c>
      <c r="Q245" t="s">
        <v>128</v>
      </c>
      <c r="R245" t="s">
        <v>128</v>
      </c>
      <c r="S245" t="s">
        <v>197</v>
      </c>
      <c r="T245" t="s">
        <v>198</v>
      </c>
      <c r="U245" t="s">
        <v>163</v>
      </c>
      <c r="V245" t="s">
        <v>164</v>
      </c>
      <c r="W245" t="s">
        <v>77</v>
      </c>
      <c r="X245" t="s">
        <v>166</v>
      </c>
      <c r="Y245" t="s">
        <v>561</v>
      </c>
      <c r="Z245" t="s">
        <v>434</v>
      </c>
      <c r="AC245" t="str">
        <f>IF(AA245="",M245,AA245)</f>
        <v>sim</v>
      </c>
      <c r="AD245" t="str">
        <f>IF(AB245="",X245,AB245)</f>
        <v>não</v>
      </c>
      <c r="AE245" t="str">
        <f>IF(OR(Configuracao!B9="",Configuracao!B10=""),"aguardando limiar",IF(AND(K245&gt;=Configuracao!B9,K245/MAX(Reconciliacao!C2,1)&gt;=Configuracao!B10/100),"sim","não"))</f>
        <v>aguardando limiar</v>
      </c>
    </row>
    <row r="246" spans="1:31" x14ac:dyDescent="0.25">
      <c r="A246">
        <v>14590</v>
      </c>
      <c r="C246" t="s">
        <v>564</v>
      </c>
      <c r="D246" t="s">
        <v>565</v>
      </c>
      <c r="E246" t="s">
        <v>525</v>
      </c>
      <c r="F246" t="s">
        <v>196</v>
      </c>
      <c r="G246" t="s">
        <v>213</v>
      </c>
      <c r="H246" t="s">
        <v>212</v>
      </c>
      <c r="I246" t="s">
        <v>454</v>
      </c>
      <c r="J246" t="s">
        <v>454</v>
      </c>
      <c r="K246" s="4">
        <v>1598</v>
      </c>
      <c r="L246" s="4">
        <v>1598</v>
      </c>
      <c r="M246" t="s">
        <v>44</v>
      </c>
      <c r="N246" t="s">
        <v>77</v>
      </c>
      <c r="O246" t="s">
        <v>99</v>
      </c>
      <c r="P246" t="s">
        <v>99</v>
      </c>
      <c r="Q246" t="s">
        <v>128</v>
      </c>
      <c r="R246" t="s">
        <v>128</v>
      </c>
      <c r="S246" t="s">
        <v>197</v>
      </c>
      <c r="T246" t="s">
        <v>198</v>
      </c>
      <c r="U246" t="s">
        <v>163</v>
      </c>
      <c r="V246" t="s">
        <v>164</v>
      </c>
      <c r="W246" t="s">
        <v>77</v>
      </c>
      <c r="X246" t="s">
        <v>166</v>
      </c>
      <c r="Y246" t="s">
        <v>561</v>
      </c>
      <c r="Z246" t="s">
        <v>434</v>
      </c>
      <c r="AC246" t="str">
        <f>IF(AA246="",M246,AA246)</f>
        <v>sim</v>
      </c>
      <c r="AD246" t="str">
        <f>IF(AB246="",X246,AB246)</f>
        <v>não</v>
      </c>
      <c r="AE246" t="str">
        <f>IF(OR(Configuracao!B9="",Configuracao!B10=""),"aguardando limiar",IF(AND(K246&gt;=Configuracao!B9,K246/MAX(Reconciliacao!C2,1)&gt;=Configuracao!B10/100),"sim","não"))</f>
        <v>aguardando limiar</v>
      </c>
    </row>
    <row r="247" spans="1:31" x14ac:dyDescent="0.25">
      <c r="A247">
        <v>15849</v>
      </c>
      <c r="C247" t="s">
        <v>564</v>
      </c>
      <c r="D247" t="s">
        <v>565</v>
      </c>
      <c r="E247" t="s">
        <v>525</v>
      </c>
      <c r="F247" t="s">
        <v>196</v>
      </c>
      <c r="G247" t="s">
        <v>213</v>
      </c>
      <c r="H247" t="s">
        <v>212</v>
      </c>
      <c r="I247" t="s">
        <v>454</v>
      </c>
      <c r="J247" t="s">
        <v>454</v>
      </c>
      <c r="K247" s="4">
        <v>1598</v>
      </c>
      <c r="L247" s="4">
        <v>1598</v>
      </c>
      <c r="M247" t="s">
        <v>44</v>
      </c>
      <c r="N247" t="s">
        <v>77</v>
      </c>
      <c r="O247" t="s">
        <v>99</v>
      </c>
      <c r="P247" t="s">
        <v>99</v>
      </c>
      <c r="Q247" t="s">
        <v>128</v>
      </c>
      <c r="R247" t="s">
        <v>128</v>
      </c>
      <c r="S247" t="s">
        <v>197</v>
      </c>
      <c r="T247" t="s">
        <v>198</v>
      </c>
      <c r="U247" t="s">
        <v>163</v>
      </c>
      <c r="V247" t="s">
        <v>164</v>
      </c>
      <c r="W247" t="s">
        <v>77</v>
      </c>
      <c r="X247" t="s">
        <v>166</v>
      </c>
      <c r="Y247" t="s">
        <v>561</v>
      </c>
      <c r="Z247" t="s">
        <v>434</v>
      </c>
      <c r="AC247" t="str">
        <f>IF(AA247="",M247,AA247)</f>
        <v>sim</v>
      </c>
      <c r="AD247" t="str">
        <f>IF(AB247="",X247,AB247)</f>
        <v>não</v>
      </c>
      <c r="AE247" t="str">
        <f>IF(OR(Configuracao!B9="",Configuracao!B10=""),"aguardando limiar",IF(AND(K247&gt;=Configuracao!B9,K247/MAX(Reconciliacao!C2,1)&gt;=Configuracao!B10/100),"sim","não"))</f>
        <v>aguardando limiar</v>
      </c>
    </row>
    <row r="248" spans="1:31" x14ac:dyDescent="0.25">
      <c r="A248">
        <v>17357</v>
      </c>
      <c r="C248" t="s">
        <v>564</v>
      </c>
      <c r="D248" t="s">
        <v>565</v>
      </c>
      <c r="E248" t="s">
        <v>525</v>
      </c>
      <c r="F248" t="s">
        <v>196</v>
      </c>
      <c r="G248" t="s">
        <v>213</v>
      </c>
      <c r="H248" t="s">
        <v>212</v>
      </c>
      <c r="I248" t="s">
        <v>442</v>
      </c>
      <c r="J248" t="s">
        <v>442</v>
      </c>
      <c r="K248" s="4">
        <v>1598</v>
      </c>
      <c r="L248" s="4">
        <v>1598</v>
      </c>
      <c r="M248" t="s">
        <v>44</v>
      </c>
      <c r="N248" t="s">
        <v>77</v>
      </c>
      <c r="O248" t="s">
        <v>99</v>
      </c>
      <c r="P248" t="s">
        <v>99</v>
      </c>
      <c r="Q248" t="s">
        <v>128</v>
      </c>
      <c r="R248" t="s">
        <v>128</v>
      </c>
      <c r="S248" t="s">
        <v>197</v>
      </c>
      <c r="T248" t="s">
        <v>198</v>
      </c>
      <c r="U248" t="s">
        <v>163</v>
      </c>
      <c r="V248" t="s">
        <v>164</v>
      </c>
      <c r="W248" t="s">
        <v>77</v>
      </c>
      <c r="X248" t="s">
        <v>166</v>
      </c>
      <c r="Y248" t="s">
        <v>561</v>
      </c>
      <c r="Z248" t="s">
        <v>434</v>
      </c>
      <c r="AC248" t="str">
        <f>IF(AA248="",M248,AA248)</f>
        <v>sim</v>
      </c>
      <c r="AD248" t="str">
        <f>IF(AB248="",X248,AB248)</f>
        <v>não</v>
      </c>
      <c r="AE248" t="str">
        <f>IF(OR(Configuracao!B9="",Configuracao!B10=""),"aguardando limiar",IF(AND(K248&gt;=Configuracao!B9,K248/MAX(Reconciliacao!C2,1)&gt;=Configuracao!B10/100),"sim","não"))</f>
        <v>aguardando limiar</v>
      </c>
    </row>
    <row r="249" spans="1:31" x14ac:dyDescent="0.25">
      <c r="A249">
        <v>12822</v>
      </c>
      <c r="C249" t="s">
        <v>552</v>
      </c>
      <c r="D249" t="s">
        <v>527</v>
      </c>
      <c r="E249" t="s">
        <v>467</v>
      </c>
      <c r="F249" t="s">
        <v>196</v>
      </c>
      <c r="G249" t="s">
        <v>213</v>
      </c>
      <c r="H249" t="s">
        <v>212</v>
      </c>
      <c r="I249" t="s">
        <v>420</v>
      </c>
      <c r="J249" t="s">
        <v>420</v>
      </c>
      <c r="K249" s="4">
        <v>1670</v>
      </c>
      <c r="L249" s="4">
        <v>1670</v>
      </c>
      <c r="M249" t="s">
        <v>44</v>
      </c>
      <c r="N249" t="s">
        <v>77</v>
      </c>
      <c r="O249" t="s">
        <v>99</v>
      </c>
      <c r="P249" t="s">
        <v>99</v>
      </c>
      <c r="Q249" t="s">
        <v>128</v>
      </c>
      <c r="R249" t="s">
        <v>128</v>
      </c>
      <c r="S249" t="s">
        <v>197</v>
      </c>
      <c r="T249" t="s">
        <v>198</v>
      </c>
      <c r="U249" t="s">
        <v>163</v>
      </c>
      <c r="V249" t="s">
        <v>164</v>
      </c>
      <c r="W249" t="s">
        <v>77</v>
      </c>
      <c r="X249" t="s">
        <v>166</v>
      </c>
      <c r="Y249" t="s">
        <v>561</v>
      </c>
      <c r="Z249" t="s">
        <v>434</v>
      </c>
      <c r="AC249" t="str">
        <f>IF(AA249="",M249,AA249)</f>
        <v>sim</v>
      </c>
      <c r="AD249" t="str">
        <f>IF(AB249="",X249,AB249)</f>
        <v>não</v>
      </c>
      <c r="AE249" t="str">
        <f>IF(OR(Configuracao!B9="",Configuracao!B10=""),"aguardando limiar",IF(AND(K249&gt;=Configuracao!B9,K249/MAX(Reconciliacao!C2,1)&gt;=Configuracao!B10/100),"sim","não"))</f>
        <v>aguardando limiar</v>
      </c>
    </row>
    <row r="250" spans="1:31" x14ac:dyDescent="0.25">
      <c r="A250">
        <v>14177</v>
      </c>
      <c r="C250" t="s">
        <v>566</v>
      </c>
      <c r="D250" t="s">
        <v>527</v>
      </c>
      <c r="E250" t="s">
        <v>467</v>
      </c>
      <c r="F250" t="s">
        <v>196</v>
      </c>
      <c r="G250" t="s">
        <v>213</v>
      </c>
      <c r="H250" t="s">
        <v>212</v>
      </c>
      <c r="I250" t="s">
        <v>454</v>
      </c>
      <c r="J250" t="s">
        <v>454</v>
      </c>
      <c r="K250" s="4">
        <v>1813.62</v>
      </c>
      <c r="L250" s="4">
        <v>1813.62</v>
      </c>
      <c r="M250" t="s">
        <v>44</v>
      </c>
      <c r="N250" t="s">
        <v>77</v>
      </c>
      <c r="O250" t="s">
        <v>99</v>
      </c>
      <c r="P250" t="s">
        <v>99</v>
      </c>
      <c r="Q250" t="s">
        <v>128</v>
      </c>
      <c r="R250" t="s">
        <v>128</v>
      </c>
      <c r="S250" t="s">
        <v>197</v>
      </c>
      <c r="T250" t="s">
        <v>198</v>
      </c>
      <c r="U250" t="s">
        <v>163</v>
      </c>
      <c r="V250" t="s">
        <v>164</v>
      </c>
      <c r="W250" t="s">
        <v>77</v>
      </c>
      <c r="X250" t="s">
        <v>166</v>
      </c>
      <c r="Y250" t="s">
        <v>561</v>
      </c>
      <c r="Z250" t="s">
        <v>434</v>
      </c>
      <c r="AC250" t="str">
        <f>IF(AA250="",M250,AA250)</f>
        <v>sim</v>
      </c>
      <c r="AD250" t="str">
        <f>IF(AB250="",X250,AB250)</f>
        <v>não</v>
      </c>
      <c r="AE250" t="str">
        <f>IF(OR(Configuracao!B9="",Configuracao!B10=""),"aguardando limiar",IF(AND(K250&gt;=Configuracao!B9,K250/MAX(Reconciliacao!C2,1)&gt;=Configuracao!B10/100),"sim","não"))</f>
        <v>aguardando limiar</v>
      </c>
    </row>
    <row r="251" spans="1:31" x14ac:dyDescent="0.25">
      <c r="A251">
        <v>12440</v>
      </c>
      <c r="C251" t="s">
        <v>567</v>
      </c>
      <c r="D251" t="s">
        <v>527</v>
      </c>
      <c r="E251" t="s">
        <v>467</v>
      </c>
      <c r="F251" t="s">
        <v>196</v>
      </c>
      <c r="G251" t="s">
        <v>213</v>
      </c>
      <c r="H251" t="s">
        <v>212</v>
      </c>
      <c r="I251" t="s">
        <v>424</v>
      </c>
      <c r="J251" t="s">
        <v>424</v>
      </c>
      <c r="K251" s="4">
        <v>2024.87</v>
      </c>
      <c r="L251" s="4">
        <v>2024.87</v>
      </c>
      <c r="M251" t="s">
        <v>44</v>
      </c>
      <c r="N251" t="s">
        <v>77</v>
      </c>
      <c r="O251" t="s">
        <v>99</v>
      </c>
      <c r="P251" t="s">
        <v>99</v>
      </c>
      <c r="Q251" t="s">
        <v>128</v>
      </c>
      <c r="R251" t="s">
        <v>128</v>
      </c>
      <c r="S251" t="s">
        <v>197</v>
      </c>
      <c r="T251" t="s">
        <v>198</v>
      </c>
      <c r="U251" t="s">
        <v>163</v>
      </c>
      <c r="V251" t="s">
        <v>164</v>
      </c>
      <c r="W251" t="s">
        <v>77</v>
      </c>
      <c r="X251" t="s">
        <v>166</v>
      </c>
      <c r="Y251" t="s">
        <v>561</v>
      </c>
      <c r="Z251" t="s">
        <v>434</v>
      </c>
      <c r="AC251" t="str">
        <f>IF(AA251="",M251,AA251)</f>
        <v>sim</v>
      </c>
      <c r="AD251" t="str">
        <f>IF(AB251="",X251,AB251)</f>
        <v>não</v>
      </c>
      <c r="AE251" t="str">
        <f>IF(OR(Configuracao!B9="",Configuracao!B10=""),"aguardando limiar",IF(AND(K251&gt;=Configuracao!B9,K251/MAX(Reconciliacao!C2,1)&gt;=Configuracao!B10/100),"sim","não"))</f>
        <v>aguardando limiar</v>
      </c>
    </row>
    <row r="252" spans="1:31" x14ac:dyDescent="0.25">
      <c r="A252">
        <v>10368</v>
      </c>
      <c r="C252" t="s">
        <v>535</v>
      </c>
      <c r="D252" t="s">
        <v>536</v>
      </c>
      <c r="E252" t="s">
        <v>467</v>
      </c>
      <c r="F252" t="s">
        <v>196</v>
      </c>
      <c r="G252" t="s">
        <v>213</v>
      </c>
      <c r="H252" t="s">
        <v>212</v>
      </c>
      <c r="I252" t="s">
        <v>32</v>
      </c>
      <c r="J252" t="s">
        <v>424</v>
      </c>
      <c r="K252" s="4">
        <v>2194.5</v>
      </c>
      <c r="L252" s="4">
        <v>2194.5</v>
      </c>
      <c r="M252" t="s">
        <v>44</v>
      </c>
      <c r="N252" t="s">
        <v>77</v>
      </c>
      <c r="O252" t="s">
        <v>99</v>
      </c>
      <c r="P252" t="s">
        <v>99</v>
      </c>
      <c r="Q252" t="s">
        <v>128</v>
      </c>
      <c r="R252" t="s">
        <v>128</v>
      </c>
      <c r="S252" t="s">
        <v>197</v>
      </c>
      <c r="T252" t="s">
        <v>198</v>
      </c>
      <c r="U252" t="s">
        <v>163</v>
      </c>
      <c r="V252" t="s">
        <v>164</v>
      </c>
      <c r="W252" t="s">
        <v>77</v>
      </c>
      <c r="X252" t="s">
        <v>166</v>
      </c>
      <c r="Y252" t="s">
        <v>561</v>
      </c>
      <c r="Z252" t="s">
        <v>434</v>
      </c>
      <c r="AC252" t="str">
        <f>IF(AA252="",M252,AA252)</f>
        <v>sim</v>
      </c>
      <c r="AD252" t="str">
        <f>IF(AB252="",X252,AB252)</f>
        <v>não</v>
      </c>
      <c r="AE252" t="str">
        <f>IF(OR(Configuracao!B9="",Configuracao!B10=""),"aguardando limiar",IF(AND(K252&gt;=Configuracao!B9,K252/MAX(Reconciliacao!C2,1)&gt;=Configuracao!B10/100),"sim","não"))</f>
        <v>aguardando limiar</v>
      </c>
    </row>
    <row r="253" spans="1:31" x14ac:dyDescent="0.25">
      <c r="A253">
        <v>10369</v>
      </c>
      <c r="C253" t="s">
        <v>535</v>
      </c>
      <c r="D253" t="s">
        <v>536</v>
      </c>
      <c r="E253" t="s">
        <v>467</v>
      </c>
      <c r="F253" t="s">
        <v>196</v>
      </c>
      <c r="G253" t="s">
        <v>213</v>
      </c>
      <c r="H253" t="s">
        <v>212</v>
      </c>
      <c r="I253" t="s">
        <v>424</v>
      </c>
      <c r="J253" t="s">
        <v>420</v>
      </c>
      <c r="K253" s="4">
        <v>2194.5</v>
      </c>
      <c r="L253" s="4">
        <v>2194.5</v>
      </c>
      <c r="M253" t="s">
        <v>44</v>
      </c>
      <c r="N253" t="s">
        <v>77</v>
      </c>
      <c r="O253" t="s">
        <v>99</v>
      </c>
      <c r="P253" t="s">
        <v>99</v>
      </c>
      <c r="Q253" t="s">
        <v>128</v>
      </c>
      <c r="R253" t="s">
        <v>128</v>
      </c>
      <c r="S253" t="s">
        <v>197</v>
      </c>
      <c r="T253" t="s">
        <v>198</v>
      </c>
      <c r="U253" t="s">
        <v>163</v>
      </c>
      <c r="V253" t="s">
        <v>164</v>
      </c>
      <c r="W253" t="s">
        <v>77</v>
      </c>
      <c r="X253" t="s">
        <v>166</v>
      </c>
      <c r="Y253" t="s">
        <v>561</v>
      </c>
      <c r="Z253" t="s">
        <v>434</v>
      </c>
      <c r="AC253" t="str">
        <f>IF(AA253="",M253,AA253)</f>
        <v>sim</v>
      </c>
      <c r="AD253" t="str">
        <f>IF(AB253="",X253,AB253)</f>
        <v>não</v>
      </c>
      <c r="AE253" t="str">
        <f>IF(OR(Configuracao!B9="",Configuracao!B10=""),"aguardando limiar",IF(AND(K253&gt;=Configuracao!B9,K253/MAX(Reconciliacao!C2,1)&gt;=Configuracao!B10/100),"sim","não"))</f>
        <v>aguardando limiar</v>
      </c>
    </row>
    <row r="254" spans="1:31" x14ac:dyDescent="0.25">
      <c r="A254">
        <v>10370</v>
      </c>
      <c r="C254" t="s">
        <v>535</v>
      </c>
      <c r="D254" t="s">
        <v>536</v>
      </c>
      <c r="E254" t="s">
        <v>467</v>
      </c>
      <c r="F254" t="s">
        <v>196</v>
      </c>
      <c r="G254" t="s">
        <v>213</v>
      </c>
      <c r="H254" t="s">
        <v>212</v>
      </c>
      <c r="I254" t="s">
        <v>420</v>
      </c>
      <c r="J254" t="s">
        <v>454</v>
      </c>
      <c r="K254" s="4">
        <v>2194.5</v>
      </c>
      <c r="L254" s="4">
        <v>2194.5</v>
      </c>
      <c r="M254" t="s">
        <v>44</v>
      </c>
      <c r="N254" t="s">
        <v>77</v>
      </c>
      <c r="O254" t="s">
        <v>99</v>
      </c>
      <c r="P254" t="s">
        <v>99</v>
      </c>
      <c r="Q254" t="s">
        <v>128</v>
      </c>
      <c r="R254" t="s">
        <v>128</v>
      </c>
      <c r="S254" t="s">
        <v>197</v>
      </c>
      <c r="T254" t="s">
        <v>198</v>
      </c>
      <c r="U254" t="s">
        <v>163</v>
      </c>
      <c r="V254" t="s">
        <v>164</v>
      </c>
      <c r="W254" t="s">
        <v>77</v>
      </c>
      <c r="X254" t="s">
        <v>166</v>
      </c>
      <c r="Y254" t="s">
        <v>561</v>
      </c>
      <c r="Z254" t="s">
        <v>434</v>
      </c>
      <c r="AC254" t="str">
        <f>IF(AA254="",M254,AA254)</f>
        <v>sim</v>
      </c>
      <c r="AD254" t="str">
        <f>IF(AB254="",X254,AB254)</f>
        <v>não</v>
      </c>
      <c r="AE254" t="str">
        <f>IF(OR(Configuracao!B9="",Configuracao!B10=""),"aguardando limiar",IF(AND(K254&gt;=Configuracao!B9,K254/MAX(Reconciliacao!C2,1)&gt;=Configuracao!B10/100),"sim","não"))</f>
        <v>aguardando limiar</v>
      </c>
    </row>
    <row r="255" spans="1:31" x14ac:dyDescent="0.25">
      <c r="A255">
        <v>10371</v>
      </c>
      <c r="C255" t="s">
        <v>535</v>
      </c>
      <c r="D255" t="s">
        <v>536</v>
      </c>
      <c r="E255" t="s">
        <v>467</v>
      </c>
      <c r="F255" t="s">
        <v>196</v>
      </c>
      <c r="G255" t="s">
        <v>213</v>
      </c>
      <c r="H255" t="s">
        <v>212</v>
      </c>
      <c r="I255" t="s">
        <v>454</v>
      </c>
      <c r="J255" t="s">
        <v>454</v>
      </c>
      <c r="K255" s="4">
        <v>2194.5</v>
      </c>
      <c r="L255" s="4">
        <v>2194.5</v>
      </c>
      <c r="M255" t="s">
        <v>44</v>
      </c>
      <c r="N255" t="s">
        <v>77</v>
      </c>
      <c r="O255" t="s">
        <v>99</v>
      </c>
      <c r="P255" t="s">
        <v>99</v>
      </c>
      <c r="Q255" t="s">
        <v>128</v>
      </c>
      <c r="R255" t="s">
        <v>128</v>
      </c>
      <c r="S255" t="s">
        <v>197</v>
      </c>
      <c r="T255" t="s">
        <v>198</v>
      </c>
      <c r="U255" t="s">
        <v>163</v>
      </c>
      <c r="V255" t="s">
        <v>164</v>
      </c>
      <c r="W255" t="s">
        <v>77</v>
      </c>
      <c r="X255" t="s">
        <v>166</v>
      </c>
      <c r="Y255" t="s">
        <v>561</v>
      </c>
      <c r="Z255" t="s">
        <v>434</v>
      </c>
      <c r="AC255" t="str">
        <f>IF(AA255="",M255,AA255)</f>
        <v>sim</v>
      </c>
      <c r="AD255" t="str">
        <f>IF(AB255="",X255,AB255)</f>
        <v>não</v>
      </c>
      <c r="AE255" t="str">
        <f>IF(OR(Configuracao!B9="",Configuracao!B10=""),"aguardando limiar",IF(AND(K255&gt;=Configuracao!B9,K255/MAX(Reconciliacao!C2,1)&gt;=Configuracao!B10/100),"sim","não"))</f>
        <v>aguardando limiar</v>
      </c>
    </row>
    <row r="256" spans="1:31" x14ac:dyDescent="0.25">
      <c r="A256">
        <v>10372</v>
      </c>
      <c r="C256" t="s">
        <v>535</v>
      </c>
      <c r="D256" t="s">
        <v>536</v>
      </c>
      <c r="E256" t="s">
        <v>467</v>
      </c>
      <c r="F256" t="s">
        <v>196</v>
      </c>
      <c r="G256" t="s">
        <v>213</v>
      </c>
      <c r="H256" t="s">
        <v>212</v>
      </c>
      <c r="I256" t="s">
        <v>461</v>
      </c>
      <c r="J256" t="s">
        <v>461</v>
      </c>
      <c r="K256" s="4">
        <v>2194.5</v>
      </c>
      <c r="L256" s="4">
        <v>2194.5</v>
      </c>
      <c r="M256" t="s">
        <v>44</v>
      </c>
      <c r="N256" t="s">
        <v>77</v>
      </c>
      <c r="O256" t="s">
        <v>99</v>
      </c>
      <c r="P256" t="s">
        <v>99</v>
      </c>
      <c r="Q256" t="s">
        <v>128</v>
      </c>
      <c r="R256" t="s">
        <v>128</v>
      </c>
      <c r="S256" t="s">
        <v>197</v>
      </c>
      <c r="T256" t="s">
        <v>198</v>
      </c>
      <c r="U256" t="s">
        <v>163</v>
      </c>
      <c r="V256" t="s">
        <v>164</v>
      </c>
      <c r="W256" t="s">
        <v>77</v>
      </c>
      <c r="X256" t="s">
        <v>166</v>
      </c>
      <c r="Y256" t="s">
        <v>561</v>
      </c>
      <c r="Z256" t="s">
        <v>434</v>
      </c>
      <c r="AC256" t="str">
        <f>IF(AA256="",M256,AA256)</f>
        <v>sim</v>
      </c>
      <c r="AD256" t="str">
        <f>IF(AB256="",X256,AB256)</f>
        <v>não</v>
      </c>
      <c r="AE256" t="str">
        <f>IF(OR(Configuracao!B9="",Configuracao!B10=""),"aguardando limiar",IF(AND(K256&gt;=Configuracao!B9,K256/MAX(Reconciliacao!C2,1)&gt;=Configuracao!B10/100),"sim","não"))</f>
        <v>aguardando limiar</v>
      </c>
    </row>
    <row r="257" spans="1:31" x14ac:dyDescent="0.25">
      <c r="A257">
        <v>10373</v>
      </c>
      <c r="C257" t="s">
        <v>535</v>
      </c>
      <c r="D257" t="s">
        <v>536</v>
      </c>
      <c r="E257" t="s">
        <v>467</v>
      </c>
      <c r="F257" t="s">
        <v>196</v>
      </c>
      <c r="G257" t="s">
        <v>213</v>
      </c>
      <c r="H257" t="s">
        <v>212</v>
      </c>
      <c r="I257" t="s">
        <v>442</v>
      </c>
      <c r="J257" t="s">
        <v>442</v>
      </c>
      <c r="K257" s="4">
        <v>2194.5</v>
      </c>
      <c r="L257" s="4">
        <v>2194.5</v>
      </c>
      <c r="M257" t="s">
        <v>44</v>
      </c>
      <c r="N257" t="s">
        <v>77</v>
      </c>
      <c r="O257" t="s">
        <v>99</v>
      </c>
      <c r="P257" t="s">
        <v>99</v>
      </c>
      <c r="Q257" t="s">
        <v>128</v>
      </c>
      <c r="R257" t="s">
        <v>128</v>
      </c>
      <c r="S257" t="s">
        <v>197</v>
      </c>
      <c r="T257" t="s">
        <v>198</v>
      </c>
      <c r="U257" t="s">
        <v>163</v>
      </c>
      <c r="V257" t="s">
        <v>164</v>
      </c>
      <c r="W257" t="s">
        <v>77</v>
      </c>
      <c r="X257" t="s">
        <v>166</v>
      </c>
      <c r="Y257" t="s">
        <v>561</v>
      </c>
      <c r="Z257" t="s">
        <v>434</v>
      </c>
      <c r="AC257" t="str">
        <f>IF(AA257="",M257,AA257)</f>
        <v>sim</v>
      </c>
      <c r="AD257" t="str">
        <f>IF(AB257="",X257,AB257)</f>
        <v>não</v>
      </c>
      <c r="AE257" t="str">
        <f>IF(OR(Configuracao!B9="",Configuracao!B10=""),"aguardando limiar",IF(AND(K257&gt;=Configuracao!B9,K257/MAX(Reconciliacao!C2,1)&gt;=Configuracao!B10/100),"sim","não"))</f>
        <v>aguardando limiar</v>
      </c>
    </row>
    <row r="258" spans="1:31" x14ac:dyDescent="0.25">
      <c r="A258">
        <v>10374</v>
      </c>
      <c r="C258" t="s">
        <v>535</v>
      </c>
      <c r="D258" t="s">
        <v>536</v>
      </c>
      <c r="E258" t="s">
        <v>467</v>
      </c>
      <c r="F258" t="s">
        <v>196</v>
      </c>
      <c r="G258" t="s">
        <v>213</v>
      </c>
      <c r="H258" t="s">
        <v>212</v>
      </c>
      <c r="I258" t="s">
        <v>439</v>
      </c>
      <c r="J258" t="s">
        <v>439</v>
      </c>
      <c r="K258" s="4">
        <v>2194.5</v>
      </c>
      <c r="L258" s="4">
        <v>2194.5</v>
      </c>
      <c r="M258" t="s">
        <v>44</v>
      </c>
      <c r="N258" t="s">
        <v>77</v>
      </c>
      <c r="O258" t="s">
        <v>99</v>
      </c>
      <c r="P258" t="s">
        <v>99</v>
      </c>
      <c r="Q258" t="s">
        <v>128</v>
      </c>
      <c r="R258" t="s">
        <v>128</v>
      </c>
      <c r="S258" t="s">
        <v>197</v>
      </c>
      <c r="T258" t="s">
        <v>198</v>
      </c>
      <c r="U258" t="s">
        <v>163</v>
      </c>
      <c r="V258" t="s">
        <v>164</v>
      </c>
      <c r="W258" t="s">
        <v>77</v>
      </c>
      <c r="X258" t="s">
        <v>166</v>
      </c>
      <c r="Y258" t="s">
        <v>561</v>
      </c>
      <c r="Z258" t="s">
        <v>434</v>
      </c>
      <c r="AC258" t="str">
        <f>IF(AA258="",M258,AA258)</f>
        <v>sim</v>
      </c>
      <c r="AD258" t="str">
        <f>IF(AB258="",X258,AB258)</f>
        <v>não</v>
      </c>
      <c r="AE258" t="str">
        <f>IF(OR(Configuracao!B9="",Configuracao!B10=""),"aguardando limiar",IF(AND(K258&gt;=Configuracao!B9,K258/MAX(Reconciliacao!C2,1)&gt;=Configuracao!B10/100),"sim","não"))</f>
        <v>aguardando limiar</v>
      </c>
    </row>
    <row r="259" spans="1:31" x14ac:dyDescent="0.25">
      <c r="A259">
        <v>10375</v>
      </c>
      <c r="C259" t="s">
        <v>535</v>
      </c>
      <c r="D259" t="s">
        <v>536</v>
      </c>
      <c r="E259" t="s">
        <v>467</v>
      </c>
      <c r="F259" t="s">
        <v>196</v>
      </c>
      <c r="G259" t="s">
        <v>213</v>
      </c>
      <c r="H259" t="s">
        <v>212</v>
      </c>
      <c r="I259" t="s">
        <v>35</v>
      </c>
      <c r="J259" t="s">
        <v>35</v>
      </c>
      <c r="K259" s="4">
        <v>2194.5</v>
      </c>
      <c r="L259" s="4">
        <v>2194.5</v>
      </c>
      <c r="M259" t="s">
        <v>44</v>
      </c>
      <c r="N259" t="s">
        <v>77</v>
      </c>
      <c r="O259" t="s">
        <v>99</v>
      </c>
      <c r="P259" t="s">
        <v>99</v>
      </c>
      <c r="Q259" t="s">
        <v>128</v>
      </c>
      <c r="R259" t="s">
        <v>128</v>
      </c>
      <c r="S259" t="s">
        <v>197</v>
      </c>
      <c r="T259" t="s">
        <v>198</v>
      </c>
      <c r="U259" t="s">
        <v>163</v>
      </c>
      <c r="V259" t="s">
        <v>164</v>
      </c>
      <c r="W259" t="s">
        <v>77</v>
      </c>
      <c r="X259" t="s">
        <v>166</v>
      </c>
      <c r="Y259" t="s">
        <v>561</v>
      </c>
      <c r="Z259" t="s">
        <v>434</v>
      </c>
      <c r="AC259" t="str">
        <f>IF(AA259="",M259,AA259)</f>
        <v>sim</v>
      </c>
      <c r="AD259" t="str">
        <f>IF(AB259="",X259,AB259)</f>
        <v>não</v>
      </c>
      <c r="AE259" t="str">
        <f>IF(OR(Configuracao!B9="",Configuracao!B10=""),"aguardando limiar",IF(AND(K259&gt;=Configuracao!B9,K259/MAX(Reconciliacao!C2,1)&gt;=Configuracao!B10/100),"sim","não"))</f>
        <v>aguardando limiar</v>
      </c>
    </row>
    <row r="260" spans="1:31" x14ac:dyDescent="0.25">
      <c r="A260">
        <v>14173</v>
      </c>
      <c r="C260" t="s">
        <v>558</v>
      </c>
      <c r="D260" t="s">
        <v>559</v>
      </c>
      <c r="E260" t="s">
        <v>467</v>
      </c>
      <c r="F260" t="s">
        <v>196</v>
      </c>
      <c r="G260" t="s">
        <v>213</v>
      </c>
      <c r="H260" t="s">
        <v>212</v>
      </c>
      <c r="I260" t="s">
        <v>454</v>
      </c>
      <c r="J260" t="s">
        <v>454</v>
      </c>
      <c r="K260" s="4">
        <v>2505</v>
      </c>
      <c r="L260" s="4">
        <v>2505</v>
      </c>
      <c r="M260" t="s">
        <v>44</v>
      </c>
      <c r="N260" t="s">
        <v>77</v>
      </c>
      <c r="O260" t="s">
        <v>99</v>
      </c>
      <c r="P260" t="s">
        <v>99</v>
      </c>
      <c r="Q260" t="s">
        <v>128</v>
      </c>
      <c r="R260" t="s">
        <v>128</v>
      </c>
      <c r="S260" t="s">
        <v>197</v>
      </c>
      <c r="T260" t="s">
        <v>198</v>
      </c>
      <c r="U260" t="s">
        <v>163</v>
      </c>
      <c r="V260" t="s">
        <v>164</v>
      </c>
      <c r="W260" t="s">
        <v>77</v>
      </c>
      <c r="X260" t="s">
        <v>166</v>
      </c>
      <c r="Y260" t="s">
        <v>561</v>
      </c>
      <c r="Z260" t="s">
        <v>434</v>
      </c>
      <c r="AC260" t="str">
        <f>IF(AA260="",M260,AA260)</f>
        <v>sim</v>
      </c>
      <c r="AD260" t="str">
        <f>IF(AB260="",X260,AB260)</f>
        <v>não</v>
      </c>
      <c r="AE260" t="str">
        <f>IF(OR(Configuracao!B9="",Configuracao!B10=""),"aguardando limiar",IF(AND(K260&gt;=Configuracao!B9,K260/MAX(Reconciliacao!C2,1)&gt;=Configuracao!B10/100),"sim","não"))</f>
        <v>aguardando limiar</v>
      </c>
    </row>
    <row r="261" spans="1:31" x14ac:dyDescent="0.25">
      <c r="A261">
        <v>11996</v>
      </c>
      <c r="C261" t="s">
        <v>568</v>
      </c>
      <c r="D261" t="s">
        <v>527</v>
      </c>
      <c r="E261" t="s">
        <v>467</v>
      </c>
      <c r="F261" t="s">
        <v>196</v>
      </c>
      <c r="G261" t="s">
        <v>213</v>
      </c>
      <c r="H261" t="s">
        <v>212</v>
      </c>
      <c r="I261" t="s">
        <v>32</v>
      </c>
      <c r="J261" t="s">
        <v>32</v>
      </c>
      <c r="K261" s="4">
        <v>2563.45</v>
      </c>
      <c r="L261" s="4">
        <v>2563.45</v>
      </c>
      <c r="M261" t="s">
        <v>44</v>
      </c>
      <c r="N261" t="s">
        <v>77</v>
      </c>
      <c r="O261" t="s">
        <v>99</v>
      </c>
      <c r="P261" t="s">
        <v>99</v>
      </c>
      <c r="Q261" t="s">
        <v>128</v>
      </c>
      <c r="R261" t="s">
        <v>128</v>
      </c>
      <c r="S261" t="s">
        <v>197</v>
      </c>
      <c r="T261" t="s">
        <v>198</v>
      </c>
      <c r="U261" t="s">
        <v>163</v>
      </c>
      <c r="V261" t="s">
        <v>164</v>
      </c>
      <c r="W261" t="s">
        <v>77</v>
      </c>
      <c r="X261" t="s">
        <v>166</v>
      </c>
      <c r="Y261" t="s">
        <v>561</v>
      </c>
      <c r="Z261" t="s">
        <v>434</v>
      </c>
      <c r="AC261" t="str">
        <f>IF(AA261="",M261,AA261)</f>
        <v>sim</v>
      </c>
      <c r="AD261" t="str">
        <f>IF(AB261="",X261,AB261)</f>
        <v>não</v>
      </c>
      <c r="AE261" t="str">
        <f>IF(OR(Configuracao!B9="",Configuracao!B10=""),"aguardando limiar",IF(AND(K261&gt;=Configuracao!B9,K261/MAX(Reconciliacao!C2,1)&gt;=Configuracao!B10/100),"sim","não"))</f>
        <v>aguardando limiar</v>
      </c>
    </row>
    <row r="262" spans="1:31" x14ac:dyDescent="0.25">
      <c r="A262">
        <v>16560</v>
      </c>
      <c r="C262" t="s">
        <v>569</v>
      </c>
      <c r="D262" t="s">
        <v>570</v>
      </c>
      <c r="E262" t="s">
        <v>525</v>
      </c>
      <c r="F262" t="s">
        <v>196</v>
      </c>
      <c r="G262" t="s">
        <v>213</v>
      </c>
      <c r="H262" t="s">
        <v>212</v>
      </c>
      <c r="I262" t="s">
        <v>454</v>
      </c>
      <c r="J262" t="s">
        <v>454</v>
      </c>
      <c r="K262" s="4">
        <v>2996.25</v>
      </c>
      <c r="L262" s="4">
        <v>2996.25</v>
      </c>
      <c r="M262" t="s">
        <v>44</v>
      </c>
      <c r="N262" t="s">
        <v>77</v>
      </c>
      <c r="O262" t="s">
        <v>99</v>
      </c>
      <c r="P262" t="s">
        <v>99</v>
      </c>
      <c r="Q262" t="s">
        <v>128</v>
      </c>
      <c r="R262" t="s">
        <v>128</v>
      </c>
      <c r="S262" t="s">
        <v>197</v>
      </c>
      <c r="T262" t="s">
        <v>198</v>
      </c>
      <c r="U262" t="s">
        <v>163</v>
      </c>
      <c r="V262" t="s">
        <v>164</v>
      </c>
      <c r="W262" t="s">
        <v>77</v>
      </c>
      <c r="X262" t="s">
        <v>166</v>
      </c>
      <c r="Y262" t="s">
        <v>571</v>
      </c>
      <c r="Z262" t="s">
        <v>434</v>
      </c>
      <c r="AC262" t="str">
        <f>IF(AA262="",M262,AA262)</f>
        <v>sim</v>
      </c>
      <c r="AD262" t="str">
        <f>IF(AB262="",X262,AB262)</f>
        <v>não</v>
      </c>
      <c r="AE262" t="str">
        <f>IF(OR(Configuracao!B9="",Configuracao!B10=""),"aguardando limiar",IF(AND(K262&gt;=Configuracao!B9,K262/MAX(Reconciliacao!C2,1)&gt;=Configuracao!B10/100),"sim","não"))</f>
        <v>aguardando limiar</v>
      </c>
    </row>
    <row r="263" spans="1:31" x14ac:dyDescent="0.25">
      <c r="A263">
        <v>18267</v>
      </c>
      <c r="C263" t="s">
        <v>572</v>
      </c>
      <c r="D263" t="s">
        <v>563</v>
      </c>
      <c r="E263" t="s">
        <v>525</v>
      </c>
      <c r="F263" t="s">
        <v>196</v>
      </c>
      <c r="G263" t="s">
        <v>213</v>
      </c>
      <c r="H263" t="s">
        <v>212</v>
      </c>
      <c r="I263" t="s">
        <v>439</v>
      </c>
      <c r="J263" t="s">
        <v>439</v>
      </c>
      <c r="K263" s="4">
        <v>3162</v>
      </c>
      <c r="L263" s="4">
        <v>3162</v>
      </c>
      <c r="M263" t="s">
        <v>44</v>
      </c>
      <c r="N263" t="s">
        <v>77</v>
      </c>
      <c r="O263" t="s">
        <v>99</v>
      </c>
      <c r="P263" t="s">
        <v>99</v>
      </c>
      <c r="Q263" t="s">
        <v>128</v>
      </c>
      <c r="R263" t="s">
        <v>128</v>
      </c>
      <c r="S263" t="s">
        <v>197</v>
      </c>
      <c r="T263" t="s">
        <v>198</v>
      </c>
      <c r="U263" t="s">
        <v>163</v>
      </c>
      <c r="V263" t="s">
        <v>164</v>
      </c>
      <c r="W263" t="s">
        <v>77</v>
      </c>
      <c r="X263" t="s">
        <v>166</v>
      </c>
      <c r="Y263" t="s">
        <v>561</v>
      </c>
      <c r="Z263" t="s">
        <v>434</v>
      </c>
      <c r="AC263" t="str">
        <f>IF(AA263="",M263,AA263)</f>
        <v>sim</v>
      </c>
      <c r="AD263" t="str">
        <f>IF(AB263="",X263,AB263)</f>
        <v>não</v>
      </c>
      <c r="AE263" t="str">
        <f>IF(OR(Configuracao!B9="",Configuracao!B10=""),"aguardando limiar",IF(AND(K263&gt;=Configuracao!B9,K263/MAX(Reconciliacao!C2,1)&gt;=Configuracao!B10/100),"sim","não"))</f>
        <v>aguardando limiar</v>
      </c>
    </row>
    <row r="264" spans="1:31" x14ac:dyDescent="0.25">
      <c r="A264">
        <v>17837</v>
      </c>
      <c r="C264" t="s">
        <v>558</v>
      </c>
      <c r="D264" t="s">
        <v>559</v>
      </c>
      <c r="E264" t="s">
        <v>467</v>
      </c>
      <c r="F264" t="s">
        <v>196</v>
      </c>
      <c r="G264" t="s">
        <v>213</v>
      </c>
      <c r="H264" t="s">
        <v>212</v>
      </c>
      <c r="I264" t="s">
        <v>439</v>
      </c>
      <c r="J264" t="s">
        <v>439</v>
      </c>
      <c r="K264" s="4">
        <v>3595.5</v>
      </c>
      <c r="L264" s="4">
        <v>3595.5</v>
      </c>
      <c r="M264" t="s">
        <v>44</v>
      </c>
      <c r="N264" t="s">
        <v>77</v>
      </c>
      <c r="O264" t="s">
        <v>99</v>
      </c>
      <c r="P264" t="s">
        <v>99</v>
      </c>
      <c r="Q264" t="s">
        <v>128</v>
      </c>
      <c r="R264" t="s">
        <v>128</v>
      </c>
      <c r="S264" t="s">
        <v>197</v>
      </c>
      <c r="T264" t="s">
        <v>198</v>
      </c>
      <c r="U264" t="s">
        <v>163</v>
      </c>
      <c r="V264" t="s">
        <v>164</v>
      </c>
      <c r="W264" t="s">
        <v>77</v>
      </c>
      <c r="X264" t="s">
        <v>166</v>
      </c>
      <c r="Y264" t="s">
        <v>561</v>
      </c>
      <c r="Z264" t="s">
        <v>434</v>
      </c>
      <c r="AC264" t="str">
        <f>IF(AA264="",M264,AA264)</f>
        <v>sim</v>
      </c>
      <c r="AD264" t="str">
        <f>IF(AB264="",X264,AB264)</f>
        <v>não</v>
      </c>
      <c r="AE264" t="str">
        <f>IF(OR(Configuracao!B9="",Configuracao!B10=""),"aguardando limiar",IF(AND(K264&gt;=Configuracao!B9,K264/MAX(Reconciliacao!C2,1)&gt;=Configuracao!B10/100),"sim","não"))</f>
        <v>aguardando limiar</v>
      </c>
    </row>
    <row r="265" spans="1:31" x14ac:dyDescent="0.25">
      <c r="A265">
        <v>11291</v>
      </c>
      <c r="C265" t="s">
        <v>573</v>
      </c>
      <c r="D265" t="s">
        <v>527</v>
      </c>
      <c r="E265" t="s">
        <v>467</v>
      </c>
      <c r="F265" t="s">
        <v>196</v>
      </c>
      <c r="G265" t="s">
        <v>213</v>
      </c>
      <c r="H265" t="s">
        <v>212</v>
      </c>
      <c r="I265" t="s">
        <v>32</v>
      </c>
      <c r="J265" t="s">
        <v>32</v>
      </c>
      <c r="K265" s="4">
        <v>3970.43</v>
      </c>
      <c r="L265" s="4">
        <v>3970.43</v>
      </c>
      <c r="M265" t="s">
        <v>44</v>
      </c>
      <c r="N265" t="s">
        <v>77</v>
      </c>
      <c r="O265" t="s">
        <v>99</v>
      </c>
      <c r="P265" t="s">
        <v>99</v>
      </c>
      <c r="Q265" t="s">
        <v>128</v>
      </c>
      <c r="R265" t="s">
        <v>128</v>
      </c>
      <c r="S265" t="s">
        <v>197</v>
      </c>
      <c r="T265" t="s">
        <v>198</v>
      </c>
      <c r="U265" t="s">
        <v>163</v>
      </c>
      <c r="V265" t="s">
        <v>164</v>
      </c>
      <c r="W265" t="s">
        <v>77</v>
      </c>
      <c r="X265" t="s">
        <v>166</v>
      </c>
      <c r="Y265" t="s">
        <v>561</v>
      </c>
      <c r="Z265" t="s">
        <v>434</v>
      </c>
      <c r="AC265" t="str">
        <f>IF(AA265="",M265,AA265)</f>
        <v>sim</v>
      </c>
      <c r="AD265" t="str">
        <f>IF(AB265="",X265,AB265)</f>
        <v>não</v>
      </c>
      <c r="AE265" t="str">
        <f>IF(OR(Configuracao!B9="",Configuracao!B10=""),"aguardando limiar",IF(AND(K265&gt;=Configuracao!B9,K265/MAX(Reconciliacao!C2,1)&gt;=Configuracao!B10/100),"sim","não"))</f>
        <v>aguardando limiar</v>
      </c>
    </row>
    <row r="266" spans="1:31" x14ac:dyDescent="0.25">
      <c r="A266">
        <v>12216</v>
      </c>
      <c r="C266" t="s">
        <v>574</v>
      </c>
      <c r="D266" t="s">
        <v>575</v>
      </c>
      <c r="E266" t="s">
        <v>511</v>
      </c>
      <c r="F266" t="s">
        <v>196</v>
      </c>
      <c r="G266" t="s">
        <v>195</v>
      </c>
      <c r="H266" t="s">
        <v>194</v>
      </c>
      <c r="I266" t="s">
        <v>424</v>
      </c>
      <c r="J266" t="s">
        <v>424</v>
      </c>
      <c r="K266" s="4">
        <v>2.92</v>
      </c>
      <c r="L266" s="4">
        <v>2.92</v>
      </c>
      <c r="M266" t="s">
        <v>44</v>
      </c>
      <c r="N266" t="s">
        <v>77</v>
      </c>
      <c r="O266" t="s">
        <v>99</v>
      </c>
      <c r="P266" t="s">
        <v>99</v>
      </c>
      <c r="Q266" t="s">
        <v>128</v>
      </c>
      <c r="R266" t="s">
        <v>128</v>
      </c>
      <c r="S266" t="s">
        <v>197</v>
      </c>
      <c r="T266" t="s">
        <v>198</v>
      </c>
      <c r="U266" t="s">
        <v>163</v>
      </c>
      <c r="V266" t="s">
        <v>164</v>
      </c>
      <c r="W266" t="s">
        <v>77</v>
      </c>
      <c r="X266" t="s">
        <v>44</v>
      </c>
      <c r="Y266" t="s">
        <v>99</v>
      </c>
      <c r="Z266" t="s">
        <v>421</v>
      </c>
      <c r="AC266" t="str">
        <f>IF(AA266="",M266,AA266)</f>
        <v>sim</v>
      </c>
      <c r="AD266" t="str">
        <f>IF(AB266="",X266,AB266)</f>
        <v>sim</v>
      </c>
      <c r="AE266" t="str">
        <f>IF(OR(Configuracao!B9="",Configuracao!B10=""),"aguardando limiar",IF(AND(K266&gt;=Configuracao!B9,K266/MAX(Reconciliacao!C2,1)&gt;=Configuracao!B10/100),"sim","não"))</f>
        <v>aguardando limiar</v>
      </c>
    </row>
    <row r="267" spans="1:31" x14ac:dyDescent="0.25">
      <c r="A267">
        <v>11498</v>
      </c>
      <c r="C267" t="s">
        <v>576</v>
      </c>
      <c r="D267" t="s">
        <v>575</v>
      </c>
      <c r="E267" t="s">
        <v>511</v>
      </c>
      <c r="F267" t="s">
        <v>196</v>
      </c>
      <c r="G267" t="s">
        <v>195</v>
      </c>
      <c r="H267" t="s">
        <v>194</v>
      </c>
      <c r="I267" t="s">
        <v>32</v>
      </c>
      <c r="J267" t="s">
        <v>32</v>
      </c>
      <c r="K267" s="4">
        <v>6.14</v>
      </c>
      <c r="L267" s="4">
        <v>6.14</v>
      </c>
      <c r="M267" t="s">
        <v>44</v>
      </c>
      <c r="N267" t="s">
        <v>77</v>
      </c>
      <c r="O267" t="s">
        <v>99</v>
      </c>
      <c r="P267" t="s">
        <v>99</v>
      </c>
      <c r="Q267" t="s">
        <v>128</v>
      </c>
      <c r="R267" t="s">
        <v>128</v>
      </c>
      <c r="S267" t="s">
        <v>197</v>
      </c>
      <c r="T267" t="s">
        <v>198</v>
      </c>
      <c r="U267" t="s">
        <v>163</v>
      </c>
      <c r="V267" t="s">
        <v>164</v>
      </c>
      <c r="W267" t="s">
        <v>77</v>
      </c>
      <c r="X267" t="s">
        <v>44</v>
      </c>
      <c r="Y267" t="s">
        <v>99</v>
      </c>
      <c r="Z267" t="s">
        <v>421</v>
      </c>
      <c r="AC267" t="str">
        <f>IF(AA267="",M267,AA267)</f>
        <v>sim</v>
      </c>
      <c r="AD267" t="str">
        <f>IF(AB267="",X267,AB267)</f>
        <v>sim</v>
      </c>
      <c r="AE267" t="str">
        <f>IF(OR(Configuracao!B9="",Configuracao!B10=""),"aguardando limiar",IF(AND(K267&gt;=Configuracao!B9,K267/MAX(Reconciliacao!C2,1)&gt;=Configuracao!B10/100),"sim","não"))</f>
        <v>aguardando limiar</v>
      </c>
    </row>
    <row r="268" spans="1:31" x14ac:dyDescent="0.25">
      <c r="A268">
        <v>9638</v>
      </c>
      <c r="C268" t="s">
        <v>574</v>
      </c>
      <c r="D268" t="s">
        <v>575</v>
      </c>
      <c r="E268" t="s">
        <v>511</v>
      </c>
      <c r="F268" t="s">
        <v>196</v>
      </c>
      <c r="G268" t="s">
        <v>195</v>
      </c>
      <c r="H268" t="s">
        <v>194</v>
      </c>
      <c r="I268" t="s">
        <v>442</v>
      </c>
      <c r="J268" t="s">
        <v>442</v>
      </c>
      <c r="K268" s="4">
        <v>6.99</v>
      </c>
      <c r="L268" s="4">
        <v>6.99</v>
      </c>
      <c r="M268" t="s">
        <v>44</v>
      </c>
      <c r="N268" t="s">
        <v>77</v>
      </c>
      <c r="O268" t="s">
        <v>99</v>
      </c>
      <c r="P268" t="s">
        <v>99</v>
      </c>
      <c r="Q268" t="s">
        <v>128</v>
      </c>
      <c r="R268" t="s">
        <v>128</v>
      </c>
      <c r="S268" t="s">
        <v>197</v>
      </c>
      <c r="T268" t="s">
        <v>198</v>
      </c>
      <c r="U268" t="s">
        <v>163</v>
      </c>
      <c r="V268" t="s">
        <v>164</v>
      </c>
      <c r="W268" t="s">
        <v>77</v>
      </c>
      <c r="X268" t="s">
        <v>44</v>
      </c>
      <c r="Y268" t="s">
        <v>99</v>
      </c>
      <c r="Z268" t="s">
        <v>421</v>
      </c>
      <c r="AC268" t="str">
        <f>IF(AA268="",M268,AA268)</f>
        <v>sim</v>
      </c>
      <c r="AD268" t="str">
        <f>IF(AB268="",X268,AB268)</f>
        <v>sim</v>
      </c>
      <c r="AE268" t="str">
        <f>IF(OR(Configuracao!B9="",Configuracao!B10=""),"aguardando limiar",IF(AND(K268&gt;=Configuracao!B9,K268/MAX(Reconciliacao!C2,1)&gt;=Configuracao!B10/100),"sim","não"))</f>
        <v>aguardando limiar</v>
      </c>
    </row>
    <row r="269" spans="1:31" x14ac:dyDescent="0.25">
      <c r="A269">
        <v>11492</v>
      </c>
      <c r="C269" t="s">
        <v>577</v>
      </c>
      <c r="D269" t="s">
        <v>578</v>
      </c>
      <c r="E269" t="s">
        <v>511</v>
      </c>
      <c r="F269" t="s">
        <v>196</v>
      </c>
      <c r="G269" t="s">
        <v>195</v>
      </c>
      <c r="H269" t="s">
        <v>194</v>
      </c>
      <c r="I269" t="s">
        <v>32</v>
      </c>
      <c r="J269" t="s">
        <v>32</v>
      </c>
      <c r="K269" s="4">
        <v>12.98</v>
      </c>
      <c r="L269" s="4">
        <v>12.98</v>
      </c>
      <c r="M269" t="s">
        <v>44</v>
      </c>
      <c r="N269" t="s">
        <v>77</v>
      </c>
      <c r="O269" t="s">
        <v>99</v>
      </c>
      <c r="P269" t="s">
        <v>99</v>
      </c>
      <c r="Q269" t="s">
        <v>128</v>
      </c>
      <c r="R269" t="s">
        <v>128</v>
      </c>
      <c r="S269" t="s">
        <v>197</v>
      </c>
      <c r="T269" t="s">
        <v>198</v>
      </c>
      <c r="U269" t="s">
        <v>163</v>
      </c>
      <c r="V269" t="s">
        <v>164</v>
      </c>
      <c r="W269" t="s">
        <v>77</v>
      </c>
      <c r="X269" t="s">
        <v>44</v>
      </c>
      <c r="Y269" t="s">
        <v>99</v>
      </c>
      <c r="Z269" t="s">
        <v>421</v>
      </c>
      <c r="AC269" t="str">
        <f>IF(AA269="",M269,AA269)</f>
        <v>sim</v>
      </c>
      <c r="AD269" t="str">
        <f>IF(AB269="",X269,AB269)</f>
        <v>sim</v>
      </c>
      <c r="AE269" t="str">
        <f>IF(OR(Configuracao!B9="",Configuracao!B10=""),"aguardando limiar",IF(AND(K269&gt;=Configuracao!B9,K269/MAX(Reconciliacao!C2,1)&gt;=Configuracao!B10/100),"sim","não"))</f>
        <v>aguardando limiar</v>
      </c>
    </row>
    <row r="270" spans="1:31" x14ac:dyDescent="0.25">
      <c r="A270">
        <v>12209</v>
      </c>
      <c r="C270" t="s">
        <v>577</v>
      </c>
      <c r="D270" t="s">
        <v>578</v>
      </c>
      <c r="E270" t="s">
        <v>511</v>
      </c>
      <c r="F270" t="s">
        <v>196</v>
      </c>
      <c r="G270" t="s">
        <v>195</v>
      </c>
      <c r="H270" t="s">
        <v>194</v>
      </c>
      <c r="I270" t="s">
        <v>424</v>
      </c>
      <c r="J270" t="s">
        <v>424</v>
      </c>
      <c r="K270" s="4">
        <v>13.95</v>
      </c>
      <c r="L270" s="4">
        <v>13.95</v>
      </c>
      <c r="M270" t="s">
        <v>44</v>
      </c>
      <c r="N270" t="s">
        <v>77</v>
      </c>
      <c r="O270" t="s">
        <v>99</v>
      </c>
      <c r="P270" t="s">
        <v>99</v>
      </c>
      <c r="Q270" t="s">
        <v>128</v>
      </c>
      <c r="R270" t="s">
        <v>128</v>
      </c>
      <c r="S270" t="s">
        <v>197</v>
      </c>
      <c r="T270" t="s">
        <v>198</v>
      </c>
      <c r="U270" t="s">
        <v>163</v>
      </c>
      <c r="V270" t="s">
        <v>164</v>
      </c>
      <c r="W270" t="s">
        <v>77</v>
      </c>
      <c r="X270" t="s">
        <v>44</v>
      </c>
      <c r="Y270" t="s">
        <v>99</v>
      </c>
      <c r="Z270" t="s">
        <v>421</v>
      </c>
      <c r="AC270" t="str">
        <f>IF(AA270="",M270,AA270)</f>
        <v>sim</v>
      </c>
      <c r="AD270" t="str">
        <f>IF(AB270="",X270,AB270)</f>
        <v>sim</v>
      </c>
      <c r="AE270" t="str">
        <f>IF(OR(Configuracao!B9="",Configuracao!B10=""),"aguardando limiar",IF(AND(K270&gt;=Configuracao!B9,K270/MAX(Reconciliacao!C2,1)&gt;=Configuracao!B10/100),"sim","não"))</f>
        <v>aguardando limiar</v>
      </c>
    </row>
    <row r="271" spans="1:31" x14ac:dyDescent="0.25">
      <c r="A271">
        <v>11501</v>
      </c>
      <c r="C271" t="s">
        <v>579</v>
      </c>
      <c r="D271" t="s">
        <v>580</v>
      </c>
      <c r="E271" t="s">
        <v>511</v>
      </c>
      <c r="F271" t="s">
        <v>196</v>
      </c>
      <c r="G271" t="s">
        <v>195</v>
      </c>
      <c r="H271" t="s">
        <v>194</v>
      </c>
      <c r="I271" t="s">
        <v>32</v>
      </c>
      <c r="J271" t="s">
        <v>32</v>
      </c>
      <c r="K271" s="4">
        <v>16.7</v>
      </c>
      <c r="L271" s="4">
        <v>16.7</v>
      </c>
      <c r="M271" t="s">
        <v>44</v>
      </c>
      <c r="N271" t="s">
        <v>77</v>
      </c>
      <c r="O271" t="s">
        <v>99</v>
      </c>
      <c r="P271" t="s">
        <v>99</v>
      </c>
      <c r="Q271" t="s">
        <v>128</v>
      </c>
      <c r="R271" t="s">
        <v>128</v>
      </c>
      <c r="S271" t="s">
        <v>197</v>
      </c>
      <c r="T271" t="s">
        <v>198</v>
      </c>
      <c r="U271" t="s">
        <v>163</v>
      </c>
      <c r="V271" t="s">
        <v>164</v>
      </c>
      <c r="W271" t="s">
        <v>77</v>
      </c>
      <c r="X271" t="s">
        <v>44</v>
      </c>
      <c r="Y271" t="s">
        <v>99</v>
      </c>
      <c r="Z271" t="s">
        <v>421</v>
      </c>
      <c r="AC271" t="str">
        <f>IF(AA271="",M271,AA271)</f>
        <v>sim</v>
      </c>
      <c r="AD271" t="str">
        <f>IF(AB271="",X271,AB271)</f>
        <v>sim</v>
      </c>
      <c r="AE271" t="str">
        <f>IF(OR(Configuracao!B9="",Configuracao!B10=""),"aguardando limiar",IF(AND(K271&gt;=Configuracao!B9,K271/MAX(Reconciliacao!C2,1)&gt;=Configuracao!B10/100),"sim","não"))</f>
        <v>aguardando limiar</v>
      </c>
    </row>
    <row r="272" spans="1:31" x14ac:dyDescent="0.25">
      <c r="A272">
        <v>12218</v>
      </c>
      <c r="C272" t="s">
        <v>574</v>
      </c>
      <c r="D272" t="s">
        <v>575</v>
      </c>
      <c r="E272" t="s">
        <v>445</v>
      </c>
      <c r="F272" t="s">
        <v>196</v>
      </c>
      <c r="G272" t="s">
        <v>195</v>
      </c>
      <c r="H272" t="s">
        <v>194</v>
      </c>
      <c r="I272" t="s">
        <v>424</v>
      </c>
      <c r="J272" t="s">
        <v>424</v>
      </c>
      <c r="K272" s="4">
        <v>16.7</v>
      </c>
      <c r="L272" s="4">
        <v>16.7</v>
      </c>
      <c r="M272" t="s">
        <v>44</v>
      </c>
      <c r="N272" t="s">
        <v>77</v>
      </c>
      <c r="O272" t="s">
        <v>99</v>
      </c>
      <c r="P272" t="s">
        <v>99</v>
      </c>
      <c r="Q272" t="s">
        <v>128</v>
      </c>
      <c r="R272" t="s">
        <v>128</v>
      </c>
      <c r="S272" t="s">
        <v>197</v>
      </c>
      <c r="T272" t="s">
        <v>198</v>
      </c>
      <c r="U272" t="s">
        <v>163</v>
      </c>
      <c r="V272" t="s">
        <v>164</v>
      </c>
      <c r="W272" t="s">
        <v>77</v>
      </c>
      <c r="X272" t="s">
        <v>44</v>
      </c>
      <c r="Y272" t="s">
        <v>99</v>
      </c>
      <c r="Z272" t="s">
        <v>421</v>
      </c>
      <c r="AC272" t="str">
        <f>IF(AA272="",M272,AA272)</f>
        <v>sim</v>
      </c>
      <c r="AD272" t="str">
        <f>IF(AB272="",X272,AB272)</f>
        <v>sim</v>
      </c>
      <c r="AE272" t="str">
        <f>IF(OR(Configuracao!B9="",Configuracao!B10=""),"aguardando limiar",IF(AND(K272&gt;=Configuracao!B9,K272/MAX(Reconciliacao!C2,1)&gt;=Configuracao!B10/100),"sim","não"))</f>
        <v>aguardando limiar</v>
      </c>
    </row>
    <row r="273" spans="1:31" x14ac:dyDescent="0.25">
      <c r="A273">
        <v>12219</v>
      </c>
      <c r="C273" t="s">
        <v>581</v>
      </c>
      <c r="D273" t="s">
        <v>580</v>
      </c>
      <c r="E273" t="s">
        <v>511</v>
      </c>
      <c r="F273" t="s">
        <v>196</v>
      </c>
      <c r="G273" t="s">
        <v>195</v>
      </c>
      <c r="H273" t="s">
        <v>194</v>
      </c>
      <c r="I273" t="s">
        <v>424</v>
      </c>
      <c r="J273" t="s">
        <v>424</v>
      </c>
      <c r="K273" s="4">
        <v>16.7</v>
      </c>
      <c r="L273" s="4">
        <v>16.7</v>
      </c>
      <c r="M273" t="s">
        <v>44</v>
      </c>
      <c r="N273" t="s">
        <v>77</v>
      </c>
      <c r="O273" t="s">
        <v>99</v>
      </c>
      <c r="P273" t="s">
        <v>99</v>
      </c>
      <c r="Q273" t="s">
        <v>128</v>
      </c>
      <c r="R273" t="s">
        <v>128</v>
      </c>
      <c r="S273" t="s">
        <v>197</v>
      </c>
      <c r="T273" t="s">
        <v>198</v>
      </c>
      <c r="U273" t="s">
        <v>163</v>
      </c>
      <c r="V273" t="s">
        <v>164</v>
      </c>
      <c r="W273" t="s">
        <v>77</v>
      </c>
      <c r="X273" t="s">
        <v>44</v>
      </c>
      <c r="Y273" t="s">
        <v>99</v>
      </c>
      <c r="Z273" t="s">
        <v>421</v>
      </c>
      <c r="AC273" t="str">
        <f>IF(AA273="",M273,AA273)</f>
        <v>sim</v>
      </c>
      <c r="AD273" t="str">
        <f>IF(AB273="",X273,AB273)</f>
        <v>sim</v>
      </c>
      <c r="AE273" t="str">
        <f>IF(OR(Configuracao!B9="",Configuracao!B10=""),"aguardando limiar",IF(AND(K273&gt;=Configuracao!B9,K273/MAX(Reconciliacao!C2,1)&gt;=Configuracao!B10/100),"sim","não"))</f>
        <v>aguardando limiar</v>
      </c>
    </row>
    <row r="274" spans="1:31" x14ac:dyDescent="0.25">
      <c r="A274">
        <v>12776</v>
      </c>
      <c r="C274" t="s">
        <v>581</v>
      </c>
      <c r="D274" t="s">
        <v>580</v>
      </c>
      <c r="E274" t="s">
        <v>511</v>
      </c>
      <c r="F274" t="s">
        <v>196</v>
      </c>
      <c r="G274" t="s">
        <v>195</v>
      </c>
      <c r="H274" t="s">
        <v>194</v>
      </c>
      <c r="I274" t="s">
        <v>420</v>
      </c>
      <c r="J274" t="s">
        <v>420</v>
      </c>
      <c r="K274" s="4">
        <v>16.7</v>
      </c>
      <c r="L274" s="4">
        <v>16.7</v>
      </c>
      <c r="M274" t="s">
        <v>44</v>
      </c>
      <c r="N274" t="s">
        <v>77</v>
      </c>
      <c r="O274" t="s">
        <v>99</v>
      </c>
      <c r="P274" t="s">
        <v>99</v>
      </c>
      <c r="Q274" t="s">
        <v>128</v>
      </c>
      <c r="R274" t="s">
        <v>128</v>
      </c>
      <c r="S274" t="s">
        <v>197</v>
      </c>
      <c r="T274" t="s">
        <v>198</v>
      </c>
      <c r="U274" t="s">
        <v>163</v>
      </c>
      <c r="V274" t="s">
        <v>164</v>
      </c>
      <c r="W274" t="s">
        <v>77</v>
      </c>
      <c r="X274" t="s">
        <v>44</v>
      </c>
      <c r="Y274" t="s">
        <v>99</v>
      </c>
      <c r="Z274" t="s">
        <v>421</v>
      </c>
      <c r="AC274" t="str">
        <f>IF(AA274="",M274,AA274)</f>
        <v>sim</v>
      </c>
      <c r="AD274" t="str">
        <f>IF(AB274="",X274,AB274)</f>
        <v>sim</v>
      </c>
      <c r="AE274" t="str">
        <f>IF(OR(Configuracao!B9="",Configuracao!B10=""),"aguardando limiar",IF(AND(K274&gt;=Configuracao!B9,K274/MAX(Reconciliacao!C2,1)&gt;=Configuracao!B10/100),"sim","não"))</f>
        <v>aguardando limiar</v>
      </c>
    </row>
    <row r="275" spans="1:31" x14ac:dyDescent="0.25">
      <c r="A275">
        <v>18984</v>
      </c>
      <c r="C275" t="s">
        <v>574</v>
      </c>
      <c r="D275" t="s">
        <v>575</v>
      </c>
      <c r="E275" t="s">
        <v>511</v>
      </c>
      <c r="F275" t="s">
        <v>196</v>
      </c>
      <c r="G275" t="s">
        <v>195</v>
      </c>
      <c r="H275" t="s">
        <v>194</v>
      </c>
      <c r="I275" t="s">
        <v>35</v>
      </c>
      <c r="J275" t="s">
        <v>35</v>
      </c>
      <c r="K275" s="4">
        <v>17.29</v>
      </c>
      <c r="L275" s="4">
        <v>17.29</v>
      </c>
      <c r="M275" t="s">
        <v>44</v>
      </c>
      <c r="N275" t="s">
        <v>77</v>
      </c>
      <c r="O275" t="s">
        <v>99</v>
      </c>
      <c r="P275" t="s">
        <v>99</v>
      </c>
      <c r="Q275" t="s">
        <v>128</v>
      </c>
      <c r="R275" t="s">
        <v>128</v>
      </c>
      <c r="S275" t="s">
        <v>197</v>
      </c>
      <c r="T275" t="s">
        <v>198</v>
      </c>
      <c r="U275" t="s">
        <v>163</v>
      </c>
      <c r="V275" t="s">
        <v>164</v>
      </c>
      <c r="W275" t="s">
        <v>77</v>
      </c>
      <c r="X275" t="s">
        <v>44</v>
      </c>
      <c r="Y275" t="s">
        <v>99</v>
      </c>
      <c r="Z275" t="s">
        <v>421</v>
      </c>
      <c r="AC275" t="str">
        <f>IF(AA275="",M275,AA275)</f>
        <v>sim</v>
      </c>
      <c r="AD275" t="str">
        <f>IF(AB275="",X275,AB275)</f>
        <v>sim</v>
      </c>
      <c r="AE275" t="str">
        <f>IF(OR(Configuracao!B9="",Configuracao!B10=""),"aguardando limiar",IF(AND(K275&gt;=Configuracao!B9,K275/MAX(Reconciliacao!C2,1)&gt;=Configuracao!B10/100),"sim","não"))</f>
        <v>aguardando limiar</v>
      </c>
    </row>
    <row r="276" spans="1:31" x14ac:dyDescent="0.25">
      <c r="A276">
        <v>14935</v>
      </c>
      <c r="C276" t="s">
        <v>574</v>
      </c>
      <c r="D276" t="s">
        <v>575</v>
      </c>
      <c r="E276" t="s">
        <v>511</v>
      </c>
      <c r="F276" t="s">
        <v>196</v>
      </c>
      <c r="G276" t="s">
        <v>195</v>
      </c>
      <c r="H276" t="s">
        <v>194</v>
      </c>
      <c r="I276" t="s">
        <v>454</v>
      </c>
      <c r="J276" t="s">
        <v>454</v>
      </c>
      <c r="K276" s="4">
        <v>17.48</v>
      </c>
      <c r="L276" s="4">
        <v>17.48</v>
      </c>
      <c r="M276" t="s">
        <v>44</v>
      </c>
      <c r="N276" t="s">
        <v>77</v>
      </c>
      <c r="O276" t="s">
        <v>99</v>
      </c>
      <c r="P276" t="s">
        <v>99</v>
      </c>
      <c r="Q276" t="s">
        <v>128</v>
      </c>
      <c r="R276" t="s">
        <v>128</v>
      </c>
      <c r="S276" t="s">
        <v>197</v>
      </c>
      <c r="T276" t="s">
        <v>198</v>
      </c>
      <c r="U276" t="s">
        <v>163</v>
      </c>
      <c r="V276" t="s">
        <v>164</v>
      </c>
      <c r="W276" t="s">
        <v>77</v>
      </c>
      <c r="X276" t="s">
        <v>44</v>
      </c>
      <c r="Y276" t="s">
        <v>99</v>
      </c>
      <c r="Z276" t="s">
        <v>421</v>
      </c>
      <c r="AC276" t="str">
        <f>IF(AA276="",M276,AA276)</f>
        <v>sim</v>
      </c>
      <c r="AD276" t="str">
        <f>IF(AB276="",X276,AB276)</f>
        <v>sim</v>
      </c>
      <c r="AE276" t="str">
        <f>IF(OR(Configuracao!B9="",Configuracao!B10=""),"aguardando limiar",IF(AND(K276&gt;=Configuracao!B9,K276/MAX(Reconciliacao!C2,1)&gt;=Configuracao!B10/100),"sim","não"))</f>
        <v>aguardando limiar</v>
      </c>
    </row>
    <row r="277" spans="1:31" x14ac:dyDescent="0.25">
      <c r="A277">
        <v>16889</v>
      </c>
      <c r="C277" t="s">
        <v>574</v>
      </c>
      <c r="D277" t="s">
        <v>575</v>
      </c>
      <c r="E277" t="s">
        <v>511</v>
      </c>
      <c r="F277" t="s">
        <v>196</v>
      </c>
      <c r="G277" t="s">
        <v>195</v>
      </c>
      <c r="H277" t="s">
        <v>194</v>
      </c>
      <c r="I277" t="s">
        <v>461</v>
      </c>
      <c r="J277" t="s">
        <v>461</v>
      </c>
      <c r="K277" s="4">
        <v>17.48</v>
      </c>
      <c r="L277" s="4">
        <v>17.48</v>
      </c>
      <c r="M277" t="s">
        <v>44</v>
      </c>
      <c r="N277" t="s">
        <v>77</v>
      </c>
      <c r="O277" t="s">
        <v>99</v>
      </c>
      <c r="P277" t="s">
        <v>99</v>
      </c>
      <c r="Q277" t="s">
        <v>128</v>
      </c>
      <c r="R277" t="s">
        <v>128</v>
      </c>
      <c r="S277" t="s">
        <v>197</v>
      </c>
      <c r="T277" t="s">
        <v>198</v>
      </c>
      <c r="U277" t="s">
        <v>163</v>
      </c>
      <c r="V277" t="s">
        <v>164</v>
      </c>
      <c r="W277" t="s">
        <v>77</v>
      </c>
      <c r="X277" t="s">
        <v>44</v>
      </c>
      <c r="Y277" t="s">
        <v>99</v>
      </c>
      <c r="Z277" t="s">
        <v>421</v>
      </c>
      <c r="AC277" t="str">
        <f>IF(AA277="",M277,AA277)</f>
        <v>sim</v>
      </c>
      <c r="AD277" t="str">
        <f>IF(AB277="",X277,AB277)</f>
        <v>sim</v>
      </c>
      <c r="AE277" t="str">
        <f>IF(OR(Configuracao!B9="",Configuracao!B10=""),"aguardando limiar",IF(AND(K277&gt;=Configuracao!B9,K277/MAX(Reconciliacao!C2,1)&gt;=Configuracao!B10/100),"sim","não"))</f>
        <v>aguardando limiar</v>
      </c>
    </row>
    <row r="278" spans="1:31" x14ac:dyDescent="0.25">
      <c r="A278">
        <v>18240</v>
      </c>
      <c r="C278" t="s">
        <v>582</v>
      </c>
      <c r="D278" t="s">
        <v>583</v>
      </c>
      <c r="E278" t="s">
        <v>486</v>
      </c>
      <c r="F278" t="s">
        <v>196</v>
      </c>
      <c r="G278" t="s">
        <v>195</v>
      </c>
      <c r="H278" t="s">
        <v>194</v>
      </c>
      <c r="I278" t="s">
        <v>439</v>
      </c>
      <c r="J278" t="s">
        <v>439</v>
      </c>
      <c r="K278" s="4">
        <v>22.13</v>
      </c>
      <c r="L278" s="4">
        <v>22.13</v>
      </c>
      <c r="M278" t="s">
        <v>44</v>
      </c>
      <c r="N278" t="s">
        <v>77</v>
      </c>
      <c r="O278" t="s">
        <v>99</v>
      </c>
      <c r="P278" t="s">
        <v>99</v>
      </c>
      <c r="Q278" t="s">
        <v>128</v>
      </c>
      <c r="R278" t="s">
        <v>128</v>
      </c>
      <c r="S278" t="s">
        <v>197</v>
      </c>
      <c r="T278" t="s">
        <v>198</v>
      </c>
      <c r="U278" t="s">
        <v>163</v>
      </c>
      <c r="V278" t="s">
        <v>164</v>
      </c>
      <c r="W278" t="s">
        <v>77</v>
      </c>
      <c r="X278" t="s">
        <v>44</v>
      </c>
      <c r="Y278" t="s">
        <v>99</v>
      </c>
      <c r="Z278" t="s">
        <v>421</v>
      </c>
      <c r="AC278" t="str">
        <f>IF(AA278="",M278,AA278)</f>
        <v>sim</v>
      </c>
      <c r="AD278" t="str">
        <f>IF(AB278="",X278,AB278)</f>
        <v>sim</v>
      </c>
      <c r="AE278" t="str">
        <f>IF(OR(Configuracao!B9="",Configuracao!B10=""),"aguardando limiar",IF(AND(K278&gt;=Configuracao!B9,K278/MAX(Reconciliacao!C2,1)&gt;=Configuracao!B10/100),"sim","não"))</f>
        <v>aguardando limiar</v>
      </c>
    </row>
    <row r="279" spans="1:31" x14ac:dyDescent="0.25">
      <c r="A279">
        <v>14934</v>
      </c>
      <c r="C279" t="s">
        <v>582</v>
      </c>
      <c r="D279" t="s">
        <v>583</v>
      </c>
      <c r="E279" t="s">
        <v>486</v>
      </c>
      <c r="F279" t="s">
        <v>196</v>
      </c>
      <c r="G279" t="s">
        <v>195</v>
      </c>
      <c r="H279" t="s">
        <v>194</v>
      </c>
      <c r="I279" t="s">
        <v>454</v>
      </c>
      <c r="J279" t="s">
        <v>454</v>
      </c>
      <c r="K279" s="4">
        <v>25.56</v>
      </c>
      <c r="L279" s="4">
        <v>25.56</v>
      </c>
      <c r="M279" t="s">
        <v>44</v>
      </c>
      <c r="N279" t="s">
        <v>77</v>
      </c>
      <c r="O279" t="s">
        <v>99</v>
      </c>
      <c r="P279" t="s">
        <v>99</v>
      </c>
      <c r="Q279" t="s">
        <v>128</v>
      </c>
      <c r="R279" t="s">
        <v>128</v>
      </c>
      <c r="S279" t="s">
        <v>197</v>
      </c>
      <c r="T279" t="s">
        <v>198</v>
      </c>
      <c r="U279" t="s">
        <v>163</v>
      </c>
      <c r="V279" t="s">
        <v>164</v>
      </c>
      <c r="W279" t="s">
        <v>77</v>
      </c>
      <c r="X279" t="s">
        <v>44</v>
      </c>
      <c r="Y279" t="s">
        <v>99</v>
      </c>
      <c r="Z279" t="s">
        <v>421</v>
      </c>
      <c r="AC279" t="str">
        <f>IF(AA279="",M279,AA279)</f>
        <v>sim</v>
      </c>
      <c r="AD279" t="str">
        <f>IF(AB279="",X279,AB279)</f>
        <v>sim</v>
      </c>
      <c r="AE279" t="str">
        <f>IF(OR(Configuracao!B9="",Configuracao!B10=""),"aguardando limiar",IF(AND(K279&gt;=Configuracao!B9,K279/MAX(Reconciliacao!C2,1)&gt;=Configuracao!B10/100),"sim","não"))</f>
        <v>aguardando limiar</v>
      </c>
    </row>
    <row r="280" spans="1:31" x14ac:dyDescent="0.25">
      <c r="A280">
        <v>17390</v>
      </c>
      <c r="C280" t="s">
        <v>582</v>
      </c>
      <c r="D280" t="s">
        <v>583</v>
      </c>
      <c r="E280" t="s">
        <v>486</v>
      </c>
      <c r="F280" t="s">
        <v>196</v>
      </c>
      <c r="G280" t="s">
        <v>195</v>
      </c>
      <c r="H280" t="s">
        <v>194</v>
      </c>
      <c r="I280" t="s">
        <v>442</v>
      </c>
      <c r="J280" t="s">
        <v>442</v>
      </c>
      <c r="K280" s="4">
        <v>25.57</v>
      </c>
      <c r="L280" s="4">
        <v>25.57</v>
      </c>
      <c r="M280" t="s">
        <v>44</v>
      </c>
      <c r="N280" t="s">
        <v>77</v>
      </c>
      <c r="O280" t="s">
        <v>99</v>
      </c>
      <c r="P280" t="s">
        <v>99</v>
      </c>
      <c r="Q280" t="s">
        <v>128</v>
      </c>
      <c r="R280" t="s">
        <v>128</v>
      </c>
      <c r="S280" t="s">
        <v>197</v>
      </c>
      <c r="T280" t="s">
        <v>198</v>
      </c>
      <c r="U280" t="s">
        <v>163</v>
      </c>
      <c r="V280" t="s">
        <v>164</v>
      </c>
      <c r="W280" t="s">
        <v>77</v>
      </c>
      <c r="X280" t="s">
        <v>44</v>
      </c>
      <c r="Y280" t="s">
        <v>99</v>
      </c>
      <c r="Z280" t="s">
        <v>421</v>
      </c>
      <c r="AC280" t="str">
        <f>IF(AA280="",M280,AA280)</f>
        <v>sim</v>
      </c>
      <c r="AD280" t="str">
        <f>IF(AB280="",X280,AB280)</f>
        <v>sim</v>
      </c>
      <c r="AE280" t="str">
        <f>IF(OR(Configuracao!B9="",Configuracao!B10=""),"aguardando limiar",IF(AND(K280&gt;=Configuracao!B9,K280/MAX(Reconciliacao!C2,1)&gt;=Configuracao!B10/100),"sim","não"))</f>
        <v>aguardando limiar</v>
      </c>
    </row>
    <row r="281" spans="1:31" x14ac:dyDescent="0.25">
      <c r="A281">
        <v>18232</v>
      </c>
      <c r="C281" t="s">
        <v>574</v>
      </c>
      <c r="D281" t="s">
        <v>575</v>
      </c>
      <c r="E281" t="s">
        <v>511</v>
      </c>
      <c r="F281" t="s">
        <v>196</v>
      </c>
      <c r="G281" t="s">
        <v>195</v>
      </c>
      <c r="H281" t="s">
        <v>194</v>
      </c>
      <c r="I281" t="s">
        <v>439</v>
      </c>
      <c r="J281" t="s">
        <v>439</v>
      </c>
      <c r="K281" s="4">
        <v>27.67</v>
      </c>
      <c r="L281" s="4">
        <v>27.67</v>
      </c>
      <c r="M281" t="s">
        <v>44</v>
      </c>
      <c r="N281" t="s">
        <v>77</v>
      </c>
      <c r="O281" t="s">
        <v>99</v>
      </c>
      <c r="P281" t="s">
        <v>99</v>
      </c>
      <c r="Q281" t="s">
        <v>128</v>
      </c>
      <c r="R281" t="s">
        <v>128</v>
      </c>
      <c r="S281" t="s">
        <v>197</v>
      </c>
      <c r="T281" t="s">
        <v>198</v>
      </c>
      <c r="U281" t="s">
        <v>163</v>
      </c>
      <c r="V281" t="s">
        <v>164</v>
      </c>
      <c r="W281" t="s">
        <v>77</v>
      </c>
      <c r="X281" t="s">
        <v>44</v>
      </c>
      <c r="Y281" t="s">
        <v>99</v>
      </c>
      <c r="Z281" t="s">
        <v>421</v>
      </c>
      <c r="AC281" t="str">
        <f>IF(AA281="",M281,AA281)</f>
        <v>sim</v>
      </c>
      <c r="AD281" t="str">
        <f>IF(AB281="",X281,AB281)</f>
        <v>sim</v>
      </c>
      <c r="AE281" t="str">
        <f>IF(OR(Configuracao!B9="",Configuracao!B10=""),"aguardando limiar",IF(AND(K281&gt;=Configuracao!B9,K281/MAX(Reconciliacao!C2,1)&gt;=Configuracao!B10/100),"sim","não"))</f>
        <v>aguardando limiar</v>
      </c>
    </row>
    <row r="282" spans="1:31" x14ac:dyDescent="0.25">
      <c r="A282">
        <v>11500</v>
      </c>
      <c r="C282" t="s">
        <v>574</v>
      </c>
      <c r="D282" t="s">
        <v>575</v>
      </c>
      <c r="E282" t="s">
        <v>445</v>
      </c>
      <c r="F282" t="s">
        <v>196</v>
      </c>
      <c r="G282" t="s">
        <v>195</v>
      </c>
      <c r="H282" t="s">
        <v>194</v>
      </c>
      <c r="I282" t="s">
        <v>32</v>
      </c>
      <c r="J282" t="s">
        <v>32</v>
      </c>
      <c r="K282" s="4">
        <v>35.07</v>
      </c>
      <c r="L282" s="4">
        <v>35.07</v>
      </c>
      <c r="M282" t="s">
        <v>44</v>
      </c>
      <c r="N282" t="s">
        <v>77</v>
      </c>
      <c r="O282" t="s">
        <v>99</v>
      </c>
      <c r="P282" t="s">
        <v>99</v>
      </c>
      <c r="Q282" t="s">
        <v>128</v>
      </c>
      <c r="R282" t="s">
        <v>128</v>
      </c>
      <c r="S282" t="s">
        <v>197</v>
      </c>
      <c r="T282" t="s">
        <v>198</v>
      </c>
      <c r="U282" t="s">
        <v>163</v>
      </c>
      <c r="V282" t="s">
        <v>164</v>
      </c>
      <c r="W282" t="s">
        <v>77</v>
      </c>
      <c r="X282" t="s">
        <v>44</v>
      </c>
      <c r="Y282" t="s">
        <v>99</v>
      </c>
      <c r="Z282" t="s">
        <v>421</v>
      </c>
      <c r="AC282" t="str">
        <f>IF(AA282="",M282,AA282)</f>
        <v>sim</v>
      </c>
      <c r="AD282" t="str">
        <f>IF(AB282="",X282,AB282)</f>
        <v>sim</v>
      </c>
      <c r="AE282" t="str">
        <f>IF(OR(Configuracao!B9="",Configuracao!B10=""),"aguardando limiar",IF(AND(K282&gt;=Configuracao!B9,K282/MAX(Reconciliacao!C2,1)&gt;=Configuracao!B10/100),"sim","não"))</f>
        <v>aguardando limiar</v>
      </c>
    </row>
    <row r="283" spans="1:31" x14ac:dyDescent="0.25">
      <c r="A283">
        <v>16887</v>
      </c>
      <c r="C283" t="s">
        <v>582</v>
      </c>
      <c r="D283" t="s">
        <v>583</v>
      </c>
      <c r="E283" t="s">
        <v>486</v>
      </c>
      <c r="F283" t="s">
        <v>196</v>
      </c>
      <c r="G283" t="s">
        <v>195</v>
      </c>
      <c r="H283" t="s">
        <v>194</v>
      </c>
      <c r="I283" t="s">
        <v>461</v>
      </c>
      <c r="J283" t="s">
        <v>461</v>
      </c>
      <c r="K283" s="4">
        <v>38.35</v>
      </c>
      <c r="L283" s="4">
        <v>38.35</v>
      </c>
      <c r="M283" t="s">
        <v>44</v>
      </c>
      <c r="N283" t="s">
        <v>77</v>
      </c>
      <c r="O283" t="s">
        <v>99</v>
      </c>
      <c r="P283" t="s">
        <v>99</v>
      </c>
      <c r="Q283" t="s">
        <v>128</v>
      </c>
      <c r="R283" t="s">
        <v>128</v>
      </c>
      <c r="S283" t="s">
        <v>197</v>
      </c>
      <c r="T283" t="s">
        <v>198</v>
      </c>
      <c r="U283" t="s">
        <v>163</v>
      </c>
      <c r="V283" t="s">
        <v>164</v>
      </c>
      <c r="W283" t="s">
        <v>77</v>
      </c>
      <c r="X283" t="s">
        <v>44</v>
      </c>
      <c r="Y283" t="s">
        <v>99</v>
      </c>
      <c r="Z283" t="s">
        <v>421</v>
      </c>
      <c r="AC283" t="str">
        <f>IF(AA283="",M283,AA283)</f>
        <v>sim</v>
      </c>
      <c r="AD283" t="str">
        <f>IF(AB283="",X283,AB283)</f>
        <v>sim</v>
      </c>
      <c r="AE283" t="str">
        <f>IF(OR(Configuracao!B9="",Configuracao!B10=""),"aguardando limiar",IF(AND(K283&gt;=Configuracao!B9,K283/MAX(Reconciliacao!C2,1)&gt;=Configuracao!B10/100),"sim","não"))</f>
        <v>aguardando limiar</v>
      </c>
    </row>
    <row r="284" spans="1:31" x14ac:dyDescent="0.25">
      <c r="A284">
        <v>17394</v>
      </c>
      <c r="C284" t="s">
        <v>574</v>
      </c>
      <c r="D284" t="s">
        <v>575</v>
      </c>
      <c r="E284" t="s">
        <v>445</v>
      </c>
      <c r="F284" t="s">
        <v>196</v>
      </c>
      <c r="G284" t="s">
        <v>195</v>
      </c>
      <c r="H284" t="s">
        <v>194</v>
      </c>
      <c r="I284" t="s">
        <v>442</v>
      </c>
      <c r="J284" t="s">
        <v>442</v>
      </c>
      <c r="K284" s="4">
        <v>39.95</v>
      </c>
      <c r="L284" s="4">
        <v>39.95</v>
      </c>
      <c r="M284" t="s">
        <v>44</v>
      </c>
      <c r="N284" t="s">
        <v>77</v>
      </c>
      <c r="O284" t="s">
        <v>99</v>
      </c>
      <c r="P284" t="s">
        <v>99</v>
      </c>
      <c r="Q284" t="s">
        <v>128</v>
      </c>
      <c r="R284" t="s">
        <v>128</v>
      </c>
      <c r="S284" t="s">
        <v>197</v>
      </c>
      <c r="T284" t="s">
        <v>198</v>
      </c>
      <c r="U284" t="s">
        <v>163</v>
      </c>
      <c r="V284" t="s">
        <v>164</v>
      </c>
      <c r="W284" t="s">
        <v>77</v>
      </c>
      <c r="X284" t="s">
        <v>44</v>
      </c>
      <c r="Y284" t="s">
        <v>99</v>
      </c>
      <c r="Z284" t="s">
        <v>421</v>
      </c>
      <c r="AC284" t="str">
        <f>IF(AA284="",M284,AA284)</f>
        <v>sim</v>
      </c>
      <c r="AD284" t="str">
        <f>IF(AB284="",X284,AB284)</f>
        <v>sim</v>
      </c>
      <c r="AE284" t="str">
        <f>IF(OR(Configuracao!B9="",Configuracao!B10=""),"aguardando limiar",IF(AND(K284&gt;=Configuracao!B9,K284/MAX(Reconciliacao!C2,1)&gt;=Configuracao!B10/100),"sim","não"))</f>
        <v>aguardando limiar</v>
      </c>
    </row>
    <row r="285" spans="1:31" x14ac:dyDescent="0.25">
      <c r="A285">
        <v>12774</v>
      </c>
      <c r="C285" t="s">
        <v>582</v>
      </c>
      <c r="D285" t="s">
        <v>583</v>
      </c>
      <c r="E285" t="s">
        <v>477</v>
      </c>
      <c r="F285" t="s">
        <v>196</v>
      </c>
      <c r="G285" t="s">
        <v>195</v>
      </c>
      <c r="H285" t="s">
        <v>194</v>
      </c>
      <c r="I285" t="s">
        <v>420</v>
      </c>
      <c r="J285" t="s">
        <v>420</v>
      </c>
      <c r="K285" s="4">
        <v>40.08</v>
      </c>
      <c r="L285" s="4">
        <v>40.08</v>
      </c>
      <c r="M285" t="s">
        <v>44</v>
      </c>
      <c r="N285" t="s">
        <v>77</v>
      </c>
      <c r="O285" t="s">
        <v>99</v>
      </c>
      <c r="P285" t="s">
        <v>99</v>
      </c>
      <c r="Q285" t="s">
        <v>128</v>
      </c>
      <c r="R285" t="s">
        <v>128</v>
      </c>
      <c r="S285" t="s">
        <v>197</v>
      </c>
      <c r="T285" t="s">
        <v>198</v>
      </c>
      <c r="U285" t="s">
        <v>163</v>
      </c>
      <c r="V285" t="s">
        <v>164</v>
      </c>
      <c r="W285" t="s">
        <v>77</v>
      </c>
      <c r="X285" t="s">
        <v>44</v>
      </c>
      <c r="Y285" t="s">
        <v>99</v>
      </c>
      <c r="Z285" t="s">
        <v>421</v>
      </c>
      <c r="AC285" t="str">
        <f>IF(AA285="",M285,AA285)</f>
        <v>sim</v>
      </c>
      <c r="AD285" t="str">
        <f>IF(AB285="",X285,AB285)</f>
        <v>sim</v>
      </c>
      <c r="AE285" t="str">
        <f>IF(OR(Configuracao!B9="",Configuracao!B10=""),"aguardando limiar",IF(AND(K285&gt;=Configuracao!B9,K285/MAX(Reconciliacao!C2,1)&gt;=Configuracao!B10/100),"sim","não"))</f>
        <v>aguardando limiar</v>
      </c>
    </row>
    <row r="286" spans="1:31" x14ac:dyDescent="0.25">
      <c r="A286">
        <v>11494</v>
      </c>
      <c r="C286" t="s">
        <v>584</v>
      </c>
      <c r="D286" t="s">
        <v>578</v>
      </c>
      <c r="E286" t="s">
        <v>546</v>
      </c>
      <c r="F286" t="s">
        <v>196</v>
      </c>
      <c r="G286" t="s">
        <v>195</v>
      </c>
      <c r="H286" t="s">
        <v>194</v>
      </c>
      <c r="I286" t="s">
        <v>32</v>
      </c>
      <c r="J286" t="s">
        <v>32</v>
      </c>
      <c r="K286" s="4">
        <v>50.1</v>
      </c>
      <c r="L286" s="4">
        <v>50.1</v>
      </c>
      <c r="M286" t="s">
        <v>44</v>
      </c>
      <c r="N286" t="s">
        <v>77</v>
      </c>
      <c r="O286" t="s">
        <v>99</v>
      </c>
      <c r="P286" t="s">
        <v>99</v>
      </c>
      <c r="Q286" t="s">
        <v>128</v>
      </c>
      <c r="R286" t="s">
        <v>128</v>
      </c>
      <c r="S286" t="s">
        <v>197</v>
      </c>
      <c r="T286" t="s">
        <v>198</v>
      </c>
      <c r="U286" t="s">
        <v>163</v>
      </c>
      <c r="V286" t="s">
        <v>164</v>
      </c>
      <c r="W286" t="s">
        <v>77</v>
      </c>
      <c r="X286" t="s">
        <v>44</v>
      </c>
      <c r="Y286" t="s">
        <v>99</v>
      </c>
      <c r="Z286" t="s">
        <v>421</v>
      </c>
      <c r="AC286" t="str">
        <f>IF(AA286="",M286,AA286)</f>
        <v>sim</v>
      </c>
      <c r="AD286" t="str">
        <f>IF(AB286="",X286,AB286)</f>
        <v>sim</v>
      </c>
      <c r="AE286" t="str">
        <f>IF(OR(Configuracao!B9="",Configuracao!B10=""),"aguardando limiar",IF(AND(K286&gt;=Configuracao!B9,K286/MAX(Reconciliacao!C2,1)&gt;=Configuracao!B10/100),"sim","não"))</f>
        <v>aguardando limiar</v>
      </c>
    </row>
    <row r="287" spans="1:31" x14ac:dyDescent="0.25">
      <c r="A287">
        <v>12211</v>
      </c>
      <c r="C287" t="s">
        <v>584</v>
      </c>
      <c r="D287" t="s">
        <v>578</v>
      </c>
      <c r="E287" t="s">
        <v>546</v>
      </c>
      <c r="F287" t="s">
        <v>196</v>
      </c>
      <c r="G287" t="s">
        <v>195</v>
      </c>
      <c r="H287" t="s">
        <v>194</v>
      </c>
      <c r="I287" t="s">
        <v>424</v>
      </c>
      <c r="J287" t="s">
        <v>424</v>
      </c>
      <c r="K287" s="4">
        <v>50.1</v>
      </c>
      <c r="L287" s="4">
        <v>50.1</v>
      </c>
      <c r="M287" t="s">
        <v>44</v>
      </c>
      <c r="N287" t="s">
        <v>77</v>
      </c>
      <c r="O287" t="s">
        <v>99</v>
      </c>
      <c r="P287" t="s">
        <v>99</v>
      </c>
      <c r="Q287" t="s">
        <v>128</v>
      </c>
      <c r="R287" t="s">
        <v>128</v>
      </c>
      <c r="S287" t="s">
        <v>197</v>
      </c>
      <c r="T287" t="s">
        <v>198</v>
      </c>
      <c r="U287" t="s">
        <v>163</v>
      </c>
      <c r="V287" t="s">
        <v>164</v>
      </c>
      <c r="W287" t="s">
        <v>77</v>
      </c>
      <c r="X287" t="s">
        <v>44</v>
      </c>
      <c r="Y287" t="s">
        <v>99</v>
      </c>
      <c r="Z287" t="s">
        <v>421</v>
      </c>
      <c r="AC287" t="str">
        <f>IF(AA287="",M287,AA287)</f>
        <v>sim</v>
      </c>
      <c r="AD287" t="str">
        <f>IF(AB287="",X287,AB287)</f>
        <v>sim</v>
      </c>
      <c r="AE287" t="str">
        <f>IF(OR(Configuracao!B9="",Configuracao!B10=""),"aguardando limiar",IF(AND(K287&gt;=Configuracao!B9,K287/MAX(Reconciliacao!C2,1)&gt;=Configuracao!B10/100),"sim","não"))</f>
        <v>aguardando limiar</v>
      </c>
    </row>
    <row r="288" spans="1:31" x14ac:dyDescent="0.25">
      <c r="A288">
        <v>12215</v>
      </c>
      <c r="C288" t="s">
        <v>582</v>
      </c>
      <c r="D288" t="s">
        <v>583</v>
      </c>
      <c r="E288" t="s">
        <v>477</v>
      </c>
      <c r="F288" t="s">
        <v>196</v>
      </c>
      <c r="G288" t="s">
        <v>195</v>
      </c>
      <c r="H288" t="s">
        <v>194</v>
      </c>
      <c r="I288" t="s">
        <v>424</v>
      </c>
      <c r="J288" t="s">
        <v>424</v>
      </c>
      <c r="K288" s="4">
        <v>53.44</v>
      </c>
      <c r="L288" s="4">
        <v>53.44</v>
      </c>
      <c r="M288" t="s">
        <v>44</v>
      </c>
      <c r="N288" t="s">
        <v>77</v>
      </c>
      <c r="O288" t="s">
        <v>99</v>
      </c>
      <c r="P288" t="s">
        <v>99</v>
      </c>
      <c r="Q288" t="s">
        <v>128</v>
      </c>
      <c r="R288" t="s">
        <v>128</v>
      </c>
      <c r="S288" t="s">
        <v>197</v>
      </c>
      <c r="T288" t="s">
        <v>198</v>
      </c>
      <c r="U288" t="s">
        <v>163</v>
      </c>
      <c r="V288" t="s">
        <v>164</v>
      </c>
      <c r="W288" t="s">
        <v>77</v>
      </c>
      <c r="X288" t="s">
        <v>44</v>
      </c>
      <c r="Y288" t="s">
        <v>99</v>
      </c>
      <c r="Z288" t="s">
        <v>421</v>
      </c>
      <c r="AC288" t="str">
        <f>IF(AA288="",M288,AA288)</f>
        <v>sim</v>
      </c>
      <c r="AD288" t="str">
        <f>IF(AB288="",X288,AB288)</f>
        <v>sim</v>
      </c>
      <c r="AE288" t="str">
        <f>IF(OR(Configuracao!B9="",Configuracao!B10=""),"aguardando limiar",IF(AND(K288&gt;=Configuracao!B9,K288/MAX(Reconciliacao!C2,1)&gt;=Configuracao!B10/100),"sim","não"))</f>
        <v>aguardando limiar</v>
      </c>
    </row>
    <row r="289" spans="1:31" x14ac:dyDescent="0.25">
      <c r="A289">
        <v>17393</v>
      </c>
      <c r="C289" t="s">
        <v>574</v>
      </c>
      <c r="D289" t="s">
        <v>575</v>
      </c>
      <c r="E289" t="s">
        <v>525</v>
      </c>
      <c r="F289" t="s">
        <v>196</v>
      </c>
      <c r="G289" t="s">
        <v>195</v>
      </c>
      <c r="H289" t="s">
        <v>194</v>
      </c>
      <c r="I289" t="s">
        <v>442</v>
      </c>
      <c r="J289" t="s">
        <v>442</v>
      </c>
      <c r="K289" s="4">
        <v>59.93</v>
      </c>
      <c r="L289" s="4">
        <v>59.93</v>
      </c>
      <c r="M289" t="s">
        <v>44</v>
      </c>
      <c r="N289" t="s">
        <v>77</v>
      </c>
      <c r="O289" t="s">
        <v>99</v>
      </c>
      <c r="P289" t="s">
        <v>99</v>
      </c>
      <c r="Q289" t="s">
        <v>128</v>
      </c>
      <c r="R289" t="s">
        <v>128</v>
      </c>
      <c r="S289" t="s">
        <v>197</v>
      </c>
      <c r="T289" t="s">
        <v>198</v>
      </c>
      <c r="U289" t="s">
        <v>163</v>
      </c>
      <c r="V289" t="s">
        <v>164</v>
      </c>
      <c r="W289" t="s">
        <v>77</v>
      </c>
      <c r="X289" t="s">
        <v>44</v>
      </c>
      <c r="Y289" t="s">
        <v>99</v>
      </c>
      <c r="Z289" t="s">
        <v>421</v>
      </c>
      <c r="AC289" t="str">
        <f>IF(AA289="",M289,AA289)</f>
        <v>sim</v>
      </c>
      <c r="AD289" t="str">
        <f>IF(AB289="",X289,AB289)</f>
        <v>sim</v>
      </c>
      <c r="AE289" t="str">
        <f>IF(OR(Configuracao!B9="",Configuracao!B10=""),"aguardando limiar",IF(AND(K289&gt;=Configuracao!B9,K289/MAX(Reconciliacao!C2,1)&gt;=Configuracao!B10/100),"sim","não"))</f>
        <v>aguardando limiar</v>
      </c>
    </row>
    <row r="290" spans="1:31" x14ac:dyDescent="0.25">
      <c r="A290">
        <v>18234</v>
      </c>
      <c r="C290" t="s">
        <v>585</v>
      </c>
      <c r="D290" t="s">
        <v>580</v>
      </c>
      <c r="E290" t="s">
        <v>525</v>
      </c>
      <c r="F290" t="s">
        <v>196</v>
      </c>
      <c r="G290" t="s">
        <v>195</v>
      </c>
      <c r="H290" t="s">
        <v>194</v>
      </c>
      <c r="I290" t="s">
        <v>439</v>
      </c>
      <c r="J290" t="s">
        <v>439</v>
      </c>
      <c r="K290" s="4">
        <v>62.33</v>
      </c>
      <c r="L290" s="4">
        <v>62.33</v>
      </c>
      <c r="M290" t="s">
        <v>44</v>
      </c>
      <c r="N290" t="s">
        <v>77</v>
      </c>
      <c r="O290" t="s">
        <v>99</v>
      </c>
      <c r="P290" t="s">
        <v>99</v>
      </c>
      <c r="Q290" t="s">
        <v>128</v>
      </c>
      <c r="R290" t="s">
        <v>128</v>
      </c>
      <c r="S290" t="s">
        <v>197</v>
      </c>
      <c r="T290" t="s">
        <v>198</v>
      </c>
      <c r="U290" t="s">
        <v>163</v>
      </c>
      <c r="V290" t="s">
        <v>164</v>
      </c>
      <c r="W290" t="s">
        <v>77</v>
      </c>
      <c r="X290" t="s">
        <v>44</v>
      </c>
      <c r="Y290" t="s">
        <v>99</v>
      </c>
      <c r="Z290" t="s">
        <v>421</v>
      </c>
      <c r="AC290" t="str">
        <f>IF(AA290="",M290,AA290)</f>
        <v>sim</v>
      </c>
      <c r="AD290" t="str">
        <f>IF(AB290="",X290,AB290)</f>
        <v>sim</v>
      </c>
      <c r="AE290" t="str">
        <f>IF(OR(Configuracao!B9="",Configuracao!B10=""),"aguardando limiar",IF(AND(K290&gt;=Configuracao!B9,K290/MAX(Reconciliacao!C2,1)&gt;=Configuracao!B10/100),"sim","não"))</f>
        <v>aguardando limiar</v>
      </c>
    </row>
    <row r="291" spans="1:31" x14ac:dyDescent="0.25">
      <c r="A291">
        <v>9691</v>
      </c>
      <c r="C291" t="s">
        <v>586</v>
      </c>
      <c r="D291" t="s">
        <v>587</v>
      </c>
      <c r="E291" t="s">
        <v>525</v>
      </c>
      <c r="F291" t="s">
        <v>196</v>
      </c>
      <c r="G291" t="s">
        <v>195</v>
      </c>
      <c r="H291" t="s">
        <v>194</v>
      </c>
      <c r="I291" t="s">
        <v>439</v>
      </c>
      <c r="J291" t="s">
        <v>439</v>
      </c>
      <c r="K291" s="4">
        <v>79.05</v>
      </c>
      <c r="L291" s="4">
        <v>79.05</v>
      </c>
      <c r="M291" t="s">
        <v>44</v>
      </c>
      <c r="N291" t="s">
        <v>77</v>
      </c>
      <c r="O291" t="s">
        <v>99</v>
      </c>
      <c r="P291" t="s">
        <v>99</v>
      </c>
      <c r="Q291" t="s">
        <v>128</v>
      </c>
      <c r="R291" t="s">
        <v>128</v>
      </c>
      <c r="S291" t="s">
        <v>197</v>
      </c>
      <c r="T291" t="s">
        <v>198</v>
      </c>
      <c r="U291" t="s">
        <v>163</v>
      </c>
      <c r="V291" t="s">
        <v>164</v>
      </c>
      <c r="W291" t="s">
        <v>77</v>
      </c>
      <c r="X291" t="s">
        <v>44</v>
      </c>
      <c r="Y291" t="s">
        <v>99</v>
      </c>
      <c r="Z291" t="s">
        <v>421</v>
      </c>
      <c r="AC291" t="str">
        <f>IF(AA291="",M291,AA291)</f>
        <v>sim</v>
      </c>
      <c r="AD291" t="str">
        <f>IF(AB291="",X291,AB291)</f>
        <v>sim</v>
      </c>
      <c r="AE291" t="str">
        <f>IF(OR(Configuracao!B9="",Configuracao!B10=""),"aguardando limiar",IF(AND(K291&gt;=Configuracao!B9,K291/MAX(Reconciliacao!C2,1)&gt;=Configuracao!B10/100),"sim","não"))</f>
        <v>aguardando limiar</v>
      </c>
    </row>
    <row r="292" spans="1:31" x14ac:dyDescent="0.25">
      <c r="A292">
        <v>9692</v>
      </c>
      <c r="C292" t="s">
        <v>586</v>
      </c>
      <c r="D292" t="s">
        <v>587</v>
      </c>
      <c r="E292" t="s">
        <v>525</v>
      </c>
      <c r="F292" t="s">
        <v>196</v>
      </c>
      <c r="G292" t="s">
        <v>195</v>
      </c>
      <c r="H292" t="s">
        <v>194</v>
      </c>
      <c r="I292" t="s">
        <v>35</v>
      </c>
      <c r="J292" t="s">
        <v>35</v>
      </c>
      <c r="K292" s="4">
        <v>79.05</v>
      </c>
      <c r="L292" s="4">
        <v>79.05</v>
      </c>
      <c r="M292" t="s">
        <v>44</v>
      </c>
      <c r="N292" t="s">
        <v>77</v>
      </c>
      <c r="O292" t="s">
        <v>99</v>
      </c>
      <c r="P292" t="s">
        <v>99</v>
      </c>
      <c r="Q292" t="s">
        <v>128</v>
      </c>
      <c r="R292" t="s">
        <v>128</v>
      </c>
      <c r="S292" t="s">
        <v>197</v>
      </c>
      <c r="T292" t="s">
        <v>198</v>
      </c>
      <c r="U292" t="s">
        <v>163</v>
      </c>
      <c r="V292" t="s">
        <v>164</v>
      </c>
      <c r="W292" t="s">
        <v>77</v>
      </c>
      <c r="X292" t="s">
        <v>44</v>
      </c>
      <c r="Y292" t="s">
        <v>99</v>
      </c>
      <c r="Z292" t="s">
        <v>421</v>
      </c>
      <c r="AC292" t="str">
        <f>IF(AA292="",M292,AA292)</f>
        <v>sim</v>
      </c>
      <c r="AD292" t="str">
        <f>IF(AB292="",X292,AB292)</f>
        <v>sim</v>
      </c>
      <c r="AE292" t="str">
        <f>IF(OR(Configuracao!B9="",Configuracao!B10=""),"aguardando limiar",IF(AND(K292&gt;=Configuracao!B9,K292/MAX(Reconciliacao!C2,1)&gt;=Configuracao!B10/100),"sim","não"))</f>
        <v>aguardando limiar</v>
      </c>
    </row>
    <row r="293" spans="1:31" x14ac:dyDescent="0.25">
      <c r="A293">
        <v>18229</v>
      </c>
      <c r="C293" t="s">
        <v>588</v>
      </c>
      <c r="D293" t="s">
        <v>510</v>
      </c>
      <c r="E293" t="s">
        <v>525</v>
      </c>
      <c r="F293" t="s">
        <v>196</v>
      </c>
      <c r="G293" t="s">
        <v>195</v>
      </c>
      <c r="H293" t="s">
        <v>194</v>
      </c>
      <c r="I293" t="s">
        <v>439</v>
      </c>
      <c r="J293" t="s">
        <v>439</v>
      </c>
      <c r="K293" s="4">
        <v>79.05</v>
      </c>
      <c r="L293" s="4">
        <v>79.05</v>
      </c>
      <c r="M293" t="s">
        <v>44</v>
      </c>
      <c r="N293" t="s">
        <v>77</v>
      </c>
      <c r="O293" t="s">
        <v>99</v>
      </c>
      <c r="P293" t="s">
        <v>99</v>
      </c>
      <c r="Q293" t="s">
        <v>128</v>
      </c>
      <c r="R293" t="s">
        <v>128</v>
      </c>
      <c r="S293" t="s">
        <v>197</v>
      </c>
      <c r="T293" t="s">
        <v>198</v>
      </c>
      <c r="U293" t="s">
        <v>163</v>
      </c>
      <c r="V293" t="s">
        <v>164</v>
      </c>
      <c r="W293" t="s">
        <v>77</v>
      </c>
      <c r="X293" t="s">
        <v>44</v>
      </c>
      <c r="Y293" t="s">
        <v>99</v>
      </c>
      <c r="Z293" t="s">
        <v>421</v>
      </c>
      <c r="AC293" t="str">
        <f>IF(AA293="",M293,AA293)</f>
        <v>sim</v>
      </c>
      <c r="AD293" t="str">
        <f>IF(AB293="",X293,AB293)</f>
        <v>sim</v>
      </c>
      <c r="AE293" t="str">
        <f>IF(OR(Configuracao!B9="",Configuracao!B10=""),"aguardando limiar",IF(AND(K293&gt;=Configuracao!B9,K293/MAX(Reconciliacao!C2,1)&gt;=Configuracao!B10/100),"sim","não"))</f>
        <v>aguardando limiar</v>
      </c>
    </row>
    <row r="294" spans="1:31" x14ac:dyDescent="0.25">
      <c r="A294">
        <v>18981</v>
      </c>
      <c r="C294" t="s">
        <v>588</v>
      </c>
      <c r="D294" t="s">
        <v>510</v>
      </c>
      <c r="E294" t="s">
        <v>525</v>
      </c>
      <c r="F294" t="s">
        <v>196</v>
      </c>
      <c r="G294" t="s">
        <v>195</v>
      </c>
      <c r="H294" t="s">
        <v>194</v>
      </c>
      <c r="I294" t="s">
        <v>35</v>
      </c>
      <c r="J294" t="s">
        <v>35</v>
      </c>
      <c r="K294" s="4">
        <v>79.05</v>
      </c>
      <c r="L294" s="4">
        <v>79.05</v>
      </c>
      <c r="M294" t="s">
        <v>44</v>
      </c>
      <c r="N294" t="s">
        <v>77</v>
      </c>
      <c r="O294" t="s">
        <v>99</v>
      </c>
      <c r="P294" t="s">
        <v>99</v>
      </c>
      <c r="Q294" t="s">
        <v>128</v>
      </c>
      <c r="R294" t="s">
        <v>128</v>
      </c>
      <c r="S294" t="s">
        <v>197</v>
      </c>
      <c r="T294" t="s">
        <v>198</v>
      </c>
      <c r="U294" t="s">
        <v>163</v>
      </c>
      <c r="V294" t="s">
        <v>164</v>
      </c>
      <c r="W294" t="s">
        <v>77</v>
      </c>
      <c r="X294" t="s">
        <v>44</v>
      </c>
      <c r="Y294" t="s">
        <v>99</v>
      </c>
      <c r="Z294" t="s">
        <v>421</v>
      </c>
      <c r="AC294" t="str">
        <f>IF(AA294="",M294,AA294)</f>
        <v>sim</v>
      </c>
      <c r="AD294" t="str">
        <f>IF(AB294="",X294,AB294)</f>
        <v>sim</v>
      </c>
      <c r="AE294" t="str">
        <f>IF(OR(Configuracao!B9="",Configuracao!B10=""),"aguardando limiar",IF(AND(K294&gt;=Configuracao!B9,K294/MAX(Reconciliacao!C2,1)&gt;=Configuracao!B10/100),"sim","não"))</f>
        <v>aguardando limiar</v>
      </c>
    </row>
    <row r="295" spans="1:31" x14ac:dyDescent="0.25">
      <c r="A295">
        <v>17386</v>
      </c>
      <c r="C295" t="s">
        <v>588</v>
      </c>
      <c r="D295" t="s">
        <v>510</v>
      </c>
      <c r="E295" t="s">
        <v>525</v>
      </c>
      <c r="F295" t="s">
        <v>196</v>
      </c>
      <c r="G295" t="s">
        <v>195</v>
      </c>
      <c r="H295" t="s">
        <v>194</v>
      </c>
      <c r="I295" t="s">
        <v>442</v>
      </c>
      <c r="J295" t="s">
        <v>442</v>
      </c>
      <c r="K295" s="4">
        <v>79.9</v>
      </c>
      <c r="L295" s="4">
        <v>79.9</v>
      </c>
      <c r="M295" t="s">
        <v>44</v>
      </c>
      <c r="N295" t="s">
        <v>77</v>
      </c>
      <c r="O295" t="s">
        <v>99</v>
      </c>
      <c r="P295" t="s">
        <v>99</v>
      </c>
      <c r="Q295" t="s">
        <v>128</v>
      </c>
      <c r="R295" t="s">
        <v>128</v>
      </c>
      <c r="S295" t="s">
        <v>197</v>
      </c>
      <c r="T295" t="s">
        <v>198</v>
      </c>
      <c r="U295" t="s">
        <v>163</v>
      </c>
      <c r="V295" t="s">
        <v>164</v>
      </c>
      <c r="W295" t="s">
        <v>77</v>
      </c>
      <c r="X295" t="s">
        <v>44</v>
      </c>
      <c r="Y295" t="s">
        <v>99</v>
      </c>
      <c r="Z295" t="s">
        <v>421</v>
      </c>
      <c r="AC295" t="str">
        <f>IF(AA295="",M295,AA295)</f>
        <v>sim</v>
      </c>
      <c r="AD295" t="str">
        <f>IF(AB295="",X295,AB295)</f>
        <v>sim</v>
      </c>
      <c r="AE295" t="str">
        <f>IF(OR(Configuracao!B9="",Configuracao!B10=""),"aguardando limiar",IF(AND(K295&gt;=Configuracao!B9,K295/MAX(Reconciliacao!C2,1)&gt;=Configuracao!B10/100),"sim","não"))</f>
        <v>aguardando limiar</v>
      </c>
    </row>
    <row r="296" spans="1:31" x14ac:dyDescent="0.25">
      <c r="A296">
        <v>17398</v>
      </c>
      <c r="C296" t="s">
        <v>586</v>
      </c>
      <c r="D296" t="s">
        <v>587</v>
      </c>
      <c r="E296" t="s">
        <v>525</v>
      </c>
      <c r="F296" t="s">
        <v>196</v>
      </c>
      <c r="G296" t="s">
        <v>195</v>
      </c>
      <c r="H296" t="s">
        <v>194</v>
      </c>
      <c r="I296" t="s">
        <v>442</v>
      </c>
      <c r="J296" t="s">
        <v>442</v>
      </c>
      <c r="K296" s="4">
        <v>79.9</v>
      </c>
      <c r="L296" s="4">
        <v>79.9</v>
      </c>
      <c r="M296" t="s">
        <v>44</v>
      </c>
      <c r="N296" t="s">
        <v>77</v>
      </c>
      <c r="O296" t="s">
        <v>99</v>
      </c>
      <c r="P296" t="s">
        <v>99</v>
      </c>
      <c r="Q296" t="s">
        <v>128</v>
      </c>
      <c r="R296" t="s">
        <v>128</v>
      </c>
      <c r="S296" t="s">
        <v>197</v>
      </c>
      <c r="T296" t="s">
        <v>198</v>
      </c>
      <c r="U296" t="s">
        <v>163</v>
      </c>
      <c r="V296" t="s">
        <v>164</v>
      </c>
      <c r="W296" t="s">
        <v>77</v>
      </c>
      <c r="X296" t="s">
        <v>44</v>
      </c>
      <c r="Y296" t="s">
        <v>99</v>
      </c>
      <c r="Z296" t="s">
        <v>421</v>
      </c>
      <c r="AC296" t="str">
        <f>IF(AA296="",M296,AA296)</f>
        <v>sim</v>
      </c>
      <c r="AD296" t="str">
        <f>IF(AB296="",X296,AB296)</f>
        <v>sim</v>
      </c>
      <c r="AE296" t="str">
        <f>IF(OR(Configuracao!B9="",Configuracao!B10=""),"aguardando limiar",IF(AND(K296&gt;=Configuracao!B9,K296/MAX(Reconciliacao!C2,1)&gt;=Configuracao!B10/100),"sim","não"))</f>
        <v>aguardando limiar</v>
      </c>
    </row>
    <row r="297" spans="1:31" x14ac:dyDescent="0.25">
      <c r="A297">
        <v>14924</v>
      </c>
      <c r="C297" t="s">
        <v>589</v>
      </c>
      <c r="D297" t="s">
        <v>510</v>
      </c>
      <c r="E297" t="s">
        <v>546</v>
      </c>
      <c r="F297" t="s">
        <v>196</v>
      </c>
      <c r="G297" t="s">
        <v>195</v>
      </c>
      <c r="H297" t="s">
        <v>194</v>
      </c>
      <c r="I297" t="s">
        <v>454</v>
      </c>
      <c r="J297" t="s">
        <v>454</v>
      </c>
      <c r="K297" s="4">
        <v>82.86</v>
      </c>
      <c r="L297" s="4">
        <v>82.86</v>
      </c>
      <c r="M297" t="s">
        <v>44</v>
      </c>
      <c r="N297" t="s">
        <v>77</v>
      </c>
      <c r="O297" t="s">
        <v>99</v>
      </c>
      <c r="P297" t="s">
        <v>99</v>
      </c>
      <c r="Q297" t="s">
        <v>128</v>
      </c>
      <c r="R297" t="s">
        <v>128</v>
      </c>
      <c r="S297" t="s">
        <v>197</v>
      </c>
      <c r="T297" t="s">
        <v>198</v>
      </c>
      <c r="U297" t="s">
        <v>163</v>
      </c>
      <c r="V297" t="s">
        <v>164</v>
      </c>
      <c r="W297" t="s">
        <v>77</v>
      </c>
      <c r="X297" t="s">
        <v>44</v>
      </c>
      <c r="Y297" t="s">
        <v>99</v>
      </c>
      <c r="Z297" t="s">
        <v>421</v>
      </c>
      <c r="AC297" t="str">
        <f>IF(AA297="",M297,AA297)</f>
        <v>sim</v>
      </c>
      <c r="AD297" t="str">
        <f>IF(AB297="",X297,AB297)</f>
        <v>sim</v>
      </c>
      <c r="AE297" t="str">
        <f>IF(OR(Configuracao!B9="",Configuracao!B10=""),"aguardando limiar",IF(AND(K297&gt;=Configuracao!B9,K297/MAX(Reconciliacao!C2,1)&gt;=Configuracao!B10/100),"sim","não"))</f>
        <v>aguardando limiar</v>
      </c>
    </row>
    <row r="298" spans="1:31" x14ac:dyDescent="0.25">
      <c r="A298">
        <v>16884</v>
      </c>
      <c r="C298" t="s">
        <v>589</v>
      </c>
      <c r="D298" t="s">
        <v>510</v>
      </c>
      <c r="E298" t="s">
        <v>546</v>
      </c>
      <c r="F298" t="s">
        <v>196</v>
      </c>
      <c r="G298" t="s">
        <v>195</v>
      </c>
      <c r="H298" t="s">
        <v>194</v>
      </c>
      <c r="I298" t="s">
        <v>461</v>
      </c>
      <c r="J298" t="s">
        <v>461</v>
      </c>
      <c r="K298" s="4">
        <v>82.86</v>
      </c>
      <c r="L298" s="4">
        <v>82.86</v>
      </c>
      <c r="M298" t="s">
        <v>44</v>
      </c>
      <c r="N298" t="s">
        <v>77</v>
      </c>
      <c r="O298" t="s">
        <v>99</v>
      </c>
      <c r="P298" t="s">
        <v>99</v>
      </c>
      <c r="Q298" t="s">
        <v>128</v>
      </c>
      <c r="R298" t="s">
        <v>128</v>
      </c>
      <c r="S298" t="s">
        <v>197</v>
      </c>
      <c r="T298" t="s">
        <v>198</v>
      </c>
      <c r="U298" t="s">
        <v>163</v>
      </c>
      <c r="V298" t="s">
        <v>164</v>
      </c>
      <c r="W298" t="s">
        <v>77</v>
      </c>
      <c r="X298" t="s">
        <v>44</v>
      </c>
      <c r="Y298" t="s">
        <v>99</v>
      </c>
      <c r="Z298" t="s">
        <v>421</v>
      </c>
      <c r="AC298" t="str">
        <f>IF(AA298="",M298,AA298)</f>
        <v>sim</v>
      </c>
      <c r="AD298" t="str">
        <f>IF(AB298="",X298,AB298)</f>
        <v>sim</v>
      </c>
      <c r="AE298" t="str">
        <f>IF(OR(Configuracao!B9="",Configuracao!B10=""),"aguardando limiar",IF(AND(K298&gt;=Configuracao!B9,K298/MAX(Reconciliacao!C2,1)&gt;=Configuracao!B10/100),"sim","não"))</f>
        <v>aguardando limiar</v>
      </c>
    </row>
    <row r="299" spans="1:31" x14ac:dyDescent="0.25">
      <c r="A299">
        <v>17384</v>
      </c>
      <c r="C299" t="s">
        <v>589</v>
      </c>
      <c r="D299" t="s">
        <v>510</v>
      </c>
      <c r="E299" t="s">
        <v>546</v>
      </c>
      <c r="F299" t="s">
        <v>196</v>
      </c>
      <c r="G299" t="s">
        <v>195</v>
      </c>
      <c r="H299" t="s">
        <v>194</v>
      </c>
      <c r="I299" t="s">
        <v>442</v>
      </c>
      <c r="J299" t="s">
        <v>442</v>
      </c>
      <c r="K299" s="4">
        <v>82.86</v>
      </c>
      <c r="L299" s="4">
        <v>82.86</v>
      </c>
      <c r="M299" t="s">
        <v>44</v>
      </c>
      <c r="N299" t="s">
        <v>77</v>
      </c>
      <c r="O299" t="s">
        <v>99</v>
      </c>
      <c r="P299" t="s">
        <v>99</v>
      </c>
      <c r="Q299" t="s">
        <v>128</v>
      </c>
      <c r="R299" t="s">
        <v>128</v>
      </c>
      <c r="S299" t="s">
        <v>197</v>
      </c>
      <c r="T299" t="s">
        <v>198</v>
      </c>
      <c r="U299" t="s">
        <v>163</v>
      </c>
      <c r="V299" t="s">
        <v>164</v>
      </c>
      <c r="W299" t="s">
        <v>77</v>
      </c>
      <c r="X299" t="s">
        <v>44</v>
      </c>
      <c r="Y299" t="s">
        <v>99</v>
      </c>
      <c r="Z299" t="s">
        <v>421</v>
      </c>
      <c r="AC299" t="str">
        <f>IF(AA299="",M299,AA299)</f>
        <v>sim</v>
      </c>
      <c r="AD299" t="str">
        <f>IF(AB299="",X299,AB299)</f>
        <v>sim</v>
      </c>
      <c r="AE299" t="str">
        <f>IF(OR(Configuracao!B9="",Configuracao!B10=""),"aguardando limiar",IF(AND(K299&gt;=Configuracao!B9,K299/MAX(Reconciliacao!C2,1)&gt;=Configuracao!B10/100),"sim","não"))</f>
        <v>aguardando limiar</v>
      </c>
    </row>
    <row r="300" spans="1:31" x14ac:dyDescent="0.25">
      <c r="A300">
        <v>12205</v>
      </c>
      <c r="C300" t="s">
        <v>589</v>
      </c>
      <c r="D300" t="s">
        <v>510</v>
      </c>
      <c r="E300" t="s">
        <v>546</v>
      </c>
      <c r="F300" t="s">
        <v>196</v>
      </c>
      <c r="G300" t="s">
        <v>195</v>
      </c>
      <c r="H300" t="s">
        <v>194</v>
      </c>
      <c r="I300" t="s">
        <v>424</v>
      </c>
      <c r="J300" t="s">
        <v>424</v>
      </c>
      <c r="K300" s="4">
        <v>86.6</v>
      </c>
      <c r="L300" s="4">
        <v>86.6</v>
      </c>
      <c r="M300" t="s">
        <v>44</v>
      </c>
      <c r="N300" t="s">
        <v>77</v>
      </c>
      <c r="O300" t="s">
        <v>99</v>
      </c>
      <c r="P300" t="s">
        <v>99</v>
      </c>
      <c r="Q300" t="s">
        <v>128</v>
      </c>
      <c r="R300" t="s">
        <v>128</v>
      </c>
      <c r="S300" t="s">
        <v>197</v>
      </c>
      <c r="T300" t="s">
        <v>198</v>
      </c>
      <c r="U300" t="s">
        <v>163</v>
      </c>
      <c r="V300" t="s">
        <v>164</v>
      </c>
      <c r="W300" t="s">
        <v>77</v>
      </c>
      <c r="X300" t="s">
        <v>44</v>
      </c>
      <c r="Y300" t="s">
        <v>99</v>
      </c>
      <c r="Z300" t="s">
        <v>421</v>
      </c>
      <c r="AC300" t="str">
        <f>IF(AA300="",M300,AA300)</f>
        <v>sim</v>
      </c>
      <c r="AD300" t="str">
        <f>IF(AB300="",X300,AB300)</f>
        <v>sim</v>
      </c>
      <c r="AE300" t="str">
        <f>IF(OR(Configuracao!B9="",Configuracao!B10=""),"aguardando limiar",IF(AND(K300&gt;=Configuracao!B9,K300/MAX(Reconciliacao!C2,1)&gt;=Configuracao!B10/100),"sim","não"))</f>
        <v>aguardando limiar</v>
      </c>
    </row>
    <row r="301" spans="1:31" x14ac:dyDescent="0.25">
      <c r="A301">
        <v>12767</v>
      </c>
      <c r="C301" t="s">
        <v>589</v>
      </c>
      <c r="D301" t="s">
        <v>510</v>
      </c>
      <c r="E301" t="s">
        <v>546</v>
      </c>
      <c r="F301" t="s">
        <v>196</v>
      </c>
      <c r="G301" t="s">
        <v>195</v>
      </c>
      <c r="H301" t="s">
        <v>194</v>
      </c>
      <c r="I301" t="s">
        <v>420</v>
      </c>
      <c r="J301" t="s">
        <v>420</v>
      </c>
      <c r="K301" s="4">
        <v>86.6</v>
      </c>
      <c r="L301" s="4">
        <v>86.6</v>
      </c>
      <c r="M301" t="s">
        <v>44</v>
      </c>
      <c r="N301" t="s">
        <v>77</v>
      </c>
      <c r="O301" t="s">
        <v>99</v>
      </c>
      <c r="P301" t="s">
        <v>99</v>
      </c>
      <c r="Q301" t="s">
        <v>128</v>
      </c>
      <c r="R301" t="s">
        <v>128</v>
      </c>
      <c r="S301" t="s">
        <v>197</v>
      </c>
      <c r="T301" t="s">
        <v>198</v>
      </c>
      <c r="U301" t="s">
        <v>163</v>
      </c>
      <c r="V301" t="s">
        <v>164</v>
      </c>
      <c r="W301" t="s">
        <v>77</v>
      </c>
      <c r="X301" t="s">
        <v>44</v>
      </c>
      <c r="Y301" t="s">
        <v>99</v>
      </c>
      <c r="Z301" t="s">
        <v>421</v>
      </c>
      <c r="AC301" t="str">
        <f>IF(AA301="",M301,AA301)</f>
        <v>sim</v>
      </c>
      <c r="AD301" t="str">
        <f>IF(AB301="",X301,AB301)</f>
        <v>sim</v>
      </c>
      <c r="AE301" t="str">
        <f>IF(OR(Configuracao!B9="",Configuracao!B10=""),"aguardando limiar",IF(AND(K301&gt;=Configuracao!B9,K301/MAX(Reconciliacao!C2,1)&gt;=Configuracao!B10/100),"sim","não"))</f>
        <v>aguardando limiar</v>
      </c>
    </row>
    <row r="302" spans="1:31" x14ac:dyDescent="0.25">
      <c r="A302">
        <v>14939</v>
      </c>
      <c r="C302" t="s">
        <v>590</v>
      </c>
      <c r="D302" t="s">
        <v>587</v>
      </c>
      <c r="E302" t="s">
        <v>445</v>
      </c>
      <c r="F302" t="s">
        <v>196</v>
      </c>
      <c r="G302" t="s">
        <v>195</v>
      </c>
      <c r="H302" t="s">
        <v>194</v>
      </c>
      <c r="I302" t="s">
        <v>454</v>
      </c>
      <c r="J302" t="s">
        <v>454</v>
      </c>
      <c r="K302" s="4">
        <v>95.88</v>
      </c>
      <c r="L302" s="4">
        <v>95.88</v>
      </c>
      <c r="M302" t="s">
        <v>44</v>
      </c>
      <c r="N302" t="s">
        <v>77</v>
      </c>
      <c r="O302" t="s">
        <v>99</v>
      </c>
      <c r="P302" t="s">
        <v>99</v>
      </c>
      <c r="Q302" t="s">
        <v>128</v>
      </c>
      <c r="R302" t="s">
        <v>128</v>
      </c>
      <c r="S302" t="s">
        <v>197</v>
      </c>
      <c r="T302" t="s">
        <v>198</v>
      </c>
      <c r="U302" t="s">
        <v>163</v>
      </c>
      <c r="V302" t="s">
        <v>164</v>
      </c>
      <c r="W302" t="s">
        <v>77</v>
      </c>
      <c r="X302" t="s">
        <v>44</v>
      </c>
      <c r="Y302" t="s">
        <v>99</v>
      </c>
      <c r="Z302" t="s">
        <v>421</v>
      </c>
      <c r="AC302" t="str">
        <f>IF(AA302="",M302,AA302)</f>
        <v>sim</v>
      </c>
      <c r="AD302" t="str">
        <f>IF(AB302="",X302,AB302)</f>
        <v>sim</v>
      </c>
      <c r="AE302" t="str">
        <f>IF(OR(Configuracao!B9="",Configuracao!B10=""),"aguardando limiar",IF(AND(K302&gt;=Configuracao!B9,K302/MAX(Reconciliacao!C2,1)&gt;=Configuracao!B10/100),"sim","não"))</f>
        <v>aguardando limiar</v>
      </c>
    </row>
    <row r="303" spans="1:31" x14ac:dyDescent="0.25">
      <c r="A303">
        <v>16896</v>
      </c>
      <c r="C303" t="s">
        <v>590</v>
      </c>
      <c r="D303" t="s">
        <v>587</v>
      </c>
      <c r="E303" t="s">
        <v>445</v>
      </c>
      <c r="F303" t="s">
        <v>196</v>
      </c>
      <c r="G303" t="s">
        <v>195</v>
      </c>
      <c r="H303" t="s">
        <v>194</v>
      </c>
      <c r="I303" t="s">
        <v>461</v>
      </c>
      <c r="J303" t="s">
        <v>461</v>
      </c>
      <c r="K303" s="4">
        <v>95.88</v>
      </c>
      <c r="L303" s="4">
        <v>95.88</v>
      </c>
      <c r="M303" t="s">
        <v>44</v>
      </c>
      <c r="N303" t="s">
        <v>77</v>
      </c>
      <c r="O303" t="s">
        <v>99</v>
      </c>
      <c r="P303" t="s">
        <v>99</v>
      </c>
      <c r="Q303" t="s">
        <v>128</v>
      </c>
      <c r="R303" t="s">
        <v>128</v>
      </c>
      <c r="S303" t="s">
        <v>197</v>
      </c>
      <c r="T303" t="s">
        <v>198</v>
      </c>
      <c r="U303" t="s">
        <v>163</v>
      </c>
      <c r="V303" t="s">
        <v>164</v>
      </c>
      <c r="W303" t="s">
        <v>77</v>
      </c>
      <c r="X303" t="s">
        <v>44</v>
      </c>
      <c r="Y303" t="s">
        <v>99</v>
      </c>
      <c r="Z303" t="s">
        <v>421</v>
      </c>
      <c r="AC303" t="str">
        <f>IF(AA303="",M303,AA303)</f>
        <v>sim</v>
      </c>
      <c r="AD303" t="str">
        <f>IF(AB303="",X303,AB303)</f>
        <v>sim</v>
      </c>
      <c r="AE303" t="str">
        <f>IF(OR(Configuracao!B9="",Configuracao!B10=""),"aguardando limiar",IF(AND(K303&gt;=Configuracao!B9,K303/MAX(Reconciliacao!C2,1)&gt;=Configuracao!B10/100),"sim","não"))</f>
        <v>aguardando limiar</v>
      </c>
    </row>
    <row r="304" spans="1:31" x14ac:dyDescent="0.25">
      <c r="A304">
        <v>18986</v>
      </c>
      <c r="C304" t="s">
        <v>574</v>
      </c>
      <c r="D304" t="s">
        <v>575</v>
      </c>
      <c r="E304" t="s">
        <v>445</v>
      </c>
      <c r="F304" t="s">
        <v>196</v>
      </c>
      <c r="G304" t="s">
        <v>195</v>
      </c>
      <c r="H304" t="s">
        <v>194</v>
      </c>
      <c r="I304" t="s">
        <v>35</v>
      </c>
      <c r="J304" t="s">
        <v>35</v>
      </c>
      <c r="K304" s="4">
        <v>98.81</v>
      </c>
      <c r="L304" s="4">
        <v>98.81</v>
      </c>
      <c r="M304" t="s">
        <v>44</v>
      </c>
      <c r="N304" t="s">
        <v>77</v>
      </c>
      <c r="O304" t="s">
        <v>99</v>
      </c>
      <c r="P304" t="s">
        <v>99</v>
      </c>
      <c r="Q304" t="s">
        <v>128</v>
      </c>
      <c r="R304" t="s">
        <v>128</v>
      </c>
      <c r="S304" t="s">
        <v>197</v>
      </c>
      <c r="T304" t="s">
        <v>198</v>
      </c>
      <c r="U304" t="s">
        <v>163</v>
      </c>
      <c r="V304" t="s">
        <v>164</v>
      </c>
      <c r="W304" t="s">
        <v>77</v>
      </c>
      <c r="X304" t="s">
        <v>44</v>
      </c>
      <c r="Y304" t="s">
        <v>99</v>
      </c>
      <c r="Z304" t="s">
        <v>421</v>
      </c>
      <c r="AC304" t="str">
        <f>IF(AA304="",M304,AA304)</f>
        <v>sim</v>
      </c>
      <c r="AD304" t="str">
        <f>IF(AB304="",X304,AB304)</f>
        <v>sim</v>
      </c>
      <c r="AE304" t="str">
        <f>IF(OR(Configuracao!B9="",Configuracao!B10=""),"aguardando limiar",IF(AND(K304&gt;=Configuracao!B9,K304/MAX(Reconciliacao!C2,1)&gt;=Configuracao!B10/100),"sim","não"))</f>
        <v>aguardando limiar</v>
      </c>
    </row>
    <row r="305" spans="1:31" x14ac:dyDescent="0.25">
      <c r="A305">
        <v>14937</v>
      </c>
      <c r="C305" t="s">
        <v>574</v>
      </c>
      <c r="D305" t="s">
        <v>575</v>
      </c>
      <c r="E305" t="s">
        <v>445</v>
      </c>
      <c r="F305" t="s">
        <v>196</v>
      </c>
      <c r="G305" t="s">
        <v>195</v>
      </c>
      <c r="H305" t="s">
        <v>194</v>
      </c>
      <c r="I305" t="s">
        <v>454</v>
      </c>
      <c r="J305" t="s">
        <v>454</v>
      </c>
      <c r="K305" s="4">
        <v>99.88</v>
      </c>
      <c r="L305" s="4">
        <v>99.88</v>
      </c>
      <c r="M305" t="s">
        <v>44</v>
      </c>
      <c r="N305" t="s">
        <v>77</v>
      </c>
      <c r="O305" t="s">
        <v>99</v>
      </c>
      <c r="P305" t="s">
        <v>99</v>
      </c>
      <c r="Q305" t="s">
        <v>128</v>
      </c>
      <c r="R305" t="s">
        <v>128</v>
      </c>
      <c r="S305" t="s">
        <v>197</v>
      </c>
      <c r="T305" t="s">
        <v>198</v>
      </c>
      <c r="U305" t="s">
        <v>163</v>
      </c>
      <c r="V305" t="s">
        <v>164</v>
      </c>
      <c r="W305" t="s">
        <v>77</v>
      </c>
      <c r="X305" t="s">
        <v>44</v>
      </c>
      <c r="Y305" t="s">
        <v>99</v>
      </c>
      <c r="Z305" t="s">
        <v>421</v>
      </c>
      <c r="AC305" t="str">
        <f>IF(AA305="",M305,AA305)</f>
        <v>sim</v>
      </c>
      <c r="AD305" t="str">
        <f>IF(AB305="",X305,AB305)</f>
        <v>sim</v>
      </c>
      <c r="AE305" t="str">
        <f>IF(OR(Configuracao!B9="",Configuracao!B10=""),"aguardando limiar",IF(AND(K305&gt;=Configuracao!B9,K305/MAX(Reconciliacao!C2,1)&gt;=Configuracao!B10/100),"sim","não"))</f>
        <v>aguardando limiar</v>
      </c>
    </row>
    <row r="306" spans="1:31" x14ac:dyDescent="0.25">
      <c r="A306">
        <v>16891</v>
      </c>
      <c r="C306" t="s">
        <v>574</v>
      </c>
      <c r="D306" t="s">
        <v>575</v>
      </c>
      <c r="E306" t="s">
        <v>445</v>
      </c>
      <c r="F306" t="s">
        <v>196</v>
      </c>
      <c r="G306" t="s">
        <v>195</v>
      </c>
      <c r="H306" t="s">
        <v>194</v>
      </c>
      <c r="I306" t="s">
        <v>461</v>
      </c>
      <c r="J306" t="s">
        <v>461</v>
      </c>
      <c r="K306" s="4">
        <v>99.88</v>
      </c>
      <c r="L306" s="4">
        <v>99.88</v>
      </c>
      <c r="M306" t="s">
        <v>44</v>
      </c>
      <c r="N306" t="s">
        <v>77</v>
      </c>
      <c r="O306" t="s">
        <v>99</v>
      </c>
      <c r="P306" t="s">
        <v>99</v>
      </c>
      <c r="Q306" t="s">
        <v>128</v>
      </c>
      <c r="R306" t="s">
        <v>128</v>
      </c>
      <c r="S306" t="s">
        <v>197</v>
      </c>
      <c r="T306" t="s">
        <v>198</v>
      </c>
      <c r="U306" t="s">
        <v>163</v>
      </c>
      <c r="V306" t="s">
        <v>164</v>
      </c>
      <c r="W306" t="s">
        <v>77</v>
      </c>
      <c r="X306" t="s">
        <v>44</v>
      </c>
      <c r="Y306" t="s">
        <v>99</v>
      </c>
      <c r="Z306" t="s">
        <v>421</v>
      </c>
      <c r="AC306" t="str">
        <f>IF(AA306="",M306,AA306)</f>
        <v>sim</v>
      </c>
      <c r="AD306" t="str">
        <f>IF(AB306="",X306,AB306)</f>
        <v>sim</v>
      </c>
      <c r="AE306" t="str">
        <f>IF(OR(Configuracao!B9="",Configuracao!B10=""),"aguardando limiar",IF(AND(K306&gt;=Configuracao!B9,K306/MAX(Reconciliacao!C2,1)&gt;=Configuracao!B10/100),"sim","não"))</f>
        <v>aguardando limiar</v>
      </c>
    </row>
    <row r="307" spans="1:31" x14ac:dyDescent="0.25">
      <c r="A307">
        <v>9672</v>
      </c>
      <c r="C307" t="s">
        <v>591</v>
      </c>
      <c r="D307" t="s">
        <v>592</v>
      </c>
      <c r="E307" t="s">
        <v>511</v>
      </c>
      <c r="F307" t="s">
        <v>196</v>
      </c>
      <c r="G307" t="s">
        <v>195</v>
      </c>
      <c r="H307" t="s">
        <v>194</v>
      </c>
      <c r="I307" t="s">
        <v>424</v>
      </c>
      <c r="J307" t="s">
        <v>424</v>
      </c>
      <c r="K307" s="4">
        <v>100.2</v>
      </c>
      <c r="L307" s="4">
        <v>100.2</v>
      </c>
      <c r="M307" t="s">
        <v>44</v>
      </c>
      <c r="N307" t="s">
        <v>77</v>
      </c>
      <c r="O307" t="s">
        <v>99</v>
      </c>
      <c r="P307" t="s">
        <v>99</v>
      </c>
      <c r="Q307" t="s">
        <v>128</v>
      </c>
      <c r="R307" t="s">
        <v>128</v>
      </c>
      <c r="S307" t="s">
        <v>197</v>
      </c>
      <c r="T307" t="s">
        <v>198</v>
      </c>
      <c r="U307" t="s">
        <v>163</v>
      </c>
      <c r="V307" t="s">
        <v>164</v>
      </c>
      <c r="W307" t="s">
        <v>77</v>
      </c>
      <c r="X307" t="s">
        <v>44</v>
      </c>
      <c r="Y307" t="s">
        <v>99</v>
      </c>
      <c r="Z307" t="s">
        <v>421</v>
      </c>
      <c r="AC307" t="str">
        <f>IF(AA307="",M307,AA307)</f>
        <v>sim</v>
      </c>
      <c r="AD307" t="str">
        <f>IF(AB307="",X307,AB307)</f>
        <v>sim</v>
      </c>
      <c r="AE307" t="str">
        <f>IF(OR(Configuracao!B9="",Configuracao!B10=""),"aguardando limiar",IF(AND(K307&gt;=Configuracao!B9,K307/MAX(Reconciliacao!C2,1)&gt;=Configuracao!B10/100),"sim","não"))</f>
        <v>aguardando limiar</v>
      </c>
    </row>
    <row r="308" spans="1:31" x14ac:dyDescent="0.25">
      <c r="A308">
        <v>11504</v>
      </c>
      <c r="C308" t="s">
        <v>590</v>
      </c>
      <c r="D308" t="s">
        <v>587</v>
      </c>
      <c r="E308" t="s">
        <v>445</v>
      </c>
      <c r="F308" t="s">
        <v>196</v>
      </c>
      <c r="G308" t="s">
        <v>195</v>
      </c>
      <c r="H308" t="s">
        <v>194</v>
      </c>
      <c r="I308" t="s">
        <v>32</v>
      </c>
      <c r="J308" t="s">
        <v>32</v>
      </c>
      <c r="K308" s="4">
        <v>100.2</v>
      </c>
      <c r="L308" s="4">
        <v>100.2</v>
      </c>
      <c r="M308" t="s">
        <v>44</v>
      </c>
      <c r="N308" t="s">
        <v>77</v>
      </c>
      <c r="O308" t="s">
        <v>99</v>
      </c>
      <c r="P308" t="s">
        <v>99</v>
      </c>
      <c r="Q308" t="s">
        <v>128</v>
      </c>
      <c r="R308" t="s">
        <v>128</v>
      </c>
      <c r="S308" t="s">
        <v>197</v>
      </c>
      <c r="T308" t="s">
        <v>198</v>
      </c>
      <c r="U308" t="s">
        <v>163</v>
      </c>
      <c r="V308" t="s">
        <v>164</v>
      </c>
      <c r="W308" t="s">
        <v>77</v>
      </c>
      <c r="X308" t="s">
        <v>44</v>
      </c>
      <c r="Y308" t="s">
        <v>99</v>
      </c>
      <c r="Z308" t="s">
        <v>421</v>
      </c>
      <c r="AC308" t="str">
        <f>IF(AA308="",M308,AA308)</f>
        <v>sim</v>
      </c>
      <c r="AD308" t="str">
        <f>IF(AB308="",X308,AB308)</f>
        <v>sim</v>
      </c>
      <c r="AE308" t="str">
        <f>IF(OR(Configuracao!B9="",Configuracao!B10=""),"aguardando limiar",IF(AND(K308&gt;=Configuracao!B9,K308/MAX(Reconciliacao!C2,1)&gt;=Configuracao!B10/100),"sim","não"))</f>
        <v>aguardando limiar</v>
      </c>
    </row>
    <row r="309" spans="1:31" x14ac:dyDescent="0.25">
      <c r="A309">
        <v>12222</v>
      </c>
      <c r="C309" t="s">
        <v>590</v>
      </c>
      <c r="D309" t="s">
        <v>587</v>
      </c>
      <c r="E309" t="s">
        <v>445</v>
      </c>
      <c r="F309" t="s">
        <v>196</v>
      </c>
      <c r="G309" t="s">
        <v>195</v>
      </c>
      <c r="H309" t="s">
        <v>194</v>
      </c>
      <c r="I309" t="s">
        <v>424</v>
      </c>
      <c r="J309" t="s">
        <v>424</v>
      </c>
      <c r="K309" s="4">
        <v>100.2</v>
      </c>
      <c r="L309" s="4">
        <v>100.2</v>
      </c>
      <c r="M309" t="s">
        <v>44</v>
      </c>
      <c r="N309" t="s">
        <v>77</v>
      </c>
      <c r="O309" t="s">
        <v>99</v>
      </c>
      <c r="P309" t="s">
        <v>99</v>
      </c>
      <c r="Q309" t="s">
        <v>128</v>
      </c>
      <c r="R309" t="s">
        <v>128</v>
      </c>
      <c r="S309" t="s">
        <v>197</v>
      </c>
      <c r="T309" t="s">
        <v>198</v>
      </c>
      <c r="U309" t="s">
        <v>163</v>
      </c>
      <c r="V309" t="s">
        <v>164</v>
      </c>
      <c r="W309" t="s">
        <v>77</v>
      </c>
      <c r="X309" t="s">
        <v>44</v>
      </c>
      <c r="Y309" t="s">
        <v>99</v>
      </c>
      <c r="Z309" t="s">
        <v>421</v>
      </c>
      <c r="AC309" t="str">
        <f>IF(AA309="",M309,AA309)</f>
        <v>sim</v>
      </c>
      <c r="AD309" t="str">
        <f>IF(AB309="",X309,AB309)</f>
        <v>sim</v>
      </c>
      <c r="AE309" t="str">
        <f>IF(OR(Configuracao!B9="",Configuracao!B10=""),"aguardando limiar",IF(AND(K309&gt;=Configuracao!B9,K309/MAX(Reconciliacao!C2,1)&gt;=Configuracao!B10/100),"sim","não"))</f>
        <v>aguardando limiar</v>
      </c>
    </row>
    <row r="310" spans="1:31" x14ac:dyDescent="0.25">
      <c r="A310">
        <v>12778</v>
      </c>
      <c r="C310" t="s">
        <v>590</v>
      </c>
      <c r="D310" t="s">
        <v>587</v>
      </c>
      <c r="E310" t="s">
        <v>445</v>
      </c>
      <c r="F310" t="s">
        <v>196</v>
      </c>
      <c r="G310" t="s">
        <v>195</v>
      </c>
      <c r="H310" t="s">
        <v>194</v>
      </c>
      <c r="I310" t="s">
        <v>420</v>
      </c>
      <c r="J310" t="s">
        <v>420</v>
      </c>
      <c r="K310" s="4">
        <v>100.2</v>
      </c>
      <c r="L310" s="4">
        <v>100.2</v>
      </c>
      <c r="M310" t="s">
        <v>44</v>
      </c>
      <c r="N310" t="s">
        <v>77</v>
      </c>
      <c r="O310" t="s">
        <v>99</v>
      </c>
      <c r="P310" t="s">
        <v>99</v>
      </c>
      <c r="Q310" t="s">
        <v>128</v>
      </c>
      <c r="R310" t="s">
        <v>128</v>
      </c>
      <c r="S310" t="s">
        <v>197</v>
      </c>
      <c r="T310" t="s">
        <v>198</v>
      </c>
      <c r="U310" t="s">
        <v>163</v>
      </c>
      <c r="V310" t="s">
        <v>164</v>
      </c>
      <c r="W310" t="s">
        <v>77</v>
      </c>
      <c r="X310" t="s">
        <v>44</v>
      </c>
      <c r="Y310" t="s">
        <v>99</v>
      </c>
      <c r="Z310" t="s">
        <v>421</v>
      </c>
      <c r="AC310" t="str">
        <f>IF(AA310="",M310,AA310)</f>
        <v>sim</v>
      </c>
      <c r="AD310" t="str">
        <f>IF(AB310="",X310,AB310)</f>
        <v>sim</v>
      </c>
      <c r="AE310" t="str">
        <f>IF(OR(Configuracao!B9="",Configuracao!B10=""),"aguardando limiar",IF(AND(K310&gt;=Configuracao!B9,K310/MAX(Reconciliacao!C2,1)&gt;=Configuracao!B10/100),"sim","não"))</f>
        <v>aguardando limiar</v>
      </c>
    </row>
    <row r="311" spans="1:31" x14ac:dyDescent="0.25">
      <c r="A311">
        <v>12210</v>
      </c>
      <c r="C311" t="s">
        <v>577</v>
      </c>
      <c r="D311" t="s">
        <v>578</v>
      </c>
      <c r="E311" t="s">
        <v>445</v>
      </c>
      <c r="F311" t="s">
        <v>196</v>
      </c>
      <c r="G311" t="s">
        <v>195</v>
      </c>
      <c r="H311" t="s">
        <v>194</v>
      </c>
      <c r="I311" t="s">
        <v>424</v>
      </c>
      <c r="J311" t="s">
        <v>424</v>
      </c>
      <c r="K311" s="4">
        <v>102.02</v>
      </c>
      <c r="L311" s="4">
        <v>102.02</v>
      </c>
      <c r="M311" t="s">
        <v>44</v>
      </c>
      <c r="N311" t="s">
        <v>77</v>
      </c>
      <c r="O311" t="s">
        <v>99</v>
      </c>
      <c r="P311" t="s">
        <v>99</v>
      </c>
      <c r="Q311" t="s">
        <v>128</v>
      </c>
      <c r="R311" t="s">
        <v>128</v>
      </c>
      <c r="S311" t="s">
        <v>197</v>
      </c>
      <c r="T311" t="s">
        <v>198</v>
      </c>
      <c r="U311" t="s">
        <v>163</v>
      </c>
      <c r="V311" t="s">
        <v>164</v>
      </c>
      <c r="W311" t="s">
        <v>77</v>
      </c>
      <c r="X311" t="s">
        <v>44</v>
      </c>
      <c r="Y311" t="s">
        <v>99</v>
      </c>
      <c r="Z311" t="s">
        <v>421</v>
      </c>
      <c r="AC311" t="str">
        <f>IF(AA311="",M311,AA311)</f>
        <v>sim</v>
      </c>
      <c r="AD311" t="str">
        <f>IF(AB311="",X311,AB311)</f>
        <v>sim</v>
      </c>
      <c r="AE311" t="str">
        <f>IF(OR(Configuracao!B9="",Configuracao!B10=""),"aguardando limiar",IF(AND(K311&gt;=Configuracao!B9,K311/MAX(Reconciliacao!C2,1)&gt;=Configuracao!B10/100),"sim","não"))</f>
        <v>aguardando limiar</v>
      </c>
    </row>
    <row r="312" spans="1:31" x14ac:dyDescent="0.25">
      <c r="A312">
        <v>11495</v>
      </c>
      <c r="C312" t="s">
        <v>593</v>
      </c>
      <c r="D312" t="s">
        <v>583</v>
      </c>
      <c r="E312" t="s">
        <v>511</v>
      </c>
      <c r="F312" t="s">
        <v>196</v>
      </c>
      <c r="G312" t="s">
        <v>195</v>
      </c>
      <c r="H312" t="s">
        <v>194</v>
      </c>
      <c r="I312" t="s">
        <v>32</v>
      </c>
      <c r="J312" t="s">
        <v>32</v>
      </c>
      <c r="K312" s="4">
        <v>106.92</v>
      </c>
      <c r="L312" s="4">
        <v>106.92</v>
      </c>
      <c r="M312" t="s">
        <v>44</v>
      </c>
      <c r="N312" t="s">
        <v>77</v>
      </c>
      <c r="O312" t="s">
        <v>99</v>
      </c>
      <c r="P312" t="s">
        <v>99</v>
      </c>
      <c r="Q312" t="s">
        <v>128</v>
      </c>
      <c r="R312" t="s">
        <v>128</v>
      </c>
      <c r="S312" t="s">
        <v>197</v>
      </c>
      <c r="T312" t="s">
        <v>198</v>
      </c>
      <c r="U312" t="s">
        <v>163</v>
      </c>
      <c r="V312" t="s">
        <v>164</v>
      </c>
      <c r="W312" t="s">
        <v>77</v>
      </c>
      <c r="X312" t="s">
        <v>44</v>
      </c>
      <c r="Y312" t="s">
        <v>99</v>
      </c>
      <c r="Z312" t="s">
        <v>421</v>
      </c>
      <c r="AC312" t="str">
        <f>IF(AA312="",M312,AA312)</f>
        <v>sim</v>
      </c>
      <c r="AD312" t="str">
        <f>IF(AB312="",X312,AB312)</f>
        <v>sim</v>
      </c>
      <c r="AE312" t="str">
        <f>IF(OR(Configuracao!B9="",Configuracao!B10=""),"aguardando limiar",IF(AND(K312&gt;=Configuracao!B9,K312/MAX(Reconciliacao!C2,1)&gt;=Configuracao!B10/100),"sim","não"))</f>
        <v>aguardando limiar</v>
      </c>
    </row>
    <row r="313" spans="1:31" x14ac:dyDescent="0.25">
      <c r="A313">
        <v>11502</v>
      </c>
      <c r="C313" t="s">
        <v>594</v>
      </c>
      <c r="D313" t="s">
        <v>580</v>
      </c>
      <c r="E313" t="s">
        <v>525</v>
      </c>
      <c r="F313" t="s">
        <v>196</v>
      </c>
      <c r="G313" t="s">
        <v>195</v>
      </c>
      <c r="H313" t="s">
        <v>194</v>
      </c>
      <c r="I313" t="s">
        <v>32</v>
      </c>
      <c r="J313" t="s">
        <v>32</v>
      </c>
      <c r="K313" s="4">
        <v>125.25</v>
      </c>
      <c r="L313" s="4">
        <v>125.25</v>
      </c>
      <c r="M313" t="s">
        <v>44</v>
      </c>
      <c r="N313" t="s">
        <v>77</v>
      </c>
      <c r="O313" t="s">
        <v>99</v>
      </c>
      <c r="P313" t="s">
        <v>99</v>
      </c>
      <c r="Q313" t="s">
        <v>128</v>
      </c>
      <c r="R313" t="s">
        <v>128</v>
      </c>
      <c r="S313" t="s">
        <v>197</v>
      </c>
      <c r="T313" t="s">
        <v>198</v>
      </c>
      <c r="U313" t="s">
        <v>163</v>
      </c>
      <c r="V313" t="s">
        <v>164</v>
      </c>
      <c r="W313" t="s">
        <v>77</v>
      </c>
      <c r="X313" t="s">
        <v>44</v>
      </c>
      <c r="Y313" t="s">
        <v>99</v>
      </c>
      <c r="Z313" t="s">
        <v>421</v>
      </c>
      <c r="AC313" t="str">
        <f>IF(AA313="",M313,AA313)</f>
        <v>sim</v>
      </c>
      <c r="AD313" t="str">
        <f>IF(AB313="",X313,AB313)</f>
        <v>sim</v>
      </c>
      <c r="AE313" t="str">
        <f>IF(OR(Configuracao!B9="",Configuracao!B10=""),"aguardando limiar",IF(AND(K313&gt;=Configuracao!B9,K313/MAX(Reconciliacao!C2,1)&gt;=Configuracao!B10/100),"sim","não"))</f>
        <v>aguardando limiar</v>
      </c>
    </row>
    <row r="314" spans="1:31" x14ac:dyDescent="0.25">
      <c r="A314">
        <v>12775</v>
      </c>
      <c r="C314" t="s">
        <v>576</v>
      </c>
      <c r="D314" t="s">
        <v>575</v>
      </c>
      <c r="E314" t="s">
        <v>525</v>
      </c>
      <c r="F314" t="s">
        <v>196</v>
      </c>
      <c r="G314" t="s">
        <v>195</v>
      </c>
      <c r="H314" t="s">
        <v>194</v>
      </c>
      <c r="I314" t="s">
        <v>420</v>
      </c>
      <c r="J314" t="s">
        <v>420</v>
      </c>
      <c r="K314" s="4">
        <v>125.25</v>
      </c>
      <c r="L314" s="4">
        <v>125.25</v>
      </c>
      <c r="M314" t="s">
        <v>44</v>
      </c>
      <c r="N314" t="s">
        <v>77</v>
      </c>
      <c r="O314" t="s">
        <v>99</v>
      </c>
      <c r="P314" t="s">
        <v>99</v>
      </c>
      <c r="Q314" t="s">
        <v>128</v>
      </c>
      <c r="R314" t="s">
        <v>128</v>
      </c>
      <c r="S314" t="s">
        <v>197</v>
      </c>
      <c r="T314" t="s">
        <v>198</v>
      </c>
      <c r="U314" t="s">
        <v>163</v>
      </c>
      <c r="V314" t="s">
        <v>164</v>
      </c>
      <c r="W314" t="s">
        <v>77</v>
      </c>
      <c r="X314" t="s">
        <v>44</v>
      </c>
      <c r="Y314" t="s">
        <v>99</v>
      </c>
      <c r="Z314" t="s">
        <v>421</v>
      </c>
      <c r="AC314" t="str">
        <f>IF(AA314="",M314,AA314)</f>
        <v>sim</v>
      </c>
      <c r="AD314" t="str">
        <f>IF(AB314="",X314,AB314)</f>
        <v>sim</v>
      </c>
      <c r="AE314" t="str">
        <f>IF(OR(Configuracao!B9="",Configuracao!B10=""),"aguardando limiar",IF(AND(K314&gt;=Configuracao!B9,K314/MAX(Reconciliacao!C2,1)&gt;=Configuracao!B10/100),"sim","não"))</f>
        <v>aguardando limiar</v>
      </c>
    </row>
    <row r="315" spans="1:31" x14ac:dyDescent="0.25">
      <c r="A315">
        <v>11496</v>
      </c>
      <c r="C315" t="s">
        <v>595</v>
      </c>
      <c r="D315" t="s">
        <v>583</v>
      </c>
      <c r="E315" t="s">
        <v>525</v>
      </c>
      <c r="F315" t="s">
        <v>196</v>
      </c>
      <c r="G315" t="s">
        <v>195</v>
      </c>
      <c r="H315" t="s">
        <v>194</v>
      </c>
      <c r="I315" t="s">
        <v>32</v>
      </c>
      <c r="J315" t="s">
        <v>32</v>
      </c>
      <c r="K315" s="4">
        <v>129.99</v>
      </c>
      <c r="L315" s="4">
        <v>129.99</v>
      </c>
      <c r="M315" t="s">
        <v>44</v>
      </c>
      <c r="N315" t="s">
        <v>77</v>
      </c>
      <c r="O315" t="s">
        <v>99</v>
      </c>
      <c r="P315" t="s">
        <v>99</v>
      </c>
      <c r="Q315" t="s">
        <v>128</v>
      </c>
      <c r="R315" t="s">
        <v>128</v>
      </c>
      <c r="S315" t="s">
        <v>197</v>
      </c>
      <c r="T315" t="s">
        <v>198</v>
      </c>
      <c r="U315" t="s">
        <v>163</v>
      </c>
      <c r="V315" t="s">
        <v>164</v>
      </c>
      <c r="W315" t="s">
        <v>77</v>
      </c>
      <c r="X315" t="s">
        <v>44</v>
      </c>
      <c r="Y315" t="s">
        <v>99</v>
      </c>
      <c r="Z315" t="s">
        <v>421</v>
      </c>
      <c r="AC315" t="str">
        <f>IF(AA315="",M315,AA315)</f>
        <v>sim</v>
      </c>
      <c r="AD315" t="str">
        <f>IF(AB315="",X315,AB315)</f>
        <v>sim</v>
      </c>
      <c r="AE315" t="str">
        <f>IF(OR(Configuracao!B9="",Configuracao!B10=""),"aguardando limiar",IF(AND(K315&gt;=Configuracao!B9,K315/MAX(Reconciliacao!C2,1)&gt;=Configuracao!B10/100),"sim","não"))</f>
        <v>aguardando limiar</v>
      </c>
    </row>
    <row r="316" spans="1:31" x14ac:dyDescent="0.25">
      <c r="A316">
        <v>9555</v>
      </c>
      <c r="C316" t="s">
        <v>596</v>
      </c>
      <c r="D316" t="s">
        <v>597</v>
      </c>
      <c r="E316" t="s">
        <v>511</v>
      </c>
      <c r="F316" t="s">
        <v>196</v>
      </c>
      <c r="G316" t="s">
        <v>195</v>
      </c>
      <c r="H316" t="s">
        <v>194</v>
      </c>
      <c r="I316" t="s">
        <v>439</v>
      </c>
      <c r="J316" t="s">
        <v>439</v>
      </c>
      <c r="K316" s="4">
        <v>138.39</v>
      </c>
      <c r="L316" s="4">
        <v>138.39</v>
      </c>
      <c r="M316" t="s">
        <v>44</v>
      </c>
      <c r="N316" t="s">
        <v>77</v>
      </c>
      <c r="O316" t="s">
        <v>99</v>
      </c>
      <c r="P316" t="s">
        <v>99</v>
      </c>
      <c r="Q316" t="s">
        <v>128</v>
      </c>
      <c r="R316" t="s">
        <v>128</v>
      </c>
      <c r="S316" t="s">
        <v>197</v>
      </c>
      <c r="T316" t="s">
        <v>198</v>
      </c>
      <c r="U316" t="s">
        <v>163</v>
      </c>
      <c r="V316" t="s">
        <v>164</v>
      </c>
      <c r="W316" t="s">
        <v>77</v>
      </c>
      <c r="X316" t="s">
        <v>44</v>
      </c>
      <c r="Y316" t="s">
        <v>99</v>
      </c>
      <c r="Z316" t="s">
        <v>421</v>
      </c>
      <c r="AC316" t="str">
        <f>IF(AA316="",M316,AA316)</f>
        <v>sim</v>
      </c>
      <c r="AD316" t="str">
        <f>IF(AB316="",X316,AB316)</f>
        <v>sim</v>
      </c>
      <c r="AE316" t="str">
        <f>IF(OR(Configuracao!B9="",Configuracao!B10=""),"aguardando limiar",IF(AND(K316&gt;=Configuracao!B9,K316/MAX(Reconciliacao!C2,1)&gt;=Configuracao!B10/100),"sim","não"))</f>
        <v>aguardando limiar</v>
      </c>
    </row>
    <row r="317" spans="1:31" x14ac:dyDescent="0.25">
      <c r="A317">
        <v>9556</v>
      </c>
      <c r="C317" t="s">
        <v>596</v>
      </c>
      <c r="D317" t="s">
        <v>597</v>
      </c>
      <c r="E317" t="s">
        <v>511</v>
      </c>
      <c r="F317" t="s">
        <v>196</v>
      </c>
      <c r="G317" t="s">
        <v>195</v>
      </c>
      <c r="H317" t="s">
        <v>194</v>
      </c>
      <c r="I317" t="s">
        <v>35</v>
      </c>
      <c r="J317" t="s">
        <v>35</v>
      </c>
      <c r="K317" s="4">
        <v>138.39</v>
      </c>
      <c r="L317" s="4">
        <v>138.39</v>
      </c>
      <c r="M317" t="s">
        <v>44</v>
      </c>
      <c r="N317" t="s">
        <v>77</v>
      </c>
      <c r="O317" t="s">
        <v>99</v>
      </c>
      <c r="P317" t="s">
        <v>99</v>
      </c>
      <c r="Q317" t="s">
        <v>128</v>
      </c>
      <c r="R317" t="s">
        <v>128</v>
      </c>
      <c r="S317" t="s">
        <v>197</v>
      </c>
      <c r="T317" t="s">
        <v>198</v>
      </c>
      <c r="U317" t="s">
        <v>163</v>
      </c>
      <c r="V317" t="s">
        <v>164</v>
      </c>
      <c r="W317" t="s">
        <v>77</v>
      </c>
      <c r="X317" t="s">
        <v>44</v>
      </c>
      <c r="Y317" t="s">
        <v>99</v>
      </c>
      <c r="Z317" t="s">
        <v>421</v>
      </c>
      <c r="AC317" t="str">
        <f>IF(AA317="",M317,AA317)</f>
        <v>sim</v>
      </c>
      <c r="AD317" t="str">
        <f>IF(AB317="",X317,AB317)</f>
        <v>sim</v>
      </c>
      <c r="AE317" t="str">
        <f>IF(OR(Configuracao!B9="",Configuracao!B10=""),"aguardando limiar",IF(AND(K317&gt;=Configuracao!B9,K317/MAX(Reconciliacao!C2,1)&gt;=Configuracao!B10/100),"sim","não"))</f>
        <v>aguardando limiar</v>
      </c>
    </row>
    <row r="318" spans="1:31" x14ac:dyDescent="0.25">
      <c r="A318">
        <v>9534</v>
      </c>
      <c r="C318" t="s">
        <v>598</v>
      </c>
      <c r="D318" t="s">
        <v>599</v>
      </c>
      <c r="E318" t="s">
        <v>445</v>
      </c>
      <c r="F318" t="s">
        <v>196</v>
      </c>
      <c r="G318" t="s">
        <v>195</v>
      </c>
      <c r="H318" t="s">
        <v>194</v>
      </c>
      <c r="I318" t="s">
        <v>424</v>
      </c>
      <c r="J318" t="s">
        <v>424</v>
      </c>
      <c r="K318" s="4">
        <v>141.95</v>
      </c>
      <c r="L318" s="4">
        <v>141.95</v>
      </c>
      <c r="M318" t="s">
        <v>44</v>
      </c>
      <c r="N318" t="s">
        <v>77</v>
      </c>
      <c r="O318" t="s">
        <v>99</v>
      </c>
      <c r="P318" t="s">
        <v>99</v>
      </c>
      <c r="Q318" t="s">
        <v>128</v>
      </c>
      <c r="R318" t="s">
        <v>128</v>
      </c>
      <c r="S318" t="s">
        <v>197</v>
      </c>
      <c r="T318" t="s">
        <v>198</v>
      </c>
      <c r="U318" t="s">
        <v>163</v>
      </c>
      <c r="V318" t="s">
        <v>164</v>
      </c>
      <c r="W318" t="s">
        <v>77</v>
      </c>
      <c r="X318" t="s">
        <v>44</v>
      </c>
      <c r="Y318" t="s">
        <v>99</v>
      </c>
      <c r="Z318" t="s">
        <v>421</v>
      </c>
      <c r="AC318" t="str">
        <f>IF(AA318="",M318,AA318)</f>
        <v>sim</v>
      </c>
      <c r="AD318" t="str">
        <f>IF(AB318="",X318,AB318)</f>
        <v>sim</v>
      </c>
      <c r="AE318" t="str">
        <f>IF(OR(Configuracao!B9="",Configuracao!B10=""),"aguardando limiar",IF(AND(K318&gt;=Configuracao!B9,K318/MAX(Reconciliacao!C2,1)&gt;=Configuracao!B10/100),"sim","não"))</f>
        <v>aguardando limiar</v>
      </c>
    </row>
    <row r="319" spans="1:31" x14ac:dyDescent="0.25">
      <c r="A319">
        <v>11493</v>
      </c>
      <c r="C319" t="s">
        <v>577</v>
      </c>
      <c r="D319" t="s">
        <v>578</v>
      </c>
      <c r="E319" t="s">
        <v>445</v>
      </c>
      <c r="F319" t="s">
        <v>196</v>
      </c>
      <c r="G319" t="s">
        <v>195</v>
      </c>
      <c r="H319" t="s">
        <v>194</v>
      </c>
      <c r="I319" t="s">
        <v>32</v>
      </c>
      <c r="J319" t="s">
        <v>32</v>
      </c>
      <c r="K319" s="4">
        <v>145.11</v>
      </c>
      <c r="L319" s="4">
        <v>145.11</v>
      </c>
      <c r="M319" t="s">
        <v>44</v>
      </c>
      <c r="N319" t="s">
        <v>77</v>
      </c>
      <c r="O319" t="s">
        <v>99</v>
      </c>
      <c r="P319" t="s">
        <v>99</v>
      </c>
      <c r="Q319" t="s">
        <v>128</v>
      </c>
      <c r="R319" t="s">
        <v>128</v>
      </c>
      <c r="S319" t="s">
        <v>197</v>
      </c>
      <c r="T319" t="s">
        <v>198</v>
      </c>
      <c r="U319" t="s">
        <v>163</v>
      </c>
      <c r="V319" t="s">
        <v>164</v>
      </c>
      <c r="W319" t="s">
        <v>77</v>
      </c>
      <c r="X319" t="s">
        <v>44</v>
      </c>
      <c r="Y319" t="s">
        <v>99</v>
      </c>
      <c r="Z319" t="s">
        <v>421</v>
      </c>
      <c r="AC319" t="str">
        <f>IF(AA319="",M319,AA319)</f>
        <v>sim</v>
      </c>
      <c r="AD319" t="str">
        <f>IF(AB319="",X319,AB319)</f>
        <v>sim</v>
      </c>
      <c r="AE319" t="str">
        <f>IF(OR(Configuracao!B9="",Configuracao!B10=""),"aguardando limiar",IF(AND(K319&gt;=Configuracao!B9,K319/MAX(Reconciliacao!C2,1)&gt;=Configuracao!B10/100),"sim","não"))</f>
        <v>aguardando limiar</v>
      </c>
    </row>
    <row r="320" spans="1:31" x14ac:dyDescent="0.25">
      <c r="A320">
        <v>12217</v>
      </c>
      <c r="C320" t="s">
        <v>600</v>
      </c>
      <c r="D320" t="s">
        <v>575</v>
      </c>
      <c r="E320" t="s">
        <v>525</v>
      </c>
      <c r="F320" t="s">
        <v>196</v>
      </c>
      <c r="G320" t="s">
        <v>195</v>
      </c>
      <c r="H320" t="s">
        <v>194</v>
      </c>
      <c r="I320" t="s">
        <v>424</v>
      </c>
      <c r="J320" t="s">
        <v>424</v>
      </c>
      <c r="K320" s="4">
        <v>150.3</v>
      </c>
      <c r="L320" s="4">
        <v>150.3</v>
      </c>
      <c r="M320" t="s">
        <v>44</v>
      </c>
      <c r="N320" t="s">
        <v>77</v>
      </c>
      <c r="O320" t="s">
        <v>99</v>
      </c>
      <c r="P320" t="s">
        <v>99</v>
      </c>
      <c r="Q320" t="s">
        <v>128</v>
      </c>
      <c r="R320" t="s">
        <v>128</v>
      </c>
      <c r="S320" t="s">
        <v>197</v>
      </c>
      <c r="T320" t="s">
        <v>198</v>
      </c>
      <c r="U320" t="s">
        <v>163</v>
      </c>
      <c r="V320" t="s">
        <v>164</v>
      </c>
      <c r="W320" t="s">
        <v>77</v>
      </c>
      <c r="X320" t="s">
        <v>44</v>
      </c>
      <c r="Y320" t="s">
        <v>99</v>
      </c>
      <c r="Z320" t="s">
        <v>421</v>
      </c>
      <c r="AC320" t="str">
        <f>IF(AA320="",M320,AA320)</f>
        <v>sim</v>
      </c>
      <c r="AD320" t="str">
        <f>IF(AB320="",X320,AB320)</f>
        <v>sim</v>
      </c>
      <c r="AE320" t="str">
        <f>IF(OR(Configuracao!B9="",Configuracao!B10=""),"aguardando limiar",IF(AND(K320&gt;=Configuracao!B9,K320/MAX(Reconciliacao!C2,1)&gt;=Configuracao!B10/100),"sim","não"))</f>
        <v>aguardando limiar</v>
      </c>
    </row>
    <row r="321" spans="1:31" x14ac:dyDescent="0.25">
      <c r="A321">
        <v>18233</v>
      </c>
      <c r="C321" t="s">
        <v>574</v>
      </c>
      <c r="D321" t="s">
        <v>575</v>
      </c>
      <c r="E321" t="s">
        <v>445</v>
      </c>
      <c r="F321" t="s">
        <v>196</v>
      </c>
      <c r="G321" t="s">
        <v>195</v>
      </c>
      <c r="H321" t="s">
        <v>194</v>
      </c>
      <c r="I321" t="s">
        <v>439</v>
      </c>
      <c r="J321" t="s">
        <v>439</v>
      </c>
      <c r="K321" s="4">
        <v>158.1</v>
      </c>
      <c r="L321" s="4">
        <v>158.1</v>
      </c>
      <c r="M321" t="s">
        <v>44</v>
      </c>
      <c r="N321" t="s">
        <v>77</v>
      </c>
      <c r="O321" t="s">
        <v>99</v>
      </c>
      <c r="P321" t="s">
        <v>99</v>
      </c>
      <c r="Q321" t="s">
        <v>128</v>
      </c>
      <c r="R321" t="s">
        <v>128</v>
      </c>
      <c r="S321" t="s">
        <v>197</v>
      </c>
      <c r="T321" t="s">
        <v>198</v>
      </c>
      <c r="U321" t="s">
        <v>163</v>
      </c>
      <c r="V321" t="s">
        <v>164</v>
      </c>
      <c r="W321" t="s">
        <v>77</v>
      </c>
      <c r="X321" t="s">
        <v>44</v>
      </c>
      <c r="Y321" t="s">
        <v>99</v>
      </c>
      <c r="Z321" t="s">
        <v>421</v>
      </c>
      <c r="AC321" t="str">
        <f>IF(AA321="",M321,AA321)</f>
        <v>sim</v>
      </c>
      <c r="AD321" t="str">
        <f>IF(AB321="",X321,AB321)</f>
        <v>sim</v>
      </c>
      <c r="AE321" t="str">
        <f>IF(OR(Configuracao!B9="",Configuracao!B10=""),"aguardando limiar",IF(AND(K321&gt;=Configuracao!B9,K321/MAX(Reconciliacao!C2,1)&gt;=Configuracao!B10/100),"sim","não"))</f>
        <v>aguardando limiar</v>
      </c>
    </row>
    <row r="322" spans="1:31" x14ac:dyDescent="0.25">
      <c r="A322">
        <v>18983</v>
      </c>
      <c r="C322" t="s">
        <v>589</v>
      </c>
      <c r="D322" t="s">
        <v>510</v>
      </c>
      <c r="E322" t="s">
        <v>546</v>
      </c>
      <c r="F322" t="s">
        <v>196</v>
      </c>
      <c r="G322" t="s">
        <v>195</v>
      </c>
      <c r="H322" t="s">
        <v>194</v>
      </c>
      <c r="I322" t="s">
        <v>35</v>
      </c>
      <c r="J322" t="s">
        <v>35</v>
      </c>
      <c r="K322" s="4">
        <v>169.19</v>
      </c>
      <c r="L322" s="4">
        <v>169.19</v>
      </c>
      <c r="M322" t="s">
        <v>44</v>
      </c>
      <c r="N322" t="s">
        <v>77</v>
      </c>
      <c r="O322" t="s">
        <v>99</v>
      </c>
      <c r="P322" t="s">
        <v>99</v>
      </c>
      <c r="Q322" t="s">
        <v>128</v>
      </c>
      <c r="R322" t="s">
        <v>128</v>
      </c>
      <c r="S322" t="s">
        <v>197</v>
      </c>
      <c r="T322" t="s">
        <v>198</v>
      </c>
      <c r="U322" t="s">
        <v>163</v>
      </c>
      <c r="V322" t="s">
        <v>164</v>
      </c>
      <c r="W322" t="s">
        <v>77</v>
      </c>
      <c r="X322" t="s">
        <v>44</v>
      </c>
      <c r="Y322" t="s">
        <v>99</v>
      </c>
      <c r="Z322" t="s">
        <v>421</v>
      </c>
      <c r="AC322" t="str">
        <f>IF(AA322="",M322,AA322)</f>
        <v>sim</v>
      </c>
      <c r="AD322" t="str">
        <f>IF(AB322="",X322,AB322)</f>
        <v>sim</v>
      </c>
      <c r="AE322" t="str">
        <f>IF(OR(Configuracao!B9="",Configuracao!B10=""),"aguardando limiar",IF(AND(K322&gt;=Configuracao!B9,K322/MAX(Reconciliacao!C2,1)&gt;=Configuracao!B10/100),"sim","não"))</f>
        <v>aguardando limiar</v>
      </c>
    </row>
    <row r="323" spans="1:31" x14ac:dyDescent="0.25">
      <c r="A323">
        <v>9689</v>
      </c>
      <c r="C323" t="s">
        <v>601</v>
      </c>
      <c r="D323" t="s">
        <v>587</v>
      </c>
      <c r="E323" t="s">
        <v>525</v>
      </c>
      <c r="F323" t="s">
        <v>196</v>
      </c>
      <c r="G323" t="s">
        <v>195</v>
      </c>
      <c r="H323" t="s">
        <v>194</v>
      </c>
      <c r="I323" t="s">
        <v>461</v>
      </c>
      <c r="J323" t="s">
        <v>461</v>
      </c>
      <c r="K323" s="4">
        <v>175.78</v>
      </c>
      <c r="L323" s="4">
        <v>175.78</v>
      </c>
      <c r="M323" t="s">
        <v>44</v>
      </c>
      <c r="N323" t="s">
        <v>77</v>
      </c>
      <c r="O323" t="s">
        <v>99</v>
      </c>
      <c r="P323" t="s">
        <v>99</v>
      </c>
      <c r="Q323" t="s">
        <v>128</v>
      </c>
      <c r="R323" t="s">
        <v>128</v>
      </c>
      <c r="S323" t="s">
        <v>197</v>
      </c>
      <c r="T323" t="s">
        <v>198</v>
      </c>
      <c r="U323" t="s">
        <v>163</v>
      </c>
      <c r="V323" t="s">
        <v>164</v>
      </c>
      <c r="W323" t="s">
        <v>77</v>
      </c>
      <c r="X323" t="s">
        <v>44</v>
      </c>
      <c r="Y323" t="s">
        <v>99</v>
      </c>
      <c r="Z323" t="s">
        <v>421</v>
      </c>
      <c r="AC323" t="str">
        <f>IF(AA323="",M323,AA323)</f>
        <v>sim</v>
      </c>
      <c r="AD323" t="str">
        <f>IF(AB323="",X323,AB323)</f>
        <v>sim</v>
      </c>
      <c r="AE323" t="str">
        <f>IF(OR(Configuracao!B9="",Configuracao!B10=""),"aguardando limiar",IF(AND(K323&gt;=Configuracao!B9,K323/MAX(Reconciliacao!C2,1)&gt;=Configuracao!B10/100),"sim","não"))</f>
        <v>aguardando limiar</v>
      </c>
    </row>
    <row r="324" spans="1:31" x14ac:dyDescent="0.25">
      <c r="A324">
        <v>11499</v>
      </c>
      <c r="C324" t="s">
        <v>600</v>
      </c>
      <c r="D324" t="s">
        <v>575</v>
      </c>
      <c r="E324" t="s">
        <v>525</v>
      </c>
      <c r="F324" t="s">
        <v>196</v>
      </c>
      <c r="G324" t="s">
        <v>195</v>
      </c>
      <c r="H324" t="s">
        <v>194</v>
      </c>
      <c r="I324" t="s">
        <v>32</v>
      </c>
      <c r="J324" t="s">
        <v>32</v>
      </c>
      <c r="K324" s="4">
        <v>177.85</v>
      </c>
      <c r="L324" s="4">
        <v>177.85</v>
      </c>
      <c r="M324" t="s">
        <v>44</v>
      </c>
      <c r="N324" t="s">
        <v>77</v>
      </c>
      <c r="O324" t="s">
        <v>99</v>
      </c>
      <c r="P324" t="s">
        <v>99</v>
      </c>
      <c r="Q324" t="s">
        <v>128</v>
      </c>
      <c r="R324" t="s">
        <v>128</v>
      </c>
      <c r="S324" t="s">
        <v>197</v>
      </c>
      <c r="T324" t="s">
        <v>198</v>
      </c>
      <c r="U324" t="s">
        <v>163</v>
      </c>
      <c r="V324" t="s">
        <v>164</v>
      </c>
      <c r="W324" t="s">
        <v>77</v>
      </c>
      <c r="X324" t="s">
        <v>44</v>
      </c>
      <c r="Y324" t="s">
        <v>99</v>
      </c>
      <c r="Z324" t="s">
        <v>421</v>
      </c>
      <c r="AC324" t="str">
        <f>IF(AA324="",M324,AA324)</f>
        <v>sim</v>
      </c>
      <c r="AD324" t="str">
        <f>IF(AB324="",X324,AB324)</f>
        <v>sim</v>
      </c>
      <c r="AE324" t="str">
        <f>IF(OR(Configuracao!B9="",Configuracao!B10=""),"aguardando limiar",IF(AND(K324&gt;=Configuracao!B9,K324/MAX(Reconciliacao!C2,1)&gt;=Configuracao!B10/100),"sim","não"))</f>
        <v>aguardando limiar</v>
      </c>
    </row>
    <row r="325" spans="1:31" x14ac:dyDescent="0.25">
      <c r="A325">
        <v>9686</v>
      </c>
      <c r="C325" t="s">
        <v>601</v>
      </c>
      <c r="D325" t="s">
        <v>587</v>
      </c>
      <c r="E325" t="s">
        <v>525</v>
      </c>
      <c r="F325" t="s">
        <v>196</v>
      </c>
      <c r="G325" t="s">
        <v>195</v>
      </c>
      <c r="H325" t="s">
        <v>194</v>
      </c>
      <c r="I325" t="s">
        <v>424</v>
      </c>
      <c r="J325" t="s">
        <v>424</v>
      </c>
      <c r="K325" s="4">
        <v>183.7</v>
      </c>
      <c r="L325" s="4">
        <v>183.7</v>
      </c>
      <c r="M325" t="s">
        <v>44</v>
      </c>
      <c r="N325" t="s">
        <v>77</v>
      </c>
      <c r="O325" t="s">
        <v>99</v>
      </c>
      <c r="P325" t="s">
        <v>99</v>
      </c>
      <c r="Q325" t="s">
        <v>128</v>
      </c>
      <c r="R325" t="s">
        <v>128</v>
      </c>
      <c r="S325" t="s">
        <v>197</v>
      </c>
      <c r="T325" t="s">
        <v>198</v>
      </c>
      <c r="U325" t="s">
        <v>163</v>
      </c>
      <c r="V325" t="s">
        <v>164</v>
      </c>
      <c r="W325" t="s">
        <v>77</v>
      </c>
      <c r="X325" t="s">
        <v>44</v>
      </c>
      <c r="Y325" t="s">
        <v>99</v>
      </c>
      <c r="Z325" t="s">
        <v>421</v>
      </c>
      <c r="AC325" t="str">
        <f>IF(AA325="",M325,AA325)</f>
        <v>sim</v>
      </c>
      <c r="AD325" t="str">
        <f>IF(AB325="",X325,AB325)</f>
        <v>sim</v>
      </c>
      <c r="AE325" t="str">
        <f>IF(OR(Configuracao!B9="",Configuracao!B10=""),"aguardando limiar",IF(AND(K325&gt;=Configuracao!B9,K325/MAX(Reconciliacao!C2,1)&gt;=Configuracao!B10/100),"sim","não"))</f>
        <v>aguardando limiar</v>
      </c>
    </row>
    <row r="326" spans="1:31" x14ac:dyDescent="0.25">
      <c r="A326">
        <v>9552</v>
      </c>
      <c r="C326" t="s">
        <v>596</v>
      </c>
      <c r="D326" t="s">
        <v>597</v>
      </c>
      <c r="E326" t="s">
        <v>511</v>
      </c>
      <c r="F326" t="s">
        <v>196</v>
      </c>
      <c r="G326" t="s">
        <v>195</v>
      </c>
      <c r="H326" t="s">
        <v>194</v>
      </c>
      <c r="I326" t="s">
        <v>454</v>
      </c>
      <c r="J326" t="s">
        <v>454</v>
      </c>
      <c r="K326" s="4">
        <v>184.68</v>
      </c>
      <c r="L326" s="4">
        <v>184.68</v>
      </c>
      <c r="M326" t="s">
        <v>44</v>
      </c>
      <c r="N326" t="s">
        <v>77</v>
      </c>
      <c r="O326" t="s">
        <v>99</v>
      </c>
      <c r="P326" t="s">
        <v>99</v>
      </c>
      <c r="Q326" t="s">
        <v>128</v>
      </c>
      <c r="R326" t="s">
        <v>128</v>
      </c>
      <c r="S326" t="s">
        <v>197</v>
      </c>
      <c r="T326" t="s">
        <v>198</v>
      </c>
      <c r="U326" t="s">
        <v>163</v>
      </c>
      <c r="V326" t="s">
        <v>164</v>
      </c>
      <c r="W326" t="s">
        <v>77</v>
      </c>
      <c r="X326" t="s">
        <v>44</v>
      </c>
      <c r="Y326" t="s">
        <v>99</v>
      </c>
      <c r="Z326" t="s">
        <v>421</v>
      </c>
      <c r="AC326" t="str">
        <f>IF(AA326="",M326,AA326)</f>
        <v>sim</v>
      </c>
      <c r="AD326" t="str">
        <f>IF(AB326="",X326,AB326)</f>
        <v>sim</v>
      </c>
      <c r="AE326" t="str">
        <f>IF(OR(Configuracao!B9="",Configuracao!B10=""),"aguardando limiar",IF(AND(K326&gt;=Configuracao!B9,K326/MAX(Reconciliacao!C2,1)&gt;=Configuracao!B10/100),"sim","não"))</f>
        <v>aguardando limiar</v>
      </c>
    </row>
    <row r="327" spans="1:31" x14ac:dyDescent="0.25">
      <c r="A327">
        <v>9553</v>
      </c>
      <c r="C327" t="s">
        <v>596</v>
      </c>
      <c r="D327" t="s">
        <v>597</v>
      </c>
      <c r="E327" t="s">
        <v>511</v>
      </c>
      <c r="F327" t="s">
        <v>196</v>
      </c>
      <c r="G327" t="s">
        <v>195</v>
      </c>
      <c r="H327" t="s">
        <v>194</v>
      </c>
      <c r="I327" t="s">
        <v>461</v>
      </c>
      <c r="J327" t="s">
        <v>461</v>
      </c>
      <c r="K327" s="4">
        <v>184.68</v>
      </c>
      <c r="L327" s="4">
        <v>184.68</v>
      </c>
      <c r="M327" t="s">
        <v>44</v>
      </c>
      <c r="N327" t="s">
        <v>77</v>
      </c>
      <c r="O327" t="s">
        <v>99</v>
      </c>
      <c r="P327" t="s">
        <v>99</v>
      </c>
      <c r="Q327" t="s">
        <v>128</v>
      </c>
      <c r="R327" t="s">
        <v>128</v>
      </c>
      <c r="S327" t="s">
        <v>197</v>
      </c>
      <c r="T327" t="s">
        <v>198</v>
      </c>
      <c r="U327" t="s">
        <v>163</v>
      </c>
      <c r="V327" t="s">
        <v>164</v>
      </c>
      <c r="W327" t="s">
        <v>77</v>
      </c>
      <c r="X327" t="s">
        <v>44</v>
      </c>
      <c r="Y327" t="s">
        <v>99</v>
      </c>
      <c r="Z327" t="s">
        <v>421</v>
      </c>
      <c r="AC327" t="str">
        <f>IF(AA327="",M327,AA327)</f>
        <v>sim</v>
      </c>
      <c r="AD327" t="str">
        <f>IF(AB327="",X327,AB327)</f>
        <v>sim</v>
      </c>
      <c r="AE327" t="str">
        <f>IF(OR(Configuracao!B9="",Configuracao!B10=""),"aguardando limiar",IF(AND(K327&gt;=Configuracao!B9,K327/MAX(Reconciliacao!C2,1)&gt;=Configuracao!B10/100),"sim","não"))</f>
        <v>aguardando limiar</v>
      </c>
    </row>
    <row r="328" spans="1:31" x14ac:dyDescent="0.25">
      <c r="A328">
        <v>18237</v>
      </c>
      <c r="C328" t="s">
        <v>590</v>
      </c>
      <c r="D328" t="s">
        <v>587</v>
      </c>
      <c r="E328" t="s">
        <v>445</v>
      </c>
      <c r="F328" t="s">
        <v>196</v>
      </c>
      <c r="G328" t="s">
        <v>195</v>
      </c>
      <c r="H328" t="s">
        <v>194</v>
      </c>
      <c r="I328" t="s">
        <v>439</v>
      </c>
      <c r="J328" t="s">
        <v>439</v>
      </c>
      <c r="K328" s="4">
        <v>189.72</v>
      </c>
      <c r="L328" s="4">
        <v>189.72</v>
      </c>
      <c r="M328" t="s">
        <v>44</v>
      </c>
      <c r="N328" t="s">
        <v>77</v>
      </c>
      <c r="O328" t="s">
        <v>99</v>
      </c>
      <c r="P328" t="s">
        <v>99</v>
      </c>
      <c r="Q328" t="s">
        <v>128</v>
      </c>
      <c r="R328" t="s">
        <v>128</v>
      </c>
      <c r="S328" t="s">
        <v>197</v>
      </c>
      <c r="T328" t="s">
        <v>198</v>
      </c>
      <c r="U328" t="s">
        <v>163</v>
      </c>
      <c r="V328" t="s">
        <v>164</v>
      </c>
      <c r="W328" t="s">
        <v>77</v>
      </c>
      <c r="X328" t="s">
        <v>44</v>
      </c>
      <c r="Y328" t="s">
        <v>99</v>
      </c>
      <c r="Z328" t="s">
        <v>421</v>
      </c>
      <c r="AC328" t="str">
        <f>IF(AA328="",M328,AA328)</f>
        <v>sim</v>
      </c>
      <c r="AD328" t="str">
        <f>IF(AB328="",X328,AB328)</f>
        <v>sim</v>
      </c>
      <c r="AE328" t="str">
        <f>IF(OR(Configuracao!B9="",Configuracao!B10=""),"aguardando limiar",IF(AND(K328&gt;=Configuracao!B9,K328/MAX(Reconciliacao!C2,1)&gt;=Configuracao!B10/100),"sim","não"))</f>
        <v>aguardando limiar</v>
      </c>
    </row>
    <row r="329" spans="1:31" x14ac:dyDescent="0.25">
      <c r="A329">
        <v>19002</v>
      </c>
      <c r="C329" t="s">
        <v>590</v>
      </c>
      <c r="D329" t="s">
        <v>587</v>
      </c>
      <c r="E329" t="s">
        <v>445</v>
      </c>
      <c r="F329" t="s">
        <v>196</v>
      </c>
      <c r="G329" t="s">
        <v>195</v>
      </c>
      <c r="H329" t="s">
        <v>194</v>
      </c>
      <c r="I329" t="s">
        <v>35</v>
      </c>
      <c r="J329" t="s">
        <v>35</v>
      </c>
      <c r="K329" s="4">
        <v>189.72</v>
      </c>
      <c r="L329" s="4">
        <v>189.72</v>
      </c>
      <c r="M329" t="s">
        <v>44</v>
      </c>
      <c r="N329" t="s">
        <v>77</v>
      </c>
      <c r="O329" t="s">
        <v>99</v>
      </c>
      <c r="P329" t="s">
        <v>99</v>
      </c>
      <c r="Q329" t="s">
        <v>128</v>
      </c>
      <c r="R329" t="s">
        <v>128</v>
      </c>
      <c r="S329" t="s">
        <v>197</v>
      </c>
      <c r="T329" t="s">
        <v>198</v>
      </c>
      <c r="U329" t="s">
        <v>163</v>
      </c>
      <c r="V329" t="s">
        <v>164</v>
      </c>
      <c r="W329" t="s">
        <v>77</v>
      </c>
      <c r="X329" t="s">
        <v>44</v>
      </c>
      <c r="Y329" t="s">
        <v>99</v>
      </c>
      <c r="Z329" t="s">
        <v>421</v>
      </c>
      <c r="AC329" t="str">
        <f>IF(AA329="",M329,AA329)</f>
        <v>sim</v>
      </c>
      <c r="AD329" t="str">
        <f>IF(AB329="",X329,AB329)</f>
        <v>sim</v>
      </c>
      <c r="AE329" t="str">
        <f>IF(OR(Configuracao!B9="",Configuracao!B10=""),"aguardando limiar",IF(AND(K329&gt;=Configuracao!B9,K329/MAX(Reconciliacao!C2,1)&gt;=Configuracao!B10/100),"sim","não"))</f>
        <v>aguardando limiar</v>
      </c>
    </row>
    <row r="330" spans="1:31" x14ac:dyDescent="0.25">
      <c r="A330">
        <v>17400</v>
      </c>
      <c r="C330" t="s">
        <v>590</v>
      </c>
      <c r="D330" t="s">
        <v>587</v>
      </c>
      <c r="E330" t="s">
        <v>445</v>
      </c>
      <c r="F330" t="s">
        <v>196</v>
      </c>
      <c r="G330" t="s">
        <v>195</v>
      </c>
      <c r="H330" t="s">
        <v>194</v>
      </c>
      <c r="I330" t="s">
        <v>442</v>
      </c>
      <c r="J330" t="s">
        <v>442</v>
      </c>
      <c r="K330" s="4">
        <v>191.76</v>
      </c>
      <c r="L330" s="4">
        <v>191.76</v>
      </c>
      <c r="M330" t="s">
        <v>44</v>
      </c>
      <c r="N330" t="s">
        <v>77</v>
      </c>
      <c r="O330" t="s">
        <v>99</v>
      </c>
      <c r="P330" t="s">
        <v>99</v>
      </c>
      <c r="Q330" t="s">
        <v>128</v>
      </c>
      <c r="R330" t="s">
        <v>128</v>
      </c>
      <c r="S330" t="s">
        <v>197</v>
      </c>
      <c r="T330" t="s">
        <v>198</v>
      </c>
      <c r="U330" t="s">
        <v>163</v>
      </c>
      <c r="V330" t="s">
        <v>164</v>
      </c>
      <c r="W330" t="s">
        <v>77</v>
      </c>
      <c r="X330" t="s">
        <v>44</v>
      </c>
      <c r="Y330" t="s">
        <v>99</v>
      </c>
      <c r="Z330" t="s">
        <v>421</v>
      </c>
      <c r="AC330" t="str">
        <f>IF(AA330="",M330,AA330)</f>
        <v>sim</v>
      </c>
      <c r="AD330" t="str">
        <f>IF(AB330="",X330,AB330)</f>
        <v>sim</v>
      </c>
      <c r="AE330" t="str">
        <f>IF(OR(Configuracao!B9="",Configuracao!B10=""),"aguardando limiar",IF(AND(K330&gt;=Configuracao!B9,K330/MAX(Reconciliacao!C2,1)&gt;=Configuracao!B10/100),"sim","não"))</f>
        <v>aguardando limiar</v>
      </c>
    </row>
    <row r="331" spans="1:31" x14ac:dyDescent="0.25">
      <c r="A331">
        <v>9651</v>
      </c>
      <c r="C331" t="s">
        <v>581</v>
      </c>
      <c r="D331" t="s">
        <v>580</v>
      </c>
      <c r="E331" t="s">
        <v>467</v>
      </c>
      <c r="F331" t="s">
        <v>196</v>
      </c>
      <c r="G331" t="s">
        <v>195</v>
      </c>
      <c r="H331" t="s">
        <v>194</v>
      </c>
      <c r="I331" t="s">
        <v>420</v>
      </c>
      <c r="J331" t="s">
        <v>420</v>
      </c>
      <c r="K331" s="4">
        <v>192.05</v>
      </c>
      <c r="L331" s="4">
        <v>192.05</v>
      </c>
      <c r="M331" t="s">
        <v>44</v>
      </c>
      <c r="N331" t="s">
        <v>77</v>
      </c>
      <c r="O331" t="s">
        <v>99</v>
      </c>
      <c r="P331" t="s">
        <v>99</v>
      </c>
      <c r="Q331" t="s">
        <v>128</v>
      </c>
      <c r="R331" t="s">
        <v>128</v>
      </c>
      <c r="S331" t="s">
        <v>197</v>
      </c>
      <c r="T331" t="s">
        <v>198</v>
      </c>
      <c r="U331" t="s">
        <v>163</v>
      </c>
      <c r="V331" t="s">
        <v>164</v>
      </c>
      <c r="W331" t="s">
        <v>77</v>
      </c>
      <c r="X331" t="s">
        <v>44</v>
      </c>
      <c r="Y331" t="s">
        <v>99</v>
      </c>
      <c r="Z331" t="s">
        <v>421</v>
      </c>
      <c r="AC331" t="str">
        <f>IF(AA331="",M331,AA331)</f>
        <v>sim</v>
      </c>
      <c r="AD331" t="str">
        <f>IF(AB331="",X331,AB331)</f>
        <v>sim</v>
      </c>
      <c r="AE331" t="str">
        <f>IF(OR(Configuracao!B9="",Configuracao!B10=""),"aguardando limiar",IF(AND(K331&gt;=Configuracao!B9,K331/MAX(Reconciliacao!C2,1)&gt;=Configuracao!B10/100),"sim","não"))</f>
        <v>aguardando limiar</v>
      </c>
    </row>
    <row r="332" spans="1:31" x14ac:dyDescent="0.25">
      <c r="A332">
        <v>9549</v>
      </c>
      <c r="C332" t="s">
        <v>596</v>
      </c>
      <c r="D332" t="s">
        <v>597</v>
      </c>
      <c r="E332" t="s">
        <v>511</v>
      </c>
      <c r="F332" t="s">
        <v>196</v>
      </c>
      <c r="G332" t="s">
        <v>195</v>
      </c>
      <c r="H332" t="s">
        <v>194</v>
      </c>
      <c r="I332" t="s">
        <v>32</v>
      </c>
      <c r="J332" t="s">
        <v>32</v>
      </c>
      <c r="K332" s="4">
        <v>193</v>
      </c>
      <c r="L332" s="4">
        <v>193</v>
      </c>
      <c r="M332" t="s">
        <v>44</v>
      </c>
      <c r="N332" t="s">
        <v>77</v>
      </c>
      <c r="O332" t="s">
        <v>99</v>
      </c>
      <c r="P332" t="s">
        <v>99</v>
      </c>
      <c r="Q332" t="s">
        <v>128</v>
      </c>
      <c r="R332" t="s">
        <v>128</v>
      </c>
      <c r="S332" t="s">
        <v>197</v>
      </c>
      <c r="T332" t="s">
        <v>198</v>
      </c>
      <c r="U332" t="s">
        <v>163</v>
      </c>
      <c r="V332" t="s">
        <v>164</v>
      </c>
      <c r="W332" t="s">
        <v>77</v>
      </c>
      <c r="X332" t="s">
        <v>44</v>
      </c>
      <c r="Y332" t="s">
        <v>99</v>
      </c>
      <c r="Z332" t="s">
        <v>421</v>
      </c>
      <c r="AC332" t="str">
        <f>IF(AA332="",M332,AA332)</f>
        <v>sim</v>
      </c>
      <c r="AD332" t="str">
        <f>IF(AB332="",X332,AB332)</f>
        <v>sim</v>
      </c>
      <c r="AE332" t="str">
        <f>IF(OR(Configuracao!B9="",Configuracao!B10=""),"aguardando limiar",IF(AND(K332&gt;=Configuracao!B9,K332/MAX(Reconciliacao!C2,1)&gt;=Configuracao!B10/100),"sim","não"))</f>
        <v>aguardando limiar</v>
      </c>
    </row>
    <row r="333" spans="1:31" x14ac:dyDescent="0.25">
      <c r="A333">
        <v>9550</v>
      </c>
      <c r="C333" t="s">
        <v>596</v>
      </c>
      <c r="D333" t="s">
        <v>597</v>
      </c>
      <c r="E333" t="s">
        <v>511</v>
      </c>
      <c r="F333" t="s">
        <v>196</v>
      </c>
      <c r="G333" t="s">
        <v>195</v>
      </c>
      <c r="H333" t="s">
        <v>194</v>
      </c>
      <c r="I333" t="s">
        <v>424</v>
      </c>
      <c r="J333" t="s">
        <v>424</v>
      </c>
      <c r="K333" s="4">
        <v>193</v>
      </c>
      <c r="L333" s="4">
        <v>193</v>
      </c>
      <c r="M333" t="s">
        <v>44</v>
      </c>
      <c r="N333" t="s">
        <v>77</v>
      </c>
      <c r="O333" t="s">
        <v>99</v>
      </c>
      <c r="P333" t="s">
        <v>99</v>
      </c>
      <c r="Q333" t="s">
        <v>128</v>
      </c>
      <c r="R333" t="s">
        <v>128</v>
      </c>
      <c r="S333" t="s">
        <v>197</v>
      </c>
      <c r="T333" t="s">
        <v>198</v>
      </c>
      <c r="U333" t="s">
        <v>163</v>
      </c>
      <c r="V333" t="s">
        <v>164</v>
      </c>
      <c r="W333" t="s">
        <v>77</v>
      </c>
      <c r="X333" t="s">
        <v>44</v>
      </c>
      <c r="Y333" t="s">
        <v>99</v>
      </c>
      <c r="Z333" t="s">
        <v>421</v>
      </c>
      <c r="AC333" t="str">
        <f>IF(AA333="",M333,AA333)</f>
        <v>sim</v>
      </c>
      <c r="AD333" t="str">
        <f>IF(AB333="",X333,AB333)</f>
        <v>sim</v>
      </c>
      <c r="AE333" t="str">
        <f>IF(OR(Configuracao!B9="",Configuracao!B10=""),"aguardando limiar",IF(AND(K333&gt;=Configuracao!B9,K333/MAX(Reconciliacao!C2,1)&gt;=Configuracao!B10/100),"sim","não"))</f>
        <v>aguardando limiar</v>
      </c>
    </row>
    <row r="334" spans="1:31" x14ac:dyDescent="0.25">
      <c r="A334">
        <v>17388</v>
      </c>
      <c r="C334" t="s">
        <v>602</v>
      </c>
      <c r="D334" t="s">
        <v>583</v>
      </c>
      <c r="E334" t="s">
        <v>511</v>
      </c>
      <c r="F334" t="s">
        <v>196</v>
      </c>
      <c r="G334" t="s">
        <v>195</v>
      </c>
      <c r="H334" t="s">
        <v>194</v>
      </c>
      <c r="I334" t="s">
        <v>442</v>
      </c>
      <c r="J334" t="s">
        <v>442</v>
      </c>
      <c r="K334" s="4">
        <v>193.1</v>
      </c>
      <c r="L334" s="4">
        <v>193.1</v>
      </c>
      <c r="M334" t="s">
        <v>44</v>
      </c>
      <c r="N334" t="s">
        <v>77</v>
      </c>
      <c r="O334" t="s">
        <v>99</v>
      </c>
      <c r="P334" t="s">
        <v>99</v>
      </c>
      <c r="Q334" t="s">
        <v>128</v>
      </c>
      <c r="R334" t="s">
        <v>128</v>
      </c>
      <c r="S334" t="s">
        <v>197</v>
      </c>
      <c r="T334" t="s">
        <v>198</v>
      </c>
      <c r="U334" t="s">
        <v>163</v>
      </c>
      <c r="V334" t="s">
        <v>164</v>
      </c>
      <c r="W334" t="s">
        <v>77</v>
      </c>
      <c r="X334" t="s">
        <v>44</v>
      </c>
      <c r="Y334" t="s">
        <v>99</v>
      </c>
      <c r="Z334" t="s">
        <v>421</v>
      </c>
      <c r="AC334" t="str">
        <f>IF(AA334="",M334,AA334)</f>
        <v>sim</v>
      </c>
      <c r="AD334" t="str">
        <f>IF(AB334="",X334,AB334)</f>
        <v>sim</v>
      </c>
      <c r="AE334" t="str">
        <f>IF(OR(Configuracao!B9="",Configuracao!B10=""),"aguardando limiar",IF(AND(K334&gt;=Configuracao!B9,K334/MAX(Reconciliacao!C2,1)&gt;=Configuracao!B10/100),"sim","não"))</f>
        <v>aguardando limiar</v>
      </c>
    </row>
    <row r="335" spans="1:31" x14ac:dyDescent="0.25">
      <c r="A335">
        <v>18991</v>
      </c>
      <c r="C335" t="s">
        <v>603</v>
      </c>
      <c r="D335" t="s">
        <v>604</v>
      </c>
      <c r="E335" t="s">
        <v>546</v>
      </c>
      <c r="F335" t="s">
        <v>196</v>
      </c>
      <c r="G335" t="s">
        <v>195</v>
      </c>
      <c r="H335" t="s">
        <v>194</v>
      </c>
      <c r="I335" t="s">
        <v>35</v>
      </c>
      <c r="J335" t="s">
        <v>35</v>
      </c>
      <c r="K335" s="4">
        <v>197.62</v>
      </c>
      <c r="L335" s="4">
        <v>197.62</v>
      </c>
      <c r="M335" t="s">
        <v>44</v>
      </c>
      <c r="N335" t="s">
        <v>77</v>
      </c>
      <c r="O335" t="s">
        <v>99</v>
      </c>
      <c r="P335" t="s">
        <v>99</v>
      </c>
      <c r="Q335" t="s">
        <v>128</v>
      </c>
      <c r="R335" t="s">
        <v>128</v>
      </c>
      <c r="S335" t="s">
        <v>197</v>
      </c>
      <c r="T335" t="s">
        <v>198</v>
      </c>
      <c r="U335" t="s">
        <v>163</v>
      </c>
      <c r="V335" t="s">
        <v>164</v>
      </c>
      <c r="W335" t="s">
        <v>77</v>
      </c>
      <c r="X335" t="s">
        <v>44</v>
      </c>
      <c r="Y335" t="s">
        <v>99</v>
      </c>
      <c r="Z335" t="s">
        <v>421</v>
      </c>
      <c r="AC335" t="str">
        <f>IF(AA335="",M335,AA335)</f>
        <v>sim</v>
      </c>
      <c r="AD335" t="str">
        <f>IF(AB335="",X335,AB335)</f>
        <v>sim</v>
      </c>
      <c r="AE335" t="str">
        <f>IF(OR(Configuracao!B9="",Configuracao!B10=""),"aguardando limiar",IF(AND(K335&gt;=Configuracao!B9,K335/MAX(Reconciliacao!C2,1)&gt;=Configuracao!B10/100),"sim","não"))</f>
        <v>aguardando limiar</v>
      </c>
    </row>
    <row r="336" spans="1:31" x14ac:dyDescent="0.25">
      <c r="A336">
        <v>18990</v>
      </c>
      <c r="C336" t="s">
        <v>603</v>
      </c>
      <c r="D336" t="s">
        <v>604</v>
      </c>
      <c r="E336" t="s">
        <v>445</v>
      </c>
      <c r="F336" t="s">
        <v>196</v>
      </c>
      <c r="G336" t="s">
        <v>195</v>
      </c>
      <c r="H336" t="s">
        <v>194</v>
      </c>
      <c r="I336" t="s">
        <v>35</v>
      </c>
      <c r="J336" t="s">
        <v>35</v>
      </c>
      <c r="K336" s="4">
        <v>197.63</v>
      </c>
      <c r="L336" s="4">
        <v>197.63</v>
      </c>
      <c r="M336" t="s">
        <v>44</v>
      </c>
      <c r="N336" t="s">
        <v>77</v>
      </c>
      <c r="O336" t="s">
        <v>99</v>
      </c>
      <c r="P336" t="s">
        <v>99</v>
      </c>
      <c r="Q336" t="s">
        <v>128</v>
      </c>
      <c r="R336" t="s">
        <v>128</v>
      </c>
      <c r="S336" t="s">
        <v>197</v>
      </c>
      <c r="T336" t="s">
        <v>198</v>
      </c>
      <c r="U336" t="s">
        <v>163</v>
      </c>
      <c r="V336" t="s">
        <v>164</v>
      </c>
      <c r="W336" t="s">
        <v>77</v>
      </c>
      <c r="X336" t="s">
        <v>44</v>
      </c>
      <c r="Y336" t="s">
        <v>99</v>
      </c>
      <c r="Z336" t="s">
        <v>421</v>
      </c>
      <c r="AC336" t="str">
        <f>IF(AA336="",M336,AA336)</f>
        <v>sim</v>
      </c>
      <c r="AD336" t="str">
        <f>IF(AB336="",X336,AB336)</f>
        <v>sim</v>
      </c>
      <c r="AE336" t="str">
        <f>IF(OR(Configuracao!B9="",Configuracao!B10=""),"aguardando limiar",IF(AND(K336&gt;=Configuracao!B9,K336/MAX(Reconciliacao!C2,1)&gt;=Configuracao!B10/100),"sim","não"))</f>
        <v>aguardando limiar</v>
      </c>
    </row>
    <row r="337" spans="1:31" x14ac:dyDescent="0.25">
      <c r="A337">
        <v>9652</v>
      </c>
      <c r="C337" t="s">
        <v>579</v>
      </c>
      <c r="D337" t="s">
        <v>580</v>
      </c>
      <c r="E337" t="s">
        <v>467</v>
      </c>
      <c r="F337" t="s">
        <v>196</v>
      </c>
      <c r="G337" t="s">
        <v>195</v>
      </c>
      <c r="H337" t="s">
        <v>194</v>
      </c>
      <c r="I337" t="s">
        <v>454</v>
      </c>
      <c r="J337" t="s">
        <v>454</v>
      </c>
      <c r="K337" s="4">
        <v>199.75</v>
      </c>
      <c r="L337" s="4">
        <v>199.75</v>
      </c>
      <c r="M337" t="s">
        <v>44</v>
      </c>
      <c r="N337" t="s">
        <v>77</v>
      </c>
      <c r="O337" t="s">
        <v>99</v>
      </c>
      <c r="P337" t="s">
        <v>99</v>
      </c>
      <c r="Q337" t="s">
        <v>128</v>
      </c>
      <c r="R337" t="s">
        <v>128</v>
      </c>
      <c r="S337" t="s">
        <v>197</v>
      </c>
      <c r="T337" t="s">
        <v>198</v>
      </c>
      <c r="U337" t="s">
        <v>163</v>
      </c>
      <c r="V337" t="s">
        <v>164</v>
      </c>
      <c r="W337" t="s">
        <v>77</v>
      </c>
      <c r="X337" t="s">
        <v>44</v>
      </c>
      <c r="Y337" t="s">
        <v>99</v>
      </c>
      <c r="Z337" t="s">
        <v>421</v>
      </c>
      <c r="AC337" t="str">
        <f>IF(AA337="",M337,AA337)</f>
        <v>sim</v>
      </c>
      <c r="AD337" t="str">
        <f>IF(AB337="",X337,AB337)</f>
        <v>sim</v>
      </c>
      <c r="AE337" t="str">
        <f>IF(OR(Configuracao!B9="",Configuracao!B10=""),"aguardando limiar",IF(AND(K337&gt;=Configuracao!B9,K337/MAX(Reconciliacao!C2,1)&gt;=Configuracao!B10/100),"sim","não"))</f>
        <v>aguardando limiar</v>
      </c>
    </row>
    <row r="338" spans="1:31" x14ac:dyDescent="0.25">
      <c r="A338">
        <v>14925</v>
      </c>
      <c r="C338" t="s">
        <v>605</v>
      </c>
      <c r="D338" t="s">
        <v>510</v>
      </c>
      <c r="E338" t="s">
        <v>525</v>
      </c>
      <c r="F338" t="s">
        <v>196</v>
      </c>
      <c r="G338" t="s">
        <v>195</v>
      </c>
      <c r="H338" t="s">
        <v>194</v>
      </c>
      <c r="I338" t="s">
        <v>454</v>
      </c>
      <c r="J338" t="s">
        <v>454</v>
      </c>
      <c r="K338" s="4">
        <v>199.77</v>
      </c>
      <c r="L338" s="4">
        <v>199.77</v>
      </c>
      <c r="M338" t="s">
        <v>44</v>
      </c>
      <c r="N338" t="s">
        <v>77</v>
      </c>
      <c r="O338" t="s">
        <v>99</v>
      </c>
      <c r="P338" t="s">
        <v>99</v>
      </c>
      <c r="Q338" t="s">
        <v>128</v>
      </c>
      <c r="R338" t="s">
        <v>128</v>
      </c>
      <c r="S338" t="s">
        <v>197</v>
      </c>
      <c r="T338" t="s">
        <v>198</v>
      </c>
      <c r="U338" t="s">
        <v>163</v>
      </c>
      <c r="V338" t="s">
        <v>164</v>
      </c>
      <c r="W338" t="s">
        <v>77</v>
      </c>
      <c r="X338" t="s">
        <v>44</v>
      </c>
      <c r="Y338" t="s">
        <v>99</v>
      </c>
      <c r="Z338" t="s">
        <v>421</v>
      </c>
      <c r="AC338" t="str">
        <f>IF(AA338="",M338,AA338)</f>
        <v>sim</v>
      </c>
      <c r="AD338" t="str">
        <f>IF(AB338="",X338,AB338)</f>
        <v>sim</v>
      </c>
      <c r="AE338" t="str">
        <f>IF(OR(Configuracao!B9="",Configuracao!B10=""),"aguardando limiar",IF(AND(K338&gt;=Configuracao!B9,K338/MAX(Reconciliacao!C2,1)&gt;=Configuracao!B10/100),"sim","não"))</f>
        <v>aguardando limiar</v>
      </c>
    </row>
    <row r="339" spans="1:31" x14ac:dyDescent="0.25">
      <c r="A339">
        <v>16882</v>
      </c>
      <c r="C339" t="s">
        <v>605</v>
      </c>
      <c r="D339" t="s">
        <v>510</v>
      </c>
      <c r="E339" t="s">
        <v>525</v>
      </c>
      <c r="F339" t="s">
        <v>196</v>
      </c>
      <c r="G339" t="s">
        <v>195</v>
      </c>
      <c r="H339" t="s">
        <v>194</v>
      </c>
      <c r="I339" t="s">
        <v>461</v>
      </c>
      <c r="J339" t="s">
        <v>461</v>
      </c>
      <c r="K339" s="4">
        <v>199.77</v>
      </c>
      <c r="L339" s="4">
        <v>199.77</v>
      </c>
      <c r="M339" t="s">
        <v>44</v>
      </c>
      <c r="N339" t="s">
        <v>77</v>
      </c>
      <c r="O339" t="s">
        <v>99</v>
      </c>
      <c r="P339" t="s">
        <v>99</v>
      </c>
      <c r="Q339" t="s">
        <v>128</v>
      </c>
      <c r="R339" t="s">
        <v>128</v>
      </c>
      <c r="S339" t="s">
        <v>197</v>
      </c>
      <c r="T339" t="s">
        <v>198</v>
      </c>
      <c r="U339" t="s">
        <v>163</v>
      </c>
      <c r="V339" t="s">
        <v>164</v>
      </c>
      <c r="W339" t="s">
        <v>77</v>
      </c>
      <c r="X339" t="s">
        <v>44</v>
      </c>
      <c r="Y339" t="s">
        <v>99</v>
      </c>
      <c r="Z339" t="s">
        <v>421</v>
      </c>
      <c r="AC339" t="str">
        <f>IF(AA339="",M339,AA339)</f>
        <v>sim</v>
      </c>
      <c r="AD339" t="str">
        <f>IF(AB339="",X339,AB339)</f>
        <v>sim</v>
      </c>
      <c r="AE339" t="str">
        <f>IF(OR(Configuracao!B9="",Configuracao!B10=""),"aguardando limiar",IF(AND(K339&gt;=Configuracao!B9,K339/MAX(Reconciliacao!C2,1)&gt;=Configuracao!B10/100),"sim","não"))</f>
        <v>aguardando limiar</v>
      </c>
    </row>
    <row r="340" spans="1:31" x14ac:dyDescent="0.25">
      <c r="A340">
        <v>18230</v>
      </c>
      <c r="C340" t="s">
        <v>606</v>
      </c>
      <c r="D340" t="s">
        <v>510</v>
      </c>
      <c r="E340" t="s">
        <v>486</v>
      </c>
      <c r="F340" t="s">
        <v>196</v>
      </c>
      <c r="G340" t="s">
        <v>195</v>
      </c>
      <c r="H340" t="s">
        <v>194</v>
      </c>
      <c r="I340" t="s">
        <v>439</v>
      </c>
      <c r="J340" t="s">
        <v>439</v>
      </c>
      <c r="K340" s="4">
        <v>205.53</v>
      </c>
      <c r="L340" s="4">
        <v>205.53</v>
      </c>
      <c r="M340" t="s">
        <v>44</v>
      </c>
      <c r="N340" t="s">
        <v>77</v>
      </c>
      <c r="O340" t="s">
        <v>99</v>
      </c>
      <c r="P340" t="s">
        <v>99</v>
      </c>
      <c r="Q340" t="s">
        <v>128</v>
      </c>
      <c r="R340" t="s">
        <v>128</v>
      </c>
      <c r="S340" t="s">
        <v>197</v>
      </c>
      <c r="T340" t="s">
        <v>198</v>
      </c>
      <c r="U340" t="s">
        <v>163</v>
      </c>
      <c r="V340" t="s">
        <v>164</v>
      </c>
      <c r="W340" t="s">
        <v>77</v>
      </c>
      <c r="X340" t="s">
        <v>44</v>
      </c>
      <c r="Y340" t="s">
        <v>99</v>
      </c>
      <c r="Z340" t="s">
        <v>421</v>
      </c>
      <c r="AC340" t="str">
        <f>IF(AA340="",M340,AA340)</f>
        <v>sim</v>
      </c>
      <c r="AD340" t="str">
        <f>IF(AB340="",X340,AB340)</f>
        <v>sim</v>
      </c>
      <c r="AE340" t="str">
        <f>IF(OR(Configuracao!B9="",Configuracao!B10=""),"aguardando limiar",IF(AND(K340&gt;=Configuracao!B9,K340/MAX(Reconciliacao!C2,1)&gt;=Configuracao!B10/100),"sim","não"))</f>
        <v>aguardando limiar</v>
      </c>
    </row>
    <row r="341" spans="1:31" x14ac:dyDescent="0.25">
      <c r="A341">
        <v>18982</v>
      </c>
      <c r="C341" t="s">
        <v>606</v>
      </c>
      <c r="D341" t="s">
        <v>510</v>
      </c>
      <c r="E341" t="s">
        <v>486</v>
      </c>
      <c r="F341" t="s">
        <v>196</v>
      </c>
      <c r="G341" t="s">
        <v>195</v>
      </c>
      <c r="H341" t="s">
        <v>194</v>
      </c>
      <c r="I341" t="s">
        <v>35</v>
      </c>
      <c r="J341" t="s">
        <v>35</v>
      </c>
      <c r="K341" s="4">
        <v>205.53</v>
      </c>
      <c r="L341" s="4">
        <v>205.53</v>
      </c>
      <c r="M341" t="s">
        <v>44</v>
      </c>
      <c r="N341" t="s">
        <v>77</v>
      </c>
      <c r="O341" t="s">
        <v>99</v>
      </c>
      <c r="P341" t="s">
        <v>99</v>
      </c>
      <c r="Q341" t="s">
        <v>128</v>
      </c>
      <c r="R341" t="s">
        <v>128</v>
      </c>
      <c r="S341" t="s">
        <v>197</v>
      </c>
      <c r="T341" t="s">
        <v>198</v>
      </c>
      <c r="U341" t="s">
        <v>163</v>
      </c>
      <c r="V341" t="s">
        <v>164</v>
      </c>
      <c r="W341" t="s">
        <v>77</v>
      </c>
      <c r="X341" t="s">
        <v>44</v>
      </c>
      <c r="Y341" t="s">
        <v>99</v>
      </c>
      <c r="Z341" t="s">
        <v>421</v>
      </c>
      <c r="AC341" t="str">
        <f>IF(AA341="",M341,AA341)</f>
        <v>sim</v>
      </c>
      <c r="AD341" t="str">
        <f>IF(AB341="",X341,AB341)</f>
        <v>sim</v>
      </c>
      <c r="AE341" t="str">
        <f>IF(OR(Configuracao!B9="",Configuracao!B10=""),"aguardando limiar",IF(AND(K341&gt;=Configuracao!B9,K341/MAX(Reconciliacao!C2,1)&gt;=Configuracao!B10/100),"sim","não"))</f>
        <v>aguardando limiar</v>
      </c>
    </row>
    <row r="342" spans="1:31" x14ac:dyDescent="0.25">
      <c r="A342">
        <v>17387</v>
      </c>
      <c r="C342" t="s">
        <v>606</v>
      </c>
      <c r="D342" t="s">
        <v>510</v>
      </c>
      <c r="E342" t="s">
        <v>486</v>
      </c>
      <c r="F342" t="s">
        <v>196</v>
      </c>
      <c r="G342" t="s">
        <v>195</v>
      </c>
      <c r="H342" t="s">
        <v>194</v>
      </c>
      <c r="I342" t="s">
        <v>442</v>
      </c>
      <c r="J342" t="s">
        <v>442</v>
      </c>
      <c r="K342" s="4">
        <v>207.74</v>
      </c>
      <c r="L342" s="4">
        <v>207.74</v>
      </c>
      <c r="M342" t="s">
        <v>44</v>
      </c>
      <c r="N342" t="s">
        <v>77</v>
      </c>
      <c r="O342" t="s">
        <v>99</v>
      </c>
      <c r="P342" t="s">
        <v>99</v>
      </c>
      <c r="Q342" t="s">
        <v>128</v>
      </c>
      <c r="R342" t="s">
        <v>128</v>
      </c>
      <c r="S342" t="s">
        <v>197</v>
      </c>
      <c r="T342" t="s">
        <v>198</v>
      </c>
      <c r="U342" t="s">
        <v>163</v>
      </c>
      <c r="V342" t="s">
        <v>164</v>
      </c>
      <c r="W342" t="s">
        <v>77</v>
      </c>
      <c r="X342" t="s">
        <v>44</v>
      </c>
      <c r="Y342" t="s">
        <v>99</v>
      </c>
      <c r="Z342" t="s">
        <v>421</v>
      </c>
      <c r="AC342" t="str">
        <f>IF(AA342="",M342,AA342)</f>
        <v>sim</v>
      </c>
      <c r="AD342" t="str">
        <f>IF(AB342="",X342,AB342)</f>
        <v>sim</v>
      </c>
      <c r="AE342" t="str">
        <f>IF(OR(Configuracao!B9="",Configuracao!B10=""),"aguardando limiar",IF(AND(K342&gt;=Configuracao!B9,K342/MAX(Reconciliacao!C2,1)&gt;=Configuracao!B10/100),"sim","não"))</f>
        <v>aguardando limiar</v>
      </c>
    </row>
    <row r="343" spans="1:31" x14ac:dyDescent="0.25">
      <c r="A343">
        <v>12206</v>
      </c>
      <c r="C343" t="s">
        <v>605</v>
      </c>
      <c r="D343" t="s">
        <v>510</v>
      </c>
      <c r="E343" t="s">
        <v>525</v>
      </c>
      <c r="F343" t="s">
        <v>196</v>
      </c>
      <c r="G343" t="s">
        <v>195</v>
      </c>
      <c r="H343" t="s">
        <v>194</v>
      </c>
      <c r="I343" t="s">
        <v>424</v>
      </c>
      <c r="J343" t="s">
        <v>424</v>
      </c>
      <c r="K343" s="4">
        <v>208.77</v>
      </c>
      <c r="L343" s="4">
        <v>208.77</v>
      </c>
      <c r="M343" t="s">
        <v>44</v>
      </c>
      <c r="N343" t="s">
        <v>77</v>
      </c>
      <c r="O343" t="s">
        <v>99</v>
      </c>
      <c r="P343" t="s">
        <v>99</v>
      </c>
      <c r="Q343" t="s">
        <v>128</v>
      </c>
      <c r="R343" t="s">
        <v>128</v>
      </c>
      <c r="S343" t="s">
        <v>197</v>
      </c>
      <c r="T343" t="s">
        <v>198</v>
      </c>
      <c r="U343" t="s">
        <v>163</v>
      </c>
      <c r="V343" t="s">
        <v>164</v>
      </c>
      <c r="W343" t="s">
        <v>77</v>
      </c>
      <c r="X343" t="s">
        <v>44</v>
      </c>
      <c r="Y343" t="s">
        <v>99</v>
      </c>
      <c r="Z343" t="s">
        <v>421</v>
      </c>
      <c r="AC343" t="str">
        <f>IF(AA343="",M343,AA343)</f>
        <v>sim</v>
      </c>
      <c r="AD343" t="str">
        <f>IF(AB343="",X343,AB343)</f>
        <v>sim</v>
      </c>
      <c r="AE343" t="str">
        <f>IF(OR(Configuracao!B9="",Configuracao!B10=""),"aguardando limiar",IF(AND(K343&gt;=Configuracao!B9,K343/MAX(Reconciliacao!C2,1)&gt;=Configuracao!B10/100),"sim","não"))</f>
        <v>aguardando limiar</v>
      </c>
    </row>
    <row r="344" spans="1:31" x14ac:dyDescent="0.25">
      <c r="A344">
        <v>12768</v>
      </c>
      <c r="C344" t="s">
        <v>605</v>
      </c>
      <c r="D344" t="s">
        <v>510</v>
      </c>
      <c r="E344" t="s">
        <v>525</v>
      </c>
      <c r="F344" t="s">
        <v>196</v>
      </c>
      <c r="G344" t="s">
        <v>195</v>
      </c>
      <c r="H344" t="s">
        <v>194</v>
      </c>
      <c r="I344" t="s">
        <v>420</v>
      </c>
      <c r="J344" t="s">
        <v>420</v>
      </c>
      <c r="K344" s="4">
        <v>208.77</v>
      </c>
      <c r="L344" s="4">
        <v>208.77</v>
      </c>
      <c r="M344" t="s">
        <v>44</v>
      </c>
      <c r="N344" t="s">
        <v>77</v>
      </c>
      <c r="O344" t="s">
        <v>99</v>
      </c>
      <c r="P344" t="s">
        <v>99</v>
      </c>
      <c r="Q344" t="s">
        <v>128</v>
      </c>
      <c r="R344" t="s">
        <v>128</v>
      </c>
      <c r="S344" t="s">
        <v>197</v>
      </c>
      <c r="T344" t="s">
        <v>198</v>
      </c>
      <c r="U344" t="s">
        <v>163</v>
      </c>
      <c r="V344" t="s">
        <v>164</v>
      </c>
      <c r="W344" t="s">
        <v>77</v>
      </c>
      <c r="X344" t="s">
        <v>44</v>
      </c>
      <c r="Y344" t="s">
        <v>99</v>
      </c>
      <c r="Z344" t="s">
        <v>421</v>
      </c>
      <c r="AC344" t="str">
        <f>IF(AA344="",M344,AA344)</f>
        <v>sim</v>
      </c>
      <c r="AD344" t="str">
        <f>IF(AB344="",X344,AB344)</f>
        <v>sim</v>
      </c>
      <c r="AE344" t="str">
        <f>IF(OR(Configuracao!B9="",Configuracao!B10=""),"aguardando limiar",IF(AND(K344&gt;=Configuracao!B9,K344/MAX(Reconciliacao!C2,1)&gt;=Configuracao!B10/100),"sim","não"))</f>
        <v>aguardando limiar</v>
      </c>
    </row>
    <row r="345" spans="1:31" x14ac:dyDescent="0.25">
      <c r="A345">
        <v>17396</v>
      </c>
      <c r="C345" t="s">
        <v>594</v>
      </c>
      <c r="D345" t="s">
        <v>580</v>
      </c>
      <c r="E345" t="s">
        <v>445</v>
      </c>
      <c r="F345" t="s">
        <v>196</v>
      </c>
      <c r="G345" t="s">
        <v>195</v>
      </c>
      <c r="H345" t="s">
        <v>194</v>
      </c>
      <c r="I345" t="s">
        <v>442</v>
      </c>
      <c r="J345" t="s">
        <v>442</v>
      </c>
      <c r="K345" s="4">
        <v>219.56</v>
      </c>
      <c r="L345" s="4">
        <v>219.56</v>
      </c>
      <c r="M345" t="s">
        <v>44</v>
      </c>
      <c r="N345" t="s">
        <v>77</v>
      </c>
      <c r="O345" t="s">
        <v>99</v>
      </c>
      <c r="P345" t="s">
        <v>99</v>
      </c>
      <c r="Q345" t="s">
        <v>128</v>
      </c>
      <c r="R345" t="s">
        <v>128</v>
      </c>
      <c r="S345" t="s">
        <v>197</v>
      </c>
      <c r="T345" t="s">
        <v>198</v>
      </c>
      <c r="U345" t="s">
        <v>163</v>
      </c>
      <c r="V345" t="s">
        <v>164</v>
      </c>
      <c r="W345" t="s">
        <v>77</v>
      </c>
      <c r="X345" t="s">
        <v>44</v>
      </c>
      <c r="Y345" t="s">
        <v>99</v>
      </c>
      <c r="Z345" t="s">
        <v>421</v>
      </c>
      <c r="AC345" t="str">
        <f>IF(AA345="",M345,AA345)</f>
        <v>sim</v>
      </c>
      <c r="AD345" t="str">
        <f>IF(AB345="",X345,AB345)</f>
        <v>sim</v>
      </c>
      <c r="AE345" t="str">
        <f>IF(OR(Configuracao!B9="",Configuracao!B10=""),"aguardando limiar",IF(AND(K345&gt;=Configuracao!B9,K345/MAX(Reconciliacao!C2,1)&gt;=Configuracao!B10/100),"sim","não"))</f>
        <v>aguardando limiar</v>
      </c>
    </row>
    <row r="346" spans="1:31" x14ac:dyDescent="0.25">
      <c r="A346">
        <v>16894</v>
      </c>
      <c r="C346" t="s">
        <v>594</v>
      </c>
      <c r="D346" t="s">
        <v>580</v>
      </c>
      <c r="E346" t="s">
        <v>445</v>
      </c>
      <c r="F346" t="s">
        <v>196</v>
      </c>
      <c r="G346" t="s">
        <v>195</v>
      </c>
      <c r="H346" t="s">
        <v>194</v>
      </c>
      <c r="I346" t="s">
        <v>461</v>
      </c>
      <c r="J346" t="s">
        <v>461</v>
      </c>
      <c r="K346" s="4">
        <v>219.58</v>
      </c>
      <c r="L346" s="4">
        <v>219.58</v>
      </c>
      <c r="M346" t="s">
        <v>44</v>
      </c>
      <c r="N346" t="s">
        <v>77</v>
      </c>
      <c r="O346" t="s">
        <v>99</v>
      </c>
      <c r="P346" t="s">
        <v>99</v>
      </c>
      <c r="Q346" t="s">
        <v>128</v>
      </c>
      <c r="R346" t="s">
        <v>128</v>
      </c>
      <c r="S346" t="s">
        <v>197</v>
      </c>
      <c r="T346" t="s">
        <v>198</v>
      </c>
      <c r="U346" t="s">
        <v>163</v>
      </c>
      <c r="V346" t="s">
        <v>164</v>
      </c>
      <c r="W346" t="s">
        <v>77</v>
      </c>
      <c r="X346" t="s">
        <v>44</v>
      </c>
      <c r="Y346" t="s">
        <v>99</v>
      </c>
      <c r="Z346" t="s">
        <v>421</v>
      </c>
      <c r="AC346" t="str">
        <f>IF(AA346="",M346,AA346)</f>
        <v>sim</v>
      </c>
      <c r="AD346" t="str">
        <f>IF(AB346="",X346,AB346)</f>
        <v>sim</v>
      </c>
      <c r="AE346" t="str">
        <f>IF(OR(Configuracao!B9="",Configuracao!B10=""),"aguardando limiar",IF(AND(K346&gt;=Configuracao!B9,K346/MAX(Reconciliacao!C2,1)&gt;=Configuracao!B10/100),"sim","não"))</f>
        <v>aguardando limiar</v>
      </c>
    </row>
    <row r="347" spans="1:31" x14ac:dyDescent="0.25">
      <c r="A347">
        <v>18238</v>
      </c>
      <c r="C347" t="s">
        <v>607</v>
      </c>
      <c r="D347" t="s">
        <v>583</v>
      </c>
      <c r="E347" t="s">
        <v>511</v>
      </c>
      <c r="F347" t="s">
        <v>196</v>
      </c>
      <c r="G347" t="s">
        <v>195</v>
      </c>
      <c r="H347" t="s">
        <v>194</v>
      </c>
      <c r="I347" t="s">
        <v>439</v>
      </c>
      <c r="J347" t="s">
        <v>439</v>
      </c>
      <c r="K347" s="4">
        <v>230.21</v>
      </c>
      <c r="L347" s="4">
        <v>230.21</v>
      </c>
      <c r="M347" t="s">
        <v>44</v>
      </c>
      <c r="N347" t="s">
        <v>77</v>
      </c>
      <c r="O347" t="s">
        <v>99</v>
      </c>
      <c r="P347" t="s">
        <v>99</v>
      </c>
      <c r="Q347" t="s">
        <v>128</v>
      </c>
      <c r="R347" t="s">
        <v>128</v>
      </c>
      <c r="S347" t="s">
        <v>197</v>
      </c>
      <c r="T347" t="s">
        <v>198</v>
      </c>
      <c r="U347" t="s">
        <v>163</v>
      </c>
      <c r="V347" t="s">
        <v>164</v>
      </c>
      <c r="W347" t="s">
        <v>77</v>
      </c>
      <c r="X347" t="s">
        <v>44</v>
      </c>
      <c r="Y347" t="s">
        <v>99</v>
      </c>
      <c r="Z347" t="s">
        <v>421</v>
      </c>
      <c r="AC347" t="str">
        <f>IF(AA347="",M347,AA347)</f>
        <v>sim</v>
      </c>
      <c r="AD347" t="str">
        <f>IF(AB347="",X347,AB347)</f>
        <v>sim</v>
      </c>
      <c r="AE347" t="str">
        <f>IF(OR(Configuracao!B9="",Configuracao!B10=""),"aguardando limiar",IF(AND(K347&gt;=Configuracao!B9,K347/MAX(Reconciliacao!C2,1)&gt;=Configuracao!B10/100),"sim","não"))</f>
        <v>aguardando limiar</v>
      </c>
    </row>
    <row r="348" spans="1:31" x14ac:dyDescent="0.25">
      <c r="A348">
        <v>18989</v>
      </c>
      <c r="C348" t="s">
        <v>594</v>
      </c>
      <c r="D348" t="s">
        <v>580</v>
      </c>
      <c r="E348" t="s">
        <v>445</v>
      </c>
      <c r="F348" t="s">
        <v>196</v>
      </c>
      <c r="G348" t="s">
        <v>195</v>
      </c>
      <c r="H348" t="s">
        <v>194</v>
      </c>
      <c r="I348" t="s">
        <v>35</v>
      </c>
      <c r="J348" t="s">
        <v>35</v>
      </c>
      <c r="K348" s="4">
        <v>240.94</v>
      </c>
      <c r="L348" s="4">
        <v>240.94</v>
      </c>
      <c r="M348" t="s">
        <v>44</v>
      </c>
      <c r="N348" t="s">
        <v>77</v>
      </c>
      <c r="O348" t="s">
        <v>99</v>
      </c>
      <c r="P348" t="s">
        <v>99</v>
      </c>
      <c r="Q348" t="s">
        <v>128</v>
      </c>
      <c r="R348" t="s">
        <v>128</v>
      </c>
      <c r="S348" t="s">
        <v>197</v>
      </c>
      <c r="T348" t="s">
        <v>198</v>
      </c>
      <c r="U348" t="s">
        <v>163</v>
      </c>
      <c r="V348" t="s">
        <v>164</v>
      </c>
      <c r="W348" t="s">
        <v>77</v>
      </c>
      <c r="X348" t="s">
        <v>44</v>
      </c>
      <c r="Y348" t="s">
        <v>99</v>
      </c>
      <c r="Z348" t="s">
        <v>421</v>
      </c>
      <c r="AC348" t="str">
        <f>IF(AA348="",M348,AA348)</f>
        <v>sim</v>
      </c>
      <c r="AD348" t="str">
        <f>IF(AB348="",X348,AB348)</f>
        <v>sim</v>
      </c>
      <c r="AE348" t="str">
        <f>IF(OR(Configuracao!B9="",Configuracao!B10=""),"aguardando limiar",IF(AND(K348&gt;=Configuracao!B9,K348/MAX(Reconciliacao!C2,1)&gt;=Configuracao!B10/100),"sim","não"))</f>
        <v>aguardando limiar</v>
      </c>
    </row>
    <row r="349" spans="1:31" x14ac:dyDescent="0.25">
      <c r="A349">
        <v>9675</v>
      </c>
      <c r="C349" t="s">
        <v>608</v>
      </c>
      <c r="D349" t="s">
        <v>592</v>
      </c>
      <c r="E349" t="s">
        <v>511</v>
      </c>
      <c r="F349" t="s">
        <v>196</v>
      </c>
      <c r="G349" t="s">
        <v>195</v>
      </c>
      <c r="H349" t="s">
        <v>194</v>
      </c>
      <c r="I349" t="s">
        <v>461</v>
      </c>
      <c r="J349" t="s">
        <v>461</v>
      </c>
      <c r="K349" s="4">
        <v>246.36</v>
      </c>
      <c r="L349" s="4">
        <v>246.36</v>
      </c>
      <c r="M349" t="s">
        <v>44</v>
      </c>
      <c r="N349" t="s">
        <v>77</v>
      </c>
      <c r="O349" t="s">
        <v>99</v>
      </c>
      <c r="P349" t="s">
        <v>99</v>
      </c>
      <c r="Q349" t="s">
        <v>128</v>
      </c>
      <c r="R349" t="s">
        <v>128</v>
      </c>
      <c r="S349" t="s">
        <v>197</v>
      </c>
      <c r="T349" t="s">
        <v>198</v>
      </c>
      <c r="U349" t="s">
        <v>163</v>
      </c>
      <c r="V349" t="s">
        <v>164</v>
      </c>
      <c r="W349" t="s">
        <v>77</v>
      </c>
      <c r="X349" t="s">
        <v>44</v>
      </c>
      <c r="Y349" t="s">
        <v>99</v>
      </c>
      <c r="Z349" t="s">
        <v>421</v>
      </c>
      <c r="AC349" t="str">
        <f>IF(AA349="",M349,AA349)</f>
        <v>sim</v>
      </c>
      <c r="AD349" t="str">
        <f>IF(AB349="",X349,AB349)</f>
        <v>sim</v>
      </c>
      <c r="AE349" t="str">
        <f>IF(OR(Configuracao!B9="",Configuracao!B10=""),"aguardando limiar",IF(AND(K349&gt;=Configuracao!B9,K349/MAX(Reconciliacao!C2,1)&gt;=Configuracao!B10/100),"sim","não"))</f>
        <v>aguardando limiar</v>
      </c>
    </row>
    <row r="350" spans="1:31" x14ac:dyDescent="0.25">
      <c r="A350">
        <v>11497</v>
      </c>
      <c r="C350" t="s">
        <v>609</v>
      </c>
      <c r="D350" t="s">
        <v>583</v>
      </c>
      <c r="E350" t="s">
        <v>445</v>
      </c>
      <c r="F350" t="s">
        <v>196</v>
      </c>
      <c r="G350" t="s">
        <v>195</v>
      </c>
      <c r="H350" t="s">
        <v>194</v>
      </c>
      <c r="I350" t="s">
        <v>32</v>
      </c>
      <c r="J350" t="s">
        <v>32</v>
      </c>
      <c r="K350" s="4">
        <v>250.63</v>
      </c>
      <c r="L350" s="4">
        <v>250.63</v>
      </c>
      <c r="M350" t="s">
        <v>44</v>
      </c>
      <c r="N350" t="s">
        <v>77</v>
      </c>
      <c r="O350" t="s">
        <v>99</v>
      </c>
      <c r="P350" t="s">
        <v>99</v>
      </c>
      <c r="Q350" t="s">
        <v>128</v>
      </c>
      <c r="R350" t="s">
        <v>128</v>
      </c>
      <c r="S350" t="s">
        <v>197</v>
      </c>
      <c r="T350" t="s">
        <v>198</v>
      </c>
      <c r="U350" t="s">
        <v>163</v>
      </c>
      <c r="V350" t="s">
        <v>164</v>
      </c>
      <c r="W350" t="s">
        <v>77</v>
      </c>
      <c r="X350" t="s">
        <v>44</v>
      </c>
      <c r="Y350" t="s">
        <v>99</v>
      </c>
      <c r="Z350" t="s">
        <v>421</v>
      </c>
      <c r="AC350" t="str">
        <f>IF(AA350="",M350,AA350)</f>
        <v>sim</v>
      </c>
      <c r="AD350" t="str">
        <f>IF(AB350="",X350,AB350)</f>
        <v>sim</v>
      </c>
      <c r="AE350" t="str">
        <f>IF(OR(Configuracao!B9="",Configuracao!B10=""),"aguardando limiar",IF(AND(K350&gt;=Configuracao!B9,K350/MAX(Reconciliacao!C2,1)&gt;=Configuracao!B10/100),"sim","não"))</f>
        <v>aguardando limiar</v>
      </c>
    </row>
    <row r="351" spans="1:31" x14ac:dyDescent="0.25">
      <c r="A351">
        <v>12771</v>
      </c>
      <c r="C351" t="s">
        <v>610</v>
      </c>
      <c r="D351" t="s">
        <v>583</v>
      </c>
      <c r="E351" t="s">
        <v>511</v>
      </c>
      <c r="F351" t="s">
        <v>196</v>
      </c>
      <c r="G351" t="s">
        <v>195</v>
      </c>
      <c r="H351" t="s">
        <v>194</v>
      </c>
      <c r="I351" t="s">
        <v>420</v>
      </c>
      <c r="J351" t="s">
        <v>420</v>
      </c>
      <c r="K351" s="4">
        <v>255.89</v>
      </c>
      <c r="L351" s="4">
        <v>255.89</v>
      </c>
      <c r="M351" t="s">
        <v>44</v>
      </c>
      <c r="N351" t="s">
        <v>77</v>
      </c>
      <c r="O351" t="s">
        <v>99</v>
      </c>
      <c r="P351" t="s">
        <v>99</v>
      </c>
      <c r="Q351" t="s">
        <v>128</v>
      </c>
      <c r="R351" t="s">
        <v>128</v>
      </c>
      <c r="S351" t="s">
        <v>197</v>
      </c>
      <c r="T351" t="s">
        <v>198</v>
      </c>
      <c r="U351" t="s">
        <v>163</v>
      </c>
      <c r="V351" t="s">
        <v>164</v>
      </c>
      <c r="W351" t="s">
        <v>77</v>
      </c>
      <c r="X351" t="s">
        <v>44</v>
      </c>
      <c r="Y351" t="s">
        <v>99</v>
      </c>
      <c r="Z351" t="s">
        <v>421</v>
      </c>
      <c r="AC351" t="str">
        <f>IF(AA351="",M351,AA351)</f>
        <v>sim</v>
      </c>
      <c r="AD351" t="str">
        <f>IF(AB351="",X351,AB351)</f>
        <v>sim</v>
      </c>
      <c r="AE351" t="str">
        <f>IF(OR(Configuracao!B9="",Configuracao!B10=""),"aguardando limiar",IF(AND(K351&gt;=Configuracao!B9,K351/MAX(Reconciliacao!C2,1)&gt;=Configuracao!B10/100),"sim","não"))</f>
        <v>aguardando limiar</v>
      </c>
    </row>
    <row r="352" spans="1:31" x14ac:dyDescent="0.25">
      <c r="A352">
        <v>18985</v>
      </c>
      <c r="C352" t="s">
        <v>600</v>
      </c>
      <c r="D352" t="s">
        <v>575</v>
      </c>
      <c r="E352" t="s">
        <v>525</v>
      </c>
      <c r="F352" t="s">
        <v>196</v>
      </c>
      <c r="G352" t="s">
        <v>195</v>
      </c>
      <c r="H352" t="s">
        <v>194</v>
      </c>
      <c r="I352" t="s">
        <v>35</v>
      </c>
      <c r="J352" t="s">
        <v>35</v>
      </c>
      <c r="K352" s="4">
        <v>266.8</v>
      </c>
      <c r="L352" s="4">
        <v>266.8</v>
      </c>
      <c r="M352" t="s">
        <v>44</v>
      </c>
      <c r="N352" t="s">
        <v>77</v>
      </c>
      <c r="O352" t="s">
        <v>99</v>
      </c>
      <c r="P352" t="s">
        <v>99</v>
      </c>
      <c r="Q352" t="s">
        <v>128</v>
      </c>
      <c r="R352" t="s">
        <v>128</v>
      </c>
      <c r="S352" t="s">
        <v>197</v>
      </c>
      <c r="T352" t="s">
        <v>198</v>
      </c>
      <c r="U352" t="s">
        <v>163</v>
      </c>
      <c r="V352" t="s">
        <v>164</v>
      </c>
      <c r="W352" t="s">
        <v>77</v>
      </c>
      <c r="X352" t="s">
        <v>44</v>
      </c>
      <c r="Y352" t="s">
        <v>99</v>
      </c>
      <c r="Z352" t="s">
        <v>421</v>
      </c>
      <c r="AC352" t="str">
        <f>IF(AA352="",M352,AA352)</f>
        <v>sim</v>
      </c>
      <c r="AD352" t="str">
        <f>IF(AB352="",X352,AB352)</f>
        <v>sim</v>
      </c>
      <c r="AE352" t="str">
        <f>IF(OR(Configuracao!B9="",Configuracao!B10=""),"aguardando limiar",IF(AND(K352&gt;=Configuracao!B9,K352/MAX(Reconciliacao!C2,1)&gt;=Configuracao!B10/100),"sim","não"))</f>
        <v>aguardando limiar</v>
      </c>
    </row>
    <row r="353" spans="1:31" x14ac:dyDescent="0.25">
      <c r="A353">
        <v>16890</v>
      </c>
      <c r="C353" t="s">
        <v>600</v>
      </c>
      <c r="D353" t="s">
        <v>575</v>
      </c>
      <c r="E353" t="s">
        <v>525</v>
      </c>
      <c r="F353" t="s">
        <v>196</v>
      </c>
      <c r="G353" t="s">
        <v>195</v>
      </c>
      <c r="H353" t="s">
        <v>194</v>
      </c>
      <c r="I353" t="s">
        <v>461</v>
      </c>
      <c r="J353" t="s">
        <v>461</v>
      </c>
      <c r="K353" s="4">
        <v>269.66</v>
      </c>
      <c r="L353" s="4">
        <v>269.66</v>
      </c>
      <c r="M353" t="s">
        <v>44</v>
      </c>
      <c r="N353" t="s">
        <v>77</v>
      </c>
      <c r="O353" t="s">
        <v>99</v>
      </c>
      <c r="P353" t="s">
        <v>99</v>
      </c>
      <c r="Q353" t="s">
        <v>128</v>
      </c>
      <c r="R353" t="s">
        <v>128</v>
      </c>
      <c r="S353" t="s">
        <v>197</v>
      </c>
      <c r="T353" t="s">
        <v>198</v>
      </c>
      <c r="U353" t="s">
        <v>163</v>
      </c>
      <c r="V353" t="s">
        <v>164</v>
      </c>
      <c r="W353" t="s">
        <v>77</v>
      </c>
      <c r="X353" t="s">
        <v>44</v>
      </c>
      <c r="Y353" t="s">
        <v>99</v>
      </c>
      <c r="Z353" t="s">
        <v>421</v>
      </c>
      <c r="AC353" t="str">
        <f>IF(AA353="",M353,AA353)</f>
        <v>sim</v>
      </c>
      <c r="AD353" t="str">
        <f>IF(AB353="",X353,AB353)</f>
        <v>sim</v>
      </c>
      <c r="AE353" t="str">
        <f>IF(OR(Configuracao!B9="",Configuracao!B10=""),"aguardando limiar",IF(AND(K353&gt;=Configuracao!B9,K353/MAX(Reconciliacao!C2,1)&gt;=Configuracao!B10/100),"sim","não"))</f>
        <v>aguardando limiar</v>
      </c>
    </row>
    <row r="354" spans="1:31" x14ac:dyDescent="0.25">
      <c r="A354">
        <v>14926</v>
      </c>
      <c r="C354" t="s">
        <v>606</v>
      </c>
      <c r="D354" t="s">
        <v>510</v>
      </c>
      <c r="E354" t="s">
        <v>445</v>
      </c>
      <c r="F354" t="s">
        <v>196</v>
      </c>
      <c r="G354" t="s">
        <v>195</v>
      </c>
      <c r="H354" t="s">
        <v>194</v>
      </c>
      <c r="I354" t="s">
        <v>454</v>
      </c>
      <c r="J354" t="s">
        <v>454</v>
      </c>
      <c r="K354" s="4">
        <v>279.61</v>
      </c>
      <c r="L354" s="4">
        <v>279.61</v>
      </c>
      <c r="M354" t="s">
        <v>44</v>
      </c>
      <c r="N354" t="s">
        <v>77</v>
      </c>
      <c r="O354" t="s">
        <v>99</v>
      </c>
      <c r="P354" t="s">
        <v>99</v>
      </c>
      <c r="Q354" t="s">
        <v>128</v>
      </c>
      <c r="R354" t="s">
        <v>128</v>
      </c>
      <c r="S354" t="s">
        <v>197</v>
      </c>
      <c r="T354" t="s">
        <v>198</v>
      </c>
      <c r="U354" t="s">
        <v>163</v>
      </c>
      <c r="V354" t="s">
        <v>164</v>
      </c>
      <c r="W354" t="s">
        <v>77</v>
      </c>
      <c r="X354" t="s">
        <v>44</v>
      </c>
      <c r="Y354" t="s">
        <v>99</v>
      </c>
      <c r="Z354" t="s">
        <v>421</v>
      </c>
      <c r="AC354" t="str">
        <f>IF(AA354="",M354,AA354)</f>
        <v>sim</v>
      </c>
      <c r="AD354" t="str">
        <f>IF(AB354="",X354,AB354)</f>
        <v>sim</v>
      </c>
      <c r="AE354" t="str">
        <f>IF(OR(Configuracao!B9="",Configuracao!B10=""),"aguardando limiar",IF(AND(K354&gt;=Configuracao!B9,K354/MAX(Reconciliacao!C2,1)&gt;=Configuracao!B10/100),"sim","não"))</f>
        <v>aguardando limiar</v>
      </c>
    </row>
    <row r="355" spans="1:31" x14ac:dyDescent="0.25">
      <c r="A355">
        <v>16883</v>
      </c>
      <c r="C355" t="s">
        <v>606</v>
      </c>
      <c r="D355" t="s">
        <v>510</v>
      </c>
      <c r="E355" t="s">
        <v>445</v>
      </c>
      <c r="F355" t="s">
        <v>196</v>
      </c>
      <c r="G355" t="s">
        <v>195</v>
      </c>
      <c r="H355" t="s">
        <v>194</v>
      </c>
      <c r="I355" t="s">
        <v>461</v>
      </c>
      <c r="J355" t="s">
        <v>461</v>
      </c>
      <c r="K355" s="4">
        <v>279.61</v>
      </c>
      <c r="L355" s="4">
        <v>279.61</v>
      </c>
      <c r="M355" t="s">
        <v>44</v>
      </c>
      <c r="N355" t="s">
        <v>77</v>
      </c>
      <c r="O355" t="s">
        <v>99</v>
      </c>
      <c r="P355" t="s">
        <v>99</v>
      </c>
      <c r="Q355" t="s">
        <v>128</v>
      </c>
      <c r="R355" t="s">
        <v>128</v>
      </c>
      <c r="S355" t="s">
        <v>197</v>
      </c>
      <c r="T355" t="s">
        <v>198</v>
      </c>
      <c r="U355" t="s">
        <v>163</v>
      </c>
      <c r="V355" t="s">
        <v>164</v>
      </c>
      <c r="W355" t="s">
        <v>77</v>
      </c>
      <c r="X355" t="s">
        <v>44</v>
      </c>
      <c r="Y355" t="s">
        <v>99</v>
      </c>
      <c r="Z355" t="s">
        <v>421</v>
      </c>
      <c r="AC355" t="str">
        <f>IF(AA355="",M355,AA355)</f>
        <v>sim</v>
      </c>
      <c r="AD355" t="str">
        <f>IF(AB355="",X355,AB355)</f>
        <v>sim</v>
      </c>
      <c r="AE355" t="str">
        <f>IF(OR(Configuracao!B9="",Configuracao!B10=""),"aguardando limiar",IF(AND(K355&gt;=Configuracao!B9,K355/MAX(Reconciliacao!C2,1)&gt;=Configuracao!B10/100),"sim","não"))</f>
        <v>aguardando limiar</v>
      </c>
    </row>
    <row r="356" spans="1:31" x14ac:dyDescent="0.25">
      <c r="A356">
        <v>14931</v>
      </c>
      <c r="C356" t="s">
        <v>611</v>
      </c>
      <c r="D356" t="s">
        <v>583</v>
      </c>
      <c r="E356" t="s">
        <v>511</v>
      </c>
      <c r="F356" t="s">
        <v>196</v>
      </c>
      <c r="G356" t="s">
        <v>195</v>
      </c>
      <c r="H356" t="s">
        <v>194</v>
      </c>
      <c r="I356" t="s">
        <v>454</v>
      </c>
      <c r="J356" t="s">
        <v>454</v>
      </c>
      <c r="K356" s="4">
        <v>284.15</v>
      </c>
      <c r="L356" s="4">
        <v>284.15</v>
      </c>
      <c r="M356" t="s">
        <v>44</v>
      </c>
      <c r="N356" t="s">
        <v>77</v>
      </c>
      <c r="O356" t="s">
        <v>99</v>
      </c>
      <c r="P356" t="s">
        <v>99</v>
      </c>
      <c r="Q356" t="s">
        <v>128</v>
      </c>
      <c r="R356" t="s">
        <v>128</v>
      </c>
      <c r="S356" t="s">
        <v>197</v>
      </c>
      <c r="T356" t="s">
        <v>198</v>
      </c>
      <c r="U356" t="s">
        <v>163</v>
      </c>
      <c r="V356" t="s">
        <v>164</v>
      </c>
      <c r="W356" t="s">
        <v>77</v>
      </c>
      <c r="X356" t="s">
        <v>44</v>
      </c>
      <c r="Y356" t="s">
        <v>99</v>
      </c>
      <c r="Z356" t="s">
        <v>421</v>
      </c>
      <c r="AC356" t="str">
        <f>IF(AA356="",M356,AA356)</f>
        <v>sim</v>
      </c>
      <c r="AD356" t="str">
        <f>IF(AB356="",X356,AB356)</f>
        <v>sim</v>
      </c>
      <c r="AE356" t="str">
        <f>IF(OR(Configuracao!B9="",Configuracao!B10=""),"aguardando limiar",IF(AND(K356&gt;=Configuracao!B9,K356/MAX(Reconciliacao!C2,1)&gt;=Configuracao!B10/100),"sim","não"))</f>
        <v>aguardando limiar</v>
      </c>
    </row>
    <row r="357" spans="1:31" x14ac:dyDescent="0.25">
      <c r="A357">
        <v>9676</v>
      </c>
      <c r="C357" t="s">
        <v>591</v>
      </c>
      <c r="D357" t="s">
        <v>592</v>
      </c>
      <c r="E357" t="s">
        <v>511</v>
      </c>
      <c r="F357" t="s">
        <v>196</v>
      </c>
      <c r="G357" t="s">
        <v>195</v>
      </c>
      <c r="H357" t="s">
        <v>194</v>
      </c>
      <c r="I357" t="s">
        <v>442</v>
      </c>
      <c r="J357" t="s">
        <v>442</v>
      </c>
      <c r="K357" s="4">
        <v>287.64</v>
      </c>
      <c r="L357" s="4">
        <v>287.64</v>
      </c>
      <c r="M357" t="s">
        <v>44</v>
      </c>
      <c r="N357" t="s">
        <v>77</v>
      </c>
      <c r="O357" t="s">
        <v>99</v>
      </c>
      <c r="P357" t="s">
        <v>99</v>
      </c>
      <c r="Q357" t="s">
        <v>128</v>
      </c>
      <c r="R357" t="s">
        <v>128</v>
      </c>
      <c r="S357" t="s">
        <v>197</v>
      </c>
      <c r="T357" t="s">
        <v>198</v>
      </c>
      <c r="U357" t="s">
        <v>163</v>
      </c>
      <c r="V357" t="s">
        <v>164</v>
      </c>
      <c r="W357" t="s">
        <v>77</v>
      </c>
      <c r="X357" t="s">
        <v>44</v>
      </c>
      <c r="Y357" t="s">
        <v>99</v>
      </c>
      <c r="Z357" t="s">
        <v>421</v>
      </c>
      <c r="AC357" t="str">
        <f>IF(AA357="",M357,AA357)</f>
        <v>sim</v>
      </c>
      <c r="AD357" t="str">
        <f>IF(AB357="",X357,AB357)</f>
        <v>sim</v>
      </c>
      <c r="AE357" t="str">
        <f>IF(OR(Configuracao!B9="",Configuracao!B10=""),"aguardando limiar",IF(AND(K357&gt;=Configuracao!B9,K357/MAX(Reconciliacao!C2,1)&gt;=Configuracao!B10/100),"sim","não"))</f>
        <v>aguardando limiar</v>
      </c>
    </row>
    <row r="358" spans="1:31" x14ac:dyDescent="0.25">
      <c r="A358">
        <v>11490</v>
      </c>
      <c r="C358" t="s">
        <v>606</v>
      </c>
      <c r="D358" t="s">
        <v>510</v>
      </c>
      <c r="E358" t="s">
        <v>445</v>
      </c>
      <c r="F358" t="s">
        <v>196</v>
      </c>
      <c r="G358" t="s">
        <v>195</v>
      </c>
      <c r="H358" t="s">
        <v>194</v>
      </c>
      <c r="I358" t="s">
        <v>32</v>
      </c>
      <c r="J358" t="s">
        <v>32</v>
      </c>
      <c r="K358" s="4">
        <v>292.21</v>
      </c>
      <c r="L358" s="4">
        <v>292.21</v>
      </c>
      <c r="M358" t="s">
        <v>44</v>
      </c>
      <c r="N358" t="s">
        <v>77</v>
      </c>
      <c r="O358" t="s">
        <v>99</v>
      </c>
      <c r="P358" t="s">
        <v>99</v>
      </c>
      <c r="Q358" t="s">
        <v>128</v>
      </c>
      <c r="R358" t="s">
        <v>128</v>
      </c>
      <c r="S358" t="s">
        <v>197</v>
      </c>
      <c r="T358" t="s">
        <v>198</v>
      </c>
      <c r="U358" t="s">
        <v>163</v>
      </c>
      <c r="V358" t="s">
        <v>164</v>
      </c>
      <c r="W358" t="s">
        <v>77</v>
      </c>
      <c r="X358" t="s">
        <v>44</v>
      </c>
      <c r="Y358" t="s">
        <v>99</v>
      </c>
      <c r="Z358" t="s">
        <v>421</v>
      </c>
      <c r="AC358" t="str">
        <f>IF(AA358="",M358,AA358)</f>
        <v>sim</v>
      </c>
      <c r="AD358" t="str">
        <f>IF(AB358="",X358,AB358)</f>
        <v>sim</v>
      </c>
      <c r="AE358" t="str">
        <f>IF(OR(Configuracao!B9="",Configuracao!B10=""),"aguardando limiar",IF(AND(K358&gt;=Configuracao!B9,K358/MAX(Reconciliacao!C2,1)&gt;=Configuracao!B10/100),"sim","não"))</f>
        <v>aguardando limiar</v>
      </c>
    </row>
    <row r="359" spans="1:31" x14ac:dyDescent="0.25">
      <c r="A359">
        <v>12207</v>
      </c>
      <c r="C359" t="s">
        <v>606</v>
      </c>
      <c r="D359" t="s">
        <v>510</v>
      </c>
      <c r="E359" t="s">
        <v>445</v>
      </c>
      <c r="F359" t="s">
        <v>196</v>
      </c>
      <c r="G359" t="s">
        <v>195</v>
      </c>
      <c r="H359" t="s">
        <v>194</v>
      </c>
      <c r="I359" t="s">
        <v>424</v>
      </c>
      <c r="J359" t="s">
        <v>424</v>
      </c>
      <c r="K359" s="4">
        <v>292.21</v>
      </c>
      <c r="L359" s="4">
        <v>292.21</v>
      </c>
      <c r="M359" t="s">
        <v>44</v>
      </c>
      <c r="N359" t="s">
        <v>77</v>
      </c>
      <c r="O359" t="s">
        <v>99</v>
      </c>
      <c r="P359" t="s">
        <v>99</v>
      </c>
      <c r="Q359" t="s">
        <v>128</v>
      </c>
      <c r="R359" t="s">
        <v>128</v>
      </c>
      <c r="S359" t="s">
        <v>197</v>
      </c>
      <c r="T359" t="s">
        <v>198</v>
      </c>
      <c r="U359" t="s">
        <v>163</v>
      </c>
      <c r="V359" t="s">
        <v>164</v>
      </c>
      <c r="W359" t="s">
        <v>77</v>
      </c>
      <c r="X359" t="s">
        <v>44</v>
      </c>
      <c r="Y359" t="s">
        <v>99</v>
      </c>
      <c r="Z359" t="s">
        <v>421</v>
      </c>
      <c r="AC359" t="str">
        <f>IF(AA359="",M359,AA359)</f>
        <v>sim</v>
      </c>
      <c r="AD359" t="str">
        <f>IF(AB359="",X359,AB359)</f>
        <v>sim</v>
      </c>
      <c r="AE359" t="str">
        <f>IF(OR(Configuracao!B9="",Configuracao!B10=""),"aguardando limiar",IF(AND(K359&gt;=Configuracao!B9,K359/MAX(Reconciliacao!C2,1)&gt;=Configuracao!B10/100),"sim","não"))</f>
        <v>aguardando limiar</v>
      </c>
    </row>
    <row r="360" spans="1:31" x14ac:dyDescent="0.25">
      <c r="A360">
        <v>12770</v>
      </c>
      <c r="C360" t="s">
        <v>606</v>
      </c>
      <c r="D360" t="s">
        <v>510</v>
      </c>
      <c r="E360" t="s">
        <v>445</v>
      </c>
      <c r="F360" t="s">
        <v>196</v>
      </c>
      <c r="G360" t="s">
        <v>195</v>
      </c>
      <c r="H360" t="s">
        <v>194</v>
      </c>
      <c r="I360" t="s">
        <v>420</v>
      </c>
      <c r="J360" t="s">
        <v>420</v>
      </c>
      <c r="K360" s="4">
        <v>292.21</v>
      </c>
      <c r="L360" s="4">
        <v>292.21</v>
      </c>
      <c r="M360" t="s">
        <v>44</v>
      </c>
      <c r="N360" t="s">
        <v>77</v>
      </c>
      <c r="O360" t="s">
        <v>99</v>
      </c>
      <c r="P360" t="s">
        <v>99</v>
      </c>
      <c r="Q360" t="s">
        <v>128</v>
      </c>
      <c r="R360" t="s">
        <v>128</v>
      </c>
      <c r="S360" t="s">
        <v>197</v>
      </c>
      <c r="T360" t="s">
        <v>198</v>
      </c>
      <c r="U360" t="s">
        <v>163</v>
      </c>
      <c r="V360" t="s">
        <v>164</v>
      </c>
      <c r="W360" t="s">
        <v>77</v>
      </c>
      <c r="X360" t="s">
        <v>44</v>
      </c>
      <c r="Y360" t="s">
        <v>99</v>
      </c>
      <c r="Z360" t="s">
        <v>421</v>
      </c>
      <c r="AC360" t="str">
        <f>IF(AA360="",M360,AA360)</f>
        <v>sim</v>
      </c>
      <c r="AD360" t="str">
        <f>IF(AB360="",X360,AB360)</f>
        <v>sim</v>
      </c>
      <c r="AE360" t="str">
        <f>IF(OR(Configuracao!B9="",Configuracao!B10=""),"aguardando limiar",IF(AND(K360&gt;=Configuracao!B9,K360/MAX(Reconciliacao!C2,1)&gt;=Configuracao!B10/100),"sim","não"))</f>
        <v>aguardando limiar</v>
      </c>
    </row>
    <row r="361" spans="1:31" x14ac:dyDescent="0.25">
      <c r="A361">
        <v>17392</v>
      </c>
      <c r="C361" t="s">
        <v>574</v>
      </c>
      <c r="D361" t="s">
        <v>575</v>
      </c>
      <c r="E361" t="s">
        <v>467</v>
      </c>
      <c r="F361" t="s">
        <v>196</v>
      </c>
      <c r="G361" t="s">
        <v>195</v>
      </c>
      <c r="H361" t="s">
        <v>194</v>
      </c>
      <c r="I361" t="s">
        <v>442</v>
      </c>
      <c r="J361" t="s">
        <v>442</v>
      </c>
      <c r="K361" s="4">
        <v>292.63</v>
      </c>
      <c r="L361" s="4">
        <v>292.63</v>
      </c>
      <c r="M361" t="s">
        <v>44</v>
      </c>
      <c r="N361" t="s">
        <v>77</v>
      </c>
      <c r="O361" t="s">
        <v>99</v>
      </c>
      <c r="P361" t="s">
        <v>99</v>
      </c>
      <c r="Q361" t="s">
        <v>128</v>
      </c>
      <c r="R361" t="s">
        <v>128</v>
      </c>
      <c r="S361" t="s">
        <v>197</v>
      </c>
      <c r="T361" t="s">
        <v>198</v>
      </c>
      <c r="U361" t="s">
        <v>163</v>
      </c>
      <c r="V361" t="s">
        <v>164</v>
      </c>
      <c r="W361" t="s">
        <v>77</v>
      </c>
      <c r="X361" t="s">
        <v>44</v>
      </c>
      <c r="Y361" t="s">
        <v>99</v>
      </c>
      <c r="Z361" t="s">
        <v>421</v>
      </c>
      <c r="AC361" t="str">
        <f>IF(AA361="",M361,AA361)</f>
        <v>sim</v>
      </c>
      <c r="AD361" t="str">
        <f>IF(AB361="",X361,AB361)</f>
        <v>sim</v>
      </c>
      <c r="AE361" t="str">
        <f>IF(OR(Configuracao!B9="",Configuracao!B10=""),"aguardando limiar",IF(AND(K361&gt;=Configuracao!B9,K361/MAX(Reconciliacao!C2,1)&gt;=Configuracao!B10/100),"sim","não"))</f>
        <v>aguardando limiar</v>
      </c>
    </row>
    <row r="362" spans="1:31" x14ac:dyDescent="0.25">
      <c r="A362">
        <v>17395</v>
      </c>
      <c r="C362" t="s">
        <v>594</v>
      </c>
      <c r="D362" t="s">
        <v>580</v>
      </c>
      <c r="E362" t="s">
        <v>525</v>
      </c>
      <c r="F362" t="s">
        <v>196</v>
      </c>
      <c r="G362" t="s">
        <v>195</v>
      </c>
      <c r="H362" t="s">
        <v>194</v>
      </c>
      <c r="I362" t="s">
        <v>442</v>
      </c>
      <c r="J362" t="s">
        <v>442</v>
      </c>
      <c r="K362" s="4">
        <v>303.47</v>
      </c>
      <c r="L362" s="4">
        <v>303.47</v>
      </c>
      <c r="M362" t="s">
        <v>44</v>
      </c>
      <c r="N362" t="s">
        <v>77</v>
      </c>
      <c r="O362" t="s">
        <v>99</v>
      </c>
      <c r="P362" t="s">
        <v>99</v>
      </c>
      <c r="Q362" t="s">
        <v>128</v>
      </c>
      <c r="R362" t="s">
        <v>128</v>
      </c>
      <c r="S362" t="s">
        <v>197</v>
      </c>
      <c r="T362" t="s">
        <v>198</v>
      </c>
      <c r="U362" t="s">
        <v>163</v>
      </c>
      <c r="V362" t="s">
        <v>164</v>
      </c>
      <c r="W362" t="s">
        <v>77</v>
      </c>
      <c r="X362" t="s">
        <v>44</v>
      </c>
      <c r="Y362" t="s">
        <v>99</v>
      </c>
      <c r="Z362" t="s">
        <v>421</v>
      </c>
      <c r="AC362" t="str">
        <f>IF(AA362="",M362,AA362)</f>
        <v>sim</v>
      </c>
      <c r="AD362" t="str">
        <f>IF(AB362="",X362,AB362)</f>
        <v>sim</v>
      </c>
      <c r="AE362" t="str">
        <f>IF(OR(Configuracao!B9="",Configuracao!B10=""),"aguardando limiar",IF(AND(K362&gt;=Configuracao!B9,K362/MAX(Reconciliacao!C2,1)&gt;=Configuracao!B10/100),"sim","não"))</f>
        <v>aguardando limiar</v>
      </c>
    </row>
    <row r="363" spans="1:31" x14ac:dyDescent="0.25">
      <c r="A363">
        <v>9654</v>
      </c>
      <c r="C363" t="s">
        <v>612</v>
      </c>
      <c r="D363" t="s">
        <v>580</v>
      </c>
      <c r="E363" t="s">
        <v>467</v>
      </c>
      <c r="F363" t="s">
        <v>196</v>
      </c>
      <c r="G363" t="s">
        <v>195</v>
      </c>
      <c r="H363" t="s">
        <v>194</v>
      </c>
      <c r="I363" t="s">
        <v>442</v>
      </c>
      <c r="J363" t="s">
        <v>442</v>
      </c>
      <c r="K363" s="4">
        <v>307.62</v>
      </c>
      <c r="L363" s="4">
        <v>307.62</v>
      </c>
      <c r="M363" t="s">
        <v>44</v>
      </c>
      <c r="N363" t="s">
        <v>77</v>
      </c>
      <c r="O363" t="s">
        <v>99</v>
      </c>
      <c r="P363" t="s">
        <v>99</v>
      </c>
      <c r="Q363" t="s">
        <v>128</v>
      </c>
      <c r="R363" t="s">
        <v>128</v>
      </c>
      <c r="S363" t="s">
        <v>197</v>
      </c>
      <c r="T363" t="s">
        <v>198</v>
      </c>
      <c r="U363" t="s">
        <v>163</v>
      </c>
      <c r="V363" t="s">
        <v>164</v>
      </c>
      <c r="W363" t="s">
        <v>77</v>
      </c>
      <c r="X363" t="s">
        <v>44</v>
      </c>
      <c r="Y363" t="s">
        <v>99</v>
      </c>
      <c r="Z363" t="s">
        <v>421</v>
      </c>
      <c r="AC363" t="str">
        <f>IF(AA363="",M363,AA363)</f>
        <v>sim</v>
      </c>
      <c r="AD363" t="str">
        <f>IF(AB363="",X363,AB363)</f>
        <v>sim</v>
      </c>
      <c r="AE363" t="str">
        <f>IF(OR(Configuracao!B9="",Configuracao!B10=""),"aguardando limiar",IF(AND(K363&gt;=Configuracao!B9,K363/MAX(Reconciliacao!C2,1)&gt;=Configuracao!B10/100),"sim","não"))</f>
        <v>aguardando limiar</v>
      </c>
    </row>
    <row r="364" spans="1:31" x14ac:dyDescent="0.25">
      <c r="A364">
        <v>16885</v>
      </c>
      <c r="C364" t="s">
        <v>607</v>
      </c>
      <c r="D364" t="s">
        <v>583</v>
      </c>
      <c r="E364" t="s">
        <v>511</v>
      </c>
      <c r="F364" t="s">
        <v>196</v>
      </c>
      <c r="G364" t="s">
        <v>195</v>
      </c>
      <c r="H364" t="s">
        <v>194</v>
      </c>
      <c r="I364" t="s">
        <v>461</v>
      </c>
      <c r="J364" t="s">
        <v>461</v>
      </c>
      <c r="K364" s="4">
        <v>310.45</v>
      </c>
      <c r="L364" s="4">
        <v>310.45</v>
      </c>
      <c r="M364" t="s">
        <v>44</v>
      </c>
      <c r="N364" t="s">
        <v>77</v>
      </c>
      <c r="O364" t="s">
        <v>99</v>
      </c>
      <c r="P364" t="s">
        <v>99</v>
      </c>
      <c r="Q364" t="s">
        <v>128</v>
      </c>
      <c r="R364" t="s">
        <v>128</v>
      </c>
      <c r="S364" t="s">
        <v>197</v>
      </c>
      <c r="T364" t="s">
        <v>198</v>
      </c>
      <c r="U364" t="s">
        <v>163</v>
      </c>
      <c r="V364" t="s">
        <v>164</v>
      </c>
      <c r="W364" t="s">
        <v>77</v>
      </c>
      <c r="X364" t="s">
        <v>44</v>
      </c>
      <c r="Y364" t="s">
        <v>99</v>
      </c>
      <c r="Z364" t="s">
        <v>421</v>
      </c>
      <c r="AC364" t="str">
        <f>IF(AA364="",M364,AA364)</f>
        <v>sim</v>
      </c>
      <c r="AD364" t="str">
        <f>IF(AB364="",X364,AB364)</f>
        <v>sim</v>
      </c>
      <c r="AE364" t="str">
        <f>IF(OR(Configuracao!B9="",Configuracao!B10=""),"aguardando limiar",IF(AND(K364&gt;=Configuracao!B9,K364/MAX(Reconciliacao!C2,1)&gt;=Configuracao!B10/100),"sim","não"))</f>
        <v>aguardando limiar</v>
      </c>
    </row>
    <row r="365" spans="1:31" x14ac:dyDescent="0.25">
      <c r="A365">
        <v>9649</v>
      </c>
      <c r="C365" t="s">
        <v>613</v>
      </c>
      <c r="D365" t="s">
        <v>580</v>
      </c>
      <c r="E365" t="s">
        <v>467</v>
      </c>
      <c r="F365" t="s">
        <v>196</v>
      </c>
      <c r="G365" t="s">
        <v>195</v>
      </c>
      <c r="H365" t="s">
        <v>194</v>
      </c>
      <c r="I365" t="s">
        <v>32</v>
      </c>
      <c r="J365" t="s">
        <v>32</v>
      </c>
      <c r="K365" s="4">
        <v>317.3</v>
      </c>
      <c r="L365" s="4">
        <v>317.3</v>
      </c>
      <c r="M365" t="s">
        <v>44</v>
      </c>
      <c r="N365" t="s">
        <v>77</v>
      </c>
      <c r="O365" t="s">
        <v>99</v>
      </c>
      <c r="P365" t="s">
        <v>99</v>
      </c>
      <c r="Q365" t="s">
        <v>128</v>
      </c>
      <c r="R365" t="s">
        <v>128</v>
      </c>
      <c r="S365" t="s">
        <v>197</v>
      </c>
      <c r="T365" t="s">
        <v>198</v>
      </c>
      <c r="U365" t="s">
        <v>163</v>
      </c>
      <c r="V365" t="s">
        <v>164</v>
      </c>
      <c r="W365" t="s">
        <v>77</v>
      </c>
      <c r="X365" t="s">
        <v>44</v>
      </c>
      <c r="Y365" t="s">
        <v>99</v>
      </c>
      <c r="Z365" t="s">
        <v>421</v>
      </c>
      <c r="AC365" t="str">
        <f>IF(AA365="",M365,AA365)</f>
        <v>sim</v>
      </c>
      <c r="AD365" t="str">
        <f>IF(AB365="",X365,AB365)</f>
        <v>sim</v>
      </c>
      <c r="AE365" t="str">
        <f>IF(OR(Configuracao!B9="",Configuracao!B10=""),"aguardando limiar",IF(AND(K365&gt;=Configuracao!B9,K365/MAX(Reconciliacao!C2,1)&gt;=Configuracao!B10/100),"sim","não"))</f>
        <v>aguardando limiar</v>
      </c>
    </row>
    <row r="366" spans="1:31" x14ac:dyDescent="0.25">
      <c r="A366">
        <v>12212</v>
      </c>
      <c r="C366" t="s">
        <v>610</v>
      </c>
      <c r="D366" t="s">
        <v>583</v>
      </c>
      <c r="E366" t="s">
        <v>511</v>
      </c>
      <c r="F366" t="s">
        <v>196</v>
      </c>
      <c r="G366" t="s">
        <v>195</v>
      </c>
      <c r="H366" t="s">
        <v>194</v>
      </c>
      <c r="I366" t="s">
        <v>424</v>
      </c>
      <c r="J366" t="s">
        <v>424</v>
      </c>
      <c r="K366" s="4">
        <v>318.73</v>
      </c>
      <c r="L366" s="4">
        <v>318.73</v>
      </c>
      <c r="M366" t="s">
        <v>44</v>
      </c>
      <c r="N366" t="s">
        <v>77</v>
      </c>
      <c r="O366" t="s">
        <v>99</v>
      </c>
      <c r="P366" t="s">
        <v>99</v>
      </c>
      <c r="Q366" t="s">
        <v>128</v>
      </c>
      <c r="R366" t="s">
        <v>128</v>
      </c>
      <c r="S366" t="s">
        <v>197</v>
      </c>
      <c r="T366" t="s">
        <v>198</v>
      </c>
      <c r="U366" t="s">
        <v>163</v>
      </c>
      <c r="V366" t="s">
        <v>164</v>
      </c>
      <c r="W366" t="s">
        <v>77</v>
      </c>
      <c r="X366" t="s">
        <v>44</v>
      </c>
      <c r="Y366" t="s">
        <v>99</v>
      </c>
      <c r="Z366" t="s">
        <v>421</v>
      </c>
      <c r="AC366" t="str">
        <f>IF(AA366="",M366,AA366)</f>
        <v>sim</v>
      </c>
      <c r="AD366" t="str">
        <f>IF(AB366="",X366,AB366)</f>
        <v>sim</v>
      </c>
      <c r="AE366" t="str">
        <f>IF(OR(Configuracao!B9="",Configuracao!B10=""),"aguardando limiar",IF(AND(K366&gt;=Configuracao!B9,K366/MAX(Reconciliacao!C2,1)&gt;=Configuracao!B10/100),"sim","não"))</f>
        <v>aguardando limiar</v>
      </c>
    </row>
    <row r="367" spans="1:31" x14ac:dyDescent="0.25">
      <c r="A367">
        <v>18987</v>
      </c>
      <c r="C367" t="s">
        <v>594</v>
      </c>
      <c r="D367" t="s">
        <v>580</v>
      </c>
      <c r="E367" t="s">
        <v>511</v>
      </c>
      <c r="F367" t="s">
        <v>196</v>
      </c>
      <c r="G367" t="s">
        <v>195</v>
      </c>
      <c r="H367" t="s">
        <v>194</v>
      </c>
      <c r="I367" t="s">
        <v>35</v>
      </c>
      <c r="J367" t="s">
        <v>35</v>
      </c>
      <c r="K367" s="4">
        <v>324.42</v>
      </c>
      <c r="L367" s="4">
        <v>324.42</v>
      </c>
      <c r="M367" t="s">
        <v>44</v>
      </c>
      <c r="N367" t="s">
        <v>77</v>
      </c>
      <c r="O367" t="s">
        <v>99</v>
      </c>
      <c r="P367" t="s">
        <v>99</v>
      </c>
      <c r="Q367" t="s">
        <v>128</v>
      </c>
      <c r="R367" t="s">
        <v>128</v>
      </c>
      <c r="S367" t="s">
        <v>197</v>
      </c>
      <c r="T367" t="s">
        <v>198</v>
      </c>
      <c r="U367" t="s">
        <v>163</v>
      </c>
      <c r="V367" t="s">
        <v>164</v>
      </c>
      <c r="W367" t="s">
        <v>77</v>
      </c>
      <c r="X367" t="s">
        <v>44</v>
      </c>
      <c r="Y367" t="s">
        <v>99</v>
      </c>
      <c r="Z367" t="s">
        <v>421</v>
      </c>
      <c r="AC367" t="str">
        <f>IF(AA367="",M367,AA367)</f>
        <v>sim</v>
      </c>
      <c r="AD367" t="str">
        <f>IF(AB367="",X367,AB367)</f>
        <v>sim</v>
      </c>
      <c r="AE367" t="str">
        <f>IF(OR(Configuracao!B9="",Configuracao!B10=""),"aguardando limiar",IF(AND(K367&gt;=Configuracao!B9,K367/MAX(Reconciliacao!C2,1)&gt;=Configuracao!B10/100),"sim","não"))</f>
        <v>aguardando limiar</v>
      </c>
    </row>
    <row r="368" spans="1:31" x14ac:dyDescent="0.25">
      <c r="A368">
        <v>16893</v>
      </c>
      <c r="C368" t="s">
        <v>594</v>
      </c>
      <c r="D368" t="s">
        <v>580</v>
      </c>
      <c r="E368" t="s">
        <v>511</v>
      </c>
      <c r="F368" t="s">
        <v>196</v>
      </c>
      <c r="G368" t="s">
        <v>195</v>
      </c>
      <c r="H368" t="s">
        <v>194</v>
      </c>
      <c r="I368" t="s">
        <v>461</v>
      </c>
      <c r="J368" t="s">
        <v>461</v>
      </c>
      <c r="K368" s="4">
        <v>327.9</v>
      </c>
      <c r="L368" s="4">
        <v>327.9</v>
      </c>
      <c r="M368" t="s">
        <v>44</v>
      </c>
      <c r="N368" t="s">
        <v>77</v>
      </c>
      <c r="O368" t="s">
        <v>99</v>
      </c>
      <c r="P368" t="s">
        <v>99</v>
      </c>
      <c r="Q368" t="s">
        <v>128</v>
      </c>
      <c r="R368" t="s">
        <v>128</v>
      </c>
      <c r="S368" t="s">
        <v>197</v>
      </c>
      <c r="T368" t="s">
        <v>198</v>
      </c>
      <c r="U368" t="s">
        <v>163</v>
      </c>
      <c r="V368" t="s">
        <v>164</v>
      </c>
      <c r="W368" t="s">
        <v>77</v>
      </c>
      <c r="X368" t="s">
        <v>44</v>
      </c>
      <c r="Y368" t="s">
        <v>99</v>
      </c>
      <c r="Z368" t="s">
        <v>421</v>
      </c>
      <c r="AC368" t="str">
        <f>IF(AA368="",M368,AA368)</f>
        <v>sim</v>
      </c>
      <c r="AD368" t="str">
        <f>IF(AB368="",X368,AB368)</f>
        <v>sim</v>
      </c>
      <c r="AE368" t="str">
        <f>IF(OR(Configuracao!B9="",Configuracao!B10=""),"aguardando limiar",IF(AND(K368&gt;=Configuracao!B9,K368/MAX(Reconciliacao!C2,1)&gt;=Configuracao!B10/100),"sim","não"))</f>
        <v>aguardando limiar</v>
      </c>
    </row>
    <row r="369" spans="1:31" x14ac:dyDescent="0.25">
      <c r="A369">
        <v>17397</v>
      </c>
      <c r="C369" t="s">
        <v>594</v>
      </c>
      <c r="D369" t="s">
        <v>580</v>
      </c>
      <c r="E369" t="s">
        <v>511</v>
      </c>
      <c r="F369" t="s">
        <v>196</v>
      </c>
      <c r="G369" t="s">
        <v>195</v>
      </c>
      <c r="H369" t="s">
        <v>194</v>
      </c>
      <c r="I369" t="s">
        <v>442</v>
      </c>
      <c r="J369" t="s">
        <v>442</v>
      </c>
      <c r="K369" s="4">
        <v>327.9</v>
      </c>
      <c r="L369" s="4">
        <v>327.9</v>
      </c>
      <c r="M369" t="s">
        <v>44</v>
      </c>
      <c r="N369" t="s">
        <v>77</v>
      </c>
      <c r="O369" t="s">
        <v>99</v>
      </c>
      <c r="P369" t="s">
        <v>99</v>
      </c>
      <c r="Q369" t="s">
        <v>128</v>
      </c>
      <c r="R369" t="s">
        <v>128</v>
      </c>
      <c r="S369" t="s">
        <v>197</v>
      </c>
      <c r="T369" t="s">
        <v>198</v>
      </c>
      <c r="U369" t="s">
        <v>163</v>
      </c>
      <c r="V369" t="s">
        <v>164</v>
      </c>
      <c r="W369" t="s">
        <v>77</v>
      </c>
      <c r="X369" t="s">
        <v>44</v>
      </c>
      <c r="Y369" t="s">
        <v>99</v>
      </c>
      <c r="Z369" t="s">
        <v>421</v>
      </c>
      <c r="AC369" t="str">
        <f>IF(AA369="",M369,AA369)</f>
        <v>sim</v>
      </c>
      <c r="AD369" t="str">
        <f>IF(AB369="",X369,AB369)</f>
        <v>sim</v>
      </c>
      <c r="AE369" t="str">
        <f>IF(OR(Configuracao!B9="",Configuracao!B10=""),"aguardando limiar",IF(AND(K369&gt;=Configuracao!B9,K369/MAX(Reconciliacao!C2,1)&gt;=Configuracao!B10/100),"sim","não"))</f>
        <v>aguardando limiar</v>
      </c>
    </row>
    <row r="370" spans="1:31" x14ac:dyDescent="0.25">
      <c r="A370">
        <v>17391</v>
      </c>
      <c r="C370" t="s">
        <v>614</v>
      </c>
      <c r="D370" t="s">
        <v>583</v>
      </c>
      <c r="E370" t="s">
        <v>445</v>
      </c>
      <c r="F370" t="s">
        <v>196</v>
      </c>
      <c r="G370" t="s">
        <v>195</v>
      </c>
      <c r="H370" t="s">
        <v>194</v>
      </c>
      <c r="I370" t="s">
        <v>442</v>
      </c>
      <c r="J370" t="s">
        <v>442</v>
      </c>
      <c r="K370" s="4">
        <v>341.6</v>
      </c>
      <c r="L370" s="4">
        <v>341.6</v>
      </c>
      <c r="M370" t="s">
        <v>44</v>
      </c>
      <c r="N370" t="s">
        <v>77</v>
      </c>
      <c r="O370" t="s">
        <v>99</v>
      </c>
      <c r="P370" t="s">
        <v>99</v>
      </c>
      <c r="Q370" t="s">
        <v>128</v>
      </c>
      <c r="R370" t="s">
        <v>128</v>
      </c>
      <c r="S370" t="s">
        <v>197</v>
      </c>
      <c r="T370" t="s">
        <v>198</v>
      </c>
      <c r="U370" t="s">
        <v>163</v>
      </c>
      <c r="V370" t="s">
        <v>164</v>
      </c>
      <c r="W370" t="s">
        <v>77</v>
      </c>
      <c r="X370" t="s">
        <v>44</v>
      </c>
      <c r="Y370" t="s">
        <v>99</v>
      </c>
      <c r="Z370" t="s">
        <v>421</v>
      </c>
      <c r="AC370" t="str">
        <f>IF(AA370="",M370,AA370)</f>
        <v>sim</v>
      </c>
      <c r="AD370" t="str">
        <f>IF(AB370="",X370,AB370)</f>
        <v>sim</v>
      </c>
      <c r="AE370" t="str">
        <f>IF(OR(Configuracao!B9="",Configuracao!B10=""),"aguardando limiar",IF(AND(K370&gt;=Configuracao!B9,K370/MAX(Reconciliacao!C2,1)&gt;=Configuracao!B10/100),"sim","não"))</f>
        <v>aguardando limiar</v>
      </c>
    </row>
    <row r="371" spans="1:31" x14ac:dyDescent="0.25">
      <c r="A371">
        <v>9674</v>
      </c>
      <c r="C371" t="s">
        <v>615</v>
      </c>
      <c r="D371" t="s">
        <v>592</v>
      </c>
      <c r="E371" t="s">
        <v>511</v>
      </c>
      <c r="F371" t="s">
        <v>196</v>
      </c>
      <c r="G371" t="s">
        <v>195</v>
      </c>
      <c r="H371" t="s">
        <v>194</v>
      </c>
      <c r="I371" t="s">
        <v>454</v>
      </c>
      <c r="J371" t="s">
        <v>454</v>
      </c>
      <c r="K371" s="4">
        <v>342.24</v>
      </c>
      <c r="L371" s="4">
        <v>342.24</v>
      </c>
      <c r="M371" t="s">
        <v>44</v>
      </c>
      <c r="N371" t="s">
        <v>77</v>
      </c>
      <c r="O371" t="s">
        <v>99</v>
      </c>
      <c r="P371" t="s">
        <v>99</v>
      </c>
      <c r="Q371" t="s">
        <v>128</v>
      </c>
      <c r="R371" t="s">
        <v>128</v>
      </c>
      <c r="S371" t="s">
        <v>197</v>
      </c>
      <c r="T371" t="s">
        <v>198</v>
      </c>
      <c r="U371" t="s">
        <v>163</v>
      </c>
      <c r="V371" t="s">
        <v>164</v>
      </c>
      <c r="W371" t="s">
        <v>77</v>
      </c>
      <c r="X371" t="s">
        <v>44</v>
      </c>
      <c r="Y371" t="s">
        <v>99</v>
      </c>
      <c r="Z371" t="s">
        <v>421</v>
      </c>
      <c r="AC371" t="str">
        <f>IF(AA371="",M371,AA371)</f>
        <v>sim</v>
      </c>
      <c r="AD371" t="str">
        <f>IF(AB371="",X371,AB371)</f>
        <v>sim</v>
      </c>
      <c r="AE371" t="str">
        <f>IF(OR(Configuracao!B9="",Configuracao!B10=""),"aguardando limiar",IF(AND(K371&gt;=Configuracao!B9,K371/MAX(Reconciliacao!C2,1)&gt;=Configuracao!B10/100),"sim","não"))</f>
        <v>aguardando limiar</v>
      </c>
    </row>
    <row r="372" spans="1:31" x14ac:dyDescent="0.25">
      <c r="A372">
        <v>18241</v>
      </c>
      <c r="C372" t="s">
        <v>616</v>
      </c>
      <c r="D372" t="s">
        <v>583</v>
      </c>
      <c r="E372" t="s">
        <v>445</v>
      </c>
      <c r="F372" t="s">
        <v>196</v>
      </c>
      <c r="G372" t="s">
        <v>195</v>
      </c>
      <c r="H372" t="s">
        <v>194</v>
      </c>
      <c r="I372" t="s">
        <v>439</v>
      </c>
      <c r="J372" t="s">
        <v>439</v>
      </c>
      <c r="K372" s="4">
        <v>347.66</v>
      </c>
      <c r="L372" s="4">
        <v>347.66</v>
      </c>
      <c r="M372" t="s">
        <v>44</v>
      </c>
      <c r="N372" t="s">
        <v>77</v>
      </c>
      <c r="O372" t="s">
        <v>99</v>
      </c>
      <c r="P372" t="s">
        <v>99</v>
      </c>
      <c r="Q372" t="s">
        <v>128</v>
      </c>
      <c r="R372" t="s">
        <v>128</v>
      </c>
      <c r="S372" t="s">
        <v>197</v>
      </c>
      <c r="T372" t="s">
        <v>198</v>
      </c>
      <c r="U372" t="s">
        <v>163</v>
      </c>
      <c r="V372" t="s">
        <v>164</v>
      </c>
      <c r="W372" t="s">
        <v>77</v>
      </c>
      <c r="X372" t="s">
        <v>44</v>
      </c>
      <c r="Y372" t="s">
        <v>99</v>
      </c>
      <c r="Z372" t="s">
        <v>421</v>
      </c>
      <c r="AC372" t="str">
        <f>IF(AA372="",M372,AA372)</f>
        <v>sim</v>
      </c>
      <c r="AD372" t="str">
        <f>IF(AB372="",X372,AB372)</f>
        <v>sim</v>
      </c>
      <c r="AE372" t="str">
        <f>IF(OR(Configuracao!B9="",Configuracao!B10=""),"aguardando limiar",IF(AND(K372&gt;=Configuracao!B9,K372/MAX(Reconciliacao!C2,1)&gt;=Configuracao!B10/100),"sim","não"))</f>
        <v>aguardando limiar</v>
      </c>
    </row>
    <row r="373" spans="1:31" x14ac:dyDescent="0.25">
      <c r="A373">
        <v>14936</v>
      </c>
      <c r="C373" t="s">
        <v>600</v>
      </c>
      <c r="D373" t="s">
        <v>575</v>
      </c>
      <c r="E373" t="s">
        <v>525</v>
      </c>
      <c r="F373" t="s">
        <v>196</v>
      </c>
      <c r="G373" t="s">
        <v>195</v>
      </c>
      <c r="H373" t="s">
        <v>194</v>
      </c>
      <c r="I373" t="s">
        <v>454</v>
      </c>
      <c r="J373" t="s">
        <v>454</v>
      </c>
      <c r="K373" s="4">
        <v>389.51</v>
      </c>
      <c r="L373" s="4">
        <v>389.51</v>
      </c>
      <c r="M373" t="s">
        <v>44</v>
      </c>
      <c r="N373" t="s">
        <v>77</v>
      </c>
      <c r="O373" t="s">
        <v>99</v>
      </c>
      <c r="P373" t="s">
        <v>99</v>
      </c>
      <c r="Q373" t="s">
        <v>128</v>
      </c>
      <c r="R373" t="s">
        <v>128</v>
      </c>
      <c r="S373" t="s">
        <v>197</v>
      </c>
      <c r="T373" t="s">
        <v>198</v>
      </c>
      <c r="U373" t="s">
        <v>163</v>
      </c>
      <c r="V373" t="s">
        <v>164</v>
      </c>
      <c r="W373" t="s">
        <v>77</v>
      </c>
      <c r="X373" t="s">
        <v>44</v>
      </c>
      <c r="Y373" t="s">
        <v>99</v>
      </c>
      <c r="Z373" t="s">
        <v>421</v>
      </c>
      <c r="AC373" t="str">
        <f>IF(AA373="",M373,AA373)</f>
        <v>sim</v>
      </c>
      <c r="AD373" t="str">
        <f>IF(AB373="",X373,AB373)</f>
        <v>sim</v>
      </c>
      <c r="AE373" t="str">
        <f>IF(OR(Configuracao!B9="",Configuracao!B10=""),"aguardando limiar",IF(AND(K373&gt;=Configuracao!B9,K373/MAX(Reconciliacao!C2,1)&gt;=Configuracao!B10/100),"sim","não"))</f>
        <v>aguardando limiar</v>
      </c>
    </row>
    <row r="374" spans="1:31" x14ac:dyDescent="0.25">
      <c r="A374">
        <v>14940</v>
      </c>
      <c r="C374" t="s">
        <v>617</v>
      </c>
      <c r="D374" t="s">
        <v>587</v>
      </c>
      <c r="E374" t="s">
        <v>511</v>
      </c>
      <c r="F374" t="s">
        <v>196</v>
      </c>
      <c r="G374" t="s">
        <v>195</v>
      </c>
      <c r="H374" t="s">
        <v>194</v>
      </c>
      <c r="I374" t="s">
        <v>454</v>
      </c>
      <c r="J374" t="s">
        <v>454</v>
      </c>
      <c r="K374" s="4">
        <v>399.5</v>
      </c>
      <c r="L374" s="4">
        <v>399.5</v>
      </c>
      <c r="M374" t="s">
        <v>44</v>
      </c>
      <c r="N374" t="s">
        <v>77</v>
      </c>
      <c r="O374" t="s">
        <v>99</v>
      </c>
      <c r="P374" t="s">
        <v>99</v>
      </c>
      <c r="Q374" t="s">
        <v>128</v>
      </c>
      <c r="R374" t="s">
        <v>128</v>
      </c>
      <c r="S374" t="s">
        <v>197</v>
      </c>
      <c r="T374" t="s">
        <v>198</v>
      </c>
      <c r="U374" t="s">
        <v>163</v>
      </c>
      <c r="V374" t="s">
        <v>164</v>
      </c>
      <c r="W374" t="s">
        <v>77</v>
      </c>
      <c r="X374" t="s">
        <v>44</v>
      </c>
      <c r="Y374" t="s">
        <v>99</v>
      </c>
      <c r="Z374" t="s">
        <v>421</v>
      </c>
      <c r="AC374" t="str">
        <f>IF(AA374="",M374,AA374)</f>
        <v>sim</v>
      </c>
      <c r="AD374" t="str">
        <f>IF(AB374="",X374,AB374)</f>
        <v>sim</v>
      </c>
      <c r="AE374" t="str">
        <f>IF(OR(Configuracao!B9="",Configuracao!B10=""),"aguardando limiar",IF(AND(K374&gt;=Configuracao!B9,K374/MAX(Reconciliacao!C2,1)&gt;=Configuracao!B10/100),"sim","não"))</f>
        <v>aguardando limiar</v>
      </c>
    </row>
    <row r="375" spans="1:31" x14ac:dyDescent="0.25">
      <c r="A375">
        <v>9539</v>
      </c>
      <c r="C375" t="s">
        <v>618</v>
      </c>
      <c r="D375" t="s">
        <v>599</v>
      </c>
      <c r="E375" t="s">
        <v>445</v>
      </c>
      <c r="F375" t="s">
        <v>196</v>
      </c>
      <c r="G375" t="s">
        <v>195</v>
      </c>
      <c r="H375" t="s">
        <v>194</v>
      </c>
      <c r="I375" t="s">
        <v>439</v>
      </c>
      <c r="J375" t="s">
        <v>439</v>
      </c>
      <c r="K375" s="4">
        <v>411.06</v>
      </c>
      <c r="L375" s="4">
        <v>411.06</v>
      </c>
      <c r="M375" t="s">
        <v>44</v>
      </c>
      <c r="N375" t="s">
        <v>77</v>
      </c>
      <c r="O375" t="s">
        <v>99</v>
      </c>
      <c r="P375" t="s">
        <v>99</v>
      </c>
      <c r="Q375" t="s">
        <v>128</v>
      </c>
      <c r="R375" t="s">
        <v>128</v>
      </c>
      <c r="S375" t="s">
        <v>197</v>
      </c>
      <c r="T375" t="s">
        <v>198</v>
      </c>
      <c r="U375" t="s">
        <v>163</v>
      </c>
      <c r="V375" t="s">
        <v>164</v>
      </c>
      <c r="W375" t="s">
        <v>77</v>
      </c>
      <c r="X375" t="s">
        <v>44</v>
      </c>
      <c r="Y375" t="s">
        <v>99</v>
      </c>
      <c r="Z375" t="s">
        <v>421</v>
      </c>
      <c r="AC375" t="str">
        <f>IF(AA375="",M375,AA375)</f>
        <v>sim</v>
      </c>
      <c r="AD375" t="str">
        <f>IF(AB375="",X375,AB375)</f>
        <v>sim</v>
      </c>
      <c r="AE375" t="str">
        <f>IF(OR(Configuracao!B9="",Configuracao!B10=""),"aguardando limiar",IF(AND(K375&gt;=Configuracao!B9,K375/MAX(Reconciliacao!C2,1)&gt;=Configuracao!B10/100),"sim","não"))</f>
        <v>aguardando limiar</v>
      </c>
    </row>
    <row r="376" spans="1:31" x14ac:dyDescent="0.25">
      <c r="A376">
        <v>9540</v>
      </c>
      <c r="C376" t="s">
        <v>618</v>
      </c>
      <c r="D376" t="s">
        <v>599</v>
      </c>
      <c r="E376" t="s">
        <v>445</v>
      </c>
      <c r="F376" t="s">
        <v>196</v>
      </c>
      <c r="G376" t="s">
        <v>195</v>
      </c>
      <c r="H376" t="s">
        <v>194</v>
      </c>
      <c r="I376" t="s">
        <v>35</v>
      </c>
      <c r="J376" t="s">
        <v>35</v>
      </c>
      <c r="K376" s="4">
        <v>411.06</v>
      </c>
      <c r="L376" s="4">
        <v>411.06</v>
      </c>
      <c r="M376" t="s">
        <v>44</v>
      </c>
      <c r="N376" t="s">
        <v>77</v>
      </c>
      <c r="O376" t="s">
        <v>99</v>
      </c>
      <c r="P376" t="s">
        <v>99</v>
      </c>
      <c r="Q376" t="s">
        <v>128</v>
      </c>
      <c r="R376" t="s">
        <v>128</v>
      </c>
      <c r="S376" t="s">
        <v>197</v>
      </c>
      <c r="T376" t="s">
        <v>198</v>
      </c>
      <c r="U376" t="s">
        <v>163</v>
      </c>
      <c r="V376" t="s">
        <v>164</v>
      </c>
      <c r="W376" t="s">
        <v>77</v>
      </c>
      <c r="X376" t="s">
        <v>44</v>
      </c>
      <c r="Y376" t="s">
        <v>99</v>
      </c>
      <c r="Z376" t="s">
        <v>421</v>
      </c>
      <c r="AC376" t="str">
        <f>IF(AA376="",M376,AA376)</f>
        <v>sim</v>
      </c>
      <c r="AD376" t="str">
        <f>IF(AB376="",X376,AB376)</f>
        <v>sim</v>
      </c>
      <c r="AE376" t="str">
        <f>IF(OR(Configuracao!B9="",Configuracao!B10=""),"aguardando limiar",IF(AND(K376&gt;=Configuracao!B9,K376/MAX(Reconciliacao!C2,1)&gt;=Configuracao!B10/100),"sim","não"))</f>
        <v>aguardando limiar</v>
      </c>
    </row>
    <row r="377" spans="1:31" x14ac:dyDescent="0.25">
      <c r="A377">
        <v>9536</v>
      </c>
      <c r="C377" t="s">
        <v>618</v>
      </c>
      <c r="D377" t="s">
        <v>599</v>
      </c>
      <c r="E377" t="s">
        <v>445</v>
      </c>
      <c r="F377" t="s">
        <v>196</v>
      </c>
      <c r="G377" t="s">
        <v>195</v>
      </c>
      <c r="H377" t="s">
        <v>194</v>
      </c>
      <c r="I377" t="s">
        <v>454</v>
      </c>
      <c r="J377" t="s">
        <v>454</v>
      </c>
      <c r="K377" s="4">
        <v>415.48</v>
      </c>
      <c r="L377" s="4">
        <v>415.48</v>
      </c>
      <c r="M377" t="s">
        <v>44</v>
      </c>
      <c r="N377" t="s">
        <v>77</v>
      </c>
      <c r="O377" t="s">
        <v>99</v>
      </c>
      <c r="P377" t="s">
        <v>99</v>
      </c>
      <c r="Q377" t="s">
        <v>128</v>
      </c>
      <c r="R377" t="s">
        <v>128</v>
      </c>
      <c r="S377" t="s">
        <v>197</v>
      </c>
      <c r="T377" t="s">
        <v>198</v>
      </c>
      <c r="U377" t="s">
        <v>163</v>
      </c>
      <c r="V377" t="s">
        <v>164</v>
      </c>
      <c r="W377" t="s">
        <v>77</v>
      </c>
      <c r="X377" t="s">
        <v>44</v>
      </c>
      <c r="Y377" t="s">
        <v>99</v>
      </c>
      <c r="Z377" t="s">
        <v>421</v>
      </c>
      <c r="AC377" t="str">
        <f>IF(AA377="",M377,AA377)</f>
        <v>sim</v>
      </c>
      <c r="AD377" t="str">
        <f>IF(AB377="",X377,AB377)</f>
        <v>sim</v>
      </c>
      <c r="AE377" t="str">
        <f>IF(OR(Configuracao!B9="",Configuracao!B10=""),"aguardando limiar",IF(AND(K377&gt;=Configuracao!B9,K377/MAX(Reconciliacao!C2,1)&gt;=Configuracao!B10/100),"sim","não"))</f>
        <v>aguardando limiar</v>
      </c>
    </row>
    <row r="378" spans="1:31" x14ac:dyDescent="0.25">
      <c r="A378">
        <v>9538</v>
      </c>
      <c r="C378" t="s">
        <v>618</v>
      </c>
      <c r="D378" t="s">
        <v>599</v>
      </c>
      <c r="E378" t="s">
        <v>445</v>
      </c>
      <c r="F378" t="s">
        <v>196</v>
      </c>
      <c r="G378" t="s">
        <v>195</v>
      </c>
      <c r="H378" t="s">
        <v>194</v>
      </c>
      <c r="I378" t="s">
        <v>442</v>
      </c>
      <c r="J378" t="s">
        <v>442</v>
      </c>
      <c r="K378" s="4">
        <v>415.48</v>
      </c>
      <c r="L378" s="4">
        <v>415.48</v>
      </c>
      <c r="M378" t="s">
        <v>44</v>
      </c>
      <c r="N378" t="s">
        <v>77</v>
      </c>
      <c r="O378" t="s">
        <v>99</v>
      </c>
      <c r="P378" t="s">
        <v>99</v>
      </c>
      <c r="Q378" t="s">
        <v>128</v>
      </c>
      <c r="R378" t="s">
        <v>128</v>
      </c>
      <c r="S378" t="s">
        <v>197</v>
      </c>
      <c r="T378" t="s">
        <v>198</v>
      </c>
      <c r="U378" t="s">
        <v>163</v>
      </c>
      <c r="V378" t="s">
        <v>164</v>
      </c>
      <c r="W378" t="s">
        <v>77</v>
      </c>
      <c r="X378" t="s">
        <v>44</v>
      </c>
      <c r="Y378" t="s">
        <v>99</v>
      </c>
      <c r="Z378" t="s">
        <v>421</v>
      </c>
      <c r="AC378" t="str">
        <f>IF(AA378="",M378,AA378)</f>
        <v>sim</v>
      </c>
      <c r="AD378" t="str">
        <f>IF(AB378="",X378,AB378)</f>
        <v>sim</v>
      </c>
      <c r="AE378" t="str">
        <f>IF(OR(Configuracao!B9="",Configuracao!B10=""),"aguardando limiar",IF(AND(K378&gt;=Configuracao!B9,K378/MAX(Reconciliacao!C2,1)&gt;=Configuracao!B10/100),"sim","não"))</f>
        <v>aguardando limiar</v>
      </c>
    </row>
    <row r="379" spans="1:31" x14ac:dyDescent="0.25">
      <c r="A379">
        <v>11505</v>
      </c>
      <c r="C379" t="s">
        <v>617</v>
      </c>
      <c r="D379" t="s">
        <v>587</v>
      </c>
      <c r="E379" t="s">
        <v>511</v>
      </c>
      <c r="F379" t="s">
        <v>196</v>
      </c>
      <c r="G379" t="s">
        <v>195</v>
      </c>
      <c r="H379" t="s">
        <v>194</v>
      </c>
      <c r="I379" t="s">
        <v>32</v>
      </c>
      <c r="J379" t="s">
        <v>32</v>
      </c>
      <c r="K379" s="4">
        <v>417.5</v>
      </c>
      <c r="L379" s="4">
        <v>417.5</v>
      </c>
      <c r="M379" t="s">
        <v>44</v>
      </c>
      <c r="N379" t="s">
        <v>77</v>
      </c>
      <c r="O379" t="s">
        <v>99</v>
      </c>
      <c r="P379" t="s">
        <v>99</v>
      </c>
      <c r="Q379" t="s">
        <v>128</v>
      </c>
      <c r="R379" t="s">
        <v>128</v>
      </c>
      <c r="S379" t="s">
        <v>197</v>
      </c>
      <c r="T379" t="s">
        <v>198</v>
      </c>
      <c r="U379" t="s">
        <v>163</v>
      </c>
      <c r="V379" t="s">
        <v>164</v>
      </c>
      <c r="W379" t="s">
        <v>77</v>
      </c>
      <c r="X379" t="s">
        <v>44</v>
      </c>
      <c r="Y379" t="s">
        <v>99</v>
      </c>
      <c r="Z379" t="s">
        <v>421</v>
      </c>
      <c r="AC379" t="str">
        <f>IF(AA379="",M379,AA379)</f>
        <v>sim</v>
      </c>
      <c r="AD379" t="str">
        <f>IF(AB379="",X379,AB379)</f>
        <v>sim</v>
      </c>
      <c r="AE379" t="str">
        <f>IF(OR(Configuracao!B9="",Configuracao!B10=""),"aguardando limiar",IF(AND(K379&gt;=Configuracao!B9,K379/MAX(Reconciliacao!C2,1)&gt;=Configuracao!B10/100),"sim","não"))</f>
        <v>aguardando limiar</v>
      </c>
    </row>
    <row r="380" spans="1:31" x14ac:dyDescent="0.25">
      <c r="A380">
        <v>11522</v>
      </c>
      <c r="C380" t="s">
        <v>619</v>
      </c>
      <c r="D380" t="s">
        <v>578</v>
      </c>
      <c r="E380" t="s">
        <v>467</v>
      </c>
      <c r="F380" t="s">
        <v>196</v>
      </c>
      <c r="G380" t="s">
        <v>195</v>
      </c>
      <c r="H380" t="s">
        <v>194</v>
      </c>
      <c r="I380" t="s">
        <v>32</v>
      </c>
      <c r="J380" t="s">
        <v>32</v>
      </c>
      <c r="K380" s="4">
        <v>417.5</v>
      </c>
      <c r="L380" s="4">
        <v>417.5</v>
      </c>
      <c r="M380" t="s">
        <v>44</v>
      </c>
      <c r="N380" t="s">
        <v>77</v>
      </c>
      <c r="O380" t="s">
        <v>99</v>
      </c>
      <c r="P380" t="s">
        <v>99</v>
      </c>
      <c r="Q380" t="s">
        <v>128</v>
      </c>
      <c r="R380" t="s">
        <v>128</v>
      </c>
      <c r="S380" t="s">
        <v>197</v>
      </c>
      <c r="T380" t="s">
        <v>198</v>
      </c>
      <c r="U380" t="s">
        <v>163</v>
      </c>
      <c r="V380" t="s">
        <v>164</v>
      </c>
      <c r="W380" t="s">
        <v>77</v>
      </c>
      <c r="X380" t="s">
        <v>44</v>
      </c>
      <c r="Y380" t="s">
        <v>99</v>
      </c>
      <c r="Z380" t="s">
        <v>421</v>
      </c>
      <c r="AC380" t="str">
        <f>IF(AA380="",M380,AA380)</f>
        <v>sim</v>
      </c>
      <c r="AD380" t="str">
        <f>IF(AB380="",X380,AB380)</f>
        <v>sim</v>
      </c>
      <c r="AE380" t="str">
        <f>IF(OR(Configuracao!B9="",Configuracao!B10=""),"aguardando limiar",IF(AND(K380&gt;=Configuracao!B9,K380/MAX(Reconciliacao!C2,1)&gt;=Configuracao!B10/100),"sim","não"))</f>
        <v>aguardando limiar</v>
      </c>
    </row>
    <row r="381" spans="1:31" x14ac:dyDescent="0.25">
      <c r="A381">
        <v>12220</v>
      </c>
      <c r="C381" t="s">
        <v>594</v>
      </c>
      <c r="D381" t="s">
        <v>580</v>
      </c>
      <c r="E381" t="s">
        <v>525</v>
      </c>
      <c r="F381" t="s">
        <v>196</v>
      </c>
      <c r="G381" t="s">
        <v>195</v>
      </c>
      <c r="H381" t="s">
        <v>194</v>
      </c>
      <c r="I381" t="s">
        <v>424</v>
      </c>
      <c r="J381" t="s">
        <v>424</v>
      </c>
      <c r="K381" s="4">
        <v>417.5</v>
      </c>
      <c r="L381" s="4">
        <v>417.5</v>
      </c>
      <c r="M381" t="s">
        <v>44</v>
      </c>
      <c r="N381" t="s">
        <v>77</v>
      </c>
      <c r="O381" t="s">
        <v>99</v>
      </c>
      <c r="P381" t="s">
        <v>99</v>
      </c>
      <c r="Q381" t="s">
        <v>128</v>
      </c>
      <c r="R381" t="s">
        <v>128</v>
      </c>
      <c r="S381" t="s">
        <v>197</v>
      </c>
      <c r="T381" t="s">
        <v>198</v>
      </c>
      <c r="U381" t="s">
        <v>163</v>
      </c>
      <c r="V381" t="s">
        <v>164</v>
      </c>
      <c r="W381" t="s">
        <v>77</v>
      </c>
      <c r="X381" t="s">
        <v>44</v>
      </c>
      <c r="Y381" t="s">
        <v>99</v>
      </c>
      <c r="Z381" t="s">
        <v>421</v>
      </c>
      <c r="AC381" t="str">
        <f>IF(AA381="",M381,AA381)</f>
        <v>sim</v>
      </c>
      <c r="AD381" t="str">
        <f>IF(AB381="",X381,AB381)</f>
        <v>sim</v>
      </c>
      <c r="AE381" t="str">
        <f>IF(OR(Configuracao!B9="",Configuracao!B10=""),"aguardando limiar",IF(AND(K381&gt;=Configuracao!B9,K381/MAX(Reconciliacao!C2,1)&gt;=Configuracao!B10/100),"sim","não"))</f>
        <v>aguardando limiar</v>
      </c>
    </row>
    <row r="382" spans="1:31" x14ac:dyDescent="0.25">
      <c r="A382">
        <v>18239</v>
      </c>
      <c r="C382" t="s">
        <v>602</v>
      </c>
      <c r="D382" t="s">
        <v>583</v>
      </c>
      <c r="E382" t="s">
        <v>525</v>
      </c>
      <c r="F382" t="s">
        <v>196</v>
      </c>
      <c r="G382" t="s">
        <v>195</v>
      </c>
      <c r="H382" t="s">
        <v>194</v>
      </c>
      <c r="I382" t="s">
        <v>439</v>
      </c>
      <c r="J382" t="s">
        <v>439</v>
      </c>
      <c r="K382" s="4">
        <v>423.16</v>
      </c>
      <c r="L382" s="4">
        <v>423.16</v>
      </c>
      <c r="M382" t="s">
        <v>44</v>
      </c>
      <c r="N382" t="s">
        <v>77</v>
      </c>
      <c r="O382" t="s">
        <v>99</v>
      </c>
      <c r="P382" t="s">
        <v>99</v>
      </c>
      <c r="Q382" t="s">
        <v>128</v>
      </c>
      <c r="R382" t="s">
        <v>128</v>
      </c>
      <c r="S382" t="s">
        <v>197</v>
      </c>
      <c r="T382" t="s">
        <v>198</v>
      </c>
      <c r="U382" t="s">
        <v>163</v>
      </c>
      <c r="V382" t="s">
        <v>164</v>
      </c>
      <c r="W382" t="s">
        <v>77</v>
      </c>
      <c r="X382" t="s">
        <v>44</v>
      </c>
      <c r="Y382" t="s">
        <v>99</v>
      </c>
      <c r="Z382" t="s">
        <v>421</v>
      </c>
      <c r="AC382" t="str">
        <f>IF(AA382="",M382,AA382)</f>
        <v>sim</v>
      </c>
      <c r="AD382" t="str">
        <f>IF(AB382="",X382,AB382)</f>
        <v>sim</v>
      </c>
      <c r="AE382" t="str">
        <f>IF(OR(Configuracao!B9="",Configuracao!B10=""),"aguardando limiar",IF(AND(K382&gt;=Configuracao!B9,K382/MAX(Reconciliacao!C2,1)&gt;=Configuracao!B10/100),"sim","não"))</f>
        <v>aguardando limiar</v>
      </c>
    </row>
    <row r="383" spans="1:31" x14ac:dyDescent="0.25">
      <c r="A383">
        <v>12213</v>
      </c>
      <c r="C383" t="s">
        <v>620</v>
      </c>
      <c r="D383" t="s">
        <v>583</v>
      </c>
      <c r="E383" t="s">
        <v>525</v>
      </c>
      <c r="F383" t="s">
        <v>196</v>
      </c>
      <c r="G383" t="s">
        <v>195</v>
      </c>
      <c r="H383" t="s">
        <v>194</v>
      </c>
      <c r="I383" t="s">
        <v>424</v>
      </c>
      <c r="J383" t="s">
        <v>424</v>
      </c>
      <c r="K383" s="4">
        <v>428.45</v>
      </c>
      <c r="L383" s="4">
        <v>428.45</v>
      </c>
      <c r="M383" t="s">
        <v>44</v>
      </c>
      <c r="N383" t="s">
        <v>77</v>
      </c>
      <c r="O383" t="s">
        <v>99</v>
      </c>
      <c r="P383" t="s">
        <v>99</v>
      </c>
      <c r="Q383" t="s">
        <v>128</v>
      </c>
      <c r="R383" t="s">
        <v>128</v>
      </c>
      <c r="S383" t="s">
        <v>197</v>
      </c>
      <c r="T383" t="s">
        <v>198</v>
      </c>
      <c r="U383" t="s">
        <v>163</v>
      </c>
      <c r="V383" t="s">
        <v>164</v>
      </c>
      <c r="W383" t="s">
        <v>77</v>
      </c>
      <c r="X383" t="s">
        <v>44</v>
      </c>
      <c r="Y383" t="s">
        <v>99</v>
      </c>
      <c r="Z383" t="s">
        <v>421</v>
      </c>
      <c r="AC383" t="str">
        <f>IF(AA383="",M383,AA383)</f>
        <v>sim</v>
      </c>
      <c r="AD383" t="str">
        <f>IF(AB383="",X383,AB383)</f>
        <v>sim</v>
      </c>
      <c r="AE383" t="str">
        <f>IF(OR(Configuracao!B9="",Configuracao!B10=""),"aguardando limiar",IF(AND(K383&gt;=Configuracao!B9,K383/MAX(Reconciliacao!C2,1)&gt;=Configuracao!B10/100),"sim","não"))</f>
        <v>aguardando limiar</v>
      </c>
    </row>
    <row r="384" spans="1:31" x14ac:dyDescent="0.25">
      <c r="A384">
        <v>16892</v>
      </c>
      <c r="C384" t="s">
        <v>621</v>
      </c>
      <c r="D384" t="s">
        <v>580</v>
      </c>
      <c r="E384" t="s">
        <v>525</v>
      </c>
      <c r="F384" t="s">
        <v>196</v>
      </c>
      <c r="G384" t="s">
        <v>195</v>
      </c>
      <c r="H384" t="s">
        <v>194</v>
      </c>
      <c r="I384" t="s">
        <v>461</v>
      </c>
      <c r="J384" t="s">
        <v>461</v>
      </c>
      <c r="K384" s="4">
        <v>429.46</v>
      </c>
      <c r="L384" s="4">
        <v>429.46</v>
      </c>
      <c r="M384" t="s">
        <v>44</v>
      </c>
      <c r="N384" t="s">
        <v>77</v>
      </c>
      <c r="O384" t="s">
        <v>99</v>
      </c>
      <c r="P384" t="s">
        <v>99</v>
      </c>
      <c r="Q384" t="s">
        <v>128</v>
      </c>
      <c r="R384" t="s">
        <v>128</v>
      </c>
      <c r="S384" t="s">
        <v>197</v>
      </c>
      <c r="T384" t="s">
        <v>198</v>
      </c>
      <c r="U384" t="s">
        <v>163</v>
      </c>
      <c r="V384" t="s">
        <v>164</v>
      </c>
      <c r="W384" t="s">
        <v>77</v>
      </c>
      <c r="X384" t="s">
        <v>44</v>
      </c>
      <c r="Y384" t="s">
        <v>99</v>
      </c>
      <c r="Z384" t="s">
        <v>421</v>
      </c>
      <c r="AC384" t="str">
        <f>IF(AA384="",M384,AA384)</f>
        <v>sim</v>
      </c>
      <c r="AD384" t="str">
        <f>IF(AB384="",X384,AB384)</f>
        <v>sim</v>
      </c>
      <c r="AE384" t="str">
        <f>IF(OR(Configuracao!B9="",Configuracao!B10=""),"aguardando limiar",IF(AND(K384&gt;=Configuracao!B9,K384/MAX(Reconciliacao!C2,1)&gt;=Configuracao!B10/100),"sim","não"))</f>
        <v>aguardando limiar</v>
      </c>
    </row>
    <row r="385" spans="1:31" x14ac:dyDescent="0.25">
      <c r="A385">
        <v>9533</v>
      </c>
      <c r="C385" t="s">
        <v>618</v>
      </c>
      <c r="D385" t="s">
        <v>599</v>
      </c>
      <c r="E385" t="s">
        <v>445</v>
      </c>
      <c r="F385" t="s">
        <v>196</v>
      </c>
      <c r="G385" t="s">
        <v>195</v>
      </c>
      <c r="H385" t="s">
        <v>194</v>
      </c>
      <c r="I385" t="s">
        <v>32</v>
      </c>
      <c r="J385" t="s">
        <v>32</v>
      </c>
      <c r="K385" s="4">
        <v>434.2</v>
      </c>
      <c r="L385" s="4">
        <v>434.2</v>
      </c>
      <c r="M385" t="s">
        <v>44</v>
      </c>
      <c r="N385" t="s">
        <v>77</v>
      </c>
      <c r="O385" t="s">
        <v>99</v>
      </c>
      <c r="P385" t="s">
        <v>99</v>
      </c>
      <c r="Q385" t="s">
        <v>128</v>
      </c>
      <c r="R385" t="s">
        <v>128</v>
      </c>
      <c r="S385" t="s">
        <v>197</v>
      </c>
      <c r="T385" t="s">
        <v>198</v>
      </c>
      <c r="U385" t="s">
        <v>163</v>
      </c>
      <c r="V385" t="s">
        <v>164</v>
      </c>
      <c r="W385" t="s">
        <v>77</v>
      </c>
      <c r="X385" t="s">
        <v>44</v>
      </c>
      <c r="Y385" t="s">
        <v>99</v>
      </c>
      <c r="Z385" t="s">
        <v>421</v>
      </c>
      <c r="AC385" t="str">
        <f>IF(AA385="",M385,AA385)</f>
        <v>sim</v>
      </c>
      <c r="AD385" t="str">
        <f>IF(AB385="",X385,AB385)</f>
        <v>sim</v>
      </c>
      <c r="AE385" t="str">
        <f>IF(OR(Configuracao!B9="",Configuracao!B10=""),"aguardando limiar",IF(AND(K385&gt;=Configuracao!B9,K385/MAX(Reconciliacao!C2,1)&gt;=Configuracao!B10/100),"sim","não"))</f>
        <v>aguardando limiar</v>
      </c>
    </row>
    <row r="386" spans="1:31" x14ac:dyDescent="0.25">
      <c r="A386">
        <v>9535</v>
      </c>
      <c r="C386" t="s">
        <v>618</v>
      </c>
      <c r="D386" t="s">
        <v>599</v>
      </c>
      <c r="E386" t="s">
        <v>445</v>
      </c>
      <c r="F386" t="s">
        <v>196</v>
      </c>
      <c r="G386" t="s">
        <v>195</v>
      </c>
      <c r="H386" t="s">
        <v>194</v>
      </c>
      <c r="I386" t="s">
        <v>420</v>
      </c>
      <c r="J386" t="s">
        <v>420</v>
      </c>
      <c r="K386" s="4">
        <v>434.2</v>
      </c>
      <c r="L386" s="4">
        <v>434.2</v>
      </c>
      <c r="M386" t="s">
        <v>44</v>
      </c>
      <c r="N386" t="s">
        <v>77</v>
      </c>
      <c r="O386" t="s">
        <v>99</v>
      </c>
      <c r="P386" t="s">
        <v>99</v>
      </c>
      <c r="Q386" t="s">
        <v>128</v>
      </c>
      <c r="R386" t="s">
        <v>128</v>
      </c>
      <c r="S386" t="s">
        <v>197</v>
      </c>
      <c r="T386" t="s">
        <v>198</v>
      </c>
      <c r="U386" t="s">
        <v>163</v>
      </c>
      <c r="V386" t="s">
        <v>164</v>
      </c>
      <c r="W386" t="s">
        <v>77</v>
      </c>
      <c r="X386" t="s">
        <v>44</v>
      </c>
      <c r="Y386" t="s">
        <v>99</v>
      </c>
      <c r="Z386" t="s">
        <v>421</v>
      </c>
      <c r="AC386" t="str">
        <f>IF(AA386="",M386,AA386)</f>
        <v>sim</v>
      </c>
      <c r="AD386" t="str">
        <f>IF(AB386="",X386,AB386)</f>
        <v>sim</v>
      </c>
      <c r="AE386" t="str">
        <f>IF(OR(Configuracao!B9="",Configuracao!B10=""),"aguardando limiar",IF(AND(K386&gt;=Configuracao!B9,K386/MAX(Reconciliacao!C2,1)&gt;=Configuracao!B10/100),"sim","não"))</f>
        <v>aguardando limiar</v>
      </c>
    </row>
    <row r="387" spans="1:31" x14ac:dyDescent="0.25">
      <c r="A387">
        <v>17389</v>
      </c>
      <c r="C387" t="s">
        <v>602</v>
      </c>
      <c r="D387" t="s">
        <v>583</v>
      </c>
      <c r="E387" t="s">
        <v>525</v>
      </c>
      <c r="F387" t="s">
        <v>196</v>
      </c>
      <c r="G387" t="s">
        <v>195</v>
      </c>
      <c r="H387" t="s">
        <v>194</v>
      </c>
      <c r="I387" t="s">
        <v>442</v>
      </c>
      <c r="J387" t="s">
        <v>442</v>
      </c>
      <c r="K387" s="4">
        <v>435.24</v>
      </c>
      <c r="L387" s="4">
        <v>435.24</v>
      </c>
      <c r="M387" t="s">
        <v>44</v>
      </c>
      <c r="N387" t="s">
        <v>77</v>
      </c>
      <c r="O387" t="s">
        <v>99</v>
      </c>
      <c r="P387" t="s">
        <v>99</v>
      </c>
      <c r="Q387" t="s">
        <v>128</v>
      </c>
      <c r="R387" t="s">
        <v>128</v>
      </c>
      <c r="S387" t="s">
        <v>197</v>
      </c>
      <c r="T387" t="s">
        <v>198</v>
      </c>
      <c r="U387" t="s">
        <v>163</v>
      </c>
      <c r="V387" t="s">
        <v>164</v>
      </c>
      <c r="W387" t="s">
        <v>77</v>
      </c>
      <c r="X387" t="s">
        <v>44</v>
      </c>
      <c r="Y387" t="s">
        <v>99</v>
      </c>
      <c r="Z387" t="s">
        <v>421</v>
      </c>
      <c r="AC387" t="str">
        <f>IF(AA387="",M387,AA387)</f>
        <v>sim</v>
      </c>
      <c r="AD387" t="str">
        <f>IF(AB387="",X387,AB387)</f>
        <v>sim</v>
      </c>
      <c r="AE387" t="str">
        <f>IF(OR(Configuracao!B9="",Configuracao!B10=""),"aguardando limiar",IF(AND(K387&gt;=Configuracao!B9,K387/MAX(Reconciliacao!C2,1)&gt;=Configuracao!B10/100),"sim","não"))</f>
        <v>aguardando limiar</v>
      </c>
    </row>
    <row r="388" spans="1:31" x14ac:dyDescent="0.25">
      <c r="A388">
        <v>12772</v>
      </c>
      <c r="C388" t="s">
        <v>622</v>
      </c>
      <c r="D388" t="s">
        <v>583</v>
      </c>
      <c r="E388" t="s">
        <v>525</v>
      </c>
      <c r="F388" t="s">
        <v>196</v>
      </c>
      <c r="G388" t="s">
        <v>195</v>
      </c>
      <c r="H388" t="s">
        <v>194</v>
      </c>
      <c r="I388" t="s">
        <v>420</v>
      </c>
      <c r="J388" t="s">
        <v>420</v>
      </c>
      <c r="K388" s="4">
        <v>445.88</v>
      </c>
      <c r="L388" s="4">
        <v>445.88</v>
      </c>
      <c r="M388" t="s">
        <v>44</v>
      </c>
      <c r="N388" t="s">
        <v>77</v>
      </c>
      <c r="O388" t="s">
        <v>99</v>
      </c>
      <c r="P388" t="s">
        <v>99</v>
      </c>
      <c r="Q388" t="s">
        <v>128</v>
      </c>
      <c r="R388" t="s">
        <v>128</v>
      </c>
      <c r="S388" t="s">
        <v>197</v>
      </c>
      <c r="T388" t="s">
        <v>198</v>
      </c>
      <c r="U388" t="s">
        <v>163</v>
      </c>
      <c r="V388" t="s">
        <v>164</v>
      </c>
      <c r="W388" t="s">
        <v>77</v>
      </c>
      <c r="X388" t="s">
        <v>44</v>
      </c>
      <c r="Y388" t="s">
        <v>99</v>
      </c>
      <c r="Z388" t="s">
        <v>421</v>
      </c>
      <c r="AC388" t="str">
        <f>IF(AA388="",M388,AA388)</f>
        <v>sim</v>
      </c>
      <c r="AD388" t="str">
        <f>IF(AB388="",X388,AB388)</f>
        <v>sim</v>
      </c>
      <c r="AE388" t="str">
        <f>IF(OR(Configuracao!B9="",Configuracao!B10=""),"aguardando limiar",IF(AND(K388&gt;=Configuracao!B9,K388/MAX(Reconciliacao!C2,1)&gt;=Configuracao!B10/100),"sim","não"))</f>
        <v>aguardando limiar</v>
      </c>
    </row>
    <row r="389" spans="1:31" x14ac:dyDescent="0.25">
      <c r="A389">
        <v>18988</v>
      </c>
      <c r="C389" t="s">
        <v>623</v>
      </c>
      <c r="D389" t="s">
        <v>580</v>
      </c>
      <c r="E389" t="s">
        <v>525</v>
      </c>
      <c r="F389" t="s">
        <v>196</v>
      </c>
      <c r="G389" t="s">
        <v>195</v>
      </c>
      <c r="H389" t="s">
        <v>194</v>
      </c>
      <c r="I389" t="s">
        <v>35</v>
      </c>
      <c r="J389" t="s">
        <v>35</v>
      </c>
      <c r="K389" s="4">
        <v>456.81</v>
      </c>
      <c r="L389" s="4">
        <v>456.81</v>
      </c>
      <c r="M389" t="s">
        <v>44</v>
      </c>
      <c r="N389" t="s">
        <v>77</v>
      </c>
      <c r="O389" t="s">
        <v>99</v>
      </c>
      <c r="P389" t="s">
        <v>99</v>
      </c>
      <c r="Q389" t="s">
        <v>128</v>
      </c>
      <c r="R389" t="s">
        <v>128</v>
      </c>
      <c r="S389" t="s">
        <v>197</v>
      </c>
      <c r="T389" t="s">
        <v>198</v>
      </c>
      <c r="U389" t="s">
        <v>163</v>
      </c>
      <c r="V389" t="s">
        <v>164</v>
      </c>
      <c r="W389" t="s">
        <v>77</v>
      </c>
      <c r="X389" t="s">
        <v>44</v>
      </c>
      <c r="Y389" t="s">
        <v>99</v>
      </c>
      <c r="Z389" t="s">
        <v>421</v>
      </c>
      <c r="AC389" t="str">
        <f>IF(AA389="",M389,AA389)</f>
        <v>sim</v>
      </c>
      <c r="AD389" t="str">
        <f>IF(AB389="",X389,AB389)</f>
        <v>sim</v>
      </c>
      <c r="AE389" t="str">
        <f>IF(OR(Configuracao!B9="",Configuracao!B10=""),"aguardando limiar",IF(AND(K389&gt;=Configuracao!B9,K389/MAX(Reconciliacao!C2,1)&gt;=Configuracao!B10/100),"sim","não"))</f>
        <v>aguardando limiar</v>
      </c>
    </row>
    <row r="390" spans="1:31" x14ac:dyDescent="0.25">
      <c r="A390">
        <v>18231</v>
      </c>
      <c r="C390" t="s">
        <v>600</v>
      </c>
      <c r="D390" t="s">
        <v>575</v>
      </c>
      <c r="E390" t="s">
        <v>525</v>
      </c>
      <c r="F390" t="s">
        <v>196</v>
      </c>
      <c r="G390" t="s">
        <v>195</v>
      </c>
      <c r="H390" t="s">
        <v>194</v>
      </c>
      <c r="I390" t="s">
        <v>439</v>
      </c>
      <c r="J390" t="s">
        <v>439</v>
      </c>
      <c r="K390" s="4">
        <v>474.3</v>
      </c>
      <c r="L390" s="4">
        <v>474.3</v>
      </c>
      <c r="M390" t="s">
        <v>44</v>
      </c>
      <c r="N390" t="s">
        <v>77</v>
      </c>
      <c r="O390" t="s">
        <v>99</v>
      </c>
      <c r="P390" t="s">
        <v>99</v>
      </c>
      <c r="Q390" t="s">
        <v>128</v>
      </c>
      <c r="R390" t="s">
        <v>128</v>
      </c>
      <c r="S390" t="s">
        <v>197</v>
      </c>
      <c r="T390" t="s">
        <v>198</v>
      </c>
      <c r="U390" t="s">
        <v>163</v>
      </c>
      <c r="V390" t="s">
        <v>164</v>
      </c>
      <c r="W390" t="s">
        <v>77</v>
      </c>
      <c r="X390" t="s">
        <v>44</v>
      </c>
      <c r="Y390" t="s">
        <v>99</v>
      </c>
      <c r="Z390" t="s">
        <v>421</v>
      </c>
      <c r="AC390" t="str">
        <f>IF(AA390="",M390,AA390)</f>
        <v>sim</v>
      </c>
      <c r="AD390" t="str">
        <f>IF(AB390="",X390,AB390)</f>
        <v>sim</v>
      </c>
      <c r="AE390" t="str">
        <f>IF(OR(Configuracao!B9="",Configuracao!B10=""),"aguardando limiar",IF(AND(K390&gt;=Configuracao!B9,K390/MAX(Reconciliacao!C2,1)&gt;=Configuracao!B10/100),"sim","não"))</f>
        <v>aguardando limiar</v>
      </c>
    </row>
    <row r="391" spans="1:31" x14ac:dyDescent="0.25">
      <c r="A391">
        <v>14932</v>
      </c>
      <c r="C391" t="s">
        <v>620</v>
      </c>
      <c r="D391" t="s">
        <v>583</v>
      </c>
      <c r="E391" t="s">
        <v>525</v>
      </c>
      <c r="F391" t="s">
        <v>196</v>
      </c>
      <c r="G391" t="s">
        <v>195</v>
      </c>
      <c r="H391" t="s">
        <v>194</v>
      </c>
      <c r="I391" t="s">
        <v>454</v>
      </c>
      <c r="J391" t="s">
        <v>454</v>
      </c>
      <c r="K391" s="4">
        <v>484</v>
      </c>
      <c r="L391" s="4">
        <v>484</v>
      </c>
      <c r="M391" t="s">
        <v>44</v>
      </c>
      <c r="N391" t="s">
        <v>77</v>
      </c>
      <c r="O391" t="s">
        <v>99</v>
      </c>
      <c r="P391" t="s">
        <v>99</v>
      </c>
      <c r="Q391" t="s">
        <v>128</v>
      </c>
      <c r="R391" t="s">
        <v>128</v>
      </c>
      <c r="S391" t="s">
        <v>197</v>
      </c>
      <c r="T391" t="s">
        <v>198</v>
      </c>
      <c r="U391" t="s">
        <v>163</v>
      </c>
      <c r="V391" t="s">
        <v>164</v>
      </c>
      <c r="W391" t="s">
        <v>77</v>
      </c>
      <c r="X391" t="s">
        <v>44</v>
      </c>
      <c r="Y391" t="s">
        <v>99</v>
      </c>
      <c r="Z391" t="s">
        <v>421</v>
      </c>
      <c r="AC391" t="str">
        <f>IF(AA391="",M391,AA391)</f>
        <v>sim</v>
      </c>
      <c r="AD391" t="str">
        <f>IF(AB391="",X391,AB391)</f>
        <v>sim</v>
      </c>
      <c r="AE391" t="str">
        <f>IF(OR(Configuracao!B9="",Configuracao!B10=""),"aguardando limiar",IF(AND(K391&gt;=Configuracao!B9,K391/MAX(Reconciliacao!C2,1)&gt;=Configuracao!B10/100),"sim","não"))</f>
        <v>aguardando limiar</v>
      </c>
    </row>
    <row r="392" spans="1:31" x14ac:dyDescent="0.25">
      <c r="A392">
        <v>9673</v>
      </c>
      <c r="C392" t="s">
        <v>608</v>
      </c>
      <c r="D392" t="s">
        <v>592</v>
      </c>
      <c r="E392" t="s">
        <v>511</v>
      </c>
      <c r="F392" t="s">
        <v>196</v>
      </c>
      <c r="G392" t="s">
        <v>195</v>
      </c>
      <c r="H392" t="s">
        <v>194</v>
      </c>
      <c r="I392" t="s">
        <v>420</v>
      </c>
      <c r="J392" t="s">
        <v>420</v>
      </c>
      <c r="K392" s="4">
        <v>528.83</v>
      </c>
      <c r="L392" s="4">
        <v>528.83</v>
      </c>
      <c r="M392" t="s">
        <v>44</v>
      </c>
      <c r="N392" t="s">
        <v>77</v>
      </c>
      <c r="O392" t="s">
        <v>99</v>
      </c>
      <c r="P392" t="s">
        <v>99</v>
      </c>
      <c r="Q392" t="s">
        <v>128</v>
      </c>
      <c r="R392" t="s">
        <v>128</v>
      </c>
      <c r="S392" t="s">
        <v>197</v>
      </c>
      <c r="T392" t="s">
        <v>198</v>
      </c>
      <c r="U392" t="s">
        <v>163</v>
      </c>
      <c r="V392" t="s">
        <v>164</v>
      </c>
      <c r="W392" t="s">
        <v>77</v>
      </c>
      <c r="X392" t="s">
        <v>44</v>
      </c>
      <c r="Y392" t="s">
        <v>99</v>
      </c>
      <c r="Z392" t="s">
        <v>421</v>
      </c>
      <c r="AC392" t="str">
        <f>IF(AA392="",M392,AA392)</f>
        <v>sim</v>
      </c>
      <c r="AD392" t="str">
        <f>IF(AB392="",X392,AB392)</f>
        <v>sim</v>
      </c>
      <c r="AE392" t="str">
        <f>IF(OR(Configuracao!B9="",Configuracao!B10=""),"aguardando limiar",IF(AND(K392&gt;=Configuracao!B9,K392/MAX(Reconciliacao!C2,1)&gt;=Configuracao!B10/100),"sim","não"))</f>
        <v>aguardando limiar</v>
      </c>
    </row>
    <row r="393" spans="1:31" x14ac:dyDescent="0.25">
      <c r="A393">
        <v>9655</v>
      </c>
      <c r="C393" t="s">
        <v>624</v>
      </c>
      <c r="D393" t="s">
        <v>580</v>
      </c>
      <c r="E393" t="s">
        <v>467</v>
      </c>
      <c r="F393" t="s">
        <v>196</v>
      </c>
      <c r="G393" t="s">
        <v>195</v>
      </c>
      <c r="H393" t="s">
        <v>194</v>
      </c>
      <c r="I393" t="s">
        <v>439</v>
      </c>
      <c r="J393" t="s">
        <v>439</v>
      </c>
      <c r="K393" s="4">
        <v>530.55</v>
      </c>
      <c r="L393" s="4">
        <v>530.55</v>
      </c>
      <c r="M393" t="s">
        <v>44</v>
      </c>
      <c r="N393" t="s">
        <v>77</v>
      </c>
      <c r="O393" t="s">
        <v>99</v>
      </c>
      <c r="P393" t="s">
        <v>99</v>
      </c>
      <c r="Q393" t="s">
        <v>128</v>
      </c>
      <c r="R393" t="s">
        <v>128</v>
      </c>
      <c r="S393" t="s">
        <v>197</v>
      </c>
      <c r="T393" t="s">
        <v>198</v>
      </c>
      <c r="U393" t="s">
        <v>163</v>
      </c>
      <c r="V393" t="s">
        <v>164</v>
      </c>
      <c r="W393" t="s">
        <v>77</v>
      </c>
      <c r="X393" t="s">
        <v>44</v>
      </c>
      <c r="Y393" t="s">
        <v>99</v>
      </c>
      <c r="Z393" t="s">
        <v>421</v>
      </c>
      <c r="AC393" t="str">
        <f>IF(AA393="",M393,AA393)</f>
        <v>sim</v>
      </c>
      <c r="AD393" t="str">
        <f>IF(AB393="",X393,AB393)</f>
        <v>sim</v>
      </c>
      <c r="AE393" t="str">
        <f>IF(OR(Configuracao!B9="",Configuracao!B10=""),"aguardando limiar",IF(AND(K393&gt;=Configuracao!B9,K393/MAX(Reconciliacao!C2,1)&gt;=Configuracao!B10/100),"sim","não"))</f>
        <v>aguardando limiar</v>
      </c>
    </row>
    <row r="394" spans="1:31" x14ac:dyDescent="0.25">
      <c r="A394">
        <v>12214</v>
      </c>
      <c r="C394" t="s">
        <v>611</v>
      </c>
      <c r="D394" t="s">
        <v>583</v>
      </c>
      <c r="E394" t="s">
        <v>445</v>
      </c>
      <c r="F394" t="s">
        <v>196</v>
      </c>
      <c r="G394" t="s">
        <v>195</v>
      </c>
      <c r="H394" t="s">
        <v>194</v>
      </c>
      <c r="I394" t="s">
        <v>424</v>
      </c>
      <c r="J394" t="s">
        <v>424</v>
      </c>
      <c r="K394" s="4">
        <v>550.93</v>
      </c>
      <c r="L394" s="4">
        <v>550.93</v>
      </c>
      <c r="M394" t="s">
        <v>44</v>
      </c>
      <c r="N394" t="s">
        <v>77</v>
      </c>
      <c r="O394" t="s">
        <v>99</v>
      </c>
      <c r="P394" t="s">
        <v>99</v>
      </c>
      <c r="Q394" t="s">
        <v>128</v>
      </c>
      <c r="R394" t="s">
        <v>128</v>
      </c>
      <c r="S394" t="s">
        <v>197</v>
      </c>
      <c r="T394" t="s">
        <v>198</v>
      </c>
      <c r="U394" t="s">
        <v>163</v>
      </c>
      <c r="V394" t="s">
        <v>164</v>
      </c>
      <c r="W394" t="s">
        <v>77</v>
      </c>
      <c r="X394" t="s">
        <v>44</v>
      </c>
      <c r="Y394" t="s">
        <v>99</v>
      </c>
      <c r="Z394" t="s">
        <v>421</v>
      </c>
      <c r="AC394" t="str">
        <f>IF(AA394="",M394,AA394)</f>
        <v>sim</v>
      </c>
      <c r="AD394" t="str">
        <f>IF(AB394="",X394,AB394)</f>
        <v>sim</v>
      </c>
      <c r="AE394" t="str">
        <f>IF(OR(Configuracao!B9="",Configuracao!B10=""),"aguardando limiar",IF(AND(K394&gt;=Configuracao!B9,K394/MAX(Reconciliacao!C2,1)&gt;=Configuracao!B10/100),"sim","não"))</f>
        <v>aguardando limiar</v>
      </c>
    </row>
    <row r="395" spans="1:31" x14ac:dyDescent="0.25">
      <c r="A395">
        <v>9688</v>
      </c>
      <c r="C395" t="s">
        <v>625</v>
      </c>
      <c r="D395" t="s">
        <v>587</v>
      </c>
      <c r="E395" t="s">
        <v>525</v>
      </c>
      <c r="F395" t="s">
        <v>196</v>
      </c>
      <c r="G395" t="s">
        <v>195</v>
      </c>
      <c r="H395" t="s">
        <v>194</v>
      </c>
      <c r="I395" t="s">
        <v>454</v>
      </c>
      <c r="J395" t="s">
        <v>454</v>
      </c>
      <c r="K395" s="4">
        <v>575.28</v>
      </c>
      <c r="L395" s="4">
        <v>575.28</v>
      </c>
      <c r="M395" t="s">
        <v>44</v>
      </c>
      <c r="N395" t="s">
        <v>77</v>
      </c>
      <c r="O395" t="s">
        <v>99</v>
      </c>
      <c r="P395" t="s">
        <v>99</v>
      </c>
      <c r="Q395" t="s">
        <v>128</v>
      </c>
      <c r="R395" t="s">
        <v>128</v>
      </c>
      <c r="S395" t="s">
        <v>197</v>
      </c>
      <c r="T395" t="s">
        <v>198</v>
      </c>
      <c r="U395" t="s">
        <v>163</v>
      </c>
      <c r="V395" t="s">
        <v>164</v>
      </c>
      <c r="W395" t="s">
        <v>77</v>
      </c>
      <c r="X395" t="s">
        <v>44</v>
      </c>
      <c r="Y395" t="s">
        <v>99</v>
      </c>
      <c r="Z395" t="s">
        <v>421</v>
      </c>
      <c r="AC395" t="str">
        <f>IF(AA395="",M395,AA395)</f>
        <v>sim</v>
      </c>
      <c r="AD395" t="str">
        <f>IF(AB395="",X395,AB395)</f>
        <v>sim</v>
      </c>
      <c r="AE395" t="str">
        <f>IF(OR(Configuracao!B9="",Configuracao!B10=""),"aguardando limiar",IF(AND(K395&gt;=Configuracao!B9,K395/MAX(Reconciliacao!C2,1)&gt;=Configuracao!B10/100),"sim","não"))</f>
        <v>aguardando limiar</v>
      </c>
    </row>
    <row r="396" spans="1:31" x14ac:dyDescent="0.25">
      <c r="A396">
        <v>16886</v>
      </c>
      <c r="C396" t="s">
        <v>602</v>
      </c>
      <c r="D396" t="s">
        <v>583</v>
      </c>
      <c r="E396" t="s">
        <v>525</v>
      </c>
      <c r="F396" t="s">
        <v>196</v>
      </c>
      <c r="G396" t="s">
        <v>195</v>
      </c>
      <c r="H396" t="s">
        <v>194</v>
      </c>
      <c r="I396" t="s">
        <v>461</v>
      </c>
      <c r="J396" t="s">
        <v>461</v>
      </c>
      <c r="K396" s="4">
        <v>576.28</v>
      </c>
      <c r="L396" s="4">
        <v>576.28</v>
      </c>
      <c r="M396" t="s">
        <v>44</v>
      </c>
      <c r="N396" t="s">
        <v>77</v>
      </c>
      <c r="O396" t="s">
        <v>99</v>
      </c>
      <c r="P396" t="s">
        <v>99</v>
      </c>
      <c r="Q396" t="s">
        <v>128</v>
      </c>
      <c r="R396" t="s">
        <v>128</v>
      </c>
      <c r="S396" t="s">
        <v>197</v>
      </c>
      <c r="T396" t="s">
        <v>198</v>
      </c>
      <c r="U396" t="s">
        <v>163</v>
      </c>
      <c r="V396" t="s">
        <v>164</v>
      </c>
      <c r="W396" t="s">
        <v>77</v>
      </c>
      <c r="X396" t="s">
        <v>44</v>
      </c>
      <c r="Y396" t="s">
        <v>99</v>
      </c>
      <c r="Z396" t="s">
        <v>421</v>
      </c>
      <c r="AC396" t="str">
        <f>IF(AA396="",M396,AA396)</f>
        <v>sim</v>
      </c>
      <c r="AD396" t="str">
        <f>IF(AB396="",X396,AB396)</f>
        <v>sim</v>
      </c>
      <c r="AE396" t="str">
        <f>IF(OR(Configuracao!B9="",Configuracao!B10=""),"aguardando limiar",IF(AND(K396&gt;=Configuracao!B9,K396/MAX(Reconciliacao!C2,1)&gt;=Configuracao!B10/100),"sim","não"))</f>
        <v>aguardando limiar</v>
      </c>
    </row>
    <row r="397" spans="1:31" x14ac:dyDescent="0.25">
      <c r="A397">
        <v>9685</v>
      </c>
      <c r="C397" t="s">
        <v>626</v>
      </c>
      <c r="D397" t="s">
        <v>587</v>
      </c>
      <c r="E397" t="s">
        <v>525</v>
      </c>
      <c r="F397" t="s">
        <v>196</v>
      </c>
      <c r="G397" t="s">
        <v>195</v>
      </c>
      <c r="H397" t="s">
        <v>194</v>
      </c>
      <c r="I397" t="s">
        <v>32</v>
      </c>
      <c r="J397" t="s">
        <v>32</v>
      </c>
      <c r="K397" s="4">
        <v>601.2</v>
      </c>
      <c r="L397" s="4">
        <v>601.2</v>
      </c>
      <c r="M397" t="s">
        <v>44</v>
      </c>
      <c r="N397" t="s">
        <v>77</v>
      </c>
      <c r="O397" t="s">
        <v>99</v>
      </c>
      <c r="P397" t="s">
        <v>99</v>
      </c>
      <c r="Q397" t="s">
        <v>128</v>
      </c>
      <c r="R397" t="s">
        <v>128</v>
      </c>
      <c r="S397" t="s">
        <v>197</v>
      </c>
      <c r="T397" t="s">
        <v>198</v>
      </c>
      <c r="U397" t="s">
        <v>163</v>
      </c>
      <c r="V397" t="s">
        <v>164</v>
      </c>
      <c r="W397" t="s">
        <v>77</v>
      </c>
      <c r="X397" t="s">
        <v>44</v>
      </c>
      <c r="Y397" t="s">
        <v>99</v>
      </c>
      <c r="Z397" t="s">
        <v>421</v>
      </c>
      <c r="AC397" t="str">
        <f>IF(AA397="",M397,AA397)</f>
        <v>sim</v>
      </c>
      <c r="AD397" t="str">
        <f>IF(AB397="",X397,AB397)</f>
        <v>sim</v>
      </c>
      <c r="AE397" t="str">
        <f>IF(OR(Configuracao!B9="",Configuracao!B10=""),"aguardando limiar",IF(AND(K397&gt;=Configuracao!B9,K397/MAX(Reconciliacao!C2,1)&gt;=Configuracao!B10/100),"sim","não"))</f>
        <v>aguardando limiar</v>
      </c>
    </row>
    <row r="398" spans="1:31" x14ac:dyDescent="0.25">
      <c r="A398">
        <v>9650</v>
      </c>
      <c r="C398" t="s">
        <v>613</v>
      </c>
      <c r="D398" t="s">
        <v>580</v>
      </c>
      <c r="E398" t="s">
        <v>467</v>
      </c>
      <c r="F398" t="s">
        <v>196</v>
      </c>
      <c r="G398" t="s">
        <v>195</v>
      </c>
      <c r="H398" t="s">
        <v>194</v>
      </c>
      <c r="I398" t="s">
        <v>424</v>
      </c>
      <c r="J398" t="s">
        <v>424</v>
      </c>
      <c r="K398" s="4">
        <v>609.55</v>
      </c>
      <c r="L398" s="4">
        <v>609.55</v>
      </c>
      <c r="M398" t="s">
        <v>44</v>
      </c>
      <c r="N398" t="s">
        <v>77</v>
      </c>
      <c r="O398" t="s">
        <v>99</v>
      </c>
      <c r="P398" t="s">
        <v>99</v>
      </c>
      <c r="Q398" t="s">
        <v>128</v>
      </c>
      <c r="R398" t="s">
        <v>128</v>
      </c>
      <c r="S398" t="s">
        <v>197</v>
      </c>
      <c r="T398" t="s">
        <v>198</v>
      </c>
      <c r="U398" t="s">
        <v>163</v>
      </c>
      <c r="V398" t="s">
        <v>164</v>
      </c>
      <c r="W398" t="s">
        <v>77</v>
      </c>
      <c r="X398" t="s">
        <v>44</v>
      </c>
      <c r="Y398" t="s">
        <v>99</v>
      </c>
      <c r="Z398" t="s">
        <v>421</v>
      </c>
      <c r="AC398" t="str">
        <f>IF(AA398="",M398,AA398)</f>
        <v>sim</v>
      </c>
      <c r="AD398" t="str">
        <f>IF(AB398="",X398,AB398)</f>
        <v>sim</v>
      </c>
      <c r="AE398" t="str">
        <f>IF(OR(Configuracao!B9="",Configuracao!B10=""),"aguardando limiar",IF(AND(K398&gt;=Configuracao!B9,K398/MAX(Reconciliacao!C2,1)&gt;=Configuracao!B10/100),"sim","não"))</f>
        <v>aguardando limiar</v>
      </c>
    </row>
    <row r="399" spans="1:31" x14ac:dyDescent="0.25">
      <c r="A399">
        <v>12773</v>
      </c>
      <c r="C399" t="s">
        <v>611</v>
      </c>
      <c r="D399" t="s">
        <v>583</v>
      </c>
      <c r="E399" t="s">
        <v>445</v>
      </c>
      <c r="F399" t="s">
        <v>196</v>
      </c>
      <c r="G399" t="s">
        <v>195</v>
      </c>
      <c r="H399" t="s">
        <v>194</v>
      </c>
      <c r="I399" t="s">
        <v>420</v>
      </c>
      <c r="J399" t="s">
        <v>420</v>
      </c>
      <c r="K399" s="4">
        <v>622.14</v>
      </c>
      <c r="L399" s="4">
        <v>622.14</v>
      </c>
      <c r="M399" t="s">
        <v>44</v>
      </c>
      <c r="N399" t="s">
        <v>77</v>
      </c>
      <c r="O399" t="s">
        <v>99</v>
      </c>
      <c r="P399" t="s">
        <v>99</v>
      </c>
      <c r="Q399" t="s">
        <v>128</v>
      </c>
      <c r="R399" t="s">
        <v>128</v>
      </c>
      <c r="S399" t="s">
        <v>197</v>
      </c>
      <c r="T399" t="s">
        <v>198</v>
      </c>
      <c r="U399" t="s">
        <v>163</v>
      </c>
      <c r="V399" t="s">
        <v>164</v>
      </c>
      <c r="W399" t="s">
        <v>77</v>
      </c>
      <c r="X399" t="s">
        <v>44</v>
      </c>
      <c r="Y399" t="s">
        <v>99</v>
      </c>
      <c r="Z399" t="s">
        <v>421</v>
      </c>
      <c r="AC399" t="str">
        <f>IF(AA399="",M399,AA399)</f>
        <v>sim</v>
      </c>
      <c r="AD399" t="str">
        <f>IF(AB399="",X399,AB399)</f>
        <v>sim</v>
      </c>
      <c r="AE399" t="str">
        <f>IF(OR(Configuracao!B9="",Configuracao!B10=""),"aguardando limiar",IF(AND(K399&gt;=Configuracao!B9,K399/MAX(Reconciliacao!C2,1)&gt;=Configuracao!B10/100),"sim","não"))</f>
        <v>aguardando limiar</v>
      </c>
    </row>
    <row r="400" spans="1:31" x14ac:dyDescent="0.25">
      <c r="A400">
        <v>9656</v>
      </c>
      <c r="C400" t="s">
        <v>627</v>
      </c>
      <c r="D400" t="s">
        <v>580</v>
      </c>
      <c r="E400" t="s">
        <v>467</v>
      </c>
      <c r="F400" t="s">
        <v>196</v>
      </c>
      <c r="G400" t="s">
        <v>195</v>
      </c>
      <c r="H400" t="s">
        <v>194</v>
      </c>
      <c r="I400" t="s">
        <v>35</v>
      </c>
      <c r="J400" t="s">
        <v>35</v>
      </c>
      <c r="K400" s="4">
        <v>677.41</v>
      </c>
      <c r="L400" s="4">
        <v>677.41</v>
      </c>
      <c r="M400" t="s">
        <v>44</v>
      </c>
      <c r="N400" t="s">
        <v>77</v>
      </c>
      <c r="O400" t="s">
        <v>99</v>
      </c>
      <c r="P400" t="s">
        <v>99</v>
      </c>
      <c r="Q400" t="s">
        <v>128</v>
      </c>
      <c r="R400" t="s">
        <v>128</v>
      </c>
      <c r="S400" t="s">
        <v>197</v>
      </c>
      <c r="T400" t="s">
        <v>198</v>
      </c>
      <c r="U400" t="s">
        <v>163</v>
      </c>
      <c r="V400" t="s">
        <v>164</v>
      </c>
      <c r="W400" t="s">
        <v>77</v>
      </c>
      <c r="X400" t="s">
        <v>44</v>
      </c>
      <c r="Y400" t="s">
        <v>99</v>
      </c>
      <c r="Z400" t="s">
        <v>421</v>
      </c>
      <c r="AC400" t="str">
        <f>IF(AA400="",M400,AA400)</f>
        <v>sim</v>
      </c>
      <c r="AD400" t="str">
        <f>IF(AB400="",X400,AB400)</f>
        <v>sim</v>
      </c>
      <c r="AE400" t="str">
        <f>IF(OR(Configuracao!B9="",Configuracao!B10=""),"aguardando limiar",IF(AND(K400&gt;=Configuracao!B9,K400/MAX(Reconciliacao!C2,1)&gt;=Configuracao!B10/100),"sim","não"))</f>
        <v>aguardando limiar</v>
      </c>
    </row>
    <row r="401" spans="1:31" x14ac:dyDescent="0.25">
      <c r="A401">
        <v>9537</v>
      </c>
      <c r="C401" t="s">
        <v>618</v>
      </c>
      <c r="D401" t="s">
        <v>599</v>
      </c>
      <c r="E401" t="s">
        <v>445</v>
      </c>
      <c r="F401" t="s">
        <v>196</v>
      </c>
      <c r="G401" t="s">
        <v>195</v>
      </c>
      <c r="H401" t="s">
        <v>194</v>
      </c>
      <c r="I401" t="s">
        <v>461</v>
      </c>
      <c r="J401" t="s">
        <v>461</v>
      </c>
      <c r="K401" s="4">
        <v>695.13</v>
      </c>
      <c r="L401" s="4">
        <v>695.13</v>
      </c>
      <c r="M401" t="s">
        <v>44</v>
      </c>
      <c r="N401" t="s">
        <v>77</v>
      </c>
      <c r="O401" t="s">
        <v>99</v>
      </c>
      <c r="P401" t="s">
        <v>99</v>
      </c>
      <c r="Q401" t="s">
        <v>128</v>
      </c>
      <c r="R401" t="s">
        <v>128</v>
      </c>
      <c r="S401" t="s">
        <v>197</v>
      </c>
      <c r="T401" t="s">
        <v>198</v>
      </c>
      <c r="U401" t="s">
        <v>163</v>
      </c>
      <c r="V401" t="s">
        <v>164</v>
      </c>
      <c r="W401" t="s">
        <v>77</v>
      </c>
      <c r="X401" t="s">
        <v>44</v>
      </c>
      <c r="Y401" t="s">
        <v>99</v>
      </c>
      <c r="Z401" t="s">
        <v>421</v>
      </c>
      <c r="AC401" t="str">
        <f>IF(AA401="",M401,AA401)</f>
        <v>sim</v>
      </c>
      <c r="AD401" t="str">
        <f>IF(AB401="",X401,AB401)</f>
        <v>sim</v>
      </c>
      <c r="AE401" t="str">
        <f>IF(OR(Configuracao!B9="",Configuracao!B10=""),"aguardando limiar",IF(AND(K401&gt;=Configuracao!B9,K401/MAX(Reconciliacao!C2,1)&gt;=Configuracao!B10/100),"sim","não"))</f>
        <v>aguardando limiar</v>
      </c>
    </row>
    <row r="402" spans="1:31" x14ac:dyDescent="0.25">
      <c r="A402">
        <v>14933</v>
      </c>
      <c r="C402" t="s">
        <v>611</v>
      </c>
      <c r="D402" t="s">
        <v>583</v>
      </c>
      <c r="E402" t="s">
        <v>445</v>
      </c>
      <c r="F402" t="s">
        <v>196</v>
      </c>
      <c r="G402" t="s">
        <v>195</v>
      </c>
      <c r="H402" t="s">
        <v>194</v>
      </c>
      <c r="I402" t="s">
        <v>454</v>
      </c>
      <c r="J402" t="s">
        <v>454</v>
      </c>
      <c r="K402" s="4">
        <v>701.41</v>
      </c>
      <c r="L402" s="4">
        <v>701.41</v>
      </c>
      <c r="M402" t="s">
        <v>44</v>
      </c>
      <c r="N402" t="s">
        <v>77</v>
      </c>
      <c r="O402" t="s">
        <v>99</v>
      </c>
      <c r="P402" t="s">
        <v>99</v>
      </c>
      <c r="Q402" t="s">
        <v>128</v>
      </c>
      <c r="R402" t="s">
        <v>128</v>
      </c>
      <c r="S402" t="s">
        <v>197</v>
      </c>
      <c r="T402" t="s">
        <v>198</v>
      </c>
      <c r="U402" t="s">
        <v>163</v>
      </c>
      <c r="V402" t="s">
        <v>164</v>
      </c>
      <c r="W402" t="s">
        <v>77</v>
      </c>
      <c r="X402" t="s">
        <v>44</v>
      </c>
      <c r="Y402" t="s">
        <v>99</v>
      </c>
      <c r="Z402" t="s">
        <v>421</v>
      </c>
      <c r="AC402" t="str">
        <f>IF(AA402="",M402,AA402)</f>
        <v>sim</v>
      </c>
      <c r="AD402" t="str">
        <f>IF(AB402="",X402,AB402)</f>
        <v>sim</v>
      </c>
      <c r="AE402" t="str">
        <f>IF(OR(Configuracao!B9="",Configuracao!B10=""),"aguardando limiar",IF(AND(K402&gt;=Configuracao!B9,K402/MAX(Reconciliacao!C2,1)&gt;=Configuracao!B10/100),"sim","não"))</f>
        <v>aguardando limiar</v>
      </c>
    </row>
    <row r="403" spans="1:31" x14ac:dyDescent="0.25">
      <c r="A403">
        <v>9635</v>
      </c>
      <c r="C403" t="s">
        <v>576</v>
      </c>
      <c r="D403" t="s">
        <v>575</v>
      </c>
      <c r="E403" t="s">
        <v>467</v>
      </c>
      <c r="F403" t="s">
        <v>196</v>
      </c>
      <c r="G403" t="s">
        <v>195</v>
      </c>
      <c r="H403" t="s">
        <v>194</v>
      </c>
      <c r="I403" t="s">
        <v>420</v>
      </c>
      <c r="J403" t="s">
        <v>420</v>
      </c>
      <c r="K403" s="4">
        <v>709.75</v>
      </c>
      <c r="L403" s="4">
        <v>709.75</v>
      </c>
      <c r="M403" t="s">
        <v>44</v>
      </c>
      <c r="N403" t="s">
        <v>77</v>
      </c>
      <c r="O403" t="s">
        <v>99</v>
      </c>
      <c r="P403" t="s">
        <v>99</v>
      </c>
      <c r="Q403" t="s">
        <v>128</v>
      </c>
      <c r="R403" t="s">
        <v>128</v>
      </c>
      <c r="S403" t="s">
        <v>197</v>
      </c>
      <c r="T403" t="s">
        <v>198</v>
      </c>
      <c r="U403" t="s">
        <v>163</v>
      </c>
      <c r="V403" t="s">
        <v>164</v>
      </c>
      <c r="W403" t="s">
        <v>77</v>
      </c>
      <c r="X403" t="s">
        <v>44</v>
      </c>
      <c r="Y403" t="s">
        <v>99</v>
      </c>
      <c r="Z403" t="s">
        <v>421</v>
      </c>
      <c r="AC403" t="str">
        <f>IF(AA403="",M403,AA403)</f>
        <v>sim</v>
      </c>
      <c r="AD403" t="str">
        <f>IF(AB403="",X403,AB403)</f>
        <v>sim</v>
      </c>
      <c r="AE403" t="str">
        <f>IF(OR(Configuracao!B9="",Configuracao!B10=""),"aguardando limiar",IF(AND(K403&gt;=Configuracao!B9,K403/MAX(Reconciliacao!C2,1)&gt;=Configuracao!B10/100),"sim","não"))</f>
        <v>aguardando limiar</v>
      </c>
    </row>
    <row r="404" spans="1:31" x14ac:dyDescent="0.25">
      <c r="A404">
        <v>18975</v>
      </c>
      <c r="C404" t="s">
        <v>628</v>
      </c>
      <c r="D404" t="s">
        <v>629</v>
      </c>
      <c r="E404" t="s">
        <v>445</v>
      </c>
      <c r="F404" t="s">
        <v>196</v>
      </c>
      <c r="G404" t="s">
        <v>195</v>
      </c>
      <c r="H404" t="s">
        <v>194</v>
      </c>
      <c r="I404" t="s">
        <v>35</v>
      </c>
      <c r="J404" t="s">
        <v>35</v>
      </c>
      <c r="K404" s="4">
        <v>711.45</v>
      </c>
      <c r="L404" s="4">
        <v>711.45</v>
      </c>
      <c r="M404" t="s">
        <v>44</v>
      </c>
      <c r="N404" t="s">
        <v>77</v>
      </c>
      <c r="O404" t="s">
        <v>99</v>
      </c>
      <c r="P404" t="s">
        <v>99</v>
      </c>
      <c r="Q404" t="s">
        <v>128</v>
      </c>
      <c r="R404" t="s">
        <v>128</v>
      </c>
      <c r="S404" t="s">
        <v>197</v>
      </c>
      <c r="T404" t="s">
        <v>198</v>
      </c>
      <c r="U404" t="s">
        <v>163</v>
      </c>
      <c r="V404" t="s">
        <v>164</v>
      </c>
      <c r="W404" t="s">
        <v>77</v>
      </c>
      <c r="X404" t="s">
        <v>44</v>
      </c>
      <c r="Y404" t="s">
        <v>99</v>
      </c>
      <c r="Z404" t="s">
        <v>421</v>
      </c>
      <c r="AC404" t="str">
        <f>IF(AA404="",M404,AA404)</f>
        <v>sim</v>
      </c>
      <c r="AD404" t="str">
        <f>IF(AB404="",X404,AB404)</f>
        <v>sim</v>
      </c>
      <c r="AE404" t="str">
        <f>IF(OR(Configuracao!B9="",Configuracao!B10=""),"aguardando limiar",IF(AND(K404&gt;=Configuracao!B9,K404/MAX(Reconciliacao!C2,1)&gt;=Configuracao!B10/100),"sim","não"))</f>
        <v>aguardando limiar</v>
      </c>
    </row>
    <row r="405" spans="1:31" x14ac:dyDescent="0.25">
      <c r="A405">
        <v>12613</v>
      </c>
      <c r="C405" t="s">
        <v>606</v>
      </c>
      <c r="D405" t="s">
        <v>630</v>
      </c>
      <c r="E405" t="s">
        <v>467</v>
      </c>
      <c r="F405" t="s">
        <v>196</v>
      </c>
      <c r="G405" t="s">
        <v>195</v>
      </c>
      <c r="H405" t="s">
        <v>194</v>
      </c>
      <c r="I405" t="s">
        <v>420</v>
      </c>
      <c r="J405" t="s">
        <v>420</v>
      </c>
      <c r="K405" s="4">
        <v>750</v>
      </c>
      <c r="L405" s="4">
        <v>750</v>
      </c>
      <c r="M405" t="s">
        <v>44</v>
      </c>
      <c r="N405" t="s">
        <v>77</v>
      </c>
      <c r="O405" t="s">
        <v>99</v>
      </c>
      <c r="P405" t="s">
        <v>99</v>
      </c>
      <c r="Q405" t="s">
        <v>128</v>
      </c>
      <c r="R405" t="s">
        <v>128</v>
      </c>
      <c r="S405" t="s">
        <v>197</v>
      </c>
      <c r="T405" t="s">
        <v>198</v>
      </c>
      <c r="U405" t="s">
        <v>163</v>
      </c>
      <c r="V405" t="s">
        <v>164</v>
      </c>
      <c r="W405" t="s">
        <v>77</v>
      </c>
      <c r="X405" t="s">
        <v>44</v>
      </c>
      <c r="Y405" t="s">
        <v>99</v>
      </c>
      <c r="Z405" t="s">
        <v>421</v>
      </c>
      <c r="AC405" t="str">
        <f>IF(AA405="",M405,AA405)</f>
        <v>sim</v>
      </c>
      <c r="AD405" t="str">
        <f>IF(AB405="",X405,AB405)</f>
        <v>sim</v>
      </c>
      <c r="AE405" t="str">
        <f>IF(OR(Configuracao!B9="",Configuracao!B10=""),"aguardando limiar",IF(AND(K405&gt;=Configuracao!B9,K405/MAX(Reconciliacao!C2,1)&gt;=Configuracao!B10/100),"sim","não"))</f>
        <v>aguardando limiar</v>
      </c>
    </row>
    <row r="406" spans="1:31" x14ac:dyDescent="0.25">
      <c r="A406">
        <v>13401</v>
      </c>
      <c r="C406" t="s">
        <v>606</v>
      </c>
      <c r="D406" t="s">
        <v>630</v>
      </c>
      <c r="E406" t="s">
        <v>467</v>
      </c>
      <c r="F406" t="s">
        <v>196</v>
      </c>
      <c r="G406" t="s">
        <v>195</v>
      </c>
      <c r="H406" t="s">
        <v>194</v>
      </c>
      <c r="I406" t="s">
        <v>420</v>
      </c>
      <c r="J406" t="s">
        <v>420</v>
      </c>
      <c r="K406" s="4">
        <v>750</v>
      </c>
      <c r="L406" s="4">
        <v>750</v>
      </c>
      <c r="M406" t="s">
        <v>44</v>
      </c>
      <c r="N406" t="s">
        <v>77</v>
      </c>
      <c r="O406" t="s">
        <v>99</v>
      </c>
      <c r="P406" t="s">
        <v>99</v>
      </c>
      <c r="Q406" t="s">
        <v>128</v>
      </c>
      <c r="R406" t="s">
        <v>128</v>
      </c>
      <c r="S406" t="s">
        <v>197</v>
      </c>
      <c r="T406" t="s">
        <v>198</v>
      </c>
      <c r="U406" t="s">
        <v>163</v>
      </c>
      <c r="V406" t="s">
        <v>164</v>
      </c>
      <c r="W406" t="s">
        <v>77</v>
      </c>
      <c r="X406" t="s">
        <v>44</v>
      </c>
      <c r="Y406" t="s">
        <v>99</v>
      </c>
      <c r="Z406" t="s">
        <v>421</v>
      </c>
      <c r="AC406" t="str">
        <f>IF(AA406="",M406,AA406)</f>
        <v>sim</v>
      </c>
      <c r="AD406" t="str">
        <f>IF(AB406="",X406,AB406)</f>
        <v>sim</v>
      </c>
      <c r="AE406" t="str">
        <f>IF(OR(Configuracao!B9="",Configuracao!B10=""),"aguardando limiar",IF(AND(K406&gt;=Configuracao!B9,K406/MAX(Reconciliacao!C2,1)&gt;=Configuracao!B10/100),"sim","não"))</f>
        <v>aguardando limiar</v>
      </c>
    </row>
    <row r="407" spans="1:31" x14ac:dyDescent="0.25">
      <c r="A407">
        <v>17227</v>
      </c>
      <c r="C407" t="s">
        <v>606</v>
      </c>
      <c r="D407" t="s">
        <v>630</v>
      </c>
      <c r="E407" t="s">
        <v>511</v>
      </c>
      <c r="F407" t="s">
        <v>196</v>
      </c>
      <c r="G407" t="s">
        <v>195</v>
      </c>
      <c r="H407" t="s">
        <v>194</v>
      </c>
      <c r="I407" t="s">
        <v>32</v>
      </c>
      <c r="J407" t="s">
        <v>32</v>
      </c>
      <c r="K407" s="4">
        <v>750</v>
      </c>
      <c r="L407" s="4">
        <v>750</v>
      </c>
      <c r="M407" t="s">
        <v>44</v>
      </c>
      <c r="N407" t="s">
        <v>77</v>
      </c>
      <c r="O407" t="s">
        <v>99</v>
      </c>
      <c r="P407" t="s">
        <v>99</v>
      </c>
      <c r="Q407" t="s">
        <v>128</v>
      </c>
      <c r="R407" t="s">
        <v>128</v>
      </c>
      <c r="S407" t="s">
        <v>197</v>
      </c>
      <c r="T407" t="s">
        <v>198</v>
      </c>
      <c r="U407" t="s">
        <v>163</v>
      </c>
      <c r="V407" t="s">
        <v>164</v>
      </c>
      <c r="W407" t="s">
        <v>77</v>
      </c>
      <c r="X407" t="s">
        <v>44</v>
      </c>
      <c r="Y407" t="s">
        <v>99</v>
      </c>
      <c r="Z407" t="s">
        <v>421</v>
      </c>
      <c r="AC407" t="str">
        <f>IF(AA407="",M407,AA407)</f>
        <v>sim</v>
      </c>
      <c r="AD407" t="str">
        <f>IF(AB407="",X407,AB407)</f>
        <v>sim</v>
      </c>
      <c r="AE407" t="str">
        <f>IF(OR(Configuracao!B9="",Configuracao!B10=""),"aguardando limiar",IF(AND(K407&gt;=Configuracao!B9,K407/MAX(Reconciliacao!C2,1)&gt;=Configuracao!B10/100),"sim","não"))</f>
        <v>aguardando limiar</v>
      </c>
    </row>
    <row r="408" spans="1:31" x14ac:dyDescent="0.25">
      <c r="A408">
        <v>17307</v>
      </c>
      <c r="C408" t="s">
        <v>606</v>
      </c>
      <c r="D408" t="s">
        <v>630</v>
      </c>
      <c r="E408" t="s">
        <v>511</v>
      </c>
      <c r="F408" t="s">
        <v>196</v>
      </c>
      <c r="G408" t="s">
        <v>195</v>
      </c>
      <c r="H408" t="s">
        <v>194</v>
      </c>
      <c r="I408" t="s">
        <v>424</v>
      </c>
      <c r="J408" t="s">
        <v>424</v>
      </c>
      <c r="K408" s="4">
        <v>750</v>
      </c>
      <c r="L408" s="4">
        <v>750</v>
      </c>
      <c r="M408" t="s">
        <v>44</v>
      </c>
      <c r="N408" t="s">
        <v>77</v>
      </c>
      <c r="O408" t="s">
        <v>99</v>
      </c>
      <c r="P408" t="s">
        <v>99</v>
      </c>
      <c r="Q408" t="s">
        <v>128</v>
      </c>
      <c r="R408" t="s">
        <v>128</v>
      </c>
      <c r="S408" t="s">
        <v>197</v>
      </c>
      <c r="T408" t="s">
        <v>198</v>
      </c>
      <c r="U408" t="s">
        <v>163</v>
      </c>
      <c r="V408" t="s">
        <v>164</v>
      </c>
      <c r="W408" t="s">
        <v>77</v>
      </c>
      <c r="X408" t="s">
        <v>44</v>
      </c>
      <c r="Y408" t="s">
        <v>99</v>
      </c>
      <c r="Z408" t="s">
        <v>421</v>
      </c>
      <c r="AC408" t="str">
        <f>IF(AA408="",M408,AA408)</f>
        <v>sim</v>
      </c>
      <c r="AD408" t="str">
        <f>IF(AB408="",X408,AB408)</f>
        <v>sim</v>
      </c>
      <c r="AE408" t="str">
        <f>IF(OR(Configuracao!B9="",Configuracao!B10=""),"aguardando limiar",IF(AND(K408&gt;=Configuracao!B9,K408/MAX(Reconciliacao!C2,1)&gt;=Configuracao!B10/100),"sim","não"))</f>
        <v>aguardando limiar</v>
      </c>
    </row>
    <row r="409" spans="1:31" x14ac:dyDescent="0.25">
      <c r="A409">
        <v>16888</v>
      </c>
      <c r="C409" t="s">
        <v>607</v>
      </c>
      <c r="D409" t="s">
        <v>583</v>
      </c>
      <c r="E409" t="s">
        <v>445</v>
      </c>
      <c r="F409" t="s">
        <v>196</v>
      </c>
      <c r="G409" t="s">
        <v>195</v>
      </c>
      <c r="H409" t="s">
        <v>194</v>
      </c>
      <c r="I409" t="s">
        <v>461</v>
      </c>
      <c r="J409" t="s">
        <v>461</v>
      </c>
      <c r="K409" s="4">
        <v>788.09</v>
      </c>
      <c r="L409" s="4">
        <v>788.09</v>
      </c>
      <c r="M409" t="s">
        <v>44</v>
      </c>
      <c r="N409" t="s">
        <v>77</v>
      </c>
      <c r="O409" t="s">
        <v>99</v>
      </c>
      <c r="P409" t="s">
        <v>99</v>
      </c>
      <c r="Q409" t="s">
        <v>128</v>
      </c>
      <c r="R409" t="s">
        <v>128</v>
      </c>
      <c r="S409" t="s">
        <v>197</v>
      </c>
      <c r="T409" t="s">
        <v>198</v>
      </c>
      <c r="U409" t="s">
        <v>163</v>
      </c>
      <c r="V409" t="s">
        <v>164</v>
      </c>
      <c r="W409" t="s">
        <v>77</v>
      </c>
      <c r="X409" t="s">
        <v>44</v>
      </c>
      <c r="Y409" t="s">
        <v>99</v>
      </c>
      <c r="Z409" t="s">
        <v>421</v>
      </c>
      <c r="AC409" t="str">
        <f>IF(AA409="",M409,AA409)</f>
        <v>sim</v>
      </c>
      <c r="AD409" t="str">
        <f>IF(AB409="",X409,AB409)</f>
        <v>sim</v>
      </c>
      <c r="AE409" t="str">
        <f>IF(OR(Configuracao!B9="",Configuracao!B10=""),"aguardando limiar",IF(AND(K409&gt;=Configuracao!B9,K409/MAX(Reconciliacao!C2,1)&gt;=Configuracao!B10/100),"sim","não"))</f>
        <v>aguardando limiar</v>
      </c>
    </row>
    <row r="410" spans="1:31" x14ac:dyDescent="0.25">
      <c r="A410">
        <v>16895</v>
      </c>
      <c r="C410" t="s">
        <v>631</v>
      </c>
      <c r="D410" t="s">
        <v>587</v>
      </c>
      <c r="E410" t="s">
        <v>467</v>
      </c>
      <c r="F410" t="s">
        <v>196</v>
      </c>
      <c r="G410" t="s">
        <v>195</v>
      </c>
      <c r="H410" t="s">
        <v>194</v>
      </c>
      <c r="I410" t="s">
        <v>461</v>
      </c>
      <c r="J410" t="s">
        <v>461</v>
      </c>
      <c r="K410" s="4">
        <v>799</v>
      </c>
      <c r="L410" s="4">
        <v>799</v>
      </c>
      <c r="M410" t="s">
        <v>44</v>
      </c>
      <c r="N410" t="s">
        <v>77</v>
      </c>
      <c r="O410" t="s">
        <v>99</v>
      </c>
      <c r="P410" t="s">
        <v>99</v>
      </c>
      <c r="Q410" t="s">
        <v>128</v>
      </c>
      <c r="R410" t="s">
        <v>128</v>
      </c>
      <c r="S410" t="s">
        <v>197</v>
      </c>
      <c r="T410" t="s">
        <v>198</v>
      </c>
      <c r="U410" t="s">
        <v>163</v>
      </c>
      <c r="V410" t="s">
        <v>164</v>
      </c>
      <c r="W410" t="s">
        <v>77</v>
      </c>
      <c r="X410" t="s">
        <v>44</v>
      </c>
      <c r="Y410" t="s">
        <v>99</v>
      </c>
      <c r="Z410" t="s">
        <v>421</v>
      </c>
      <c r="AC410" t="str">
        <f>IF(AA410="",M410,AA410)</f>
        <v>sim</v>
      </c>
      <c r="AD410" t="str">
        <f>IF(AB410="",X410,AB410)</f>
        <v>sim</v>
      </c>
      <c r="AE410" t="str">
        <f>IF(OR(Configuracao!B9="",Configuracao!B10=""),"aguardando limiar",IF(AND(K410&gt;=Configuracao!B9,K410/MAX(Reconciliacao!C2,1)&gt;=Configuracao!B10/100),"sim","não"))</f>
        <v>aguardando limiar</v>
      </c>
    </row>
    <row r="411" spans="1:31" x14ac:dyDescent="0.25">
      <c r="A411">
        <v>9634</v>
      </c>
      <c r="C411" t="s">
        <v>600</v>
      </c>
      <c r="D411" t="s">
        <v>575</v>
      </c>
      <c r="E411" t="s">
        <v>467</v>
      </c>
      <c r="F411" t="s">
        <v>196</v>
      </c>
      <c r="G411" t="s">
        <v>195</v>
      </c>
      <c r="H411" t="s">
        <v>194</v>
      </c>
      <c r="I411" t="s">
        <v>424</v>
      </c>
      <c r="J411" t="s">
        <v>424</v>
      </c>
      <c r="K411" s="4">
        <v>832.08</v>
      </c>
      <c r="L411" s="4">
        <v>832.08</v>
      </c>
      <c r="M411" t="s">
        <v>44</v>
      </c>
      <c r="N411" t="s">
        <v>77</v>
      </c>
      <c r="O411" t="s">
        <v>99</v>
      </c>
      <c r="P411" t="s">
        <v>99</v>
      </c>
      <c r="Q411" t="s">
        <v>128</v>
      </c>
      <c r="R411" t="s">
        <v>128</v>
      </c>
      <c r="S411" t="s">
        <v>197</v>
      </c>
      <c r="T411" t="s">
        <v>198</v>
      </c>
      <c r="U411" t="s">
        <v>163</v>
      </c>
      <c r="V411" t="s">
        <v>164</v>
      </c>
      <c r="W411" t="s">
        <v>77</v>
      </c>
      <c r="X411" t="s">
        <v>44</v>
      </c>
      <c r="Y411" t="s">
        <v>99</v>
      </c>
      <c r="Z411" t="s">
        <v>421</v>
      </c>
      <c r="AC411" t="str">
        <f>IF(AA411="",M411,AA411)</f>
        <v>sim</v>
      </c>
      <c r="AD411" t="str">
        <f>IF(AB411="",X411,AB411)</f>
        <v>sim</v>
      </c>
      <c r="AE411" t="str">
        <f>IF(OR(Configuracao!B9="",Configuracao!B10=""),"aguardando limiar",IF(AND(K411&gt;=Configuracao!B9,K411/MAX(Reconciliacao!C2,1)&gt;=Configuracao!B10/100),"sim","não"))</f>
        <v>aguardando limiar</v>
      </c>
    </row>
    <row r="412" spans="1:31" x14ac:dyDescent="0.25">
      <c r="A412">
        <v>12779</v>
      </c>
      <c r="C412" t="s">
        <v>617</v>
      </c>
      <c r="D412" t="s">
        <v>587</v>
      </c>
      <c r="E412" t="s">
        <v>511</v>
      </c>
      <c r="F412" t="s">
        <v>196</v>
      </c>
      <c r="G412" t="s">
        <v>195</v>
      </c>
      <c r="H412" t="s">
        <v>194</v>
      </c>
      <c r="I412" t="s">
        <v>420</v>
      </c>
      <c r="J412" t="s">
        <v>420</v>
      </c>
      <c r="K412" s="4">
        <v>835</v>
      </c>
      <c r="L412" s="4">
        <v>835</v>
      </c>
      <c r="M412" t="s">
        <v>44</v>
      </c>
      <c r="N412" t="s">
        <v>77</v>
      </c>
      <c r="O412" t="s">
        <v>99</v>
      </c>
      <c r="P412" t="s">
        <v>99</v>
      </c>
      <c r="Q412" t="s">
        <v>128</v>
      </c>
      <c r="R412" t="s">
        <v>128</v>
      </c>
      <c r="S412" t="s">
        <v>197</v>
      </c>
      <c r="T412" t="s">
        <v>198</v>
      </c>
      <c r="U412" t="s">
        <v>163</v>
      </c>
      <c r="V412" t="s">
        <v>164</v>
      </c>
      <c r="W412" t="s">
        <v>77</v>
      </c>
      <c r="X412" t="s">
        <v>44</v>
      </c>
      <c r="Y412" t="s">
        <v>99</v>
      </c>
      <c r="Z412" t="s">
        <v>421</v>
      </c>
      <c r="AC412" t="str">
        <f>IF(AA412="",M412,AA412)</f>
        <v>sim</v>
      </c>
      <c r="AD412" t="str">
        <f>IF(AB412="",X412,AB412)</f>
        <v>sim</v>
      </c>
      <c r="AE412" t="str">
        <f>IF(OR(Configuracao!B9="",Configuracao!B10=""),"aguardando limiar",IF(AND(K412&gt;=Configuracao!B9,K412/MAX(Reconciliacao!C2,1)&gt;=Configuracao!B10/100),"sim","não"))</f>
        <v>aguardando limiar</v>
      </c>
    </row>
    <row r="413" spans="1:31" x14ac:dyDescent="0.25">
      <c r="A413">
        <v>18228</v>
      </c>
      <c r="C413" t="s">
        <v>632</v>
      </c>
      <c r="D413" t="s">
        <v>510</v>
      </c>
      <c r="E413" t="s">
        <v>511</v>
      </c>
      <c r="F413" t="s">
        <v>196</v>
      </c>
      <c r="G413" t="s">
        <v>195</v>
      </c>
      <c r="H413" t="s">
        <v>194</v>
      </c>
      <c r="I413" t="s">
        <v>439</v>
      </c>
      <c r="J413" t="s">
        <v>439</v>
      </c>
      <c r="K413" s="4">
        <v>837.13</v>
      </c>
      <c r="L413" s="4">
        <v>837.13</v>
      </c>
      <c r="M413" t="s">
        <v>44</v>
      </c>
      <c r="N413" t="s">
        <v>77</v>
      </c>
      <c r="O413" t="s">
        <v>99</v>
      </c>
      <c r="P413" t="s">
        <v>99</v>
      </c>
      <c r="Q413" t="s">
        <v>128</v>
      </c>
      <c r="R413" t="s">
        <v>128</v>
      </c>
      <c r="S413" t="s">
        <v>197</v>
      </c>
      <c r="T413" t="s">
        <v>198</v>
      </c>
      <c r="U413" t="s">
        <v>163</v>
      </c>
      <c r="V413" t="s">
        <v>164</v>
      </c>
      <c r="W413" t="s">
        <v>77</v>
      </c>
      <c r="X413" t="s">
        <v>44</v>
      </c>
      <c r="Y413" t="s">
        <v>99</v>
      </c>
      <c r="Z413" t="s">
        <v>421</v>
      </c>
      <c r="AC413" t="str">
        <f>IF(AA413="",M413,AA413)</f>
        <v>sim</v>
      </c>
      <c r="AD413" t="str">
        <f>IF(AB413="",X413,AB413)</f>
        <v>sim</v>
      </c>
      <c r="AE413" t="str">
        <f>IF(OR(Configuracao!B9="",Configuracao!B10=""),"aguardando limiar",IF(AND(K413&gt;=Configuracao!B9,K413/MAX(Reconciliacao!C2,1)&gt;=Configuracao!B10/100),"sim","não"))</f>
        <v>aguardando limiar</v>
      </c>
    </row>
    <row r="414" spans="1:31" x14ac:dyDescent="0.25">
      <c r="A414">
        <v>9564</v>
      </c>
      <c r="C414" t="s">
        <v>632</v>
      </c>
      <c r="D414" t="s">
        <v>510</v>
      </c>
      <c r="E414" t="s">
        <v>511</v>
      </c>
      <c r="F414" t="s">
        <v>196</v>
      </c>
      <c r="G414" t="s">
        <v>195</v>
      </c>
      <c r="H414" t="s">
        <v>194</v>
      </c>
      <c r="I414" t="s">
        <v>32</v>
      </c>
      <c r="J414" t="s">
        <v>32</v>
      </c>
      <c r="K414" s="4">
        <v>868.42</v>
      </c>
      <c r="L414" s="4">
        <v>868.42</v>
      </c>
      <c r="M414" t="s">
        <v>44</v>
      </c>
      <c r="N414" t="s">
        <v>77</v>
      </c>
      <c r="O414" t="s">
        <v>99</v>
      </c>
      <c r="P414" t="s">
        <v>99</v>
      </c>
      <c r="Q414" t="s">
        <v>128</v>
      </c>
      <c r="R414" t="s">
        <v>128</v>
      </c>
      <c r="S414" t="s">
        <v>197</v>
      </c>
      <c r="T414" t="s">
        <v>198</v>
      </c>
      <c r="U414" t="s">
        <v>163</v>
      </c>
      <c r="V414" t="s">
        <v>164</v>
      </c>
      <c r="W414" t="s">
        <v>77</v>
      </c>
      <c r="X414" t="s">
        <v>44</v>
      </c>
      <c r="Y414" t="s">
        <v>99</v>
      </c>
      <c r="Z414" t="s">
        <v>421</v>
      </c>
      <c r="AC414" t="str">
        <f>IF(AA414="",M414,AA414)</f>
        <v>sim</v>
      </c>
      <c r="AD414" t="str">
        <f>IF(AB414="",X414,AB414)</f>
        <v>sim</v>
      </c>
      <c r="AE414" t="str">
        <f>IF(OR(Configuracao!B9="",Configuracao!B10=""),"aguardando limiar",IF(AND(K414&gt;=Configuracao!B9,K414/MAX(Reconciliacao!C2,1)&gt;=Configuracao!B10/100),"sim","não"))</f>
        <v>aguardando limiar</v>
      </c>
    </row>
    <row r="415" spans="1:31" x14ac:dyDescent="0.25">
      <c r="A415">
        <v>9633</v>
      </c>
      <c r="C415" t="s">
        <v>600</v>
      </c>
      <c r="D415" t="s">
        <v>575</v>
      </c>
      <c r="E415" t="s">
        <v>467</v>
      </c>
      <c r="F415" t="s">
        <v>196</v>
      </c>
      <c r="G415" t="s">
        <v>195</v>
      </c>
      <c r="H415" t="s">
        <v>194</v>
      </c>
      <c r="I415" t="s">
        <v>32</v>
      </c>
      <c r="J415" t="s">
        <v>32</v>
      </c>
      <c r="K415" s="4">
        <v>966.64</v>
      </c>
      <c r="L415" s="4">
        <v>966.64</v>
      </c>
      <c r="M415" t="s">
        <v>44</v>
      </c>
      <c r="N415" t="s">
        <v>77</v>
      </c>
      <c r="O415" t="s">
        <v>99</v>
      </c>
      <c r="P415" t="s">
        <v>99</v>
      </c>
      <c r="Q415" t="s">
        <v>128</v>
      </c>
      <c r="R415" t="s">
        <v>128</v>
      </c>
      <c r="S415" t="s">
        <v>197</v>
      </c>
      <c r="T415" t="s">
        <v>198</v>
      </c>
      <c r="U415" t="s">
        <v>163</v>
      </c>
      <c r="V415" t="s">
        <v>164</v>
      </c>
      <c r="W415" t="s">
        <v>77</v>
      </c>
      <c r="X415" t="s">
        <v>44</v>
      </c>
      <c r="Y415" t="s">
        <v>99</v>
      </c>
      <c r="Z415" t="s">
        <v>421</v>
      </c>
      <c r="AC415" t="str">
        <f>IF(AA415="",M415,AA415)</f>
        <v>sim</v>
      </c>
      <c r="AD415" t="str">
        <f>IF(AB415="",X415,AB415)</f>
        <v>sim</v>
      </c>
      <c r="AE415" t="str">
        <f>IF(OR(Configuracao!B9="",Configuracao!B10=""),"aguardando limiar",IF(AND(K415&gt;=Configuracao!B9,K415/MAX(Reconciliacao!C2,1)&gt;=Configuracao!B10/100),"sim","não"))</f>
        <v>aguardando limiar</v>
      </c>
    </row>
    <row r="416" spans="1:31" x14ac:dyDescent="0.25">
      <c r="A416">
        <v>9653</v>
      </c>
      <c r="C416" t="s">
        <v>627</v>
      </c>
      <c r="D416" t="s">
        <v>580</v>
      </c>
      <c r="E416" t="s">
        <v>467</v>
      </c>
      <c r="F416" t="s">
        <v>196</v>
      </c>
      <c r="G416" t="s">
        <v>195</v>
      </c>
      <c r="H416" t="s">
        <v>194</v>
      </c>
      <c r="I416" t="s">
        <v>461</v>
      </c>
      <c r="J416" t="s">
        <v>461</v>
      </c>
      <c r="K416" s="4">
        <v>980.61</v>
      </c>
      <c r="L416" s="4">
        <v>980.61</v>
      </c>
      <c r="M416" t="s">
        <v>44</v>
      </c>
      <c r="N416" t="s">
        <v>77</v>
      </c>
      <c r="O416" t="s">
        <v>99</v>
      </c>
      <c r="P416" t="s">
        <v>99</v>
      </c>
      <c r="Q416" t="s">
        <v>128</v>
      </c>
      <c r="R416" t="s">
        <v>128</v>
      </c>
      <c r="S416" t="s">
        <v>197</v>
      </c>
      <c r="T416" t="s">
        <v>198</v>
      </c>
      <c r="U416" t="s">
        <v>163</v>
      </c>
      <c r="V416" t="s">
        <v>164</v>
      </c>
      <c r="W416" t="s">
        <v>77</v>
      </c>
      <c r="X416" t="s">
        <v>44</v>
      </c>
      <c r="Y416" t="s">
        <v>99</v>
      </c>
      <c r="Z416" t="s">
        <v>421</v>
      </c>
      <c r="AC416" t="str">
        <f>IF(AA416="",M416,AA416)</f>
        <v>sim</v>
      </c>
      <c r="AD416" t="str">
        <f>IF(AB416="",X416,AB416)</f>
        <v>sim</v>
      </c>
      <c r="AE416" t="str">
        <f>IF(OR(Configuracao!B9="",Configuracao!B10=""),"aguardando limiar",IF(AND(K416&gt;=Configuracao!B9,K416/MAX(Reconciliacao!C2,1)&gt;=Configuracao!B10/100),"sim","não"))</f>
        <v>aguardando limiar</v>
      </c>
    </row>
    <row r="417" spans="1:31" x14ac:dyDescent="0.25">
      <c r="A417">
        <v>17385</v>
      </c>
      <c r="C417" t="s">
        <v>633</v>
      </c>
      <c r="D417" t="s">
        <v>510</v>
      </c>
      <c r="E417" t="s">
        <v>467</v>
      </c>
      <c r="F417" t="s">
        <v>196</v>
      </c>
      <c r="G417" t="s">
        <v>195</v>
      </c>
      <c r="H417" t="s">
        <v>194</v>
      </c>
      <c r="I417" t="s">
        <v>442</v>
      </c>
      <c r="J417" t="s">
        <v>442</v>
      </c>
      <c r="K417" s="4">
        <v>998.75</v>
      </c>
      <c r="L417" s="4">
        <v>998.75</v>
      </c>
      <c r="M417" t="s">
        <v>44</v>
      </c>
      <c r="N417" t="s">
        <v>77</v>
      </c>
      <c r="O417" t="s">
        <v>99</v>
      </c>
      <c r="P417" t="s">
        <v>99</v>
      </c>
      <c r="Q417" t="s">
        <v>128</v>
      </c>
      <c r="R417" t="s">
        <v>128</v>
      </c>
      <c r="S417" t="s">
        <v>197</v>
      </c>
      <c r="T417" t="s">
        <v>198</v>
      </c>
      <c r="U417" t="s">
        <v>163</v>
      </c>
      <c r="V417" t="s">
        <v>164</v>
      </c>
      <c r="W417" t="s">
        <v>77</v>
      </c>
      <c r="X417" t="s">
        <v>44</v>
      </c>
      <c r="Y417" t="s">
        <v>99</v>
      </c>
      <c r="Z417" t="s">
        <v>421</v>
      </c>
      <c r="AC417" t="str">
        <f>IF(AA417="",M417,AA417)</f>
        <v>sim</v>
      </c>
      <c r="AD417" t="str">
        <f>IF(AB417="",X417,AB417)</f>
        <v>sim</v>
      </c>
      <c r="AE417" t="str">
        <f>IF(OR(Configuracao!B9="",Configuracao!B10=""),"aguardando limiar",IF(AND(K417&gt;=Configuracao!B9,K417/MAX(Reconciliacao!C2,1)&gt;=Configuracao!B10/100),"sim","não"))</f>
        <v>aguardando limiar</v>
      </c>
    </row>
    <row r="418" spans="1:31" x14ac:dyDescent="0.25">
      <c r="A418">
        <v>9687</v>
      </c>
      <c r="C418" t="s">
        <v>626</v>
      </c>
      <c r="D418" t="s">
        <v>587</v>
      </c>
      <c r="E418" t="s">
        <v>525</v>
      </c>
      <c r="F418" t="s">
        <v>196</v>
      </c>
      <c r="G418" t="s">
        <v>195</v>
      </c>
      <c r="H418" t="s">
        <v>194</v>
      </c>
      <c r="I418" t="s">
        <v>420</v>
      </c>
      <c r="J418" t="s">
        <v>420</v>
      </c>
      <c r="K418" s="4">
        <v>1018.7</v>
      </c>
      <c r="L418" s="4">
        <v>1018.7</v>
      </c>
      <c r="M418" t="s">
        <v>44</v>
      </c>
      <c r="N418" t="s">
        <v>77</v>
      </c>
      <c r="O418" t="s">
        <v>99</v>
      </c>
      <c r="P418" t="s">
        <v>99</v>
      </c>
      <c r="Q418" t="s">
        <v>128</v>
      </c>
      <c r="R418" t="s">
        <v>128</v>
      </c>
      <c r="S418" t="s">
        <v>197</v>
      </c>
      <c r="T418" t="s">
        <v>198</v>
      </c>
      <c r="U418" t="s">
        <v>163</v>
      </c>
      <c r="V418" t="s">
        <v>164</v>
      </c>
      <c r="W418" t="s">
        <v>77</v>
      </c>
      <c r="X418" t="s">
        <v>44</v>
      </c>
      <c r="Y418" t="s">
        <v>99</v>
      </c>
      <c r="Z418" t="s">
        <v>421</v>
      </c>
      <c r="AC418" t="str">
        <f>IF(AA418="",M418,AA418)</f>
        <v>sim</v>
      </c>
      <c r="AD418" t="str">
        <f>IF(AB418="",X418,AB418)</f>
        <v>sim</v>
      </c>
      <c r="AE418" t="str">
        <f>IF(OR(Configuracao!B9="",Configuracao!B10=""),"aguardando limiar",IF(AND(K418&gt;=Configuracao!B9,K418/MAX(Reconciliacao!C2,1)&gt;=Configuracao!B10/100),"sim","não"))</f>
        <v>aguardando limiar</v>
      </c>
    </row>
    <row r="419" spans="1:31" x14ac:dyDescent="0.25">
      <c r="A419">
        <v>11491</v>
      </c>
      <c r="C419" t="s">
        <v>633</v>
      </c>
      <c r="D419" t="s">
        <v>510</v>
      </c>
      <c r="E419" t="s">
        <v>467</v>
      </c>
      <c r="F419" t="s">
        <v>196</v>
      </c>
      <c r="G419" t="s">
        <v>195</v>
      </c>
      <c r="H419" t="s">
        <v>194</v>
      </c>
      <c r="I419" t="s">
        <v>32</v>
      </c>
      <c r="J419" t="s">
        <v>32</v>
      </c>
      <c r="K419" s="4">
        <v>1043.75</v>
      </c>
      <c r="L419" s="4">
        <v>1043.75</v>
      </c>
      <c r="M419" t="s">
        <v>44</v>
      </c>
      <c r="N419" t="s">
        <v>77</v>
      </c>
      <c r="O419" t="s">
        <v>99</v>
      </c>
      <c r="P419" t="s">
        <v>99</v>
      </c>
      <c r="Q419" t="s">
        <v>128</v>
      </c>
      <c r="R419" t="s">
        <v>128</v>
      </c>
      <c r="S419" t="s">
        <v>197</v>
      </c>
      <c r="T419" t="s">
        <v>198</v>
      </c>
      <c r="U419" t="s">
        <v>163</v>
      </c>
      <c r="V419" t="s">
        <v>164</v>
      </c>
      <c r="W419" t="s">
        <v>77</v>
      </c>
      <c r="X419" t="s">
        <v>44</v>
      </c>
      <c r="Y419" t="s">
        <v>99</v>
      </c>
      <c r="Z419" t="s">
        <v>421</v>
      </c>
      <c r="AC419" t="str">
        <f>IF(AA419="",M419,AA419)</f>
        <v>sim</v>
      </c>
      <c r="AD419" t="str">
        <f>IF(AB419="",X419,AB419)</f>
        <v>sim</v>
      </c>
      <c r="AE419" t="str">
        <f>IF(OR(Configuracao!B9="",Configuracao!B10=""),"aguardando limiar",IF(AND(K419&gt;=Configuracao!B9,K419/MAX(Reconciliacao!C2,1)&gt;=Configuracao!B10/100),"sim","não"))</f>
        <v>aguardando limiar</v>
      </c>
    </row>
    <row r="420" spans="1:31" x14ac:dyDescent="0.25">
      <c r="A420">
        <v>12208</v>
      </c>
      <c r="C420" t="s">
        <v>633</v>
      </c>
      <c r="D420" t="s">
        <v>510</v>
      </c>
      <c r="E420" t="s">
        <v>467</v>
      </c>
      <c r="F420" t="s">
        <v>196</v>
      </c>
      <c r="G420" t="s">
        <v>195</v>
      </c>
      <c r="H420" t="s">
        <v>194</v>
      </c>
      <c r="I420" t="s">
        <v>424</v>
      </c>
      <c r="J420" t="s">
        <v>424</v>
      </c>
      <c r="K420" s="4">
        <v>1043.75</v>
      </c>
      <c r="L420" s="4">
        <v>1043.75</v>
      </c>
      <c r="M420" t="s">
        <v>44</v>
      </c>
      <c r="N420" t="s">
        <v>77</v>
      </c>
      <c r="O420" t="s">
        <v>99</v>
      </c>
      <c r="P420" t="s">
        <v>99</v>
      </c>
      <c r="Q420" t="s">
        <v>128</v>
      </c>
      <c r="R420" t="s">
        <v>128</v>
      </c>
      <c r="S420" t="s">
        <v>197</v>
      </c>
      <c r="T420" t="s">
        <v>198</v>
      </c>
      <c r="U420" t="s">
        <v>163</v>
      </c>
      <c r="V420" t="s">
        <v>164</v>
      </c>
      <c r="W420" t="s">
        <v>77</v>
      </c>
      <c r="X420" t="s">
        <v>44</v>
      </c>
      <c r="Y420" t="s">
        <v>99</v>
      </c>
      <c r="Z420" t="s">
        <v>421</v>
      </c>
      <c r="AC420" t="str">
        <f>IF(AA420="",M420,AA420)</f>
        <v>sim</v>
      </c>
      <c r="AD420" t="str">
        <f>IF(AB420="",X420,AB420)</f>
        <v>sim</v>
      </c>
      <c r="AE420" t="str">
        <f>IF(OR(Configuracao!B9="",Configuracao!B10=""),"aguardando limiar",IF(AND(K420&gt;=Configuracao!B9,K420/MAX(Reconciliacao!C2,1)&gt;=Configuracao!B10/100),"sim","não"))</f>
        <v>aguardando limiar</v>
      </c>
    </row>
    <row r="421" spans="1:31" x14ac:dyDescent="0.25">
      <c r="A421">
        <v>12769</v>
      </c>
      <c r="C421" t="s">
        <v>633</v>
      </c>
      <c r="D421" t="s">
        <v>510</v>
      </c>
      <c r="E421" t="s">
        <v>467</v>
      </c>
      <c r="F421" t="s">
        <v>196</v>
      </c>
      <c r="G421" t="s">
        <v>195</v>
      </c>
      <c r="H421" t="s">
        <v>194</v>
      </c>
      <c r="I421" t="s">
        <v>420</v>
      </c>
      <c r="J421" t="s">
        <v>420</v>
      </c>
      <c r="K421" s="4">
        <v>1043.75</v>
      </c>
      <c r="L421" s="4">
        <v>1043.75</v>
      </c>
      <c r="M421" t="s">
        <v>44</v>
      </c>
      <c r="N421" t="s">
        <v>77</v>
      </c>
      <c r="O421" t="s">
        <v>99</v>
      </c>
      <c r="P421" t="s">
        <v>99</v>
      </c>
      <c r="Q421" t="s">
        <v>128</v>
      </c>
      <c r="R421" t="s">
        <v>128</v>
      </c>
      <c r="S421" t="s">
        <v>197</v>
      </c>
      <c r="T421" t="s">
        <v>198</v>
      </c>
      <c r="U421" t="s">
        <v>163</v>
      </c>
      <c r="V421" t="s">
        <v>164</v>
      </c>
      <c r="W421" t="s">
        <v>77</v>
      </c>
      <c r="X421" t="s">
        <v>44</v>
      </c>
      <c r="Y421" t="s">
        <v>99</v>
      </c>
      <c r="Z421" t="s">
        <v>421</v>
      </c>
      <c r="AC421" t="str">
        <f>IF(AA421="",M421,AA421)</f>
        <v>sim</v>
      </c>
      <c r="AD421" t="str">
        <f>IF(AB421="",X421,AB421)</f>
        <v>sim</v>
      </c>
      <c r="AE421" t="str">
        <f>IF(OR(Configuracao!B9="",Configuracao!B10=""),"aguardando limiar",IF(AND(K421&gt;=Configuracao!B9,K421/MAX(Reconciliacao!C2,1)&gt;=Configuracao!B10/100),"sim","não"))</f>
        <v>aguardando limiar</v>
      </c>
    </row>
    <row r="422" spans="1:31" x14ac:dyDescent="0.25">
      <c r="A422">
        <v>9565</v>
      </c>
      <c r="C422" t="s">
        <v>634</v>
      </c>
      <c r="D422" t="s">
        <v>510</v>
      </c>
      <c r="E422" t="s">
        <v>511</v>
      </c>
      <c r="F422" t="s">
        <v>196</v>
      </c>
      <c r="G422" t="s">
        <v>195</v>
      </c>
      <c r="H422" t="s">
        <v>194</v>
      </c>
      <c r="I422" t="s">
        <v>424</v>
      </c>
      <c r="J422" t="s">
        <v>424</v>
      </c>
      <c r="K422" s="4">
        <v>1170.1</v>
      </c>
      <c r="L422" s="4">
        <v>1170.1</v>
      </c>
      <c r="M422" t="s">
        <v>44</v>
      </c>
      <c r="N422" t="s">
        <v>77</v>
      </c>
      <c r="O422" t="s">
        <v>99</v>
      </c>
      <c r="P422" t="s">
        <v>99</v>
      </c>
      <c r="Q422" t="s">
        <v>128</v>
      </c>
      <c r="R422" t="s">
        <v>128</v>
      </c>
      <c r="S422" t="s">
        <v>197</v>
      </c>
      <c r="T422" t="s">
        <v>198</v>
      </c>
      <c r="U422" t="s">
        <v>163</v>
      </c>
      <c r="V422" t="s">
        <v>164</v>
      </c>
      <c r="W422" t="s">
        <v>77</v>
      </c>
      <c r="X422" t="s">
        <v>166</v>
      </c>
      <c r="Y422" t="s">
        <v>635</v>
      </c>
      <c r="Z422" t="s">
        <v>434</v>
      </c>
      <c r="AC422" t="str">
        <f>IF(AA422="",M422,AA422)</f>
        <v>sim</v>
      </c>
      <c r="AD422" t="str">
        <f>IF(AB422="",X422,AB422)</f>
        <v>não</v>
      </c>
      <c r="AE422" t="str">
        <f>IF(OR(Configuracao!B9="",Configuracao!B10=""),"aguardando limiar",IF(AND(K422&gt;=Configuracao!B9,K422/MAX(Reconciliacao!C2,1)&gt;=Configuracao!B10/100),"sim","não"))</f>
        <v>aguardando limiar</v>
      </c>
    </row>
    <row r="423" spans="1:31" x14ac:dyDescent="0.25">
      <c r="A423">
        <v>18235</v>
      </c>
      <c r="C423" t="s">
        <v>636</v>
      </c>
      <c r="D423" t="s">
        <v>587</v>
      </c>
      <c r="E423" t="s">
        <v>511</v>
      </c>
      <c r="F423" t="s">
        <v>196</v>
      </c>
      <c r="G423" t="s">
        <v>195</v>
      </c>
      <c r="H423" t="s">
        <v>194</v>
      </c>
      <c r="I423" t="s">
        <v>439</v>
      </c>
      <c r="J423" t="s">
        <v>439</v>
      </c>
      <c r="K423" s="4">
        <v>1185.75</v>
      </c>
      <c r="L423" s="4">
        <v>1185.75</v>
      </c>
      <c r="M423" t="s">
        <v>44</v>
      </c>
      <c r="N423" t="s">
        <v>77</v>
      </c>
      <c r="O423" t="s">
        <v>99</v>
      </c>
      <c r="P423" t="s">
        <v>99</v>
      </c>
      <c r="Q423" t="s">
        <v>128</v>
      </c>
      <c r="R423" t="s">
        <v>128</v>
      </c>
      <c r="S423" t="s">
        <v>197</v>
      </c>
      <c r="T423" t="s">
        <v>198</v>
      </c>
      <c r="U423" t="s">
        <v>163</v>
      </c>
      <c r="V423" t="s">
        <v>164</v>
      </c>
      <c r="W423" t="s">
        <v>77</v>
      </c>
      <c r="X423" t="s">
        <v>166</v>
      </c>
      <c r="Y423" t="s">
        <v>635</v>
      </c>
      <c r="Z423" t="s">
        <v>434</v>
      </c>
      <c r="AC423" t="str">
        <f>IF(AA423="",M423,AA423)</f>
        <v>sim</v>
      </c>
      <c r="AD423" t="str">
        <f>IF(AB423="",X423,AB423)</f>
        <v>não</v>
      </c>
      <c r="AE423" t="str">
        <f>IF(OR(Configuracao!B9="",Configuracao!B10=""),"aguardando limiar",IF(AND(K423&gt;=Configuracao!B9,K423/MAX(Reconciliacao!C2,1)&gt;=Configuracao!B10/100),"sim","não"))</f>
        <v>aguardando limiar</v>
      </c>
    </row>
    <row r="424" spans="1:31" x14ac:dyDescent="0.25">
      <c r="A424">
        <v>19000</v>
      </c>
      <c r="C424" t="s">
        <v>636</v>
      </c>
      <c r="D424" t="s">
        <v>587</v>
      </c>
      <c r="E424" t="s">
        <v>511</v>
      </c>
      <c r="F424" t="s">
        <v>196</v>
      </c>
      <c r="G424" t="s">
        <v>195</v>
      </c>
      <c r="H424" t="s">
        <v>194</v>
      </c>
      <c r="I424" t="s">
        <v>35</v>
      </c>
      <c r="J424" t="s">
        <v>35</v>
      </c>
      <c r="K424" s="4">
        <v>1185.75</v>
      </c>
      <c r="L424" s="4">
        <v>1185.75</v>
      </c>
      <c r="M424" t="s">
        <v>44</v>
      </c>
      <c r="N424" t="s">
        <v>77</v>
      </c>
      <c r="O424" t="s">
        <v>99</v>
      </c>
      <c r="P424" t="s">
        <v>99</v>
      </c>
      <c r="Q424" t="s">
        <v>128</v>
      </c>
      <c r="R424" t="s">
        <v>128</v>
      </c>
      <c r="S424" t="s">
        <v>197</v>
      </c>
      <c r="T424" t="s">
        <v>198</v>
      </c>
      <c r="U424" t="s">
        <v>163</v>
      </c>
      <c r="V424" t="s">
        <v>164</v>
      </c>
      <c r="W424" t="s">
        <v>77</v>
      </c>
      <c r="X424" t="s">
        <v>166</v>
      </c>
      <c r="Y424" t="s">
        <v>635</v>
      </c>
      <c r="Z424" t="s">
        <v>434</v>
      </c>
      <c r="AC424" t="str">
        <f>IF(AA424="",M424,AA424)</f>
        <v>sim</v>
      </c>
      <c r="AD424" t="str">
        <f>IF(AB424="",X424,AB424)</f>
        <v>não</v>
      </c>
      <c r="AE424" t="str">
        <f>IF(OR(Configuracao!B9="",Configuracao!B10=""),"aguardando limiar",IF(AND(K424&gt;=Configuracao!B9,K424/MAX(Reconciliacao!C2,1)&gt;=Configuracao!B10/100),"sim","não"))</f>
        <v>aguardando limiar</v>
      </c>
    </row>
    <row r="425" spans="1:31" x14ac:dyDescent="0.25">
      <c r="A425">
        <v>9567</v>
      </c>
      <c r="C425" t="s">
        <v>637</v>
      </c>
      <c r="D425" t="s">
        <v>510</v>
      </c>
      <c r="E425" t="s">
        <v>511</v>
      </c>
      <c r="F425" t="s">
        <v>196</v>
      </c>
      <c r="G425" t="s">
        <v>195</v>
      </c>
      <c r="H425" t="s">
        <v>194</v>
      </c>
      <c r="I425" t="s">
        <v>454</v>
      </c>
      <c r="J425" t="s">
        <v>454</v>
      </c>
      <c r="K425" s="4">
        <v>1215.54</v>
      </c>
      <c r="L425" s="4">
        <v>1215.54</v>
      </c>
      <c r="M425" t="s">
        <v>44</v>
      </c>
      <c r="N425" t="s">
        <v>77</v>
      </c>
      <c r="O425" t="s">
        <v>99</v>
      </c>
      <c r="P425" t="s">
        <v>99</v>
      </c>
      <c r="Q425" t="s">
        <v>128</v>
      </c>
      <c r="R425" t="s">
        <v>128</v>
      </c>
      <c r="S425" t="s">
        <v>197</v>
      </c>
      <c r="T425" t="s">
        <v>198</v>
      </c>
      <c r="U425" t="s">
        <v>163</v>
      </c>
      <c r="V425" t="s">
        <v>164</v>
      </c>
      <c r="W425" t="s">
        <v>77</v>
      </c>
      <c r="X425" t="s">
        <v>166</v>
      </c>
      <c r="Y425" t="s">
        <v>635</v>
      </c>
      <c r="Z425" t="s">
        <v>434</v>
      </c>
      <c r="AC425" t="str">
        <f>IF(AA425="",M425,AA425)</f>
        <v>sim</v>
      </c>
      <c r="AD425" t="str">
        <f>IF(AB425="",X425,AB425)</f>
        <v>não</v>
      </c>
      <c r="AE425" t="str">
        <f>IF(OR(Configuracao!B9="",Configuracao!B10=""),"aguardando limiar",IF(AND(K425&gt;=Configuracao!B9,K425/MAX(Reconciliacao!C2,1)&gt;=Configuracao!B10/100),"sim","não"))</f>
        <v>aguardando limiar</v>
      </c>
    </row>
    <row r="426" spans="1:31" x14ac:dyDescent="0.25">
      <c r="A426">
        <v>9568</v>
      </c>
      <c r="C426" t="s">
        <v>637</v>
      </c>
      <c r="D426" t="s">
        <v>510</v>
      </c>
      <c r="E426" t="s">
        <v>511</v>
      </c>
      <c r="F426" t="s">
        <v>196</v>
      </c>
      <c r="G426" t="s">
        <v>195</v>
      </c>
      <c r="H426" t="s">
        <v>194</v>
      </c>
      <c r="I426" t="s">
        <v>461</v>
      </c>
      <c r="J426" t="s">
        <v>461</v>
      </c>
      <c r="K426" s="4">
        <v>1215.54</v>
      </c>
      <c r="L426" s="4">
        <v>1215.54</v>
      </c>
      <c r="M426" t="s">
        <v>44</v>
      </c>
      <c r="N426" t="s">
        <v>77</v>
      </c>
      <c r="O426" t="s">
        <v>99</v>
      </c>
      <c r="P426" t="s">
        <v>99</v>
      </c>
      <c r="Q426" t="s">
        <v>128</v>
      </c>
      <c r="R426" t="s">
        <v>128</v>
      </c>
      <c r="S426" t="s">
        <v>197</v>
      </c>
      <c r="T426" t="s">
        <v>198</v>
      </c>
      <c r="U426" t="s">
        <v>163</v>
      </c>
      <c r="V426" t="s">
        <v>164</v>
      </c>
      <c r="W426" t="s">
        <v>77</v>
      </c>
      <c r="X426" t="s">
        <v>166</v>
      </c>
      <c r="Y426" t="s">
        <v>635</v>
      </c>
      <c r="Z426" t="s">
        <v>434</v>
      </c>
      <c r="AC426" t="str">
        <f>IF(AA426="",M426,AA426)</f>
        <v>sim</v>
      </c>
      <c r="AD426" t="str">
        <f>IF(AB426="",X426,AB426)</f>
        <v>não</v>
      </c>
      <c r="AE426" t="str">
        <f>IF(OR(Configuracao!B9="",Configuracao!B10=""),"aguardando limiar",IF(AND(K426&gt;=Configuracao!B9,K426/MAX(Reconciliacao!C2,1)&gt;=Configuracao!B10/100),"sim","não"))</f>
        <v>aguardando limiar</v>
      </c>
    </row>
    <row r="427" spans="1:31" x14ac:dyDescent="0.25">
      <c r="A427">
        <v>9587</v>
      </c>
      <c r="C427" t="s">
        <v>638</v>
      </c>
      <c r="D427" t="s">
        <v>578</v>
      </c>
      <c r="E427" t="s">
        <v>525</v>
      </c>
      <c r="F427" t="s">
        <v>196</v>
      </c>
      <c r="G427" t="s">
        <v>195</v>
      </c>
      <c r="H427" t="s">
        <v>194</v>
      </c>
      <c r="I427" t="s">
        <v>424</v>
      </c>
      <c r="J427" t="s">
        <v>424</v>
      </c>
      <c r="K427" s="4">
        <v>1218.18</v>
      </c>
      <c r="L427" s="4">
        <v>1218.18</v>
      </c>
      <c r="M427" t="s">
        <v>44</v>
      </c>
      <c r="N427" t="s">
        <v>77</v>
      </c>
      <c r="O427" t="s">
        <v>99</v>
      </c>
      <c r="P427" t="s">
        <v>99</v>
      </c>
      <c r="Q427" t="s">
        <v>128</v>
      </c>
      <c r="R427" t="s">
        <v>128</v>
      </c>
      <c r="S427" t="s">
        <v>197</v>
      </c>
      <c r="T427" t="s">
        <v>198</v>
      </c>
      <c r="U427" t="s">
        <v>163</v>
      </c>
      <c r="V427" t="s">
        <v>164</v>
      </c>
      <c r="W427" t="s">
        <v>77</v>
      </c>
      <c r="X427" t="s">
        <v>166</v>
      </c>
      <c r="Y427" t="s">
        <v>635</v>
      </c>
      <c r="Z427" t="s">
        <v>434</v>
      </c>
      <c r="AC427" t="str">
        <f>IF(AA427="",M427,AA427)</f>
        <v>sim</v>
      </c>
      <c r="AD427" t="str">
        <f>IF(AB427="",X427,AB427)</f>
        <v>não</v>
      </c>
      <c r="AE427" t="str">
        <f>IF(OR(Configuracao!B9="",Configuracao!B10=""),"aguardando limiar",IF(AND(K427&gt;=Configuracao!B9,K427/MAX(Reconciliacao!C2,1)&gt;=Configuracao!B10/100),"sim","não"))</f>
        <v>aguardando limiar</v>
      </c>
    </row>
    <row r="428" spans="1:31" x14ac:dyDescent="0.25">
      <c r="A428">
        <v>9566</v>
      </c>
      <c r="C428" t="s">
        <v>637</v>
      </c>
      <c r="D428" t="s">
        <v>510</v>
      </c>
      <c r="E428" t="s">
        <v>511</v>
      </c>
      <c r="F428" t="s">
        <v>196</v>
      </c>
      <c r="G428" t="s">
        <v>195</v>
      </c>
      <c r="H428" t="s">
        <v>194</v>
      </c>
      <c r="I428" t="s">
        <v>420</v>
      </c>
      <c r="J428" t="s">
        <v>420</v>
      </c>
      <c r="K428" s="4">
        <v>1270.3</v>
      </c>
      <c r="L428" s="4">
        <v>1270.3</v>
      </c>
      <c r="M428" t="s">
        <v>44</v>
      </c>
      <c r="N428" t="s">
        <v>77</v>
      </c>
      <c r="O428" t="s">
        <v>99</v>
      </c>
      <c r="P428" t="s">
        <v>99</v>
      </c>
      <c r="Q428" t="s">
        <v>128</v>
      </c>
      <c r="R428" t="s">
        <v>128</v>
      </c>
      <c r="S428" t="s">
        <v>197</v>
      </c>
      <c r="T428" t="s">
        <v>198</v>
      </c>
      <c r="U428" t="s">
        <v>163</v>
      </c>
      <c r="V428" t="s">
        <v>164</v>
      </c>
      <c r="W428" t="s">
        <v>77</v>
      </c>
      <c r="X428" t="s">
        <v>166</v>
      </c>
      <c r="Y428" t="s">
        <v>635</v>
      </c>
      <c r="Z428" t="s">
        <v>434</v>
      </c>
      <c r="AC428" t="str">
        <f>IF(AA428="",M428,AA428)</f>
        <v>sim</v>
      </c>
      <c r="AD428" t="str">
        <f>IF(AB428="",X428,AB428)</f>
        <v>não</v>
      </c>
      <c r="AE428" t="str">
        <f>IF(OR(Configuracao!B9="",Configuracao!B10=""),"aguardando limiar",IF(AND(K428&gt;=Configuracao!B9,K428/MAX(Reconciliacao!C2,1)&gt;=Configuracao!B10/100),"sim","não"))</f>
        <v>aguardando limiar</v>
      </c>
    </row>
    <row r="429" spans="1:31" x14ac:dyDescent="0.25">
      <c r="A429">
        <v>9586</v>
      </c>
      <c r="C429" t="s">
        <v>639</v>
      </c>
      <c r="D429" t="s">
        <v>578</v>
      </c>
      <c r="E429" t="s">
        <v>525</v>
      </c>
      <c r="F429" t="s">
        <v>196</v>
      </c>
      <c r="G429" t="s">
        <v>195</v>
      </c>
      <c r="H429" t="s">
        <v>194</v>
      </c>
      <c r="I429" t="s">
        <v>32</v>
      </c>
      <c r="J429" t="s">
        <v>32</v>
      </c>
      <c r="K429" s="4">
        <v>1380.64</v>
      </c>
      <c r="L429" s="4">
        <v>1380.64</v>
      </c>
      <c r="M429" t="s">
        <v>44</v>
      </c>
      <c r="N429" t="s">
        <v>77</v>
      </c>
      <c r="O429" t="s">
        <v>99</v>
      </c>
      <c r="P429" t="s">
        <v>99</v>
      </c>
      <c r="Q429" t="s">
        <v>128</v>
      </c>
      <c r="R429" t="s">
        <v>128</v>
      </c>
      <c r="S429" t="s">
        <v>197</v>
      </c>
      <c r="T429" t="s">
        <v>198</v>
      </c>
      <c r="U429" t="s">
        <v>163</v>
      </c>
      <c r="V429" t="s">
        <v>164</v>
      </c>
      <c r="W429" t="s">
        <v>77</v>
      </c>
      <c r="X429" t="s">
        <v>166</v>
      </c>
      <c r="Y429" t="s">
        <v>635</v>
      </c>
      <c r="Z429" t="s">
        <v>434</v>
      </c>
      <c r="AC429" t="str">
        <f>IF(AA429="",M429,AA429)</f>
        <v>sim</v>
      </c>
      <c r="AD429" t="str">
        <f>IF(AB429="",X429,AB429)</f>
        <v>não</v>
      </c>
      <c r="AE429" t="str">
        <f>IF(OR(Configuracao!B9="",Configuracao!B10=""),"aguardando limiar",IF(AND(K429&gt;=Configuracao!B9,K429/MAX(Reconciliacao!C2,1)&gt;=Configuracao!B10/100),"sim","não"))</f>
        <v>aguardando limiar</v>
      </c>
    </row>
    <row r="430" spans="1:31" x14ac:dyDescent="0.25">
      <c r="A430">
        <v>9640</v>
      </c>
      <c r="C430" t="s">
        <v>600</v>
      </c>
      <c r="D430" t="s">
        <v>575</v>
      </c>
      <c r="E430" t="s">
        <v>467</v>
      </c>
      <c r="F430" t="s">
        <v>196</v>
      </c>
      <c r="G430" t="s">
        <v>195</v>
      </c>
      <c r="H430" t="s">
        <v>194</v>
      </c>
      <c r="I430" t="s">
        <v>35</v>
      </c>
      <c r="J430" t="s">
        <v>35</v>
      </c>
      <c r="K430" s="4">
        <v>1395.73</v>
      </c>
      <c r="L430" s="4">
        <v>1395.73</v>
      </c>
      <c r="M430" t="s">
        <v>44</v>
      </c>
      <c r="N430" t="s">
        <v>77</v>
      </c>
      <c r="O430" t="s">
        <v>99</v>
      </c>
      <c r="P430" t="s">
        <v>99</v>
      </c>
      <c r="Q430" t="s">
        <v>128</v>
      </c>
      <c r="R430" t="s">
        <v>128</v>
      </c>
      <c r="S430" t="s">
        <v>197</v>
      </c>
      <c r="T430" t="s">
        <v>198</v>
      </c>
      <c r="U430" t="s">
        <v>163</v>
      </c>
      <c r="V430" t="s">
        <v>164</v>
      </c>
      <c r="W430" t="s">
        <v>77</v>
      </c>
      <c r="X430" t="s">
        <v>166</v>
      </c>
      <c r="Y430" t="s">
        <v>635</v>
      </c>
      <c r="Z430" t="s">
        <v>434</v>
      </c>
      <c r="AC430" t="str">
        <f>IF(AA430="",M430,AA430)</f>
        <v>sim</v>
      </c>
      <c r="AD430" t="str">
        <f>IF(AB430="",X430,AB430)</f>
        <v>não</v>
      </c>
      <c r="AE430" t="str">
        <f>IF(OR(Configuracao!B9="",Configuracao!B10=""),"aguardando limiar",IF(AND(K430&gt;=Configuracao!B9,K430/MAX(Reconciliacao!C2,1)&gt;=Configuracao!B10/100),"sim","não"))</f>
        <v>aguardando limiar</v>
      </c>
    </row>
    <row r="431" spans="1:31" x14ac:dyDescent="0.25">
      <c r="A431">
        <v>9637</v>
      </c>
      <c r="C431" t="s">
        <v>600</v>
      </c>
      <c r="D431" t="s">
        <v>575</v>
      </c>
      <c r="E431" t="s">
        <v>467</v>
      </c>
      <c r="F431" t="s">
        <v>196</v>
      </c>
      <c r="G431" t="s">
        <v>195</v>
      </c>
      <c r="H431" t="s">
        <v>194</v>
      </c>
      <c r="I431" t="s">
        <v>461</v>
      </c>
      <c r="J431" t="s">
        <v>461</v>
      </c>
      <c r="K431" s="4">
        <v>1410.73</v>
      </c>
      <c r="L431" s="4">
        <v>1410.73</v>
      </c>
      <c r="M431" t="s">
        <v>44</v>
      </c>
      <c r="N431" t="s">
        <v>77</v>
      </c>
      <c r="O431" t="s">
        <v>99</v>
      </c>
      <c r="P431" t="s">
        <v>99</v>
      </c>
      <c r="Q431" t="s">
        <v>128</v>
      </c>
      <c r="R431" t="s">
        <v>128</v>
      </c>
      <c r="S431" t="s">
        <v>197</v>
      </c>
      <c r="T431" t="s">
        <v>198</v>
      </c>
      <c r="U431" t="s">
        <v>163</v>
      </c>
      <c r="V431" t="s">
        <v>164</v>
      </c>
      <c r="W431" t="s">
        <v>77</v>
      </c>
      <c r="X431" t="s">
        <v>166</v>
      </c>
      <c r="Y431" t="s">
        <v>635</v>
      </c>
      <c r="Z431" t="s">
        <v>434</v>
      </c>
      <c r="AC431" t="str">
        <f>IF(AA431="",M431,AA431)</f>
        <v>sim</v>
      </c>
      <c r="AD431" t="str">
        <f>IF(AB431="",X431,AB431)</f>
        <v>não</v>
      </c>
      <c r="AE431" t="str">
        <f>IF(OR(Configuracao!B9="",Configuracao!B10=""),"aguardando limiar",IF(AND(K431&gt;=Configuracao!B9,K431/MAX(Reconciliacao!C2,1)&gt;=Configuracao!B10/100),"sim","não"))</f>
        <v>aguardando limiar</v>
      </c>
    </row>
    <row r="432" spans="1:31" x14ac:dyDescent="0.25">
      <c r="A432">
        <v>9569</v>
      </c>
      <c r="C432" t="s">
        <v>637</v>
      </c>
      <c r="D432" t="s">
        <v>510</v>
      </c>
      <c r="E432" t="s">
        <v>511</v>
      </c>
      <c r="F432" t="s">
        <v>196</v>
      </c>
      <c r="G432" t="s">
        <v>195</v>
      </c>
      <c r="H432" t="s">
        <v>194</v>
      </c>
      <c r="I432" t="s">
        <v>442</v>
      </c>
      <c r="J432" t="s">
        <v>442</v>
      </c>
      <c r="K432" s="4">
        <v>1422.46</v>
      </c>
      <c r="L432" s="4">
        <v>1422.46</v>
      </c>
      <c r="M432" t="s">
        <v>44</v>
      </c>
      <c r="N432" t="s">
        <v>77</v>
      </c>
      <c r="O432" t="s">
        <v>99</v>
      </c>
      <c r="P432" t="s">
        <v>99</v>
      </c>
      <c r="Q432" t="s">
        <v>128</v>
      </c>
      <c r="R432" t="s">
        <v>128</v>
      </c>
      <c r="S432" t="s">
        <v>197</v>
      </c>
      <c r="T432" t="s">
        <v>198</v>
      </c>
      <c r="U432" t="s">
        <v>163</v>
      </c>
      <c r="V432" t="s">
        <v>164</v>
      </c>
      <c r="W432" t="s">
        <v>77</v>
      </c>
      <c r="X432" t="s">
        <v>166</v>
      </c>
      <c r="Y432" t="s">
        <v>635</v>
      </c>
      <c r="Z432" t="s">
        <v>434</v>
      </c>
      <c r="AC432" t="str">
        <f>IF(AA432="",M432,AA432)</f>
        <v>sim</v>
      </c>
      <c r="AD432" t="str">
        <f>IF(AB432="",X432,AB432)</f>
        <v>não</v>
      </c>
      <c r="AE432" t="str">
        <f>IF(OR(Configuracao!B9="",Configuracao!B10=""),"aguardando limiar",IF(AND(K432&gt;=Configuracao!B9,K432/MAX(Reconciliacao!C2,1)&gt;=Configuracao!B10/100),"sim","não"))</f>
        <v>aguardando limiar</v>
      </c>
    </row>
    <row r="433" spans="1:31" x14ac:dyDescent="0.25">
      <c r="A433">
        <v>9571</v>
      </c>
      <c r="C433" t="s">
        <v>637</v>
      </c>
      <c r="D433" t="s">
        <v>510</v>
      </c>
      <c r="E433" t="s">
        <v>511</v>
      </c>
      <c r="F433" t="s">
        <v>196</v>
      </c>
      <c r="G433" t="s">
        <v>195</v>
      </c>
      <c r="H433" t="s">
        <v>194</v>
      </c>
      <c r="I433" t="s">
        <v>35</v>
      </c>
      <c r="J433" t="s">
        <v>35</v>
      </c>
      <c r="K433" s="4">
        <v>1818.12</v>
      </c>
      <c r="L433" s="4">
        <v>1818.12</v>
      </c>
      <c r="M433" t="s">
        <v>44</v>
      </c>
      <c r="N433" t="s">
        <v>77</v>
      </c>
      <c r="O433" t="s">
        <v>99</v>
      </c>
      <c r="P433" t="s">
        <v>99</v>
      </c>
      <c r="Q433" t="s">
        <v>128</v>
      </c>
      <c r="R433" t="s">
        <v>128</v>
      </c>
      <c r="S433" t="s">
        <v>197</v>
      </c>
      <c r="T433" t="s">
        <v>198</v>
      </c>
      <c r="U433" t="s">
        <v>163</v>
      </c>
      <c r="V433" t="s">
        <v>164</v>
      </c>
      <c r="W433" t="s">
        <v>77</v>
      </c>
      <c r="X433" t="s">
        <v>166</v>
      </c>
      <c r="Y433" t="s">
        <v>635</v>
      </c>
      <c r="Z433" t="s">
        <v>434</v>
      </c>
      <c r="AC433" t="str">
        <f>IF(AA433="",M433,AA433)</f>
        <v>sim</v>
      </c>
      <c r="AD433" t="str">
        <f>IF(AB433="",X433,AB433)</f>
        <v>não</v>
      </c>
      <c r="AE433" t="str">
        <f>IF(OR(Configuracao!B9="",Configuracao!B10=""),"aguardando limiar",IF(AND(K433&gt;=Configuracao!B9,K433/MAX(Reconciliacao!C2,1)&gt;=Configuracao!B10/100),"sim","não"))</f>
        <v>aguardando limiar</v>
      </c>
    </row>
    <row r="434" spans="1:31" x14ac:dyDescent="0.25">
      <c r="A434">
        <v>17399</v>
      </c>
      <c r="C434" t="s">
        <v>640</v>
      </c>
      <c r="D434" t="s">
        <v>587</v>
      </c>
      <c r="E434" t="s">
        <v>467</v>
      </c>
      <c r="F434" t="s">
        <v>196</v>
      </c>
      <c r="G434" t="s">
        <v>195</v>
      </c>
      <c r="H434" t="s">
        <v>194</v>
      </c>
      <c r="I434" t="s">
        <v>442</v>
      </c>
      <c r="J434" t="s">
        <v>442</v>
      </c>
      <c r="K434" s="4">
        <v>1997.5</v>
      </c>
      <c r="L434" s="4">
        <v>1997.5</v>
      </c>
      <c r="M434" t="s">
        <v>44</v>
      </c>
      <c r="N434" t="s">
        <v>77</v>
      </c>
      <c r="O434" t="s">
        <v>99</v>
      </c>
      <c r="P434" t="s">
        <v>99</v>
      </c>
      <c r="Q434" t="s">
        <v>128</v>
      </c>
      <c r="R434" t="s">
        <v>128</v>
      </c>
      <c r="S434" t="s">
        <v>197</v>
      </c>
      <c r="T434" t="s">
        <v>198</v>
      </c>
      <c r="U434" t="s">
        <v>163</v>
      </c>
      <c r="V434" t="s">
        <v>164</v>
      </c>
      <c r="W434" t="s">
        <v>77</v>
      </c>
      <c r="X434" t="s">
        <v>166</v>
      </c>
      <c r="Y434" t="s">
        <v>635</v>
      </c>
      <c r="Z434" t="s">
        <v>434</v>
      </c>
      <c r="AC434" t="str">
        <f>IF(AA434="",M434,AA434)</f>
        <v>sim</v>
      </c>
      <c r="AD434" t="str">
        <f>IF(AB434="",X434,AB434)</f>
        <v>não</v>
      </c>
      <c r="AE434" t="str">
        <f>IF(OR(Configuracao!B9="",Configuracao!B10=""),"aguardando limiar",IF(AND(K434&gt;=Configuracao!B9,K434/MAX(Reconciliacao!C2,1)&gt;=Configuracao!B10/100),"sim","não"))</f>
        <v>aguardando limiar</v>
      </c>
    </row>
    <row r="435" spans="1:31" x14ac:dyDescent="0.25">
      <c r="A435">
        <v>9636</v>
      </c>
      <c r="C435" t="s">
        <v>600</v>
      </c>
      <c r="D435" t="s">
        <v>575</v>
      </c>
      <c r="E435" t="s">
        <v>467</v>
      </c>
      <c r="F435" t="s">
        <v>196</v>
      </c>
      <c r="G435" t="s">
        <v>195</v>
      </c>
      <c r="H435" t="s">
        <v>194</v>
      </c>
      <c r="I435" t="s">
        <v>454</v>
      </c>
      <c r="J435" t="s">
        <v>454</v>
      </c>
      <c r="K435" s="4">
        <v>2089.88</v>
      </c>
      <c r="L435" s="4">
        <v>2089.88</v>
      </c>
      <c r="M435" t="s">
        <v>44</v>
      </c>
      <c r="N435" t="s">
        <v>77</v>
      </c>
      <c r="O435" t="s">
        <v>99</v>
      </c>
      <c r="P435" t="s">
        <v>99</v>
      </c>
      <c r="Q435" t="s">
        <v>128</v>
      </c>
      <c r="R435" t="s">
        <v>128</v>
      </c>
      <c r="S435" t="s">
        <v>197</v>
      </c>
      <c r="T435" t="s">
        <v>198</v>
      </c>
      <c r="U435" t="s">
        <v>163</v>
      </c>
      <c r="V435" t="s">
        <v>164</v>
      </c>
      <c r="W435" t="s">
        <v>77</v>
      </c>
      <c r="X435" t="s">
        <v>166</v>
      </c>
      <c r="Y435" t="s">
        <v>635</v>
      </c>
      <c r="Z435" t="s">
        <v>434</v>
      </c>
      <c r="AC435" t="str">
        <f>IF(AA435="",M435,AA435)</f>
        <v>sim</v>
      </c>
      <c r="AD435" t="str">
        <f>IF(AB435="",X435,AB435)</f>
        <v>não</v>
      </c>
      <c r="AE435" t="str">
        <f>IF(OR(Configuracao!B9="",Configuracao!B10=""),"aguardando limiar",IF(AND(K435&gt;=Configuracao!B9,K435/MAX(Reconciliacao!C2,1)&gt;=Configuracao!B10/100),"sim","não"))</f>
        <v>aguardando limiar</v>
      </c>
    </row>
    <row r="436" spans="1:31" x14ac:dyDescent="0.25">
      <c r="A436">
        <v>9570</v>
      </c>
      <c r="C436" t="s">
        <v>641</v>
      </c>
      <c r="D436" t="s">
        <v>510</v>
      </c>
      <c r="E436" t="s">
        <v>467</v>
      </c>
      <c r="F436" t="s">
        <v>196</v>
      </c>
      <c r="G436" t="s">
        <v>195</v>
      </c>
      <c r="H436" t="s">
        <v>194</v>
      </c>
      <c r="I436" t="s">
        <v>439</v>
      </c>
      <c r="J436" t="s">
        <v>439</v>
      </c>
      <c r="K436" s="4">
        <v>2094.83</v>
      </c>
      <c r="L436" s="4">
        <v>2094.83</v>
      </c>
      <c r="M436" t="s">
        <v>44</v>
      </c>
      <c r="N436" t="s">
        <v>77</v>
      </c>
      <c r="O436" t="s">
        <v>99</v>
      </c>
      <c r="P436" t="s">
        <v>99</v>
      </c>
      <c r="Q436" t="s">
        <v>128</v>
      </c>
      <c r="R436" t="s">
        <v>128</v>
      </c>
      <c r="S436" t="s">
        <v>197</v>
      </c>
      <c r="T436" t="s">
        <v>198</v>
      </c>
      <c r="U436" t="s">
        <v>163</v>
      </c>
      <c r="V436" t="s">
        <v>164</v>
      </c>
      <c r="W436" t="s">
        <v>77</v>
      </c>
      <c r="X436" t="s">
        <v>166</v>
      </c>
      <c r="Y436" t="s">
        <v>635</v>
      </c>
      <c r="Z436" t="s">
        <v>434</v>
      </c>
      <c r="AC436" t="str">
        <f>IF(AA436="",M436,AA436)</f>
        <v>sim</v>
      </c>
      <c r="AD436" t="str">
        <f>IF(AB436="",X436,AB436)</f>
        <v>não</v>
      </c>
      <c r="AE436" t="str">
        <f>IF(OR(Configuracao!B9="",Configuracao!B10=""),"aguardando limiar",IF(AND(K436&gt;=Configuracao!B9,K436/MAX(Reconciliacao!C2,1)&gt;=Configuracao!B10/100),"sim","não"))</f>
        <v>aguardando limiar</v>
      </c>
    </row>
    <row r="437" spans="1:31" x14ac:dyDescent="0.25">
      <c r="A437">
        <v>14927</v>
      </c>
      <c r="C437" t="s">
        <v>642</v>
      </c>
      <c r="D437" t="s">
        <v>510</v>
      </c>
      <c r="E437" t="s">
        <v>467</v>
      </c>
      <c r="F437" t="s">
        <v>196</v>
      </c>
      <c r="G437" t="s">
        <v>195</v>
      </c>
      <c r="H437" t="s">
        <v>194</v>
      </c>
      <c r="I437" t="s">
        <v>454</v>
      </c>
      <c r="J437" t="s">
        <v>454</v>
      </c>
      <c r="K437" s="4">
        <v>2117.35</v>
      </c>
      <c r="L437" s="4">
        <v>2117.35</v>
      </c>
      <c r="M437" t="s">
        <v>44</v>
      </c>
      <c r="N437" t="s">
        <v>77</v>
      </c>
      <c r="O437" t="s">
        <v>99</v>
      </c>
      <c r="P437" t="s">
        <v>99</v>
      </c>
      <c r="Q437" t="s">
        <v>128</v>
      </c>
      <c r="R437" t="s">
        <v>128</v>
      </c>
      <c r="S437" t="s">
        <v>197</v>
      </c>
      <c r="T437" t="s">
        <v>198</v>
      </c>
      <c r="U437" t="s">
        <v>163</v>
      </c>
      <c r="V437" t="s">
        <v>164</v>
      </c>
      <c r="W437" t="s">
        <v>77</v>
      </c>
      <c r="X437" t="s">
        <v>166</v>
      </c>
      <c r="Y437" t="s">
        <v>635</v>
      </c>
      <c r="Z437" t="s">
        <v>434</v>
      </c>
      <c r="AC437" t="str">
        <f>IF(AA437="",M437,AA437)</f>
        <v>sim</v>
      </c>
      <c r="AD437" t="str">
        <f>IF(AB437="",X437,AB437)</f>
        <v>não</v>
      </c>
      <c r="AE437" t="str">
        <f>IF(OR(Configuracao!B9="",Configuracao!B10=""),"aguardando limiar",IF(AND(K437&gt;=Configuracao!B9,K437/MAX(Reconciliacao!C2,1)&gt;=Configuracao!B10/100),"sim","não"))</f>
        <v>aguardando limiar</v>
      </c>
    </row>
    <row r="438" spans="1:31" x14ac:dyDescent="0.25">
      <c r="A438">
        <v>12221</v>
      </c>
      <c r="C438" t="s">
        <v>643</v>
      </c>
      <c r="D438" t="s">
        <v>587</v>
      </c>
      <c r="E438" t="s">
        <v>467</v>
      </c>
      <c r="F438" t="s">
        <v>196</v>
      </c>
      <c r="G438" t="s">
        <v>195</v>
      </c>
      <c r="H438" t="s">
        <v>194</v>
      </c>
      <c r="I438" t="s">
        <v>424</v>
      </c>
      <c r="J438" t="s">
        <v>424</v>
      </c>
      <c r="K438" s="4">
        <v>2129.25</v>
      </c>
      <c r="L438" s="4">
        <v>2129.25</v>
      </c>
      <c r="M438" t="s">
        <v>44</v>
      </c>
      <c r="N438" t="s">
        <v>77</v>
      </c>
      <c r="O438" t="s">
        <v>99</v>
      </c>
      <c r="P438" t="s">
        <v>99</v>
      </c>
      <c r="Q438" t="s">
        <v>128</v>
      </c>
      <c r="R438" t="s">
        <v>128</v>
      </c>
      <c r="S438" t="s">
        <v>197</v>
      </c>
      <c r="T438" t="s">
        <v>198</v>
      </c>
      <c r="U438" t="s">
        <v>163</v>
      </c>
      <c r="V438" t="s">
        <v>164</v>
      </c>
      <c r="W438" t="s">
        <v>77</v>
      </c>
      <c r="X438" t="s">
        <v>166</v>
      </c>
      <c r="Y438" t="s">
        <v>635</v>
      </c>
      <c r="Z438" t="s">
        <v>434</v>
      </c>
      <c r="AC438" t="str">
        <f>IF(AA438="",M438,AA438)</f>
        <v>sim</v>
      </c>
      <c r="AD438" t="str">
        <f>IF(AB438="",X438,AB438)</f>
        <v>não</v>
      </c>
      <c r="AE438" t="str">
        <f>IF(OR(Configuracao!B9="",Configuracao!B10=""),"aguardando limiar",IF(AND(K438&gt;=Configuracao!B9,K438/MAX(Reconciliacao!C2,1)&gt;=Configuracao!B10/100),"sim","não"))</f>
        <v>aguardando limiar</v>
      </c>
    </row>
    <row r="439" spans="1:31" x14ac:dyDescent="0.25">
      <c r="A439">
        <v>12777</v>
      </c>
      <c r="C439" t="s">
        <v>644</v>
      </c>
      <c r="D439" t="s">
        <v>587</v>
      </c>
      <c r="E439" t="s">
        <v>467</v>
      </c>
      <c r="F439" t="s">
        <v>196</v>
      </c>
      <c r="G439" t="s">
        <v>195</v>
      </c>
      <c r="H439" t="s">
        <v>194</v>
      </c>
      <c r="I439" t="s">
        <v>420</v>
      </c>
      <c r="J439" t="s">
        <v>420</v>
      </c>
      <c r="K439" s="4">
        <v>2129.25</v>
      </c>
      <c r="L439" s="4">
        <v>2129.25</v>
      </c>
      <c r="M439" t="s">
        <v>44</v>
      </c>
      <c r="N439" t="s">
        <v>77</v>
      </c>
      <c r="O439" t="s">
        <v>99</v>
      </c>
      <c r="P439" t="s">
        <v>99</v>
      </c>
      <c r="Q439" t="s">
        <v>128</v>
      </c>
      <c r="R439" t="s">
        <v>128</v>
      </c>
      <c r="S439" t="s">
        <v>197</v>
      </c>
      <c r="T439" t="s">
        <v>198</v>
      </c>
      <c r="U439" t="s">
        <v>163</v>
      </c>
      <c r="V439" t="s">
        <v>164</v>
      </c>
      <c r="W439" t="s">
        <v>77</v>
      </c>
      <c r="X439" t="s">
        <v>166</v>
      </c>
      <c r="Y439" t="s">
        <v>635</v>
      </c>
      <c r="Z439" t="s">
        <v>434</v>
      </c>
      <c r="AC439" t="str">
        <f>IF(AA439="",M439,AA439)</f>
        <v>sim</v>
      </c>
      <c r="AD439" t="str">
        <f>IF(AB439="",X439,AB439)</f>
        <v>não</v>
      </c>
      <c r="AE439" t="str">
        <f>IF(OR(Configuracao!B9="",Configuracao!B10=""),"aguardando limiar",IF(AND(K439&gt;=Configuracao!B9,K439/MAX(Reconciliacao!C2,1)&gt;=Configuracao!B10/100),"sim","não"))</f>
        <v>aguardando limiar</v>
      </c>
    </row>
    <row r="440" spans="1:31" x14ac:dyDescent="0.25">
      <c r="A440">
        <v>11503</v>
      </c>
      <c r="C440" t="s">
        <v>645</v>
      </c>
      <c r="D440" t="s">
        <v>587</v>
      </c>
      <c r="E440" t="s">
        <v>467</v>
      </c>
      <c r="F440" t="s">
        <v>196</v>
      </c>
      <c r="G440" t="s">
        <v>195</v>
      </c>
      <c r="H440" t="s">
        <v>194</v>
      </c>
      <c r="I440" t="s">
        <v>32</v>
      </c>
      <c r="J440" t="s">
        <v>32</v>
      </c>
      <c r="K440" s="4">
        <v>2162.65</v>
      </c>
      <c r="L440" s="4">
        <v>2162.65</v>
      </c>
      <c r="M440" t="s">
        <v>44</v>
      </c>
      <c r="N440" t="s">
        <v>77</v>
      </c>
      <c r="O440" t="s">
        <v>99</v>
      </c>
      <c r="P440" t="s">
        <v>99</v>
      </c>
      <c r="Q440" t="s">
        <v>128</v>
      </c>
      <c r="R440" t="s">
        <v>128</v>
      </c>
      <c r="S440" t="s">
        <v>197</v>
      </c>
      <c r="T440" t="s">
        <v>198</v>
      </c>
      <c r="U440" t="s">
        <v>163</v>
      </c>
      <c r="V440" t="s">
        <v>164</v>
      </c>
      <c r="W440" t="s">
        <v>77</v>
      </c>
      <c r="X440" t="s">
        <v>166</v>
      </c>
      <c r="Y440" t="s">
        <v>635</v>
      </c>
      <c r="Z440" t="s">
        <v>434</v>
      </c>
      <c r="AC440" t="str">
        <f>IF(AA440="",M440,AA440)</f>
        <v>sim</v>
      </c>
      <c r="AD440" t="str">
        <f>IF(AB440="",X440,AB440)</f>
        <v>não</v>
      </c>
      <c r="AE440" t="str">
        <f>IF(OR(Configuracao!B9="",Configuracao!B10=""),"aguardando limiar",IF(AND(K440&gt;=Configuracao!B9,K440/MAX(Reconciliacao!C2,1)&gt;=Configuracao!B10/100),"sim","não"))</f>
        <v>aguardando limiar</v>
      </c>
    </row>
    <row r="441" spans="1:31" x14ac:dyDescent="0.25">
      <c r="A441">
        <v>9690</v>
      </c>
      <c r="C441" t="s">
        <v>636</v>
      </c>
      <c r="D441" t="s">
        <v>587</v>
      </c>
      <c r="E441" t="s">
        <v>511</v>
      </c>
      <c r="F441" t="s">
        <v>196</v>
      </c>
      <c r="G441" t="s">
        <v>195</v>
      </c>
      <c r="H441" t="s">
        <v>194</v>
      </c>
      <c r="I441" t="s">
        <v>442</v>
      </c>
      <c r="J441" t="s">
        <v>442</v>
      </c>
      <c r="K441" s="4">
        <v>2397</v>
      </c>
      <c r="L441" s="4">
        <v>2397</v>
      </c>
      <c r="M441" t="s">
        <v>44</v>
      </c>
      <c r="N441" t="s">
        <v>77</v>
      </c>
      <c r="O441" t="s">
        <v>99</v>
      </c>
      <c r="P441" t="s">
        <v>99</v>
      </c>
      <c r="Q441" t="s">
        <v>128</v>
      </c>
      <c r="R441" t="s">
        <v>128</v>
      </c>
      <c r="S441" t="s">
        <v>197</v>
      </c>
      <c r="T441" t="s">
        <v>198</v>
      </c>
      <c r="U441" t="s">
        <v>163</v>
      </c>
      <c r="V441" t="s">
        <v>164</v>
      </c>
      <c r="W441" t="s">
        <v>77</v>
      </c>
      <c r="X441" t="s">
        <v>166</v>
      </c>
      <c r="Y441" t="s">
        <v>635</v>
      </c>
      <c r="Z441" t="s">
        <v>434</v>
      </c>
      <c r="AC441" t="str">
        <f>IF(AA441="",M441,AA441)</f>
        <v>sim</v>
      </c>
      <c r="AD441" t="str">
        <f>IF(AB441="",X441,AB441)</f>
        <v>não</v>
      </c>
      <c r="AE441" t="str">
        <f>IF(OR(Configuracao!B9="",Configuracao!B10=""),"aguardando limiar",IF(AND(K441&gt;=Configuracao!B9,K441/MAX(Reconciliacao!C2,1)&gt;=Configuracao!B10/100),"sim","não"))</f>
        <v>aguardando limiar</v>
      </c>
    </row>
    <row r="442" spans="1:31" x14ac:dyDescent="0.25">
      <c r="A442">
        <v>9639</v>
      </c>
      <c r="C442" t="s">
        <v>600</v>
      </c>
      <c r="D442" t="s">
        <v>575</v>
      </c>
      <c r="E442" t="s">
        <v>467</v>
      </c>
      <c r="F442" t="s">
        <v>196</v>
      </c>
      <c r="G442" t="s">
        <v>195</v>
      </c>
      <c r="H442" t="s">
        <v>194</v>
      </c>
      <c r="I442" t="s">
        <v>439</v>
      </c>
      <c r="J442" t="s">
        <v>439</v>
      </c>
      <c r="K442" s="4">
        <v>2501.93</v>
      </c>
      <c r="L442" s="4">
        <v>2501.93</v>
      </c>
      <c r="M442" t="s">
        <v>44</v>
      </c>
      <c r="N442" t="s">
        <v>77</v>
      </c>
      <c r="O442" t="s">
        <v>99</v>
      </c>
      <c r="P442" t="s">
        <v>99</v>
      </c>
      <c r="Q442" t="s">
        <v>128</v>
      </c>
      <c r="R442" t="s">
        <v>128</v>
      </c>
      <c r="S442" t="s">
        <v>197</v>
      </c>
      <c r="T442" t="s">
        <v>198</v>
      </c>
      <c r="U442" t="s">
        <v>163</v>
      </c>
      <c r="V442" t="s">
        <v>164</v>
      </c>
      <c r="W442" t="s">
        <v>77</v>
      </c>
      <c r="X442" t="s">
        <v>166</v>
      </c>
      <c r="Y442" t="s">
        <v>635</v>
      </c>
      <c r="Z442" t="s">
        <v>434</v>
      </c>
      <c r="AC442" t="str">
        <f>IF(AA442="",M442,AA442)</f>
        <v>sim</v>
      </c>
      <c r="AD442" t="str">
        <f>IF(AB442="",X442,AB442)</f>
        <v>não</v>
      </c>
      <c r="AE442" t="str">
        <f>IF(OR(Configuracao!B9="",Configuracao!B10=""),"aguardando limiar",IF(AND(K442&gt;=Configuracao!B9,K442/MAX(Reconciliacao!C2,1)&gt;=Configuracao!B10/100),"sim","não"))</f>
        <v>aguardando limiar</v>
      </c>
    </row>
    <row r="443" spans="1:31" x14ac:dyDescent="0.25">
      <c r="A443">
        <v>9609</v>
      </c>
      <c r="C443" t="s">
        <v>646</v>
      </c>
      <c r="D443" t="s">
        <v>583</v>
      </c>
      <c r="E443" t="s">
        <v>467</v>
      </c>
      <c r="F443" t="s">
        <v>196</v>
      </c>
      <c r="G443" t="s">
        <v>195</v>
      </c>
      <c r="H443" t="s">
        <v>194</v>
      </c>
      <c r="I443" t="s">
        <v>424</v>
      </c>
      <c r="J443" t="s">
        <v>424</v>
      </c>
      <c r="K443" s="4">
        <v>2577.37</v>
      </c>
      <c r="L443" s="4">
        <v>2577.37</v>
      </c>
      <c r="M443" t="s">
        <v>44</v>
      </c>
      <c r="N443" t="s">
        <v>77</v>
      </c>
      <c r="O443" t="s">
        <v>99</v>
      </c>
      <c r="P443" t="s">
        <v>99</v>
      </c>
      <c r="Q443" t="s">
        <v>128</v>
      </c>
      <c r="R443" t="s">
        <v>128</v>
      </c>
      <c r="S443" t="s">
        <v>197</v>
      </c>
      <c r="T443" t="s">
        <v>198</v>
      </c>
      <c r="U443" t="s">
        <v>163</v>
      </c>
      <c r="V443" t="s">
        <v>164</v>
      </c>
      <c r="W443" t="s">
        <v>77</v>
      </c>
      <c r="X443" t="s">
        <v>166</v>
      </c>
      <c r="Y443" t="s">
        <v>635</v>
      </c>
      <c r="Z443" t="s">
        <v>434</v>
      </c>
      <c r="AC443" t="str">
        <f>IF(AA443="",M443,AA443)</f>
        <v>sim</v>
      </c>
      <c r="AD443" t="str">
        <f>IF(AB443="",X443,AB443)</f>
        <v>não</v>
      </c>
      <c r="AE443" t="str">
        <f>IF(OR(Configuracao!B9="",Configuracao!B10=""),"aguardando limiar",IF(AND(K443&gt;=Configuracao!B9,K443/MAX(Reconciliacao!C2,1)&gt;=Configuracao!B10/100),"sim","não"))</f>
        <v>aguardando limiar</v>
      </c>
    </row>
    <row r="444" spans="1:31" x14ac:dyDescent="0.25">
      <c r="A444">
        <v>17302</v>
      </c>
      <c r="C444" t="s">
        <v>647</v>
      </c>
      <c r="D444" t="s">
        <v>510</v>
      </c>
      <c r="E444" t="s">
        <v>511</v>
      </c>
      <c r="F444" t="s">
        <v>196</v>
      </c>
      <c r="G444" t="s">
        <v>195</v>
      </c>
      <c r="H444" t="s">
        <v>194</v>
      </c>
      <c r="I444" t="s">
        <v>424</v>
      </c>
      <c r="J444" t="s">
        <v>424</v>
      </c>
      <c r="K444" s="4">
        <v>2771.36</v>
      </c>
      <c r="L444" s="4">
        <v>2771.36</v>
      </c>
      <c r="M444" t="s">
        <v>44</v>
      </c>
      <c r="N444" t="s">
        <v>77</v>
      </c>
      <c r="O444" t="s">
        <v>99</v>
      </c>
      <c r="P444" t="s">
        <v>99</v>
      </c>
      <c r="Q444" t="s">
        <v>128</v>
      </c>
      <c r="R444" t="s">
        <v>128</v>
      </c>
      <c r="S444" t="s">
        <v>197</v>
      </c>
      <c r="T444" t="s">
        <v>198</v>
      </c>
      <c r="U444" t="s">
        <v>163</v>
      </c>
      <c r="V444" t="s">
        <v>164</v>
      </c>
      <c r="W444" t="s">
        <v>77</v>
      </c>
      <c r="X444" t="s">
        <v>166</v>
      </c>
      <c r="Y444" t="s">
        <v>635</v>
      </c>
      <c r="Z444" t="s">
        <v>434</v>
      </c>
      <c r="AC444" t="str">
        <f>IF(AA444="",M444,AA444)</f>
        <v>sim</v>
      </c>
      <c r="AD444" t="str">
        <f>IF(AB444="",X444,AB444)</f>
        <v>não</v>
      </c>
      <c r="AE444" t="str">
        <f>IF(OR(Configuracao!B9="",Configuracao!B10=""),"aguardando limiar",IF(AND(K444&gt;=Configuracao!B9,K444/MAX(Reconciliacao!C2,1)&gt;=Configuracao!B10/100),"sim","não"))</f>
        <v>aguardando limiar</v>
      </c>
    </row>
    <row r="445" spans="1:31" x14ac:dyDescent="0.25">
      <c r="A445">
        <v>17219</v>
      </c>
      <c r="C445" t="s">
        <v>647</v>
      </c>
      <c r="D445" t="s">
        <v>510</v>
      </c>
      <c r="E445" t="s">
        <v>511</v>
      </c>
      <c r="F445" t="s">
        <v>196</v>
      </c>
      <c r="G445" t="s">
        <v>195</v>
      </c>
      <c r="H445" t="s">
        <v>194</v>
      </c>
      <c r="I445" t="s">
        <v>32</v>
      </c>
      <c r="J445" t="s">
        <v>32</v>
      </c>
      <c r="K445" s="4">
        <v>2788.37</v>
      </c>
      <c r="L445" s="4">
        <v>2788.37</v>
      </c>
      <c r="M445" t="s">
        <v>44</v>
      </c>
      <c r="N445" t="s">
        <v>77</v>
      </c>
      <c r="O445" t="s">
        <v>99</v>
      </c>
      <c r="P445" t="s">
        <v>99</v>
      </c>
      <c r="Q445" t="s">
        <v>128</v>
      </c>
      <c r="R445" t="s">
        <v>128</v>
      </c>
      <c r="S445" t="s">
        <v>197</v>
      </c>
      <c r="T445" t="s">
        <v>198</v>
      </c>
      <c r="U445" t="s">
        <v>163</v>
      </c>
      <c r="V445" t="s">
        <v>164</v>
      </c>
      <c r="W445" t="s">
        <v>77</v>
      </c>
      <c r="X445" t="s">
        <v>166</v>
      </c>
      <c r="Y445" t="s">
        <v>635</v>
      </c>
      <c r="Z445" t="s">
        <v>434</v>
      </c>
      <c r="AC445" t="str">
        <f>IF(AA445="",M445,AA445)</f>
        <v>sim</v>
      </c>
      <c r="AD445" t="str">
        <f>IF(AB445="",X445,AB445)</f>
        <v>não</v>
      </c>
      <c r="AE445" t="str">
        <f>IF(OR(Configuracao!B9="",Configuracao!B10=""),"aguardando limiar",IF(AND(K445&gt;=Configuracao!B9,K445/MAX(Reconciliacao!C2,1)&gt;=Configuracao!B10/100),"sim","não"))</f>
        <v>aguardando limiar</v>
      </c>
    </row>
    <row r="446" spans="1:31" x14ac:dyDescent="0.25">
      <c r="A446">
        <v>12612</v>
      </c>
      <c r="C446" t="s">
        <v>647</v>
      </c>
      <c r="D446" t="s">
        <v>510</v>
      </c>
      <c r="E446" t="s">
        <v>511</v>
      </c>
      <c r="F446" t="s">
        <v>196</v>
      </c>
      <c r="G446" t="s">
        <v>195</v>
      </c>
      <c r="H446" t="s">
        <v>194</v>
      </c>
      <c r="I446" t="s">
        <v>420</v>
      </c>
      <c r="J446" t="s">
        <v>420</v>
      </c>
      <c r="K446" s="4">
        <v>2788.38</v>
      </c>
      <c r="L446" s="4">
        <v>2788.38</v>
      </c>
      <c r="M446" t="s">
        <v>44</v>
      </c>
      <c r="N446" t="s">
        <v>77</v>
      </c>
      <c r="O446" t="s">
        <v>99</v>
      </c>
      <c r="P446" t="s">
        <v>99</v>
      </c>
      <c r="Q446" t="s">
        <v>128</v>
      </c>
      <c r="R446" t="s">
        <v>128</v>
      </c>
      <c r="S446" t="s">
        <v>197</v>
      </c>
      <c r="T446" t="s">
        <v>198</v>
      </c>
      <c r="U446" t="s">
        <v>163</v>
      </c>
      <c r="V446" t="s">
        <v>164</v>
      </c>
      <c r="W446" t="s">
        <v>77</v>
      </c>
      <c r="X446" t="s">
        <v>166</v>
      </c>
      <c r="Y446" t="s">
        <v>635</v>
      </c>
      <c r="Z446" t="s">
        <v>434</v>
      </c>
      <c r="AC446" t="str">
        <f>IF(AA446="",M446,AA446)</f>
        <v>sim</v>
      </c>
      <c r="AD446" t="str">
        <f>IF(AB446="",X446,AB446)</f>
        <v>não</v>
      </c>
      <c r="AE446" t="str">
        <f>IF(OR(Configuracao!B9="",Configuracao!B10=""),"aguardando limiar",IF(AND(K446&gt;=Configuracao!B9,K446/MAX(Reconciliacao!C2,1)&gt;=Configuracao!B10/100),"sim","não"))</f>
        <v>aguardando limiar</v>
      </c>
    </row>
    <row r="447" spans="1:31" x14ac:dyDescent="0.25">
      <c r="A447">
        <v>13402</v>
      </c>
      <c r="C447" t="s">
        <v>647</v>
      </c>
      <c r="D447" t="s">
        <v>510</v>
      </c>
      <c r="E447" t="s">
        <v>467</v>
      </c>
      <c r="F447" t="s">
        <v>196</v>
      </c>
      <c r="G447" t="s">
        <v>195</v>
      </c>
      <c r="H447" t="s">
        <v>194</v>
      </c>
      <c r="I447" t="s">
        <v>420</v>
      </c>
      <c r="J447" t="s">
        <v>420</v>
      </c>
      <c r="K447" s="4">
        <v>2788.38</v>
      </c>
      <c r="L447" s="4">
        <v>2788.38</v>
      </c>
      <c r="M447" t="s">
        <v>44</v>
      </c>
      <c r="N447" t="s">
        <v>77</v>
      </c>
      <c r="O447" t="s">
        <v>99</v>
      </c>
      <c r="P447" t="s">
        <v>99</v>
      </c>
      <c r="Q447" t="s">
        <v>128</v>
      </c>
      <c r="R447" t="s">
        <v>128</v>
      </c>
      <c r="S447" t="s">
        <v>197</v>
      </c>
      <c r="T447" t="s">
        <v>198</v>
      </c>
      <c r="U447" t="s">
        <v>163</v>
      </c>
      <c r="V447" t="s">
        <v>164</v>
      </c>
      <c r="W447" t="s">
        <v>77</v>
      </c>
      <c r="X447" t="s">
        <v>166</v>
      </c>
      <c r="Y447" t="s">
        <v>635</v>
      </c>
      <c r="Z447" t="s">
        <v>434</v>
      </c>
      <c r="AC447" t="str">
        <f>IF(AA447="",M447,AA447)</f>
        <v>sim</v>
      </c>
      <c r="AD447" t="str">
        <f>IF(AB447="",X447,AB447)</f>
        <v>não</v>
      </c>
      <c r="AE447" t="str">
        <f>IF(OR(Configuracao!B9="",Configuracao!B10=""),"aguardando limiar",IF(AND(K447&gt;=Configuracao!B9,K447/MAX(Reconciliacao!C2,1)&gt;=Configuracao!B10/100),"sim","não"))</f>
        <v>aguardando limiar</v>
      </c>
    </row>
    <row r="448" spans="1:31" x14ac:dyDescent="0.25">
      <c r="A448">
        <v>11489</v>
      </c>
      <c r="C448" t="s">
        <v>605</v>
      </c>
      <c r="D448" t="s">
        <v>510</v>
      </c>
      <c r="E448" t="s">
        <v>525</v>
      </c>
      <c r="F448" t="s">
        <v>196</v>
      </c>
      <c r="G448" t="s">
        <v>195</v>
      </c>
      <c r="H448" t="s">
        <v>194</v>
      </c>
      <c r="I448" t="s">
        <v>32</v>
      </c>
      <c r="J448" t="s">
        <v>32</v>
      </c>
      <c r="K448" s="4">
        <v>2797.27</v>
      </c>
      <c r="L448" s="4">
        <v>2797.27</v>
      </c>
      <c r="M448" t="s">
        <v>44</v>
      </c>
      <c r="N448" t="s">
        <v>77</v>
      </c>
      <c r="O448" t="s">
        <v>99</v>
      </c>
      <c r="P448" t="s">
        <v>99</v>
      </c>
      <c r="Q448" t="s">
        <v>128</v>
      </c>
      <c r="R448" t="s">
        <v>128</v>
      </c>
      <c r="S448" t="s">
        <v>197</v>
      </c>
      <c r="T448" t="s">
        <v>198</v>
      </c>
      <c r="U448" t="s">
        <v>163</v>
      </c>
      <c r="V448" t="s">
        <v>164</v>
      </c>
      <c r="W448" t="s">
        <v>77</v>
      </c>
      <c r="X448" t="s">
        <v>166</v>
      </c>
      <c r="Y448" t="s">
        <v>635</v>
      </c>
      <c r="Z448" t="s">
        <v>434</v>
      </c>
      <c r="AC448" t="str">
        <f>IF(AA448="",M448,AA448)</f>
        <v>sim</v>
      </c>
      <c r="AD448" t="str">
        <f>IF(AB448="",X448,AB448)</f>
        <v>não</v>
      </c>
      <c r="AE448" t="str">
        <f>IF(OR(Configuracao!B9="",Configuracao!B10=""),"aguardando limiar",IF(AND(K448&gt;=Configuracao!B9,K448/MAX(Reconciliacao!C2,1)&gt;=Configuracao!B10/100),"sim","não"))</f>
        <v>aguardando limiar</v>
      </c>
    </row>
    <row r="449" spans="1:31" x14ac:dyDescent="0.25">
      <c r="A449">
        <v>9610</v>
      </c>
      <c r="C449" t="s">
        <v>646</v>
      </c>
      <c r="D449" t="s">
        <v>583</v>
      </c>
      <c r="E449" t="s">
        <v>467</v>
      </c>
      <c r="F449" t="s">
        <v>196</v>
      </c>
      <c r="G449" t="s">
        <v>195</v>
      </c>
      <c r="H449" t="s">
        <v>194</v>
      </c>
      <c r="I449" t="s">
        <v>420</v>
      </c>
      <c r="J449" t="s">
        <v>420</v>
      </c>
      <c r="K449" s="4">
        <v>2810.45</v>
      </c>
      <c r="L449" s="4">
        <v>2810.45</v>
      </c>
      <c r="M449" t="s">
        <v>44</v>
      </c>
      <c r="N449" t="s">
        <v>77</v>
      </c>
      <c r="O449" t="s">
        <v>99</v>
      </c>
      <c r="P449" t="s">
        <v>99</v>
      </c>
      <c r="Q449" t="s">
        <v>128</v>
      </c>
      <c r="R449" t="s">
        <v>128</v>
      </c>
      <c r="S449" t="s">
        <v>197</v>
      </c>
      <c r="T449" t="s">
        <v>198</v>
      </c>
      <c r="U449" t="s">
        <v>163</v>
      </c>
      <c r="V449" t="s">
        <v>164</v>
      </c>
      <c r="W449" t="s">
        <v>77</v>
      </c>
      <c r="X449" t="s">
        <v>166</v>
      </c>
      <c r="Y449" t="s">
        <v>635</v>
      </c>
      <c r="Z449" t="s">
        <v>434</v>
      </c>
      <c r="AC449" t="str">
        <f>IF(AA449="",M449,AA449)</f>
        <v>sim</v>
      </c>
      <c r="AD449" t="str">
        <f>IF(AB449="",X449,AB449)</f>
        <v>não</v>
      </c>
      <c r="AE449" t="str">
        <f>IF(OR(Configuracao!B9="",Configuracao!B10=""),"aguardando limiar",IF(AND(K449&gt;=Configuracao!B9,K449/MAX(Reconciliacao!C2,1)&gt;=Configuracao!B10/100),"sim","não"))</f>
        <v>aguardando limiar</v>
      </c>
    </row>
    <row r="450" spans="1:31" x14ac:dyDescent="0.25">
      <c r="A450">
        <v>9614</v>
      </c>
      <c r="C450" t="s">
        <v>646</v>
      </c>
      <c r="D450" t="s">
        <v>583</v>
      </c>
      <c r="E450" t="s">
        <v>467</v>
      </c>
      <c r="F450" t="s">
        <v>196</v>
      </c>
      <c r="G450" t="s">
        <v>195</v>
      </c>
      <c r="H450" t="s">
        <v>194</v>
      </c>
      <c r="I450" t="s">
        <v>439</v>
      </c>
      <c r="J450" t="s">
        <v>439</v>
      </c>
      <c r="K450" s="4">
        <v>2889.25</v>
      </c>
      <c r="L450" s="4">
        <v>2889.25</v>
      </c>
      <c r="M450" t="s">
        <v>44</v>
      </c>
      <c r="N450" t="s">
        <v>77</v>
      </c>
      <c r="O450" t="s">
        <v>99</v>
      </c>
      <c r="P450" t="s">
        <v>99</v>
      </c>
      <c r="Q450" t="s">
        <v>128</v>
      </c>
      <c r="R450" t="s">
        <v>128</v>
      </c>
      <c r="S450" t="s">
        <v>197</v>
      </c>
      <c r="T450" t="s">
        <v>198</v>
      </c>
      <c r="U450" t="s">
        <v>163</v>
      </c>
      <c r="V450" t="s">
        <v>164</v>
      </c>
      <c r="W450" t="s">
        <v>77</v>
      </c>
      <c r="X450" t="s">
        <v>166</v>
      </c>
      <c r="Y450" t="s">
        <v>635</v>
      </c>
      <c r="Z450" t="s">
        <v>434</v>
      </c>
      <c r="AC450" t="str">
        <f>IF(AA450="",M450,AA450)</f>
        <v>sim</v>
      </c>
      <c r="AD450" t="str">
        <f>IF(AB450="",X450,AB450)</f>
        <v>não</v>
      </c>
      <c r="AE450" t="str">
        <f>IF(OR(Configuracao!B9="",Configuracao!B10=""),"aguardando limiar",IF(AND(K450&gt;=Configuracao!B9,K450/MAX(Reconciliacao!C2,1)&gt;=Configuracao!B10/100),"sim","não"))</f>
        <v>aguardando limiar</v>
      </c>
    </row>
    <row r="451" spans="1:31" x14ac:dyDescent="0.25">
      <c r="A451">
        <v>9613</v>
      </c>
      <c r="C451" t="s">
        <v>648</v>
      </c>
      <c r="D451" t="s">
        <v>583</v>
      </c>
      <c r="E451" t="s">
        <v>467</v>
      </c>
      <c r="F451" t="s">
        <v>196</v>
      </c>
      <c r="G451" t="s">
        <v>195</v>
      </c>
      <c r="H451" t="s">
        <v>194</v>
      </c>
      <c r="I451" t="s">
        <v>442</v>
      </c>
      <c r="J451" t="s">
        <v>442</v>
      </c>
      <c r="K451" s="4">
        <v>2938.44</v>
      </c>
      <c r="L451" s="4">
        <v>2938.44</v>
      </c>
      <c r="M451" t="s">
        <v>44</v>
      </c>
      <c r="N451" t="s">
        <v>77</v>
      </c>
      <c r="O451" t="s">
        <v>99</v>
      </c>
      <c r="P451" t="s">
        <v>99</v>
      </c>
      <c r="Q451" t="s">
        <v>128</v>
      </c>
      <c r="R451" t="s">
        <v>128</v>
      </c>
      <c r="S451" t="s">
        <v>197</v>
      </c>
      <c r="T451" t="s">
        <v>198</v>
      </c>
      <c r="U451" t="s">
        <v>163</v>
      </c>
      <c r="V451" t="s">
        <v>164</v>
      </c>
      <c r="W451" t="s">
        <v>77</v>
      </c>
      <c r="X451" t="s">
        <v>166</v>
      </c>
      <c r="Y451" t="s">
        <v>635</v>
      </c>
      <c r="Z451" t="s">
        <v>434</v>
      </c>
      <c r="AC451" t="str">
        <f>IF(AA451="",M451,AA451)</f>
        <v>sim</v>
      </c>
      <c r="AD451" t="str">
        <f>IF(AB451="",X451,AB451)</f>
        <v>não</v>
      </c>
      <c r="AE451" t="str">
        <f>IF(OR(Configuracao!B9="",Configuracao!B10=""),"aguardando limiar",IF(AND(K451&gt;=Configuracao!B9,K451/MAX(Reconciliacao!C2,1)&gt;=Configuracao!B10/100),"sim","não"))</f>
        <v>aguardando limiar</v>
      </c>
    </row>
    <row r="452" spans="1:31" x14ac:dyDescent="0.25">
      <c r="A452">
        <v>18980</v>
      </c>
      <c r="C452" t="s">
        <v>641</v>
      </c>
      <c r="D452" t="s">
        <v>510</v>
      </c>
      <c r="E452" t="s">
        <v>467</v>
      </c>
      <c r="F452" t="s">
        <v>196</v>
      </c>
      <c r="G452" t="s">
        <v>195</v>
      </c>
      <c r="H452" t="s">
        <v>194</v>
      </c>
      <c r="I452" t="s">
        <v>35</v>
      </c>
      <c r="J452" t="s">
        <v>35</v>
      </c>
      <c r="K452" s="4">
        <v>3201.53</v>
      </c>
      <c r="L452" s="4">
        <v>3201.53</v>
      </c>
      <c r="M452" t="s">
        <v>44</v>
      </c>
      <c r="N452" t="s">
        <v>77</v>
      </c>
      <c r="O452" t="s">
        <v>99</v>
      </c>
      <c r="P452" t="s">
        <v>99</v>
      </c>
      <c r="Q452" t="s">
        <v>128</v>
      </c>
      <c r="R452" t="s">
        <v>128</v>
      </c>
      <c r="S452" t="s">
        <v>197</v>
      </c>
      <c r="T452" t="s">
        <v>198</v>
      </c>
      <c r="U452" t="s">
        <v>163</v>
      </c>
      <c r="V452" t="s">
        <v>164</v>
      </c>
      <c r="W452" t="s">
        <v>77</v>
      </c>
      <c r="X452" t="s">
        <v>166</v>
      </c>
      <c r="Y452" t="s">
        <v>635</v>
      </c>
      <c r="Z452" t="s">
        <v>434</v>
      </c>
      <c r="AC452" t="str">
        <f>IF(AA452="",M452,AA452)</f>
        <v>sim</v>
      </c>
      <c r="AD452" t="str">
        <f>IF(AB452="",X452,AB452)</f>
        <v>não</v>
      </c>
      <c r="AE452" t="str">
        <f>IF(OR(Configuracao!B9="",Configuracao!B10=""),"aguardando limiar",IF(AND(K452&gt;=Configuracao!B9,K452/MAX(Reconciliacao!C2,1)&gt;=Configuracao!B10/100),"sim","não"))</f>
        <v>aguardando limiar</v>
      </c>
    </row>
    <row r="453" spans="1:31" x14ac:dyDescent="0.25">
      <c r="A453">
        <v>14938</v>
      </c>
      <c r="C453" t="s">
        <v>649</v>
      </c>
      <c r="D453" t="s">
        <v>587</v>
      </c>
      <c r="E453" t="s">
        <v>467</v>
      </c>
      <c r="F453" t="s">
        <v>196</v>
      </c>
      <c r="G453" t="s">
        <v>195</v>
      </c>
      <c r="H453" t="s">
        <v>194</v>
      </c>
      <c r="I453" t="s">
        <v>454</v>
      </c>
      <c r="J453" t="s">
        <v>454</v>
      </c>
      <c r="K453" s="4">
        <v>3235.95</v>
      </c>
      <c r="L453" s="4">
        <v>3235.95</v>
      </c>
      <c r="M453" t="s">
        <v>44</v>
      </c>
      <c r="N453" t="s">
        <v>77</v>
      </c>
      <c r="O453" t="s">
        <v>99</v>
      </c>
      <c r="P453" t="s">
        <v>99</v>
      </c>
      <c r="Q453" t="s">
        <v>128</v>
      </c>
      <c r="R453" t="s">
        <v>128</v>
      </c>
      <c r="S453" t="s">
        <v>197</v>
      </c>
      <c r="T453" t="s">
        <v>198</v>
      </c>
      <c r="U453" t="s">
        <v>163</v>
      </c>
      <c r="V453" t="s">
        <v>164</v>
      </c>
      <c r="W453" t="s">
        <v>77</v>
      </c>
      <c r="X453" t="s">
        <v>166</v>
      </c>
      <c r="Y453" t="s">
        <v>635</v>
      </c>
      <c r="Z453" t="s">
        <v>434</v>
      </c>
      <c r="AC453" t="str">
        <f>IF(AA453="",M453,AA453)</f>
        <v>sim</v>
      </c>
      <c r="AD453" t="str">
        <f>IF(AB453="",X453,AB453)</f>
        <v>não</v>
      </c>
      <c r="AE453" t="str">
        <f>IF(OR(Configuracao!B9="",Configuracao!B10=""),"aguardando limiar",IF(AND(K453&gt;=Configuracao!B9,K453/MAX(Reconciliacao!C2,1)&gt;=Configuracao!B10/100),"sim","não"))</f>
        <v>aguardando limiar</v>
      </c>
    </row>
    <row r="454" spans="1:31" x14ac:dyDescent="0.25">
      <c r="A454">
        <v>16881</v>
      </c>
      <c r="C454" t="s">
        <v>641</v>
      </c>
      <c r="D454" t="s">
        <v>510</v>
      </c>
      <c r="E454" t="s">
        <v>467</v>
      </c>
      <c r="F454" t="s">
        <v>196</v>
      </c>
      <c r="G454" t="s">
        <v>195</v>
      </c>
      <c r="H454" t="s">
        <v>194</v>
      </c>
      <c r="I454" t="s">
        <v>461</v>
      </c>
      <c r="J454" t="s">
        <v>461</v>
      </c>
      <c r="K454" s="4">
        <v>3235.95</v>
      </c>
      <c r="L454" s="4">
        <v>3235.95</v>
      </c>
      <c r="M454" t="s">
        <v>44</v>
      </c>
      <c r="N454" t="s">
        <v>77</v>
      </c>
      <c r="O454" t="s">
        <v>99</v>
      </c>
      <c r="P454" t="s">
        <v>99</v>
      </c>
      <c r="Q454" t="s">
        <v>128</v>
      </c>
      <c r="R454" t="s">
        <v>128</v>
      </c>
      <c r="S454" t="s">
        <v>197</v>
      </c>
      <c r="T454" t="s">
        <v>198</v>
      </c>
      <c r="U454" t="s">
        <v>163</v>
      </c>
      <c r="V454" t="s">
        <v>164</v>
      </c>
      <c r="W454" t="s">
        <v>77</v>
      </c>
      <c r="X454" t="s">
        <v>166</v>
      </c>
      <c r="Y454" t="s">
        <v>635</v>
      </c>
      <c r="Z454" t="s">
        <v>434</v>
      </c>
      <c r="AC454" t="str">
        <f>IF(AA454="",M454,AA454)</f>
        <v>sim</v>
      </c>
      <c r="AD454" t="str">
        <f>IF(AB454="",X454,AB454)</f>
        <v>não</v>
      </c>
      <c r="AE454" t="str">
        <f>IF(OR(Configuracao!B9="",Configuracao!B10=""),"aguardando limiar",IF(AND(K454&gt;=Configuracao!B9,K454/MAX(Reconciliacao!C2,1)&gt;=Configuracao!B10/100),"sim","não"))</f>
        <v>aguardando limiar</v>
      </c>
    </row>
    <row r="455" spans="1:31" x14ac:dyDescent="0.25">
      <c r="A455">
        <v>9612</v>
      </c>
      <c r="C455" t="s">
        <v>646</v>
      </c>
      <c r="D455" t="s">
        <v>583</v>
      </c>
      <c r="E455" t="s">
        <v>467</v>
      </c>
      <c r="F455" t="s">
        <v>196</v>
      </c>
      <c r="G455" t="s">
        <v>195</v>
      </c>
      <c r="H455" t="s">
        <v>194</v>
      </c>
      <c r="I455" t="s">
        <v>461</v>
      </c>
      <c r="J455" t="s">
        <v>461</v>
      </c>
      <c r="K455" s="4">
        <v>3415.48</v>
      </c>
      <c r="L455" s="4">
        <v>3415.48</v>
      </c>
      <c r="M455" t="s">
        <v>44</v>
      </c>
      <c r="N455" t="s">
        <v>77</v>
      </c>
      <c r="O455" t="s">
        <v>99</v>
      </c>
      <c r="P455" t="s">
        <v>99</v>
      </c>
      <c r="Q455" t="s">
        <v>128</v>
      </c>
      <c r="R455" t="s">
        <v>128</v>
      </c>
      <c r="S455" t="s">
        <v>197</v>
      </c>
      <c r="T455" t="s">
        <v>198</v>
      </c>
      <c r="U455" t="s">
        <v>163</v>
      </c>
      <c r="V455" t="s">
        <v>164</v>
      </c>
      <c r="W455" t="s">
        <v>77</v>
      </c>
      <c r="X455" t="s">
        <v>166</v>
      </c>
      <c r="Y455" t="s">
        <v>635</v>
      </c>
      <c r="Z455" t="s">
        <v>434</v>
      </c>
      <c r="AC455" t="str">
        <f>IF(AA455="",M455,AA455)</f>
        <v>sim</v>
      </c>
      <c r="AD455" t="str">
        <f>IF(AB455="",X455,AB455)</f>
        <v>não</v>
      </c>
      <c r="AE455" t="str">
        <f>IF(OR(Configuracao!B9="",Configuracao!B10=""),"aguardando limiar",IF(AND(K455&gt;=Configuracao!B9,K455/MAX(Reconciliacao!C2,1)&gt;=Configuracao!B10/100),"sim","não"))</f>
        <v>aguardando limiar</v>
      </c>
    </row>
    <row r="456" spans="1:31" x14ac:dyDescent="0.25">
      <c r="A456">
        <v>9608</v>
      </c>
      <c r="C456" t="s">
        <v>650</v>
      </c>
      <c r="D456" t="s">
        <v>583</v>
      </c>
      <c r="E456" t="s">
        <v>467</v>
      </c>
      <c r="F456" t="s">
        <v>196</v>
      </c>
      <c r="G456" t="s">
        <v>195</v>
      </c>
      <c r="H456" t="s">
        <v>194</v>
      </c>
      <c r="I456" t="s">
        <v>32</v>
      </c>
      <c r="J456" t="s">
        <v>32</v>
      </c>
      <c r="K456" s="4">
        <v>3921.5</v>
      </c>
      <c r="L456" s="4">
        <v>3921.5</v>
      </c>
      <c r="M456" t="s">
        <v>44</v>
      </c>
      <c r="N456" t="s">
        <v>77</v>
      </c>
      <c r="O456" t="s">
        <v>99</v>
      </c>
      <c r="P456" t="s">
        <v>99</v>
      </c>
      <c r="Q456" t="s">
        <v>128</v>
      </c>
      <c r="R456" t="s">
        <v>128</v>
      </c>
      <c r="S456" t="s">
        <v>197</v>
      </c>
      <c r="T456" t="s">
        <v>198</v>
      </c>
      <c r="U456" t="s">
        <v>163</v>
      </c>
      <c r="V456" t="s">
        <v>164</v>
      </c>
      <c r="W456" t="s">
        <v>77</v>
      </c>
      <c r="X456" t="s">
        <v>166</v>
      </c>
      <c r="Y456" t="s">
        <v>635</v>
      </c>
      <c r="Z456" t="s">
        <v>434</v>
      </c>
      <c r="AC456" t="str">
        <f>IF(AA456="",M456,AA456)</f>
        <v>sim</v>
      </c>
      <c r="AD456" t="str">
        <f>IF(AB456="",X456,AB456)</f>
        <v>não</v>
      </c>
      <c r="AE456" t="str">
        <f>IF(OR(Configuracao!B9="",Configuracao!B10=""),"aguardando limiar",IF(AND(K456&gt;=Configuracao!B9,K456/MAX(Reconciliacao!C2,1)&gt;=Configuracao!B10/100),"sim","não"))</f>
        <v>aguardando limiar</v>
      </c>
    </row>
    <row r="457" spans="1:31" x14ac:dyDescent="0.25">
      <c r="A457">
        <v>18236</v>
      </c>
      <c r="C457" t="s">
        <v>643</v>
      </c>
      <c r="D457" t="s">
        <v>587</v>
      </c>
      <c r="E457" t="s">
        <v>467</v>
      </c>
      <c r="F457" t="s">
        <v>196</v>
      </c>
      <c r="G457" t="s">
        <v>195</v>
      </c>
      <c r="H457" t="s">
        <v>194</v>
      </c>
      <c r="I457" t="s">
        <v>439</v>
      </c>
      <c r="J457" t="s">
        <v>439</v>
      </c>
      <c r="K457" s="4">
        <v>4391.23</v>
      </c>
      <c r="L457" s="4">
        <v>4391.23</v>
      </c>
      <c r="M457" t="s">
        <v>44</v>
      </c>
      <c r="N457" t="s">
        <v>77</v>
      </c>
      <c r="O457" t="s">
        <v>99</v>
      </c>
      <c r="P457" t="s">
        <v>99</v>
      </c>
      <c r="Q457" t="s">
        <v>128</v>
      </c>
      <c r="R457" t="s">
        <v>128</v>
      </c>
      <c r="S457" t="s">
        <v>197</v>
      </c>
      <c r="T457" t="s">
        <v>198</v>
      </c>
      <c r="U457" t="s">
        <v>163</v>
      </c>
      <c r="V457" t="s">
        <v>164</v>
      </c>
      <c r="W457" t="s">
        <v>77</v>
      </c>
      <c r="X457" t="s">
        <v>166</v>
      </c>
      <c r="Y457" t="s">
        <v>635</v>
      </c>
      <c r="Z457" t="s">
        <v>434</v>
      </c>
      <c r="AC457" t="str">
        <f>IF(AA457="",M457,AA457)</f>
        <v>sim</v>
      </c>
      <c r="AD457" t="str">
        <f>IF(AB457="",X457,AB457)</f>
        <v>não</v>
      </c>
      <c r="AE457" t="str">
        <f>IF(OR(Configuracao!B9="",Configuracao!B10=""),"aguardando limiar",IF(AND(K457&gt;=Configuracao!B9,K457/MAX(Reconciliacao!C2,1)&gt;=Configuracao!B10/100),"sim","não"))</f>
        <v>aguardando limiar</v>
      </c>
    </row>
    <row r="458" spans="1:31" x14ac:dyDescent="0.25">
      <c r="A458">
        <v>18582</v>
      </c>
      <c r="C458" t="s">
        <v>509</v>
      </c>
      <c r="D458" t="s">
        <v>510</v>
      </c>
      <c r="E458" t="s">
        <v>511</v>
      </c>
      <c r="F458" t="s">
        <v>196</v>
      </c>
      <c r="G458" t="s">
        <v>195</v>
      </c>
      <c r="H458" t="s">
        <v>194</v>
      </c>
      <c r="I458" t="s">
        <v>439</v>
      </c>
      <c r="J458" t="s">
        <v>439</v>
      </c>
      <c r="K458" s="4">
        <v>4877</v>
      </c>
      <c r="L458" s="4">
        <v>4877</v>
      </c>
      <c r="M458" t="s">
        <v>44</v>
      </c>
      <c r="N458" t="s">
        <v>77</v>
      </c>
      <c r="O458" t="s">
        <v>99</v>
      </c>
      <c r="P458" t="s">
        <v>99</v>
      </c>
      <c r="Q458" t="s">
        <v>128</v>
      </c>
      <c r="R458" t="s">
        <v>128</v>
      </c>
      <c r="S458" t="s">
        <v>197</v>
      </c>
      <c r="T458" t="s">
        <v>198</v>
      </c>
      <c r="U458" t="s">
        <v>163</v>
      </c>
      <c r="V458" t="s">
        <v>164</v>
      </c>
      <c r="W458" t="s">
        <v>77</v>
      </c>
      <c r="X458" t="s">
        <v>166</v>
      </c>
      <c r="Y458" t="s">
        <v>635</v>
      </c>
      <c r="Z458" t="s">
        <v>434</v>
      </c>
      <c r="AC458" t="str">
        <f>IF(AA458="",M458,AA458)</f>
        <v>sim</v>
      </c>
      <c r="AD458" t="str">
        <f>IF(AB458="",X458,AB458)</f>
        <v>não</v>
      </c>
      <c r="AE458" t="str">
        <f>IF(OR(Configuracao!B9="",Configuracao!B10=""),"aguardando limiar",IF(AND(K458&gt;=Configuracao!B9,K458/MAX(Reconciliacao!C2,1)&gt;=Configuracao!B10/100),"sim","não"))</f>
        <v>aguardando limiar</v>
      </c>
    </row>
    <row r="459" spans="1:31" x14ac:dyDescent="0.25">
      <c r="A459">
        <v>19344</v>
      </c>
      <c r="C459" t="s">
        <v>509</v>
      </c>
      <c r="D459" t="s">
        <v>510</v>
      </c>
      <c r="E459" t="s">
        <v>511</v>
      </c>
      <c r="F459" t="s">
        <v>196</v>
      </c>
      <c r="G459" t="s">
        <v>195</v>
      </c>
      <c r="H459" t="s">
        <v>194</v>
      </c>
      <c r="I459" t="s">
        <v>35</v>
      </c>
      <c r="J459" t="s">
        <v>35</v>
      </c>
      <c r="K459" s="4">
        <v>4877</v>
      </c>
      <c r="L459" s="4">
        <v>4877</v>
      </c>
      <c r="M459" t="s">
        <v>44</v>
      </c>
      <c r="N459" t="s">
        <v>77</v>
      </c>
      <c r="O459" t="s">
        <v>99</v>
      </c>
      <c r="P459" t="s">
        <v>99</v>
      </c>
      <c r="Q459" t="s">
        <v>128</v>
      </c>
      <c r="R459" t="s">
        <v>128</v>
      </c>
      <c r="S459" t="s">
        <v>197</v>
      </c>
      <c r="T459" t="s">
        <v>198</v>
      </c>
      <c r="U459" t="s">
        <v>163</v>
      </c>
      <c r="V459" t="s">
        <v>164</v>
      </c>
      <c r="W459" t="s">
        <v>77</v>
      </c>
      <c r="X459" t="s">
        <v>166</v>
      </c>
      <c r="Y459" t="s">
        <v>635</v>
      </c>
      <c r="Z459" t="s">
        <v>434</v>
      </c>
      <c r="AC459" t="str">
        <f>IF(AA459="",M459,AA459)</f>
        <v>sim</v>
      </c>
      <c r="AD459" t="str">
        <f>IF(AB459="",X459,AB459)</f>
        <v>não</v>
      </c>
      <c r="AE459" t="str">
        <f>IF(OR(Configuracao!B9="",Configuracao!B10=""),"aguardando limiar",IF(AND(K459&gt;=Configuracao!B9,K459/MAX(Reconciliacao!C2,1)&gt;=Configuracao!B10/100),"sim","não"))</f>
        <v>aguardando limiar</v>
      </c>
    </row>
    <row r="460" spans="1:31" x14ac:dyDescent="0.25">
      <c r="A460">
        <v>18574</v>
      </c>
      <c r="C460" t="s">
        <v>509</v>
      </c>
      <c r="D460" t="s">
        <v>510</v>
      </c>
      <c r="E460" t="s">
        <v>511</v>
      </c>
      <c r="F460" t="s">
        <v>196</v>
      </c>
      <c r="G460" t="s">
        <v>195</v>
      </c>
      <c r="H460" t="s">
        <v>194</v>
      </c>
      <c r="I460" t="s">
        <v>439</v>
      </c>
      <c r="J460" t="s">
        <v>439</v>
      </c>
      <c r="K460" s="4">
        <v>4884</v>
      </c>
      <c r="L460" s="4">
        <v>4884</v>
      </c>
      <c r="M460" t="s">
        <v>44</v>
      </c>
      <c r="N460" t="s">
        <v>77</v>
      </c>
      <c r="O460" t="s">
        <v>99</v>
      </c>
      <c r="P460" t="s">
        <v>99</v>
      </c>
      <c r="Q460" t="s">
        <v>128</v>
      </c>
      <c r="R460" t="s">
        <v>128</v>
      </c>
      <c r="S460" t="s">
        <v>197</v>
      </c>
      <c r="T460" t="s">
        <v>198</v>
      </c>
      <c r="U460" t="s">
        <v>163</v>
      </c>
      <c r="V460" t="s">
        <v>164</v>
      </c>
      <c r="W460" t="s">
        <v>77</v>
      </c>
      <c r="X460" t="s">
        <v>166</v>
      </c>
      <c r="Y460" t="s">
        <v>635</v>
      </c>
      <c r="Z460" t="s">
        <v>434</v>
      </c>
      <c r="AC460" t="str">
        <f>IF(AA460="",M460,AA460)</f>
        <v>sim</v>
      </c>
      <c r="AD460" t="str">
        <f>IF(AB460="",X460,AB460)</f>
        <v>não</v>
      </c>
      <c r="AE460" t="str">
        <f>IF(OR(Configuracao!B9="",Configuracao!B10=""),"aguardando limiar",IF(AND(K460&gt;=Configuracao!B9,K460/MAX(Reconciliacao!C2,1)&gt;=Configuracao!B10/100),"sim","não"))</f>
        <v>aguardando limiar</v>
      </c>
    </row>
    <row r="461" spans="1:31" x14ac:dyDescent="0.25">
      <c r="A461">
        <v>17790</v>
      </c>
      <c r="C461" t="s">
        <v>509</v>
      </c>
      <c r="D461" t="s">
        <v>510</v>
      </c>
      <c r="E461" t="s">
        <v>511</v>
      </c>
      <c r="F461" t="s">
        <v>196</v>
      </c>
      <c r="G461" t="s">
        <v>195</v>
      </c>
      <c r="H461" t="s">
        <v>194</v>
      </c>
      <c r="I461" t="s">
        <v>442</v>
      </c>
      <c r="J461" t="s">
        <v>442</v>
      </c>
      <c r="K461" s="4">
        <v>4940</v>
      </c>
      <c r="L461" s="4">
        <v>4940</v>
      </c>
      <c r="M461" t="s">
        <v>44</v>
      </c>
      <c r="N461" t="s">
        <v>77</v>
      </c>
      <c r="O461" t="s">
        <v>99</v>
      </c>
      <c r="P461" t="s">
        <v>99</v>
      </c>
      <c r="Q461" t="s">
        <v>128</v>
      </c>
      <c r="R461" t="s">
        <v>128</v>
      </c>
      <c r="S461" t="s">
        <v>197</v>
      </c>
      <c r="T461" t="s">
        <v>198</v>
      </c>
      <c r="U461" t="s">
        <v>163</v>
      </c>
      <c r="V461" t="s">
        <v>164</v>
      </c>
      <c r="W461" t="s">
        <v>77</v>
      </c>
      <c r="X461" t="s">
        <v>166</v>
      </c>
      <c r="Y461" t="s">
        <v>635</v>
      </c>
      <c r="Z461" t="s">
        <v>434</v>
      </c>
      <c r="AC461" t="str">
        <f>IF(AA461="",M461,AA461)</f>
        <v>sim</v>
      </c>
      <c r="AD461" t="str">
        <f>IF(AB461="",X461,AB461)</f>
        <v>não</v>
      </c>
      <c r="AE461" t="str">
        <f>IF(OR(Configuracao!B9="",Configuracao!B10=""),"aguardando limiar",IF(AND(K461&gt;=Configuracao!B9,K461/MAX(Reconciliacao!C2,1)&gt;=Configuracao!B10/100),"sim","não"))</f>
        <v>aguardando limiar</v>
      </c>
    </row>
    <row r="462" spans="1:31" x14ac:dyDescent="0.25">
      <c r="A462">
        <v>11552</v>
      </c>
      <c r="C462" t="s">
        <v>509</v>
      </c>
      <c r="D462" t="s">
        <v>510</v>
      </c>
      <c r="E462" t="s">
        <v>511</v>
      </c>
      <c r="F462" t="s">
        <v>196</v>
      </c>
      <c r="G462" t="s">
        <v>195</v>
      </c>
      <c r="H462" t="s">
        <v>194</v>
      </c>
      <c r="I462" t="s">
        <v>32</v>
      </c>
      <c r="J462" t="s">
        <v>32</v>
      </c>
      <c r="K462" s="4">
        <v>4950</v>
      </c>
      <c r="L462" s="4">
        <v>4950</v>
      </c>
      <c r="M462" t="s">
        <v>44</v>
      </c>
      <c r="N462" t="s">
        <v>77</v>
      </c>
      <c r="O462" t="s">
        <v>99</v>
      </c>
      <c r="P462" t="s">
        <v>99</v>
      </c>
      <c r="Q462" t="s">
        <v>128</v>
      </c>
      <c r="R462" t="s">
        <v>128</v>
      </c>
      <c r="S462" t="s">
        <v>197</v>
      </c>
      <c r="T462" t="s">
        <v>198</v>
      </c>
      <c r="U462" t="s">
        <v>163</v>
      </c>
      <c r="V462" t="s">
        <v>164</v>
      </c>
      <c r="W462" t="s">
        <v>77</v>
      </c>
      <c r="X462" t="s">
        <v>166</v>
      </c>
      <c r="Y462" t="s">
        <v>635</v>
      </c>
      <c r="Z462" t="s">
        <v>434</v>
      </c>
      <c r="AC462" t="str">
        <f>IF(AA462="",M462,AA462)</f>
        <v>sim</v>
      </c>
      <c r="AD462" t="str">
        <f>IF(AB462="",X462,AB462)</f>
        <v>não</v>
      </c>
      <c r="AE462" t="str">
        <f>IF(OR(Configuracao!B9="",Configuracao!B10=""),"aguardando limiar",IF(AND(K462&gt;=Configuracao!B9,K462/MAX(Reconciliacao!C2,1)&gt;=Configuracao!B10/100),"sim","não"))</f>
        <v>aguardando limiar</v>
      </c>
    </row>
    <row r="463" spans="1:31" x14ac:dyDescent="0.25">
      <c r="A463">
        <v>12321</v>
      </c>
      <c r="C463" t="s">
        <v>509</v>
      </c>
      <c r="D463" t="s">
        <v>510</v>
      </c>
      <c r="E463" t="s">
        <v>511</v>
      </c>
      <c r="F463" t="s">
        <v>196</v>
      </c>
      <c r="G463" t="s">
        <v>195</v>
      </c>
      <c r="H463" t="s">
        <v>194</v>
      </c>
      <c r="I463" t="s">
        <v>424</v>
      </c>
      <c r="J463" t="s">
        <v>424</v>
      </c>
      <c r="K463" s="4">
        <v>4950</v>
      </c>
      <c r="L463" s="4">
        <v>4950</v>
      </c>
      <c r="M463" t="s">
        <v>44</v>
      </c>
      <c r="N463" t="s">
        <v>77</v>
      </c>
      <c r="O463" t="s">
        <v>99</v>
      </c>
      <c r="P463" t="s">
        <v>99</v>
      </c>
      <c r="Q463" t="s">
        <v>128</v>
      </c>
      <c r="R463" t="s">
        <v>128</v>
      </c>
      <c r="S463" t="s">
        <v>197</v>
      </c>
      <c r="T463" t="s">
        <v>198</v>
      </c>
      <c r="U463" t="s">
        <v>163</v>
      </c>
      <c r="V463" t="s">
        <v>164</v>
      </c>
      <c r="W463" t="s">
        <v>77</v>
      </c>
      <c r="X463" t="s">
        <v>166</v>
      </c>
      <c r="Y463" t="s">
        <v>635</v>
      </c>
      <c r="Z463" t="s">
        <v>434</v>
      </c>
      <c r="AC463" t="str">
        <f>IF(AA463="",M463,AA463)</f>
        <v>sim</v>
      </c>
      <c r="AD463" t="str">
        <f>IF(AB463="",X463,AB463)</f>
        <v>não</v>
      </c>
      <c r="AE463" t="str">
        <f>IF(OR(Configuracao!B9="",Configuracao!B10=""),"aguardando limiar",IF(AND(K463&gt;=Configuracao!B9,K463/MAX(Reconciliacao!C2,1)&gt;=Configuracao!B10/100),"sim","não"))</f>
        <v>aguardando limiar</v>
      </c>
    </row>
    <row r="464" spans="1:31" x14ac:dyDescent="0.25">
      <c r="A464">
        <v>12609</v>
      </c>
      <c r="C464" t="s">
        <v>509</v>
      </c>
      <c r="D464" t="s">
        <v>510</v>
      </c>
      <c r="E464" t="s">
        <v>511</v>
      </c>
      <c r="F464" t="s">
        <v>196</v>
      </c>
      <c r="G464" t="s">
        <v>195</v>
      </c>
      <c r="H464" t="s">
        <v>194</v>
      </c>
      <c r="I464" t="s">
        <v>420</v>
      </c>
      <c r="J464" t="s">
        <v>420</v>
      </c>
      <c r="K464" s="4">
        <v>4950</v>
      </c>
      <c r="L464" s="4">
        <v>4950</v>
      </c>
      <c r="M464" t="s">
        <v>44</v>
      </c>
      <c r="N464" t="s">
        <v>77</v>
      </c>
      <c r="O464" t="s">
        <v>99</v>
      </c>
      <c r="P464" t="s">
        <v>99</v>
      </c>
      <c r="Q464" t="s">
        <v>128</v>
      </c>
      <c r="R464" t="s">
        <v>128</v>
      </c>
      <c r="S464" t="s">
        <v>197</v>
      </c>
      <c r="T464" t="s">
        <v>198</v>
      </c>
      <c r="U464" t="s">
        <v>163</v>
      </c>
      <c r="V464" t="s">
        <v>164</v>
      </c>
      <c r="W464" t="s">
        <v>77</v>
      </c>
      <c r="X464" t="s">
        <v>166</v>
      </c>
      <c r="Y464" t="s">
        <v>635</v>
      </c>
      <c r="Z464" t="s">
        <v>434</v>
      </c>
      <c r="AC464" t="str">
        <f>IF(AA464="",M464,AA464)</f>
        <v>sim</v>
      </c>
      <c r="AD464" t="str">
        <f>IF(AB464="",X464,AB464)</f>
        <v>não</v>
      </c>
      <c r="AE464" t="str">
        <f>IF(OR(Configuracao!B9="",Configuracao!B10=""),"aguardando limiar",IF(AND(K464&gt;=Configuracao!B9,K464/MAX(Reconciliacao!C2,1)&gt;=Configuracao!B10/100),"sim","não"))</f>
        <v>aguardando limiar</v>
      </c>
    </row>
    <row r="465" spans="1:31" x14ac:dyDescent="0.25">
      <c r="A465">
        <v>17313</v>
      </c>
      <c r="C465" t="s">
        <v>509</v>
      </c>
      <c r="D465" t="s">
        <v>510</v>
      </c>
      <c r="E465" t="s">
        <v>511</v>
      </c>
      <c r="F465" t="s">
        <v>196</v>
      </c>
      <c r="G465" t="s">
        <v>195</v>
      </c>
      <c r="H465" t="s">
        <v>194</v>
      </c>
      <c r="I465" t="s">
        <v>454</v>
      </c>
      <c r="J465" t="s">
        <v>454</v>
      </c>
      <c r="K465" s="4">
        <v>4950</v>
      </c>
      <c r="L465" s="4">
        <v>4950</v>
      </c>
      <c r="M465" t="s">
        <v>44</v>
      </c>
      <c r="N465" t="s">
        <v>77</v>
      </c>
      <c r="O465" t="s">
        <v>99</v>
      </c>
      <c r="P465" t="s">
        <v>99</v>
      </c>
      <c r="Q465" t="s">
        <v>128</v>
      </c>
      <c r="R465" t="s">
        <v>128</v>
      </c>
      <c r="S465" t="s">
        <v>197</v>
      </c>
      <c r="T465" t="s">
        <v>198</v>
      </c>
      <c r="U465" t="s">
        <v>163</v>
      </c>
      <c r="V465" t="s">
        <v>164</v>
      </c>
      <c r="W465" t="s">
        <v>77</v>
      </c>
      <c r="X465" t="s">
        <v>166</v>
      </c>
      <c r="Y465" t="s">
        <v>635</v>
      </c>
      <c r="Z465" t="s">
        <v>434</v>
      </c>
      <c r="AC465" t="str">
        <f>IF(AA465="",M465,AA465)</f>
        <v>sim</v>
      </c>
      <c r="AD465" t="str">
        <f>IF(AB465="",X465,AB465)</f>
        <v>não</v>
      </c>
      <c r="AE465" t="str">
        <f>IF(OR(Configuracao!B9="",Configuracao!B10=""),"aguardando limiar",IF(AND(K465&gt;=Configuracao!B9,K465/MAX(Reconciliacao!C2,1)&gt;=Configuracao!B10/100),"sim","não"))</f>
        <v>aguardando limiar</v>
      </c>
    </row>
    <row r="466" spans="1:31" x14ac:dyDescent="0.25">
      <c r="A466">
        <v>17322</v>
      </c>
      <c r="C466" t="s">
        <v>509</v>
      </c>
      <c r="D466" t="s">
        <v>510</v>
      </c>
      <c r="E466" t="s">
        <v>511</v>
      </c>
      <c r="F466" t="s">
        <v>196</v>
      </c>
      <c r="G466" t="s">
        <v>195</v>
      </c>
      <c r="H466" t="s">
        <v>194</v>
      </c>
      <c r="I466" t="s">
        <v>461</v>
      </c>
      <c r="J466" t="s">
        <v>461</v>
      </c>
      <c r="K466" s="4">
        <v>4950</v>
      </c>
      <c r="L466" s="4">
        <v>4950</v>
      </c>
      <c r="M466" t="s">
        <v>44</v>
      </c>
      <c r="N466" t="s">
        <v>77</v>
      </c>
      <c r="O466" t="s">
        <v>99</v>
      </c>
      <c r="P466" t="s">
        <v>99</v>
      </c>
      <c r="Q466" t="s">
        <v>128</v>
      </c>
      <c r="R466" t="s">
        <v>128</v>
      </c>
      <c r="S466" t="s">
        <v>197</v>
      </c>
      <c r="T466" t="s">
        <v>198</v>
      </c>
      <c r="U466" t="s">
        <v>163</v>
      </c>
      <c r="V466" t="s">
        <v>164</v>
      </c>
      <c r="W466" t="s">
        <v>77</v>
      </c>
      <c r="X466" t="s">
        <v>166</v>
      </c>
      <c r="Y466" t="s">
        <v>635</v>
      </c>
      <c r="Z466" t="s">
        <v>434</v>
      </c>
      <c r="AC466" t="str">
        <f>IF(AA466="",M466,AA466)</f>
        <v>sim</v>
      </c>
      <c r="AD466" t="str">
        <f>IF(AB466="",X466,AB466)</f>
        <v>não</v>
      </c>
      <c r="AE466" t="str">
        <f>IF(OR(Configuracao!B9="",Configuracao!B10=""),"aguardando limiar",IF(AND(K466&gt;=Configuracao!B9,K466/MAX(Reconciliacao!C2,1)&gt;=Configuracao!B10/100),"sim","não"))</f>
        <v>aguardando limiar</v>
      </c>
    </row>
    <row r="467" spans="1:31" x14ac:dyDescent="0.25">
      <c r="A467">
        <v>9611</v>
      </c>
      <c r="C467" t="s">
        <v>646</v>
      </c>
      <c r="D467" t="s">
        <v>583</v>
      </c>
      <c r="E467" t="s">
        <v>467</v>
      </c>
      <c r="F467" t="s">
        <v>196</v>
      </c>
      <c r="G467" t="s">
        <v>195</v>
      </c>
      <c r="H467" t="s">
        <v>194</v>
      </c>
      <c r="I467" t="s">
        <v>454</v>
      </c>
      <c r="J467" t="s">
        <v>454</v>
      </c>
      <c r="K467" s="4">
        <v>5340.79</v>
      </c>
      <c r="L467" s="4">
        <v>5340.79</v>
      </c>
      <c r="M467" t="s">
        <v>44</v>
      </c>
      <c r="N467" t="s">
        <v>77</v>
      </c>
      <c r="O467" t="s">
        <v>99</v>
      </c>
      <c r="P467" t="s">
        <v>99</v>
      </c>
      <c r="Q467" t="s">
        <v>128</v>
      </c>
      <c r="R467" t="s">
        <v>128</v>
      </c>
      <c r="S467" t="s">
        <v>197</v>
      </c>
      <c r="T467" t="s">
        <v>198</v>
      </c>
      <c r="U467" t="s">
        <v>163</v>
      </c>
      <c r="V467" t="s">
        <v>164</v>
      </c>
      <c r="W467" t="s">
        <v>77</v>
      </c>
      <c r="X467" t="s">
        <v>166</v>
      </c>
      <c r="Y467" t="s">
        <v>635</v>
      </c>
      <c r="Z467" t="s">
        <v>434</v>
      </c>
      <c r="AC467" t="str">
        <f>IF(AA467="",M467,AA467)</f>
        <v>sim</v>
      </c>
      <c r="AD467" t="str">
        <f>IF(AB467="",X467,AB467)</f>
        <v>não</v>
      </c>
      <c r="AE467" t="str">
        <f>IF(OR(Configuracao!B9="",Configuracao!B10=""),"aguardando limiar",IF(AND(K467&gt;=Configuracao!B9,K467/MAX(Reconciliacao!C2,1)&gt;=Configuracao!B10/100),"sim","não"))</f>
        <v>aguardando limiar</v>
      </c>
    </row>
    <row r="468" spans="1:31" x14ac:dyDescent="0.25">
      <c r="A468">
        <v>19001</v>
      </c>
      <c r="C468" t="s">
        <v>651</v>
      </c>
      <c r="D468" t="s">
        <v>587</v>
      </c>
      <c r="E468" t="s">
        <v>467</v>
      </c>
      <c r="F468" t="s">
        <v>196</v>
      </c>
      <c r="G468" t="s">
        <v>195</v>
      </c>
      <c r="H468" t="s">
        <v>194</v>
      </c>
      <c r="I468" t="s">
        <v>35</v>
      </c>
      <c r="J468" t="s">
        <v>35</v>
      </c>
      <c r="K468" s="4">
        <v>6719.25</v>
      </c>
      <c r="L468" s="4">
        <v>6719.25</v>
      </c>
      <c r="M468" t="s">
        <v>44</v>
      </c>
      <c r="N468" t="s">
        <v>77</v>
      </c>
      <c r="O468" t="s">
        <v>99</v>
      </c>
      <c r="P468" t="s">
        <v>99</v>
      </c>
      <c r="Q468" t="s">
        <v>128</v>
      </c>
      <c r="R468" t="s">
        <v>128</v>
      </c>
      <c r="S468" t="s">
        <v>197</v>
      </c>
      <c r="T468" t="s">
        <v>198</v>
      </c>
      <c r="U468" t="s">
        <v>163</v>
      </c>
      <c r="V468" t="s">
        <v>164</v>
      </c>
      <c r="W468" t="s">
        <v>77</v>
      </c>
      <c r="X468" t="s">
        <v>166</v>
      </c>
      <c r="Y468" t="s">
        <v>635</v>
      </c>
      <c r="Z468" t="s">
        <v>434</v>
      </c>
      <c r="AC468" t="str">
        <f>IF(AA468="",M468,AA468)</f>
        <v>sim</v>
      </c>
      <c r="AD468" t="str">
        <f>IF(AB468="",X468,AB468)</f>
        <v>não</v>
      </c>
      <c r="AE468" t="str">
        <f>IF(OR(Configuracao!B9="",Configuracao!B10=""),"aguardando limiar",IF(AND(K468&gt;=Configuracao!B9,K468/MAX(Reconciliacao!C2,1)&gt;=Configuracao!B10/100),"sim","não"))</f>
        <v>aguardando limiar</v>
      </c>
    </row>
    <row r="469" spans="1:31" x14ac:dyDescent="0.25">
      <c r="A469">
        <v>15838</v>
      </c>
      <c r="C469" t="s">
        <v>652</v>
      </c>
      <c r="D469" t="s">
        <v>653</v>
      </c>
      <c r="E469" t="s">
        <v>451</v>
      </c>
      <c r="F469" t="s">
        <v>282</v>
      </c>
      <c r="G469" t="s">
        <v>281</v>
      </c>
      <c r="H469" t="s">
        <v>280</v>
      </c>
      <c r="I469" t="s">
        <v>461</v>
      </c>
      <c r="J469" t="s">
        <v>461</v>
      </c>
      <c r="K469" s="4">
        <v>5.69</v>
      </c>
      <c r="L469" s="4">
        <v>5.69</v>
      </c>
      <c r="M469" t="s">
        <v>44</v>
      </c>
      <c r="N469" t="s">
        <v>77</v>
      </c>
      <c r="O469" t="s">
        <v>99</v>
      </c>
      <c r="P469" t="s">
        <v>99</v>
      </c>
      <c r="Q469" t="s">
        <v>191</v>
      </c>
      <c r="R469" t="s">
        <v>283</v>
      </c>
      <c r="S469" t="s">
        <v>185</v>
      </c>
      <c r="T469" t="s">
        <v>198</v>
      </c>
      <c r="U469" t="s">
        <v>163</v>
      </c>
      <c r="V469" t="s">
        <v>164</v>
      </c>
      <c r="W469" t="s">
        <v>116</v>
      </c>
      <c r="X469" t="s">
        <v>44</v>
      </c>
      <c r="Y469" t="s">
        <v>99</v>
      </c>
      <c r="Z469" t="s">
        <v>421</v>
      </c>
      <c r="AC469" t="str">
        <f>IF(AA469="",M469,AA469)</f>
        <v>sim</v>
      </c>
      <c r="AD469" t="str">
        <f>IF(AB469="",X469,AB469)</f>
        <v>sim</v>
      </c>
      <c r="AE469" t="str">
        <f>IF(OR(Configuracao!B9="",Configuracao!B10=""),"aguardando limiar",IF(AND(K469&gt;=Configuracao!B9,K469/MAX(Reconciliacao!C2,1)&gt;=Configuracao!B10/100),"sim","não"))</f>
        <v>aguardando limiar</v>
      </c>
    </row>
    <row r="470" spans="1:31" x14ac:dyDescent="0.25">
      <c r="A470">
        <v>17983</v>
      </c>
      <c r="C470" t="s">
        <v>652</v>
      </c>
      <c r="D470" t="s">
        <v>450</v>
      </c>
      <c r="E470" t="s">
        <v>451</v>
      </c>
      <c r="F470" t="s">
        <v>282</v>
      </c>
      <c r="G470" t="s">
        <v>281</v>
      </c>
      <c r="H470" t="s">
        <v>280</v>
      </c>
      <c r="I470" t="s">
        <v>439</v>
      </c>
      <c r="J470" t="s">
        <v>439</v>
      </c>
      <c r="K470" s="4">
        <v>6.23</v>
      </c>
      <c r="L470" s="4">
        <v>6.23</v>
      </c>
      <c r="M470" t="s">
        <v>44</v>
      </c>
      <c r="N470" t="s">
        <v>77</v>
      </c>
      <c r="O470" t="s">
        <v>99</v>
      </c>
      <c r="P470" t="s">
        <v>99</v>
      </c>
      <c r="Q470" t="s">
        <v>191</v>
      </c>
      <c r="R470" t="s">
        <v>283</v>
      </c>
      <c r="S470" t="s">
        <v>185</v>
      </c>
      <c r="T470" t="s">
        <v>198</v>
      </c>
      <c r="U470" t="s">
        <v>163</v>
      </c>
      <c r="V470" t="s">
        <v>164</v>
      </c>
      <c r="W470" t="s">
        <v>116</v>
      </c>
      <c r="X470" t="s">
        <v>44</v>
      </c>
      <c r="Y470" t="s">
        <v>99</v>
      </c>
      <c r="Z470" t="s">
        <v>421</v>
      </c>
      <c r="AC470" t="str">
        <f>IF(AA470="",M470,AA470)</f>
        <v>sim</v>
      </c>
      <c r="AD470" t="str">
        <f>IF(AB470="",X470,AB470)</f>
        <v>sim</v>
      </c>
      <c r="AE470" t="str">
        <f>IF(OR(Configuracao!B9="",Configuracao!B10=""),"aguardando limiar",IF(AND(K470&gt;=Configuracao!B9,K470/MAX(Reconciliacao!C2,1)&gt;=Configuracao!B10/100),"sim","não"))</f>
        <v>aguardando limiar</v>
      </c>
    </row>
    <row r="471" spans="1:31" x14ac:dyDescent="0.25">
      <c r="A471">
        <v>18145</v>
      </c>
      <c r="C471" t="s">
        <v>652</v>
      </c>
      <c r="D471" t="s">
        <v>450</v>
      </c>
      <c r="E471" t="s">
        <v>451</v>
      </c>
      <c r="F471" t="s">
        <v>282</v>
      </c>
      <c r="G471" t="s">
        <v>281</v>
      </c>
      <c r="H471" t="s">
        <v>280</v>
      </c>
      <c r="I471" t="s">
        <v>439</v>
      </c>
      <c r="J471" t="s">
        <v>439</v>
      </c>
      <c r="K471" s="4">
        <v>6.23</v>
      </c>
      <c r="L471" s="4">
        <v>6.23</v>
      </c>
      <c r="M471" t="s">
        <v>44</v>
      </c>
      <c r="N471" t="s">
        <v>77</v>
      </c>
      <c r="O471" t="s">
        <v>99</v>
      </c>
      <c r="P471" t="s">
        <v>99</v>
      </c>
      <c r="Q471" t="s">
        <v>191</v>
      </c>
      <c r="R471" t="s">
        <v>283</v>
      </c>
      <c r="S471" t="s">
        <v>185</v>
      </c>
      <c r="T471" t="s">
        <v>198</v>
      </c>
      <c r="U471" t="s">
        <v>163</v>
      </c>
      <c r="V471" t="s">
        <v>164</v>
      </c>
      <c r="W471" t="s">
        <v>116</v>
      </c>
      <c r="X471" t="s">
        <v>44</v>
      </c>
      <c r="Y471" t="s">
        <v>99</v>
      </c>
      <c r="Z471" t="s">
        <v>421</v>
      </c>
      <c r="AC471" t="str">
        <f>IF(AA471="",M471,AA471)</f>
        <v>sim</v>
      </c>
      <c r="AD471" t="str">
        <f>IF(AB471="",X471,AB471)</f>
        <v>sim</v>
      </c>
      <c r="AE471" t="str">
        <f>IF(OR(Configuracao!B9="",Configuracao!B10=""),"aguardando limiar",IF(AND(K471&gt;=Configuracao!B9,K471/MAX(Reconciliacao!C2,1)&gt;=Configuracao!B10/100),"sim","não"))</f>
        <v>aguardando limiar</v>
      </c>
    </row>
    <row r="472" spans="1:31" x14ac:dyDescent="0.25">
      <c r="A472">
        <v>17869</v>
      </c>
      <c r="C472" t="s">
        <v>654</v>
      </c>
      <c r="D472" t="s">
        <v>450</v>
      </c>
      <c r="E472" t="s">
        <v>451</v>
      </c>
      <c r="F472" t="s">
        <v>282</v>
      </c>
      <c r="G472" t="s">
        <v>281</v>
      </c>
      <c r="H472" t="s">
        <v>280</v>
      </c>
      <c r="I472" t="s">
        <v>439</v>
      </c>
      <c r="J472" t="s">
        <v>439</v>
      </c>
      <c r="K472" s="4">
        <v>9.07</v>
      </c>
      <c r="L472" s="4">
        <v>9.07</v>
      </c>
      <c r="M472" t="s">
        <v>44</v>
      </c>
      <c r="N472" t="s">
        <v>77</v>
      </c>
      <c r="O472" t="s">
        <v>99</v>
      </c>
      <c r="P472" t="s">
        <v>99</v>
      </c>
      <c r="Q472" t="s">
        <v>191</v>
      </c>
      <c r="R472" t="s">
        <v>283</v>
      </c>
      <c r="S472" t="s">
        <v>185</v>
      </c>
      <c r="T472" t="s">
        <v>198</v>
      </c>
      <c r="U472" t="s">
        <v>163</v>
      </c>
      <c r="V472" t="s">
        <v>164</v>
      </c>
      <c r="W472" t="s">
        <v>116</v>
      </c>
      <c r="X472" t="s">
        <v>44</v>
      </c>
      <c r="Y472" t="s">
        <v>99</v>
      </c>
      <c r="Z472" t="s">
        <v>421</v>
      </c>
      <c r="AC472" t="str">
        <f>IF(AA472="",M472,AA472)</f>
        <v>sim</v>
      </c>
      <c r="AD472" t="str">
        <f>IF(AB472="",X472,AB472)</f>
        <v>sim</v>
      </c>
      <c r="AE472" t="str">
        <f>IF(OR(Configuracao!B9="",Configuracao!B10=""),"aguardando limiar",IF(AND(K472&gt;=Configuracao!B9,K472/MAX(Reconciliacao!C2,1)&gt;=Configuracao!B10/100),"sim","não"))</f>
        <v>aguardando limiar</v>
      </c>
    </row>
    <row r="473" spans="1:31" x14ac:dyDescent="0.25">
      <c r="A473">
        <v>12760</v>
      </c>
      <c r="C473" t="s">
        <v>652</v>
      </c>
      <c r="D473" t="s">
        <v>450</v>
      </c>
      <c r="E473" t="s">
        <v>451</v>
      </c>
      <c r="F473" t="s">
        <v>282</v>
      </c>
      <c r="G473" t="s">
        <v>281</v>
      </c>
      <c r="H473" t="s">
        <v>280</v>
      </c>
      <c r="I473" t="s">
        <v>420</v>
      </c>
      <c r="J473" t="s">
        <v>420</v>
      </c>
      <c r="K473" s="4">
        <v>15.9</v>
      </c>
      <c r="L473" s="4">
        <v>15.9</v>
      </c>
      <c r="M473" t="s">
        <v>44</v>
      </c>
      <c r="N473" t="s">
        <v>77</v>
      </c>
      <c r="O473" t="s">
        <v>99</v>
      </c>
      <c r="P473" t="s">
        <v>99</v>
      </c>
      <c r="Q473" t="s">
        <v>191</v>
      </c>
      <c r="R473" t="s">
        <v>283</v>
      </c>
      <c r="S473" t="s">
        <v>185</v>
      </c>
      <c r="T473" t="s">
        <v>198</v>
      </c>
      <c r="U473" t="s">
        <v>163</v>
      </c>
      <c r="V473" t="s">
        <v>164</v>
      </c>
      <c r="W473" t="s">
        <v>116</v>
      </c>
      <c r="X473" t="s">
        <v>44</v>
      </c>
      <c r="Y473" t="s">
        <v>99</v>
      </c>
      <c r="Z473" t="s">
        <v>421</v>
      </c>
      <c r="AC473" t="str">
        <f>IF(AA473="",M473,AA473)</f>
        <v>sim</v>
      </c>
      <c r="AD473" t="str">
        <f>IF(AB473="",X473,AB473)</f>
        <v>sim</v>
      </c>
      <c r="AE473" t="str">
        <f>IF(OR(Configuracao!B9="",Configuracao!B10=""),"aguardando limiar",IF(AND(K473&gt;=Configuracao!B9,K473/MAX(Reconciliacao!C2,1)&gt;=Configuracao!B10/100),"sim","não"))</f>
        <v>aguardando limiar</v>
      </c>
    </row>
    <row r="474" spans="1:31" x14ac:dyDescent="0.25">
      <c r="A474">
        <v>12662</v>
      </c>
      <c r="C474" t="s">
        <v>652</v>
      </c>
      <c r="D474" t="s">
        <v>450</v>
      </c>
      <c r="E474" t="s">
        <v>451</v>
      </c>
      <c r="F474" t="s">
        <v>282</v>
      </c>
      <c r="G474" t="s">
        <v>281</v>
      </c>
      <c r="H474" t="s">
        <v>280</v>
      </c>
      <c r="I474" t="s">
        <v>420</v>
      </c>
      <c r="J474" t="s">
        <v>420</v>
      </c>
      <c r="K474" s="4">
        <v>32.89</v>
      </c>
      <c r="L474" s="4">
        <v>32.89</v>
      </c>
      <c r="M474" t="s">
        <v>44</v>
      </c>
      <c r="N474" t="s">
        <v>77</v>
      </c>
      <c r="O474" t="s">
        <v>99</v>
      </c>
      <c r="P474" t="s">
        <v>99</v>
      </c>
      <c r="Q474" t="s">
        <v>191</v>
      </c>
      <c r="R474" t="s">
        <v>283</v>
      </c>
      <c r="S474" t="s">
        <v>185</v>
      </c>
      <c r="T474" t="s">
        <v>198</v>
      </c>
      <c r="U474" t="s">
        <v>163</v>
      </c>
      <c r="V474" t="s">
        <v>164</v>
      </c>
      <c r="W474" t="s">
        <v>116</v>
      </c>
      <c r="X474" t="s">
        <v>44</v>
      </c>
      <c r="Y474" t="s">
        <v>99</v>
      </c>
      <c r="Z474" t="s">
        <v>421</v>
      </c>
      <c r="AC474" t="str">
        <f>IF(AA474="",M474,AA474)</f>
        <v>sim</v>
      </c>
      <c r="AD474" t="str">
        <f>IF(AB474="",X474,AB474)</f>
        <v>sim</v>
      </c>
      <c r="AE474" t="str">
        <f>IF(OR(Configuracao!B9="",Configuracao!B10=""),"aguardando limiar",IF(AND(K474&gt;=Configuracao!B9,K474/MAX(Reconciliacao!C2,1)&gt;=Configuracao!B10/100),"sim","não"))</f>
        <v>aguardando limiar</v>
      </c>
    </row>
    <row r="475" spans="1:31" x14ac:dyDescent="0.25">
      <c r="A475">
        <v>17440</v>
      </c>
      <c r="C475" t="s">
        <v>654</v>
      </c>
      <c r="D475" t="s">
        <v>450</v>
      </c>
      <c r="E475" t="s">
        <v>451</v>
      </c>
      <c r="F475" t="s">
        <v>282</v>
      </c>
      <c r="G475" t="s">
        <v>281</v>
      </c>
      <c r="H475" t="s">
        <v>280</v>
      </c>
      <c r="I475" t="s">
        <v>442</v>
      </c>
      <c r="J475" t="s">
        <v>442</v>
      </c>
      <c r="K475" s="4">
        <v>38.99</v>
      </c>
      <c r="L475" s="4">
        <v>38.99</v>
      </c>
      <c r="M475" t="s">
        <v>44</v>
      </c>
      <c r="N475" t="s">
        <v>77</v>
      </c>
      <c r="O475" t="s">
        <v>99</v>
      </c>
      <c r="P475" t="s">
        <v>99</v>
      </c>
      <c r="Q475" t="s">
        <v>191</v>
      </c>
      <c r="R475" t="s">
        <v>283</v>
      </c>
      <c r="S475" t="s">
        <v>185</v>
      </c>
      <c r="T475" t="s">
        <v>198</v>
      </c>
      <c r="U475" t="s">
        <v>163</v>
      </c>
      <c r="V475" t="s">
        <v>164</v>
      </c>
      <c r="W475" t="s">
        <v>116</v>
      </c>
      <c r="X475" t="s">
        <v>44</v>
      </c>
      <c r="Y475" t="s">
        <v>99</v>
      </c>
      <c r="Z475" t="s">
        <v>421</v>
      </c>
      <c r="AC475" t="str">
        <f>IF(AA475="",M475,AA475)</f>
        <v>sim</v>
      </c>
      <c r="AD475" t="str">
        <f>IF(AB475="",X475,AB475)</f>
        <v>sim</v>
      </c>
      <c r="AE475" t="str">
        <f>IF(OR(Configuracao!B9="",Configuracao!B10=""),"aguardando limiar",IF(AND(K475&gt;=Configuracao!B9,K475/MAX(Reconciliacao!C2,1)&gt;=Configuracao!B10/100),"sim","não"))</f>
        <v>aguardando limiar</v>
      </c>
    </row>
    <row r="476" spans="1:31" x14ac:dyDescent="0.25">
      <c r="A476">
        <v>17153</v>
      </c>
      <c r="C476" t="s">
        <v>652</v>
      </c>
      <c r="D476" t="s">
        <v>450</v>
      </c>
      <c r="E476" t="s">
        <v>451</v>
      </c>
      <c r="F476" t="s">
        <v>282</v>
      </c>
      <c r="G476" t="s">
        <v>281</v>
      </c>
      <c r="H476" t="s">
        <v>280</v>
      </c>
      <c r="I476" t="s">
        <v>442</v>
      </c>
      <c r="J476" t="s">
        <v>442</v>
      </c>
      <c r="K476" s="4">
        <v>39.9</v>
      </c>
      <c r="L476" s="4">
        <v>39.9</v>
      </c>
      <c r="M476" t="s">
        <v>44</v>
      </c>
      <c r="N476" t="s">
        <v>77</v>
      </c>
      <c r="O476" t="s">
        <v>99</v>
      </c>
      <c r="P476" t="s">
        <v>99</v>
      </c>
      <c r="Q476" t="s">
        <v>191</v>
      </c>
      <c r="R476" t="s">
        <v>283</v>
      </c>
      <c r="S476" t="s">
        <v>185</v>
      </c>
      <c r="T476" t="s">
        <v>198</v>
      </c>
      <c r="U476" t="s">
        <v>163</v>
      </c>
      <c r="V476" t="s">
        <v>164</v>
      </c>
      <c r="W476" t="s">
        <v>116</v>
      </c>
      <c r="X476" t="s">
        <v>44</v>
      </c>
      <c r="Y476" t="s">
        <v>99</v>
      </c>
      <c r="Z476" t="s">
        <v>421</v>
      </c>
      <c r="AC476" t="str">
        <f>IF(AA476="",M476,AA476)</f>
        <v>sim</v>
      </c>
      <c r="AD476" t="str">
        <f>IF(AB476="",X476,AB476)</f>
        <v>sim</v>
      </c>
      <c r="AE476" t="str">
        <f>IF(OR(Configuracao!B9="",Configuracao!B10=""),"aguardando limiar",IF(AND(K476&gt;=Configuracao!B9,K476/MAX(Reconciliacao!C2,1)&gt;=Configuracao!B10/100),"sim","não"))</f>
        <v>aguardando limiar</v>
      </c>
    </row>
    <row r="477" spans="1:31" x14ac:dyDescent="0.25">
      <c r="A477">
        <v>15818</v>
      </c>
      <c r="C477" t="s">
        <v>655</v>
      </c>
      <c r="D477" t="s">
        <v>450</v>
      </c>
      <c r="E477" t="s">
        <v>451</v>
      </c>
      <c r="F477" t="s">
        <v>282</v>
      </c>
      <c r="G477" t="s">
        <v>281</v>
      </c>
      <c r="H477" t="s">
        <v>280</v>
      </c>
      <c r="I477" t="s">
        <v>454</v>
      </c>
      <c r="J477" t="s">
        <v>454</v>
      </c>
      <c r="K477" s="4">
        <v>39.98</v>
      </c>
      <c r="L477" s="4">
        <v>39.98</v>
      </c>
      <c r="M477" t="s">
        <v>44</v>
      </c>
      <c r="N477" t="s">
        <v>77</v>
      </c>
      <c r="O477" t="s">
        <v>99</v>
      </c>
      <c r="P477" t="s">
        <v>99</v>
      </c>
      <c r="Q477" t="s">
        <v>191</v>
      </c>
      <c r="R477" t="s">
        <v>283</v>
      </c>
      <c r="S477" t="s">
        <v>185</v>
      </c>
      <c r="T477" t="s">
        <v>198</v>
      </c>
      <c r="U477" t="s">
        <v>163</v>
      </c>
      <c r="V477" t="s">
        <v>164</v>
      </c>
      <c r="W477" t="s">
        <v>116</v>
      </c>
      <c r="X477" t="s">
        <v>44</v>
      </c>
      <c r="Y477" t="s">
        <v>99</v>
      </c>
      <c r="Z477" t="s">
        <v>421</v>
      </c>
      <c r="AC477" t="str">
        <f>IF(AA477="",M477,AA477)</f>
        <v>sim</v>
      </c>
      <c r="AD477" t="str">
        <f>IF(AB477="",X477,AB477)</f>
        <v>sim</v>
      </c>
      <c r="AE477" t="str">
        <f>IF(OR(Configuracao!B9="",Configuracao!B10=""),"aguardando limiar",IF(AND(K477&gt;=Configuracao!B9,K477/MAX(Reconciliacao!C2,1)&gt;=Configuracao!B10/100),"sim","não"))</f>
        <v>aguardando limiar</v>
      </c>
    </row>
    <row r="478" spans="1:31" x14ac:dyDescent="0.25">
      <c r="A478">
        <v>17828</v>
      </c>
      <c r="C478" t="s">
        <v>652</v>
      </c>
      <c r="D478" t="s">
        <v>450</v>
      </c>
      <c r="E478" t="s">
        <v>451</v>
      </c>
      <c r="F478" t="s">
        <v>282</v>
      </c>
      <c r="G478" t="s">
        <v>281</v>
      </c>
      <c r="H478" t="s">
        <v>280</v>
      </c>
      <c r="I478" t="s">
        <v>439</v>
      </c>
      <c r="J478" t="s">
        <v>439</v>
      </c>
      <c r="K478" s="4">
        <v>47.58</v>
      </c>
      <c r="L478" s="4">
        <v>47.58</v>
      </c>
      <c r="M478" t="s">
        <v>44</v>
      </c>
      <c r="N478" t="s">
        <v>77</v>
      </c>
      <c r="O478" t="s">
        <v>99</v>
      </c>
      <c r="P478" t="s">
        <v>99</v>
      </c>
      <c r="Q478" t="s">
        <v>191</v>
      </c>
      <c r="R478" t="s">
        <v>283</v>
      </c>
      <c r="S478" t="s">
        <v>185</v>
      </c>
      <c r="T478" t="s">
        <v>198</v>
      </c>
      <c r="U478" t="s">
        <v>163</v>
      </c>
      <c r="V478" t="s">
        <v>164</v>
      </c>
      <c r="W478" t="s">
        <v>116</v>
      </c>
      <c r="X478" t="s">
        <v>44</v>
      </c>
      <c r="Y478" t="s">
        <v>99</v>
      </c>
      <c r="Z478" t="s">
        <v>421</v>
      </c>
      <c r="AC478" t="str">
        <f>IF(AA478="",M478,AA478)</f>
        <v>sim</v>
      </c>
      <c r="AD478" t="str">
        <f>IF(AB478="",X478,AB478)</f>
        <v>sim</v>
      </c>
      <c r="AE478" t="str">
        <f>IF(OR(Configuracao!B9="",Configuracao!B10=""),"aguardando limiar",IF(AND(K478&gt;=Configuracao!B9,K478/MAX(Reconciliacao!C2,1)&gt;=Configuracao!B10/100),"sim","não"))</f>
        <v>aguardando limiar</v>
      </c>
    </row>
    <row r="479" spans="1:31" x14ac:dyDescent="0.25">
      <c r="A479">
        <v>14610</v>
      </c>
      <c r="C479" t="s">
        <v>655</v>
      </c>
      <c r="D479" t="s">
        <v>450</v>
      </c>
      <c r="E479" t="s">
        <v>451</v>
      </c>
      <c r="F479" t="s">
        <v>282</v>
      </c>
      <c r="G479" t="s">
        <v>281</v>
      </c>
      <c r="H479" t="s">
        <v>280</v>
      </c>
      <c r="I479" t="s">
        <v>454</v>
      </c>
      <c r="J479" t="s">
        <v>454</v>
      </c>
      <c r="K479" s="4">
        <v>48.99</v>
      </c>
      <c r="L479" s="4">
        <v>48.99</v>
      </c>
      <c r="M479" t="s">
        <v>44</v>
      </c>
      <c r="N479" t="s">
        <v>77</v>
      </c>
      <c r="O479" t="s">
        <v>99</v>
      </c>
      <c r="P479" t="s">
        <v>99</v>
      </c>
      <c r="Q479" t="s">
        <v>191</v>
      </c>
      <c r="R479" t="s">
        <v>283</v>
      </c>
      <c r="S479" t="s">
        <v>185</v>
      </c>
      <c r="T479" t="s">
        <v>198</v>
      </c>
      <c r="U479" t="s">
        <v>163</v>
      </c>
      <c r="V479" t="s">
        <v>164</v>
      </c>
      <c r="W479" t="s">
        <v>116</v>
      </c>
      <c r="X479" t="s">
        <v>44</v>
      </c>
      <c r="Y479" t="s">
        <v>99</v>
      </c>
      <c r="Z479" t="s">
        <v>421</v>
      </c>
      <c r="AC479" t="str">
        <f>IF(AA479="",M479,AA479)</f>
        <v>sim</v>
      </c>
      <c r="AD479" t="str">
        <f>IF(AB479="",X479,AB479)</f>
        <v>sim</v>
      </c>
      <c r="AE479" t="str">
        <f>IF(OR(Configuracao!B9="",Configuracao!B10=""),"aguardando limiar",IF(AND(K479&gt;=Configuracao!B9,K479/MAX(Reconciliacao!C2,1)&gt;=Configuracao!B10/100),"sim","não"))</f>
        <v>aguardando limiar</v>
      </c>
    </row>
    <row r="480" spans="1:31" x14ac:dyDescent="0.25">
      <c r="A480">
        <v>12345</v>
      </c>
      <c r="C480" t="s">
        <v>656</v>
      </c>
      <c r="D480" t="s">
        <v>657</v>
      </c>
      <c r="E480" t="s">
        <v>451</v>
      </c>
      <c r="F480" t="s">
        <v>282</v>
      </c>
      <c r="G480" t="s">
        <v>281</v>
      </c>
      <c r="H480" t="s">
        <v>280</v>
      </c>
      <c r="I480" t="s">
        <v>424</v>
      </c>
      <c r="J480" t="s">
        <v>424</v>
      </c>
      <c r="K480" s="4">
        <v>49.95</v>
      </c>
      <c r="L480" s="4">
        <v>49.95</v>
      </c>
      <c r="M480" t="s">
        <v>44</v>
      </c>
      <c r="N480" t="s">
        <v>77</v>
      </c>
      <c r="O480" t="s">
        <v>99</v>
      </c>
      <c r="P480" t="s">
        <v>99</v>
      </c>
      <c r="Q480" t="s">
        <v>191</v>
      </c>
      <c r="R480" t="s">
        <v>283</v>
      </c>
      <c r="S480" t="s">
        <v>185</v>
      </c>
      <c r="T480" t="s">
        <v>198</v>
      </c>
      <c r="U480" t="s">
        <v>163</v>
      </c>
      <c r="V480" t="s">
        <v>164</v>
      </c>
      <c r="W480" t="s">
        <v>116</v>
      </c>
      <c r="X480" t="s">
        <v>44</v>
      </c>
      <c r="Y480" t="s">
        <v>99</v>
      </c>
      <c r="Z480" t="s">
        <v>421</v>
      </c>
      <c r="AC480" t="str">
        <f>IF(AA480="",M480,AA480)</f>
        <v>sim</v>
      </c>
      <c r="AD480" t="str">
        <f>IF(AB480="",X480,AB480)</f>
        <v>sim</v>
      </c>
      <c r="AE480" t="str">
        <f>IF(OR(Configuracao!B9="",Configuracao!B10=""),"aguardando limiar",IF(AND(K480&gt;=Configuracao!B9,K480/MAX(Reconciliacao!C2,1)&gt;=Configuracao!B10/100),"sim","não"))</f>
        <v>aguardando limiar</v>
      </c>
    </row>
    <row r="481" spans="1:31" x14ac:dyDescent="0.25">
      <c r="A481">
        <v>11586</v>
      </c>
      <c r="C481" t="s">
        <v>652</v>
      </c>
      <c r="D481" t="s">
        <v>653</v>
      </c>
      <c r="E481" t="s">
        <v>451</v>
      </c>
      <c r="F481" t="s">
        <v>282</v>
      </c>
      <c r="G481" t="s">
        <v>281</v>
      </c>
      <c r="H481" t="s">
        <v>280</v>
      </c>
      <c r="I481" t="s">
        <v>32</v>
      </c>
      <c r="J481" t="s">
        <v>32</v>
      </c>
      <c r="K481" s="4">
        <v>55.41</v>
      </c>
      <c r="L481" s="4">
        <v>55.41</v>
      </c>
      <c r="M481" t="s">
        <v>44</v>
      </c>
      <c r="N481" t="s">
        <v>77</v>
      </c>
      <c r="O481" t="s">
        <v>99</v>
      </c>
      <c r="P481" t="s">
        <v>99</v>
      </c>
      <c r="Q481" t="s">
        <v>191</v>
      </c>
      <c r="R481" t="s">
        <v>283</v>
      </c>
      <c r="S481" t="s">
        <v>185</v>
      </c>
      <c r="T481" t="s">
        <v>198</v>
      </c>
      <c r="U481" t="s">
        <v>163</v>
      </c>
      <c r="V481" t="s">
        <v>164</v>
      </c>
      <c r="W481" t="s">
        <v>116</v>
      </c>
      <c r="X481" t="s">
        <v>44</v>
      </c>
      <c r="Y481" t="s">
        <v>99</v>
      </c>
      <c r="Z481" t="s">
        <v>421</v>
      </c>
      <c r="AC481" t="str">
        <f>IF(AA481="",M481,AA481)</f>
        <v>sim</v>
      </c>
      <c r="AD481" t="str">
        <f>IF(AB481="",X481,AB481)</f>
        <v>sim</v>
      </c>
      <c r="AE481" t="str">
        <f>IF(OR(Configuracao!B9="",Configuracao!B10=""),"aguardando limiar",IF(AND(K481&gt;=Configuracao!B9,K481/MAX(Reconciliacao!C2,1)&gt;=Configuracao!B10/100),"sim","não"))</f>
        <v>aguardando limiar</v>
      </c>
    </row>
    <row r="482" spans="1:31" x14ac:dyDescent="0.25">
      <c r="A482">
        <v>12601</v>
      </c>
      <c r="C482" t="s">
        <v>652</v>
      </c>
      <c r="D482" t="s">
        <v>450</v>
      </c>
      <c r="E482" t="s">
        <v>451</v>
      </c>
      <c r="F482" t="s">
        <v>282</v>
      </c>
      <c r="G482" t="s">
        <v>281</v>
      </c>
      <c r="H482" t="s">
        <v>280</v>
      </c>
      <c r="I482" t="s">
        <v>420</v>
      </c>
      <c r="J482" t="s">
        <v>420</v>
      </c>
      <c r="K482" s="4">
        <v>59.16</v>
      </c>
      <c r="L482" s="4">
        <v>59.16</v>
      </c>
      <c r="M482" t="s">
        <v>44</v>
      </c>
      <c r="N482" t="s">
        <v>77</v>
      </c>
      <c r="O482" t="s">
        <v>99</v>
      </c>
      <c r="P482" t="s">
        <v>99</v>
      </c>
      <c r="Q482" t="s">
        <v>191</v>
      </c>
      <c r="R482" t="s">
        <v>283</v>
      </c>
      <c r="S482" t="s">
        <v>185</v>
      </c>
      <c r="T482" t="s">
        <v>198</v>
      </c>
      <c r="U482" t="s">
        <v>163</v>
      </c>
      <c r="V482" t="s">
        <v>164</v>
      </c>
      <c r="W482" t="s">
        <v>116</v>
      </c>
      <c r="X482" t="s">
        <v>44</v>
      </c>
      <c r="Y482" t="s">
        <v>99</v>
      </c>
      <c r="Z482" t="s">
        <v>421</v>
      </c>
      <c r="AC482" t="str">
        <f>IF(AA482="",M482,AA482)</f>
        <v>sim</v>
      </c>
      <c r="AD482" t="str">
        <f>IF(AB482="",X482,AB482)</f>
        <v>sim</v>
      </c>
      <c r="AE482" t="str">
        <f>IF(OR(Configuracao!B9="",Configuracao!B10=""),"aguardando limiar",IF(AND(K482&gt;=Configuracao!B9,K482/MAX(Reconciliacao!C2,1)&gt;=Configuracao!B10/100),"sim","não"))</f>
        <v>aguardando limiar</v>
      </c>
    </row>
    <row r="483" spans="1:31" x14ac:dyDescent="0.25">
      <c r="A483">
        <v>11523</v>
      </c>
      <c r="C483" t="s">
        <v>658</v>
      </c>
      <c r="D483" t="s">
        <v>659</v>
      </c>
      <c r="E483" t="s">
        <v>451</v>
      </c>
      <c r="F483" t="s">
        <v>282</v>
      </c>
      <c r="G483" t="s">
        <v>281</v>
      </c>
      <c r="H483" t="s">
        <v>280</v>
      </c>
      <c r="I483" t="s">
        <v>32</v>
      </c>
      <c r="J483" t="s">
        <v>32</v>
      </c>
      <c r="K483" s="4">
        <v>65.78</v>
      </c>
      <c r="L483" s="4">
        <v>65.78</v>
      </c>
      <c r="M483" t="s">
        <v>44</v>
      </c>
      <c r="N483" t="s">
        <v>77</v>
      </c>
      <c r="O483" t="s">
        <v>99</v>
      </c>
      <c r="P483" t="s">
        <v>99</v>
      </c>
      <c r="Q483" t="s">
        <v>191</v>
      </c>
      <c r="R483" t="s">
        <v>283</v>
      </c>
      <c r="S483" t="s">
        <v>185</v>
      </c>
      <c r="T483" t="s">
        <v>198</v>
      </c>
      <c r="U483" t="s">
        <v>163</v>
      </c>
      <c r="V483" t="s">
        <v>164</v>
      </c>
      <c r="W483" t="s">
        <v>116</v>
      </c>
      <c r="X483" t="s">
        <v>44</v>
      </c>
      <c r="Y483" t="s">
        <v>99</v>
      </c>
      <c r="Z483" t="s">
        <v>421</v>
      </c>
      <c r="AC483" t="str">
        <f>IF(AA483="",M483,AA483)</f>
        <v>sim</v>
      </c>
      <c r="AD483" t="str">
        <f>IF(AB483="",X483,AB483)</f>
        <v>sim</v>
      </c>
      <c r="AE483" t="str">
        <f>IF(OR(Configuracao!B9="",Configuracao!B10=""),"aguardando limiar",IF(AND(K483&gt;=Configuracao!B9,K483/MAX(Reconciliacao!C2,1)&gt;=Configuracao!B10/100),"sim","não"))</f>
        <v>aguardando limiar</v>
      </c>
    </row>
    <row r="484" spans="1:31" x14ac:dyDescent="0.25">
      <c r="A484">
        <v>11483</v>
      </c>
      <c r="C484" t="s">
        <v>652</v>
      </c>
      <c r="D484" t="s">
        <v>450</v>
      </c>
      <c r="E484" t="s">
        <v>451</v>
      </c>
      <c r="F484" t="s">
        <v>282</v>
      </c>
      <c r="G484" t="s">
        <v>281</v>
      </c>
      <c r="H484" t="s">
        <v>280</v>
      </c>
      <c r="I484" t="s">
        <v>32</v>
      </c>
      <c r="J484" t="s">
        <v>424</v>
      </c>
      <c r="K484" s="4">
        <v>67.36</v>
      </c>
      <c r="L484" s="4">
        <v>67.36</v>
      </c>
      <c r="M484" t="s">
        <v>44</v>
      </c>
      <c r="N484" t="s">
        <v>77</v>
      </c>
      <c r="O484" t="s">
        <v>99</v>
      </c>
      <c r="P484" t="s">
        <v>99</v>
      </c>
      <c r="Q484" t="s">
        <v>191</v>
      </c>
      <c r="R484" t="s">
        <v>283</v>
      </c>
      <c r="S484" t="s">
        <v>185</v>
      </c>
      <c r="T484" t="s">
        <v>198</v>
      </c>
      <c r="U484" t="s">
        <v>163</v>
      </c>
      <c r="V484" t="s">
        <v>164</v>
      </c>
      <c r="W484" t="s">
        <v>116</v>
      </c>
      <c r="X484" t="s">
        <v>44</v>
      </c>
      <c r="Y484" t="s">
        <v>99</v>
      </c>
      <c r="Z484" t="s">
        <v>421</v>
      </c>
      <c r="AC484" t="str">
        <f>IF(AA484="",M484,AA484)</f>
        <v>sim</v>
      </c>
      <c r="AD484" t="str">
        <f>IF(AB484="",X484,AB484)</f>
        <v>sim</v>
      </c>
      <c r="AE484" t="str">
        <f>IF(OR(Configuracao!B9="",Configuracao!B10=""),"aguardando limiar",IF(AND(K484&gt;=Configuracao!B9,K484/MAX(Reconciliacao!C2,1)&gt;=Configuracao!B10/100),"sim","não"))</f>
        <v>aguardando limiar</v>
      </c>
    </row>
    <row r="485" spans="1:31" x14ac:dyDescent="0.25">
      <c r="A485">
        <v>18769</v>
      </c>
      <c r="C485" t="s">
        <v>652</v>
      </c>
      <c r="D485" t="s">
        <v>450</v>
      </c>
      <c r="E485" t="s">
        <v>451</v>
      </c>
      <c r="F485" t="s">
        <v>282</v>
      </c>
      <c r="G485" t="s">
        <v>281</v>
      </c>
      <c r="H485" t="s">
        <v>280</v>
      </c>
      <c r="I485" t="s">
        <v>35</v>
      </c>
      <c r="J485" t="s">
        <v>35</v>
      </c>
      <c r="K485" s="4">
        <v>70</v>
      </c>
      <c r="L485" s="4">
        <v>70</v>
      </c>
      <c r="M485" t="s">
        <v>44</v>
      </c>
      <c r="N485" t="s">
        <v>77</v>
      </c>
      <c r="O485" t="s">
        <v>99</v>
      </c>
      <c r="P485" t="s">
        <v>99</v>
      </c>
      <c r="Q485" t="s">
        <v>191</v>
      </c>
      <c r="R485" t="s">
        <v>283</v>
      </c>
      <c r="S485" t="s">
        <v>185</v>
      </c>
      <c r="T485" t="s">
        <v>198</v>
      </c>
      <c r="U485" t="s">
        <v>163</v>
      </c>
      <c r="V485" t="s">
        <v>164</v>
      </c>
      <c r="W485" t="s">
        <v>116</v>
      </c>
      <c r="X485" t="s">
        <v>44</v>
      </c>
      <c r="Y485" t="s">
        <v>99</v>
      </c>
      <c r="Z485" t="s">
        <v>421</v>
      </c>
      <c r="AC485" t="str">
        <f>IF(AA485="",M485,AA485)</f>
        <v>sim</v>
      </c>
      <c r="AD485" t="str">
        <f>IF(AB485="",X485,AB485)</f>
        <v>sim</v>
      </c>
      <c r="AE485" t="str">
        <f>IF(OR(Configuracao!B9="",Configuracao!B10=""),"aguardando limiar",IF(AND(K485&gt;=Configuracao!B9,K485/MAX(Reconciliacao!C2,1)&gt;=Configuracao!B10/100),"sim","não"))</f>
        <v>aguardando limiar</v>
      </c>
    </row>
    <row r="486" spans="1:31" x14ac:dyDescent="0.25">
      <c r="A486">
        <v>12690</v>
      </c>
      <c r="C486" t="s">
        <v>652</v>
      </c>
      <c r="D486" t="s">
        <v>450</v>
      </c>
      <c r="E486" t="s">
        <v>451</v>
      </c>
      <c r="F486" t="s">
        <v>282</v>
      </c>
      <c r="G486" t="s">
        <v>281</v>
      </c>
      <c r="H486" t="s">
        <v>280</v>
      </c>
      <c r="I486" t="s">
        <v>424</v>
      </c>
      <c r="J486" t="s">
        <v>424</v>
      </c>
      <c r="K486" s="4">
        <v>79.36</v>
      </c>
      <c r="L486" s="4">
        <v>79.36</v>
      </c>
      <c r="M486" t="s">
        <v>44</v>
      </c>
      <c r="N486" t="s">
        <v>77</v>
      </c>
      <c r="O486" t="s">
        <v>99</v>
      </c>
      <c r="P486" t="s">
        <v>99</v>
      </c>
      <c r="Q486" t="s">
        <v>191</v>
      </c>
      <c r="R486" t="s">
        <v>283</v>
      </c>
      <c r="S486" t="s">
        <v>185</v>
      </c>
      <c r="T486" t="s">
        <v>198</v>
      </c>
      <c r="U486" t="s">
        <v>163</v>
      </c>
      <c r="V486" t="s">
        <v>164</v>
      </c>
      <c r="W486" t="s">
        <v>116</v>
      </c>
      <c r="X486" t="s">
        <v>44</v>
      </c>
      <c r="Y486" t="s">
        <v>99</v>
      </c>
      <c r="Z486" t="s">
        <v>421</v>
      </c>
      <c r="AC486" t="str">
        <f>IF(AA486="",M486,AA486)</f>
        <v>sim</v>
      </c>
      <c r="AD486" t="str">
        <f>IF(AB486="",X486,AB486)</f>
        <v>sim</v>
      </c>
      <c r="AE486" t="str">
        <f>IF(OR(Configuracao!B9="",Configuracao!B10=""),"aguardando limiar",IF(AND(K486&gt;=Configuracao!B9,K486/MAX(Reconciliacao!C2,1)&gt;=Configuracao!B10/100),"sim","não"))</f>
        <v>aguardando limiar</v>
      </c>
    </row>
    <row r="487" spans="1:31" x14ac:dyDescent="0.25">
      <c r="A487">
        <v>17979</v>
      </c>
      <c r="C487" t="s">
        <v>660</v>
      </c>
      <c r="D487" t="s">
        <v>463</v>
      </c>
      <c r="E487" t="s">
        <v>451</v>
      </c>
      <c r="F487" t="s">
        <v>282</v>
      </c>
      <c r="G487" t="s">
        <v>281</v>
      </c>
      <c r="H487" t="s">
        <v>280</v>
      </c>
      <c r="I487" t="s">
        <v>439</v>
      </c>
      <c r="J487" t="s">
        <v>439</v>
      </c>
      <c r="K487" s="4">
        <v>97.66</v>
      </c>
      <c r="L487" s="4">
        <v>97.66</v>
      </c>
      <c r="M487" t="s">
        <v>44</v>
      </c>
      <c r="N487" t="s">
        <v>77</v>
      </c>
      <c r="O487" t="s">
        <v>99</v>
      </c>
      <c r="P487" t="s">
        <v>99</v>
      </c>
      <c r="Q487" t="s">
        <v>191</v>
      </c>
      <c r="R487" t="s">
        <v>283</v>
      </c>
      <c r="S487" t="s">
        <v>185</v>
      </c>
      <c r="T487" t="s">
        <v>198</v>
      </c>
      <c r="U487" t="s">
        <v>163</v>
      </c>
      <c r="V487" t="s">
        <v>164</v>
      </c>
      <c r="W487" t="s">
        <v>116</v>
      </c>
      <c r="X487" t="s">
        <v>44</v>
      </c>
      <c r="Y487" t="s">
        <v>99</v>
      </c>
      <c r="Z487" t="s">
        <v>421</v>
      </c>
      <c r="AC487" t="str">
        <f>IF(AA487="",M487,AA487)</f>
        <v>sim</v>
      </c>
      <c r="AD487" t="str">
        <f>IF(AB487="",X487,AB487)</f>
        <v>sim</v>
      </c>
      <c r="AE487" t="str">
        <f>IF(OR(Configuracao!B9="",Configuracao!B10=""),"aguardando limiar",IF(AND(K487&gt;=Configuracao!B9,K487/MAX(Reconciliacao!C2,1)&gt;=Configuracao!B10/100),"sim","não"))</f>
        <v>aguardando limiar</v>
      </c>
    </row>
    <row r="488" spans="1:31" x14ac:dyDescent="0.25">
      <c r="A488">
        <v>12045</v>
      </c>
      <c r="D488" t="s">
        <v>661</v>
      </c>
      <c r="E488" t="s">
        <v>451</v>
      </c>
      <c r="F488" t="s">
        <v>282</v>
      </c>
      <c r="G488" t="s">
        <v>281</v>
      </c>
      <c r="H488" t="s">
        <v>280</v>
      </c>
      <c r="I488" t="s">
        <v>424</v>
      </c>
      <c r="J488" t="s">
        <v>424</v>
      </c>
      <c r="K488" s="4">
        <v>117.16</v>
      </c>
      <c r="L488" s="4">
        <v>117.16</v>
      </c>
      <c r="M488" t="s">
        <v>44</v>
      </c>
      <c r="N488" t="s">
        <v>77</v>
      </c>
      <c r="O488" t="s">
        <v>99</v>
      </c>
      <c r="P488" t="s">
        <v>99</v>
      </c>
      <c r="Q488" t="s">
        <v>191</v>
      </c>
      <c r="R488" t="s">
        <v>283</v>
      </c>
      <c r="S488" t="s">
        <v>185</v>
      </c>
      <c r="T488" t="s">
        <v>198</v>
      </c>
      <c r="U488" t="s">
        <v>163</v>
      </c>
      <c r="V488" t="s">
        <v>164</v>
      </c>
      <c r="W488" t="s">
        <v>116</v>
      </c>
      <c r="X488" t="s">
        <v>44</v>
      </c>
      <c r="Y488" t="s">
        <v>99</v>
      </c>
      <c r="Z488" t="s">
        <v>421</v>
      </c>
      <c r="AC488" t="str">
        <f>IF(AA488="",M488,AA488)</f>
        <v>sim</v>
      </c>
      <c r="AD488" t="str">
        <f>IF(AB488="",X488,AB488)</f>
        <v>sim</v>
      </c>
      <c r="AE488" t="str">
        <f>IF(OR(Configuracao!B9="",Configuracao!B10=""),"aguardando limiar",IF(AND(K488&gt;=Configuracao!B9,K488/MAX(Reconciliacao!C2,1)&gt;=Configuracao!B10/100),"sim","não"))</f>
        <v>aguardando limiar</v>
      </c>
    </row>
    <row r="489" spans="1:31" x14ac:dyDescent="0.25">
      <c r="A489">
        <v>15844</v>
      </c>
      <c r="C489" t="s">
        <v>652</v>
      </c>
      <c r="D489" t="s">
        <v>450</v>
      </c>
      <c r="E489" t="s">
        <v>451</v>
      </c>
      <c r="F489" t="s">
        <v>282</v>
      </c>
      <c r="G489" t="s">
        <v>281</v>
      </c>
      <c r="H489" t="s">
        <v>280</v>
      </c>
      <c r="I489" t="s">
        <v>454</v>
      </c>
      <c r="J489" t="s">
        <v>454</v>
      </c>
      <c r="K489" s="4">
        <v>119.67</v>
      </c>
      <c r="L489" s="4">
        <v>119.67</v>
      </c>
      <c r="M489" t="s">
        <v>44</v>
      </c>
      <c r="N489" t="s">
        <v>77</v>
      </c>
      <c r="O489" t="s">
        <v>99</v>
      </c>
      <c r="P489" t="s">
        <v>99</v>
      </c>
      <c r="Q489" t="s">
        <v>191</v>
      </c>
      <c r="R489" t="s">
        <v>283</v>
      </c>
      <c r="S489" t="s">
        <v>185</v>
      </c>
      <c r="T489" t="s">
        <v>198</v>
      </c>
      <c r="U489" t="s">
        <v>163</v>
      </c>
      <c r="V489" t="s">
        <v>164</v>
      </c>
      <c r="W489" t="s">
        <v>116</v>
      </c>
      <c r="X489" t="s">
        <v>44</v>
      </c>
      <c r="Y489" t="s">
        <v>99</v>
      </c>
      <c r="Z489" t="s">
        <v>421</v>
      </c>
      <c r="AC489" t="str">
        <f>IF(AA489="",M489,AA489)</f>
        <v>sim</v>
      </c>
      <c r="AD489" t="str">
        <f>IF(AB489="",X489,AB489)</f>
        <v>sim</v>
      </c>
      <c r="AE489" t="str">
        <f>IF(OR(Configuracao!B9="",Configuracao!B10=""),"aguardando limiar",IF(AND(K489&gt;=Configuracao!B9,K489/MAX(Reconciliacao!C2,1)&gt;=Configuracao!B10/100),"sim","não"))</f>
        <v>aguardando limiar</v>
      </c>
    </row>
    <row r="490" spans="1:31" x14ac:dyDescent="0.25">
      <c r="A490">
        <v>18315</v>
      </c>
      <c r="C490" t="s">
        <v>662</v>
      </c>
      <c r="D490" t="s">
        <v>657</v>
      </c>
      <c r="E490" t="s">
        <v>451</v>
      </c>
      <c r="F490" t="s">
        <v>282</v>
      </c>
      <c r="G490" t="s">
        <v>281</v>
      </c>
      <c r="H490" t="s">
        <v>280</v>
      </c>
      <c r="I490" t="s">
        <v>439</v>
      </c>
      <c r="J490" t="s">
        <v>439</v>
      </c>
      <c r="K490" s="4">
        <v>130.35</v>
      </c>
      <c r="L490" s="4">
        <v>130.35</v>
      </c>
      <c r="M490" t="s">
        <v>44</v>
      </c>
      <c r="N490" t="s">
        <v>77</v>
      </c>
      <c r="O490" t="s">
        <v>99</v>
      </c>
      <c r="P490" t="s">
        <v>99</v>
      </c>
      <c r="Q490" t="s">
        <v>191</v>
      </c>
      <c r="R490" t="s">
        <v>283</v>
      </c>
      <c r="S490" t="s">
        <v>185</v>
      </c>
      <c r="T490" t="s">
        <v>198</v>
      </c>
      <c r="U490" t="s">
        <v>163</v>
      </c>
      <c r="V490" t="s">
        <v>164</v>
      </c>
      <c r="W490" t="s">
        <v>116</v>
      </c>
      <c r="X490" t="s">
        <v>44</v>
      </c>
      <c r="Y490" t="s">
        <v>99</v>
      </c>
      <c r="Z490" t="s">
        <v>421</v>
      </c>
      <c r="AC490" t="str">
        <f>IF(AA490="",M490,AA490)</f>
        <v>sim</v>
      </c>
      <c r="AD490" t="str">
        <f>IF(AB490="",X490,AB490)</f>
        <v>sim</v>
      </c>
      <c r="AE490" t="str">
        <f>IF(OR(Configuracao!B9="",Configuracao!B10=""),"aguardando limiar",IF(AND(K490&gt;=Configuracao!B9,K490/MAX(Reconciliacao!C2,1)&gt;=Configuracao!B10/100),"sim","não"))</f>
        <v>aguardando limiar</v>
      </c>
    </row>
    <row r="491" spans="1:31" x14ac:dyDescent="0.25">
      <c r="A491">
        <v>17144</v>
      </c>
      <c r="C491" t="s">
        <v>652</v>
      </c>
      <c r="D491" t="s">
        <v>653</v>
      </c>
      <c r="E491" t="s">
        <v>451</v>
      </c>
      <c r="F491" t="s">
        <v>282</v>
      </c>
      <c r="G491" t="s">
        <v>281</v>
      </c>
      <c r="H491" t="s">
        <v>280</v>
      </c>
      <c r="I491" t="s">
        <v>442</v>
      </c>
      <c r="J491" t="s">
        <v>442</v>
      </c>
      <c r="K491" s="4">
        <v>130.86</v>
      </c>
      <c r="L491" s="4">
        <v>130.86</v>
      </c>
      <c r="M491" t="s">
        <v>44</v>
      </c>
      <c r="N491" t="s">
        <v>77</v>
      </c>
      <c r="O491" t="s">
        <v>99</v>
      </c>
      <c r="P491" t="s">
        <v>99</v>
      </c>
      <c r="Q491" t="s">
        <v>191</v>
      </c>
      <c r="R491" t="s">
        <v>283</v>
      </c>
      <c r="S491" t="s">
        <v>185</v>
      </c>
      <c r="T491" t="s">
        <v>198</v>
      </c>
      <c r="U491" t="s">
        <v>163</v>
      </c>
      <c r="V491" t="s">
        <v>164</v>
      </c>
      <c r="W491" t="s">
        <v>116</v>
      </c>
      <c r="X491" t="s">
        <v>44</v>
      </c>
      <c r="Y491" t="s">
        <v>99</v>
      </c>
      <c r="Z491" t="s">
        <v>421</v>
      </c>
      <c r="AC491" t="str">
        <f>IF(AA491="",M491,AA491)</f>
        <v>sim</v>
      </c>
      <c r="AD491" t="str">
        <f>IF(AB491="",X491,AB491)</f>
        <v>sim</v>
      </c>
      <c r="AE491" t="str">
        <f>IF(OR(Configuracao!B9="",Configuracao!B10=""),"aguardando limiar",IF(AND(K491&gt;=Configuracao!B9,K491/MAX(Reconciliacao!C2,1)&gt;=Configuracao!B10/100),"sim","não"))</f>
        <v>aguardando limiar</v>
      </c>
    </row>
    <row r="492" spans="1:31" x14ac:dyDescent="0.25">
      <c r="A492">
        <v>15741</v>
      </c>
      <c r="C492" t="s">
        <v>652</v>
      </c>
      <c r="D492" t="s">
        <v>653</v>
      </c>
      <c r="E492" t="s">
        <v>451</v>
      </c>
      <c r="F492" t="s">
        <v>282</v>
      </c>
      <c r="G492" t="s">
        <v>281</v>
      </c>
      <c r="H492" t="s">
        <v>280</v>
      </c>
      <c r="I492" t="s">
        <v>454</v>
      </c>
      <c r="J492" t="s">
        <v>461</v>
      </c>
      <c r="K492" s="4">
        <v>131.64</v>
      </c>
      <c r="L492" s="4">
        <v>131.64</v>
      </c>
      <c r="M492" t="s">
        <v>44</v>
      </c>
      <c r="N492" t="s">
        <v>77</v>
      </c>
      <c r="O492" t="s">
        <v>99</v>
      </c>
      <c r="P492" t="s">
        <v>99</v>
      </c>
      <c r="Q492" t="s">
        <v>191</v>
      </c>
      <c r="R492" t="s">
        <v>283</v>
      </c>
      <c r="S492" t="s">
        <v>185</v>
      </c>
      <c r="T492" t="s">
        <v>198</v>
      </c>
      <c r="U492" t="s">
        <v>163</v>
      </c>
      <c r="V492" t="s">
        <v>164</v>
      </c>
      <c r="W492" t="s">
        <v>116</v>
      </c>
      <c r="X492" t="s">
        <v>44</v>
      </c>
      <c r="Y492" t="s">
        <v>99</v>
      </c>
      <c r="Z492" t="s">
        <v>421</v>
      </c>
      <c r="AC492" t="str">
        <f>IF(AA492="",M492,AA492)</f>
        <v>sim</v>
      </c>
      <c r="AD492" t="str">
        <f>IF(AB492="",X492,AB492)</f>
        <v>sim</v>
      </c>
      <c r="AE492" t="str">
        <f>IF(OR(Configuracao!B9="",Configuracao!B10=""),"aguardando limiar",IF(AND(K492&gt;=Configuracao!B9,K492/MAX(Reconciliacao!C2,1)&gt;=Configuracao!B10/100),"sim","não"))</f>
        <v>aguardando limiar</v>
      </c>
    </row>
    <row r="493" spans="1:31" x14ac:dyDescent="0.25">
      <c r="A493">
        <v>16806</v>
      </c>
      <c r="D493" t="s">
        <v>661</v>
      </c>
      <c r="E493" t="s">
        <v>451</v>
      </c>
      <c r="F493" t="s">
        <v>282</v>
      </c>
      <c r="G493" t="s">
        <v>281</v>
      </c>
      <c r="H493" t="s">
        <v>280</v>
      </c>
      <c r="I493" t="s">
        <v>442</v>
      </c>
      <c r="J493" t="s">
        <v>442</v>
      </c>
      <c r="K493" s="4">
        <v>132.92</v>
      </c>
      <c r="L493" s="4">
        <v>132.92</v>
      </c>
      <c r="M493" t="s">
        <v>44</v>
      </c>
      <c r="N493" t="s">
        <v>77</v>
      </c>
      <c r="O493" t="s">
        <v>99</v>
      </c>
      <c r="P493" t="s">
        <v>99</v>
      </c>
      <c r="Q493" t="s">
        <v>191</v>
      </c>
      <c r="R493" t="s">
        <v>283</v>
      </c>
      <c r="S493" t="s">
        <v>185</v>
      </c>
      <c r="T493" t="s">
        <v>198</v>
      </c>
      <c r="U493" t="s">
        <v>163</v>
      </c>
      <c r="V493" t="s">
        <v>164</v>
      </c>
      <c r="W493" t="s">
        <v>116</v>
      </c>
      <c r="X493" t="s">
        <v>44</v>
      </c>
      <c r="Y493" t="s">
        <v>99</v>
      </c>
      <c r="Z493" t="s">
        <v>421</v>
      </c>
      <c r="AC493" t="str">
        <f>IF(AA493="",M493,AA493)</f>
        <v>sim</v>
      </c>
      <c r="AD493" t="str">
        <f>IF(AB493="",X493,AB493)</f>
        <v>sim</v>
      </c>
      <c r="AE493" t="str">
        <f>IF(OR(Configuracao!B9="",Configuracao!B10=""),"aguardando limiar",IF(AND(K493&gt;=Configuracao!B9,K493/MAX(Reconciliacao!C2,1)&gt;=Configuracao!B10/100),"sim","não"))</f>
        <v>aguardando limiar</v>
      </c>
    </row>
    <row r="494" spans="1:31" x14ac:dyDescent="0.25">
      <c r="A494">
        <v>17867</v>
      </c>
      <c r="C494" t="s">
        <v>652</v>
      </c>
      <c r="D494" t="s">
        <v>653</v>
      </c>
      <c r="E494" t="s">
        <v>451</v>
      </c>
      <c r="F494" t="s">
        <v>282</v>
      </c>
      <c r="G494" t="s">
        <v>281</v>
      </c>
      <c r="H494" t="s">
        <v>280</v>
      </c>
      <c r="I494" t="s">
        <v>439</v>
      </c>
      <c r="J494" t="s">
        <v>439</v>
      </c>
      <c r="K494" s="4">
        <v>150.79</v>
      </c>
      <c r="L494" s="4">
        <v>150.79</v>
      </c>
      <c r="M494" t="s">
        <v>44</v>
      </c>
      <c r="N494" t="s">
        <v>77</v>
      </c>
      <c r="O494" t="s">
        <v>99</v>
      </c>
      <c r="P494" t="s">
        <v>99</v>
      </c>
      <c r="Q494" t="s">
        <v>191</v>
      </c>
      <c r="R494" t="s">
        <v>283</v>
      </c>
      <c r="S494" t="s">
        <v>185</v>
      </c>
      <c r="T494" t="s">
        <v>198</v>
      </c>
      <c r="U494" t="s">
        <v>163</v>
      </c>
      <c r="V494" t="s">
        <v>164</v>
      </c>
      <c r="W494" t="s">
        <v>116</v>
      </c>
      <c r="X494" t="s">
        <v>44</v>
      </c>
      <c r="Y494" t="s">
        <v>99</v>
      </c>
      <c r="Z494" t="s">
        <v>421</v>
      </c>
      <c r="AC494" t="str">
        <f>IF(AA494="",M494,AA494)</f>
        <v>sim</v>
      </c>
      <c r="AD494" t="str">
        <f>IF(AB494="",X494,AB494)</f>
        <v>sim</v>
      </c>
      <c r="AE494" t="str">
        <f>IF(OR(Configuracao!B9="",Configuracao!B10=""),"aguardando limiar",IF(AND(K494&gt;=Configuracao!B9,K494/MAX(Reconciliacao!C2,1)&gt;=Configuracao!B10/100),"sim","não"))</f>
        <v>aguardando limiar</v>
      </c>
    </row>
    <row r="495" spans="1:31" x14ac:dyDescent="0.25">
      <c r="A495">
        <v>17825</v>
      </c>
      <c r="D495" t="s">
        <v>661</v>
      </c>
      <c r="E495" t="s">
        <v>451</v>
      </c>
      <c r="F495" t="s">
        <v>282</v>
      </c>
      <c r="G495" t="s">
        <v>281</v>
      </c>
      <c r="H495" t="s">
        <v>280</v>
      </c>
      <c r="I495" t="s">
        <v>439</v>
      </c>
      <c r="J495" t="s">
        <v>439</v>
      </c>
      <c r="K495" s="4">
        <v>153.05</v>
      </c>
      <c r="L495" s="4">
        <v>153.05</v>
      </c>
      <c r="M495" t="s">
        <v>44</v>
      </c>
      <c r="N495" t="s">
        <v>77</v>
      </c>
      <c r="O495" t="s">
        <v>99</v>
      </c>
      <c r="P495" t="s">
        <v>99</v>
      </c>
      <c r="Q495" t="s">
        <v>191</v>
      </c>
      <c r="R495" t="s">
        <v>283</v>
      </c>
      <c r="S495" t="s">
        <v>185</v>
      </c>
      <c r="T495" t="s">
        <v>198</v>
      </c>
      <c r="U495" t="s">
        <v>163</v>
      </c>
      <c r="V495" t="s">
        <v>164</v>
      </c>
      <c r="W495" t="s">
        <v>116</v>
      </c>
      <c r="X495" t="s">
        <v>44</v>
      </c>
      <c r="Y495" t="s">
        <v>99</v>
      </c>
      <c r="Z495" t="s">
        <v>421</v>
      </c>
      <c r="AC495" t="str">
        <f>IF(AA495="",M495,AA495)</f>
        <v>sim</v>
      </c>
      <c r="AD495" t="str">
        <f>IF(AB495="",X495,AB495)</f>
        <v>sim</v>
      </c>
      <c r="AE495" t="str">
        <f>IF(OR(Configuracao!B9="",Configuracao!B10=""),"aguardando limiar",IF(AND(K495&gt;=Configuracao!B9,K495/MAX(Reconciliacao!C2,1)&gt;=Configuracao!B10/100),"sim","não"))</f>
        <v>aguardando limiar</v>
      </c>
    </row>
    <row r="496" spans="1:31" x14ac:dyDescent="0.25">
      <c r="A496">
        <v>18394</v>
      </c>
      <c r="D496" t="s">
        <v>661</v>
      </c>
      <c r="E496" t="s">
        <v>451</v>
      </c>
      <c r="F496" t="s">
        <v>282</v>
      </c>
      <c r="G496" t="s">
        <v>281</v>
      </c>
      <c r="H496" t="s">
        <v>280</v>
      </c>
      <c r="I496" t="s">
        <v>439</v>
      </c>
      <c r="J496" t="s">
        <v>439</v>
      </c>
      <c r="K496" s="4">
        <v>161.13</v>
      </c>
      <c r="L496" s="4">
        <v>161.13</v>
      </c>
      <c r="M496" t="s">
        <v>44</v>
      </c>
      <c r="N496" t="s">
        <v>77</v>
      </c>
      <c r="O496" t="s">
        <v>99</v>
      </c>
      <c r="P496" t="s">
        <v>99</v>
      </c>
      <c r="Q496" t="s">
        <v>191</v>
      </c>
      <c r="R496" t="s">
        <v>283</v>
      </c>
      <c r="S496" t="s">
        <v>185</v>
      </c>
      <c r="T496" t="s">
        <v>198</v>
      </c>
      <c r="U496" t="s">
        <v>163</v>
      </c>
      <c r="V496" t="s">
        <v>164</v>
      </c>
      <c r="W496" t="s">
        <v>116</v>
      </c>
      <c r="X496" t="s">
        <v>44</v>
      </c>
      <c r="Y496" t="s">
        <v>99</v>
      </c>
      <c r="Z496" t="s">
        <v>421</v>
      </c>
      <c r="AC496" t="str">
        <f>IF(AA496="",M496,AA496)</f>
        <v>sim</v>
      </c>
      <c r="AD496" t="str">
        <f>IF(AB496="",X496,AB496)</f>
        <v>sim</v>
      </c>
      <c r="AE496" t="str">
        <f>IF(OR(Configuracao!B9="",Configuracao!B10=""),"aguardando limiar",IF(AND(K496&gt;=Configuracao!B9,K496/MAX(Reconciliacao!C2,1)&gt;=Configuracao!B10/100),"sim","não"))</f>
        <v>aguardando limiar</v>
      </c>
    </row>
    <row r="497" spans="1:31" x14ac:dyDescent="0.25">
      <c r="A497">
        <v>12001</v>
      </c>
      <c r="C497" t="s">
        <v>652</v>
      </c>
      <c r="D497" t="s">
        <v>653</v>
      </c>
      <c r="E497" t="s">
        <v>451</v>
      </c>
      <c r="F497" t="s">
        <v>282</v>
      </c>
      <c r="G497" t="s">
        <v>281</v>
      </c>
      <c r="H497" t="s">
        <v>280</v>
      </c>
      <c r="I497" t="s">
        <v>424</v>
      </c>
      <c r="J497" t="s">
        <v>424</v>
      </c>
      <c r="K497" s="4">
        <v>163.83</v>
      </c>
      <c r="L497" s="4">
        <v>163.83</v>
      </c>
      <c r="M497" t="s">
        <v>44</v>
      </c>
      <c r="N497" t="s">
        <v>77</v>
      </c>
      <c r="O497" t="s">
        <v>99</v>
      </c>
      <c r="P497" t="s">
        <v>99</v>
      </c>
      <c r="Q497" t="s">
        <v>191</v>
      </c>
      <c r="R497" t="s">
        <v>283</v>
      </c>
      <c r="S497" t="s">
        <v>185</v>
      </c>
      <c r="T497" t="s">
        <v>198</v>
      </c>
      <c r="U497" t="s">
        <v>163</v>
      </c>
      <c r="V497" t="s">
        <v>164</v>
      </c>
      <c r="W497" t="s">
        <v>116</v>
      </c>
      <c r="X497" t="s">
        <v>44</v>
      </c>
      <c r="Y497" t="s">
        <v>99</v>
      </c>
      <c r="Z497" t="s">
        <v>421</v>
      </c>
      <c r="AC497" t="str">
        <f>IF(AA497="",M497,AA497)</f>
        <v>sim</v>
      </c>
      <c r="AD497" t="str">
        <f>IF(AB497="",X497,AB497)</f>
        <v>sim</v>
      </c>
      <c r="AE497" t="str">
        <f>IF(OR(Configuracao!B9="",Configuracao!B10=""),"aguardando limiar",IF(AND(K497&gt;=Configuracao!B9,K497/MAX(Reconciliacao!C2,1)&gt;=Configuracao!B10/100),"sim","não"))</f>
        <v>aguardando limiar</v>
      </c>
    </row>
    <row r="498" spans="1:31" x14ac:dyDescent="0.25">
      <c r="A498">
        <v>19127</v>
      </c>
      <c r="D498" t="s">
        <v>661</v>
      </c>
      <c r="E498" t="s">
        <v>451</v>
      </c>
      <c r="F498" t="s">
        <v>282</v>
      </c>
      <c r="G498" t="s">
        <v>281</v>
      </c>
      <c r="H498" t="s">
        <v>280</v>
      </c>
      <c r="I498" t="s">
        <v>35</v>
      </c>
      <c r="J498" t="s">
        <v>35</v>
      </c>
      <c r="K498" s="4">
        <v>172.22</v>
      </c>
      <c r="L498" s="4">
        <v>172.22</v>
      </c>
      <c r="M498" t="s">
        <v>44</v>
      </c>
      <c r="N498" t="s">
        <v>77</v>
      </c>
      <c r="O498" t="s">
        <v>99</v>
      </c>
      <c r="P498" t="s">
        <v>99</v>
      </c>
      <c r="Q498" t="s">
        <v>191</v>
      </c>
      <c r="R498" t="s">
        <v>283</v>
      </c>
      <c r="S498" t="s">
        <v>185</v>
      </c>
      <c r="T498" t="s">
        <v>198</v>
      </c>
      <c r="U498" t="s">
        <v>163</v>
      </c>
      <c r="V498" t="s">
        <v>164</v>
      </c>
      <c r="W498" t="s">
        <v>116</v>
      </c>
      <c r="X498" t="s">
        <v>44</v>
      </c>
      <c r="Y498" t="s">
        <v>99</v>
      </c>
      <c r="Z498" t="s">
        <v>421</v>
      </c>
      <c r="AC498" t="str">
        <f>IF(AA498="",M498,AA498)</f>
        <v>sim</v>
      </c>
      <c r="AD498" t="str">
        <f>IF(AB498="",X498,AB498)</f>
        <v>sim</v>
      </c>
      <c r="AE498" t="str">
        <f>IF(OR(Configuracao!B9="",Configuracao!B10=""),"aguardando limiar",IF(AND(K498&gt;=Configuracao!B9,K498/MAX(Reconciliacao!C2,1)&gt;=Configuracao!B10/100),"sim","não"))</f>
        <v>aguardando limiar</v>
      </c>
    </row>
    <row r="499" spans="1:31" x14ac:dyDescent="0.25">
      <c r="A499">
        <v>11456</v>
      </c>
      <c r="C499" t="s">
        <v>652</v>
      </c>
      <c r="D499" t="s">
        <v>653</v>
      </c>
      <c r="E499" t="s">
        <v>451</v>
      </c>
      <c r="F499" t="s">
        <v>282</v>
      </c>
      <c r="G499" t="s">
        <v>281</v>
      </c>
      <c r="H499" t="s">
        <v>280</v>
      </c>
      <c r="I499" t="s">
        <v>32</v>
      </c>
      <c r="J499" t="s">
        <v>32</v>
      </c>
      <c r="K499" s="4">
        <v>173.48</v>
      </c>
      <c r="L499" s="4">
        <v>173.48</v>
      </c>
      <c r="M499" t="s">
        <v>44</v>
      </c>
      <c r="N499" t="s">
        <v>77</v>
      </c>
      <c r="O499" t="s">
        <v>99</v>
      </c>
      <c r="P499" t="s">
        <v>99</v>
      </c>
      <c r="Q499" t="s">
        <v>191</v>
      </c>
      <c r="R499" t="s">
        <v>283</v>
      </c>
      <c r="S499" t="s">
        <v>185</v>
      </c>
      <c r="T499" t="s">
        <v>198</v>
      </c>
      <c r="U499" t="s">
        <v>163</v>
      </c>
      <c r="V499" t="s">
        <v>164</v>
      </c>
      <c r="W499" t="s">
        <v>116</v>
      </c>
      <c r="X499" t="s">
        <v>44</v>
      </c>
      <c r="Y499" t="s">
        <v>99</v>
      </c>
      <c r="Z499" t="s">
        <v>421</v>
      </c>
      <c r="AC499" t="str">
        <f>IF(AA499="",M499,AA499)</f>
        <v>sim</v>
      </c>
      <c r="AD499" t="str">
        <f>IF(AB499="",X499,AB499)</f>
        <v>sim</v>
      </c>
      <c r="AE499" t="str">
        <f>IF(OR(Configuracao!B9="",Configuracao!B10=""),"aguardando limiar",IF(AND(K499&gt;=Configuracao!B9,K499/MAX(Reconciliacao!C2,1)&gt;=Configuracao!B10/100),"sim","não"))</f>
        <v>aguardando limiar</v>
      </c>
    </row>
    <row r="500" spans="1:31" x14ac:dyDescent="0.25">
      <c r="A500">
        <v>12049</v>
      </c>
      <c r="D500" t="s">
        <v>661</v>
      </c>
      <c r="E500" t="s">
        <v>451</v>
      </c>
      <c r="F500" t="s">
        <v>282</v>
      </c>
      <c r="G500" t="s">
        <v>281</v>
      </c>
      <c r="H500" t="s">
        <v>280</v>
      </c>
      <c r="I500" t="s">
        <v>424</v>
      </c>
      <c r="J500" t="s">
        <v>424</v>
      </c>
      <c r="K500" s="4">
        <v>197.13</v>
      </c>
      <c r="L500" s="4">
        <v>197.13</v>
      </c>
      <c r="M500" t="s">
        <v>44</v>
      </c>
      <c r="N500" t="s">
        <v>77</v>
      </c>
      <c r="O500" t="s">
        <v>99</v>
      </c>
      <c r="P500" t="s">
        <v>99</v>
      </c>
      <c r="Q500" t="s">
        <v>191</v>
      </c>
      <c r="R500" t="s">
        <v>283</v>
      </c>
      <c r="S500" t="s">
        <v>185</v>
      </c>
      <c r="T500" t="s">
        <v>198</v>
      </c>
      <c r="U500" t="s">
        <v>163</v>
      </c>
      <c r="V500" t="s">
        <v>164</v>
      </c>
      <c r="W500" t="s">
        <v>116</v>
      </c>
      <c r="X500" t="s">
        <v>44</v>
      </c>
      <c r="Y500" t="s">
        <v>99</v>
      </c>
      <c r="Z500" t="s">
        <v>421</v>
      </c>
      <c r="AC500" t="str">
        <f>IF(AA500="",M500,AA500)</f>
        <v>sim</v>
      </c>
      <c r="AD500" t="str">
        <f>IF(AB500="",X500,AB500)</f>
        <v>sim</v>
      </c>
      <c r="AE500" t="str">
        <f>IF(OR(Configuracao!B9="",Configuracao!B10=""),"aguardando limiar",IF(AND(K500&gt;=Configuracao!B9,K500/MAX(Reconciliacao!C2,1)&gt;=Configuracao!B10/100),"sim","não"))</f>
        <v>aguardando limiar</v>
      </c>
    </row>
    <row r="501" spans="1:31" x14ac:dyDescent="0.25">
      <c r="A501">
        <v>12667</v>
      </c>
      <c r="D501" t="s">
        <v>661</v>
      </c>
      <c r="E501" t="s">
        <v>451</v>
      </c>
      <c r="F501" t="s">
        <v>282</v>
      </c>
      <c r="G501" t="s">
        <v>281</v>
      </c>
      <c r="H501" t="s">
        <v>280</v>
      </c>
      <c r="I501" t="s">
        <v>420</v>
      </c>
      <c r="J501" t="s">
        <v>420</v>
      </c>
      <c r="K501" s="4">
        <v>197.92</v>
      </c>
      <c r="L501" s="4">
        <v>197.92</v>
      </c>
      <c r="M501" t="s">
        <v>44</v>
      </c>
      <c r="N501" t="s">
        <v>77</v>
      </c>
      <c r="O501" t="s">
        <v>99</v>
      </c>
      <c r="P501" t="s">
        <v>99</v>
      </c>
      <c r="Q501" t="s">
        <v>191</v>
      </c>
      <c r="R501" t="s">
        <v>283</v>
      </c>
      <c r="S501" t="s">
        <v>185</v>
      </c>
      <c r="T501" t="s">
        <v>198</v>
      </c>
      <c r="U501" t="s">
        <v>163</v>
      </c>
      <c r="V501" t="s">
        <v>164</v>
      </c>
      <c r="W501" t="s">
        <v>116</v>
      </c>
      <c r="X501" t="s">
        <v>44</v>
      </c>
      <c r="Y501" t="s">
        <v>99</v>
      </c>
      <c r="Z501" t="s">
        <v>421</v>
      </c>
      <c r="AC501" t="str">
        <f>IF(AA501="",M501,AA501)</f>
        <v>sim</v>
      </c>
      <c r="AD501" t="str">
        <f>IF(AB501="",X501,AB501)</f>
        <v>sim</v>
      </c>
      <c r="AE501" t="str">
        <f>IF(OR(Configuracao!B9="",Configuracao!B10=""),"aguardando limiar",IF(AND(K501&gt;=Configuracao!B9,K501/MAX(Reconciliacao!C2,1)&gt;=Configuracao!B10/100),"sim","não"))</f>
        <v>aguardando limiar</v>
      </c>
    </row>
    <row r="502" spans="1:31" x14ac:dyDescent="0.25">
      <c r="A502">
        <v>13446</v>
      </c>
      <c r="D502" t="s">
        <v>661</v>
      </c>
      <c r="E502" t="s">
        <v>451</v>
      </c>
      <c r="F502" t="s">
        <v>282</v>
      </c>
      <c r="G502" t="s">
        <v>281</v>
      </c>
      <c r="H502" t="s">
        <v>280</v>
      </c>
      <c r="I502" t="s">
        <v>454</v>
      </c>
      <c r="J502" t="s">
        <v>454</v>
      </c>
      <c r="K502" s="4">
        <v>198.3</v>
      </c>
      <c r="L502" s="4">
        <v>198.3</v>
      </c>
      <c r="M502" t="s">
        <v>44</v>
      </c>
      <c r="N502" t="s">
        <v>77</v>
      </c>
      <c r="O502" t="s">
        <v>99</v>
      </c>
      <c r="P502" t="s">
        <v>99</v>
      </c>
      <c r="Q502" t="s">
        <v>191</v>
      </c>
      <c r="R502" t="s">
        <v>283</v>
      </c>
      <c r="S502" t="s">
        <v>185</v>
      </c>
      <c r="T502" t="s">
        <v>198</v>
      </c>
      <c r="U502" t="s">
        <v>163</v>
      </c>
      <c r="V502" t="s">
        <v>164</v>
      </c>
      <c r="W502" t="s">
        <v>116</v>
      </c>
      <c r="X502" t="s">
        <v>44</v>
      </c>
      <c r="Y502" t="s">
        <v>99</v>
      </c>
      <c r="Z502" t="s">
        <v>421</v>
      </c>
      <c r="AC502" t="str">
        <f>IF(AA502="",M502,AA502)</f>
        <v>sim</v>
      </c>
      <c r="AD502" t="str">
        <f>IF(AB502="",X502,AB502)</f>
        <v>sim</v>
      </c>
      <c r="AE502" t="str">
        <f>IF(OR(Configuracao!B9="",Configuracao!B10=""),"aguardando limiar",IF(AND(K502&gt;=Configuracao!B9,K502/MAX(Reconciliacao!C2,1)&gt;=Configuracao!B10/100),"sim","não"))</f>
        <v>aguardando limiar</v>
      </c>
    </row>
    <row r="503" spans="1:31" x14ac:dyDescent="0.25">
      <c r="A503">
        <v>12756</v>
      </c>
      <c r="C503" t="s">
        <v>652</v>
      </c>
      <c r="D503" t="s">
        <v>663</v>
      </c>
      <c r="E503" t="s">
        <v>451</v>
      </c>
      <c r="F503" t="s">
        <v>282</v>
      </c>
      <c r="G503" t="s">
        <v>281</v>
      </c>
      <c r="H503" t="s">
        <v>280</v>
      </c>
      <c r="I503" t="s">
        <v>424</v>
      </c>
      <c r="J503" t="s">
        <v>420</v>
      </c>
      <c r="K503" s="4">
        <v>214.45</v>
      </c>
      <c r="L503" s="4">
        <v>214.45</v>
      </c>
      <c r="M503" t="s">
        <v>44</v>
      </c>
      <c r="N503" t="s">
        <v>77</v>
      </c>
      <c r="O503" t="s">
        <v>99</v>
      </c>
      <c r="P503" t="s">
        <v>99</v>
      </c>
      <c r="Q503" t="s">
        <v>191</v>
      </c>
      <c r="R503" t="s">
        <v>283</v>
      </c>
      <c r="S503" t="s">
        <v>185</v>
      </c>
      <c r="T503" t="s">
        <v>198</v>
      </c>
      <c r="U503" t="s">
        <v>163</v>
      </c>
      <c r="V503" t="s">
        <v>164</v>
      </c>
      <c r="W503" t="s">
        <v>116</v>
      </c>
      <c r="X503" t="s">
        <v>44</v>
      </c>
      <c r="Y503" t="s">
        <v>99</v>
      </c>
      <c r="Z503" t="s">
        <v>421</v>
      </c>
      <c r="AC503" t="str">
        <f>IF(AA503="",M503,AA503)</f>
        <v>sim</v>
      </c>
      <c r="AD503" t="str">
        <f>IF(AB503="",X503,AB503)</f>
        <v>sim</v>
      </c>
      <c r="AE503" t="str">
        <f>IF(OR(Configuracao!B9="",Configuracao!B10=""),"aguardando limiar",IF(AND(K503&gt;=Configuracao!B9,K503/MAX(Reconciliacao!C2,1)&gt;=Configuracao!B10/100),"sim","não"))</f>
        <v>aguardando limiar</v>
      </c>
    </row>
    <row r="504" spans="1:31" x14ac:dyDescent="0.25">
      <c r="A504">
        <v>12663</v>
      </c>
      <c r="C504" t="s">
        <v>652</v>
      </c>
      <c r="D504" t="s">
        <v>653</v>
      </c>
      <c r="E504" t="s">
        <v>451</v>
      </c>
      <c r="F504" t="s">
        <v>282</v>
      </c>
      <c r="G504" t="s">
        <v>281</v>
      </c>
      <c r="H504" t="s">
        <v>280</v>
      </c>
      <c r="I504" t="s">
        <v>420</v>
      </c>
      <c r="J504" t="s">
        <v>454</v>
      </c>
      <c r="K504" s="4">
        <v>223.55</v>
      </c>
      <c r="L504" s="4">
        <v>223.55</v>
      </c>
      <c r="M504" t="s">
        <v>44</v>
      </c>
      <c r="N504" t="s">
        <v>77</v>
      </c>
      <c r="O504" t="s">
        <v>99</v>
      </c>
      <c r="P504" t="s">
        <v>99</v>
      </c>
      <c r="Q504" t="s">
        <v>191</v>
      </c>
      <c r="R504" t="s">
        <v>283</v>
      </c>
      <c r="S504" t="s">
        <v>185</v>
      </c>
      <c r="T504" t="s">
        <v>198</v>
      </c>
      <c r="U504" t="s">
        <v>163</v>
      </c>
      <c r="V504" t="s">
        <v>164</v>
      </c>
      <c r="W504" t="s">
        <v>116</v>
      </c>
      <c r="X504" t="s">
        <v>44</v>
      </c>
      <c r="Y504" t="s">
        <v>99</v>
      </c>
      <c r="Z504" t="s">
        <v>421</v>
      </c>
      <c r="AC504" t="str">
        <f>IF(AA504="",M504,AA504)</f>
        <v>sim</v>
      </c>
      <c r="AD504" t="str">
        <f>IF(AB504="",X504,AB504)</f>
        <v>sim</v>
      </c>
      <c r="AE504" t="str">
        <f>IF(OR(Configuracao!B9="",Configuracao!B10=""),"aguardando limiar",IF(AND(K504&gt;=Configuracao!B9,K504/MAX(Reconciliacao!C2,1)&gt;=Configuracao!B10/100),"sim","não"))</f>
        <v>aguardando limiar</v>
      </c>
    </row>
    <row r="505" spans="1:31" x14ac:dyDescent="0.25">
      <c r="A505">
        <v>11448</v>
      </c>
      <c r="D505" t="s">
        <v>661</v>
      </c>
      <c r="E505" t="s">
        <v>451</v>
      </c>
      <c r="F505" t="s">
        <v>282</v>
      </c>
      <c r="G505" t="s">
        <v>281</v>
      </c>
      <c r="H505" t="s">
        <v>280</v>
      </c>
      <c r="I505" t="s">
        <v>32</v>
      </c>
      <c r="J505" t="s">
        <v>32</v>
      </c>
      <c r="K505" s="4">
        <v>229.45</v>
      </c>
      <c r="L505" s="4">
        <v>229.45</v>
      </c>
      <c r="M505" t="s">
        <v>44</v>
      </c>
      <c r="N505" t="s">
        <v>77</v>
      </c>
      <c r="O505" t="s">
        <v>99</v>
      </c>
      <c r="P505" t="s">
        <v>99</v>
      </c>
      <c r="Q505" t="s">
        <v>191</v>
      </c>
      <c r="R505" t="s">
        <v>283</v>
      </c>
      <c r="S505" t="s">
        <v>185</v>
      </c>
      <c r="T505" t="s">
        <v>198</v>
      </c>
      <c r="U505" t="s">
        <v>163</v>
      </c>
      <c r="V505" t="s">
        <v>164</v>
      </c>
      <c r="W505" t="s">
        <v>116</v>
      </c>
      <c r="X505" t="s">
        <v>44</v>
      </c>
      <c r="Y505" t="s">
        <v>99</v>
      </c>
      <c r="Z505" t="s">
        <v>421</v>
      </c>
      <c r="AC505" t="str">
        <f>IF(AA505="",M505,AA505)</f>
        <v>sim</v>
      </c>
      <c r="AD505" t="str">
        <f>IF(AB505="",X505,AB505)</f>
        <v>sim</v>
      </c>
      <c r="AE505" t="str">
        <f>IF(OR(Configuracao!B9="",Configuracao!B10=""),"aguardando limiar",IF(AND(K505&gt;=Configuracao!B9,K505/MAX(Reconciliacao!C2,1)&gt;=Configuracao!B10/100),"sim","não"))</f>
        <v>aguardando limiar</v>
      </c>
    </row>
    <row r="506" spans="1:31" x14ac:dyDescent="0.25">
      <c r="A506">
        <v>17830</v>
      </c>
      <c r="C506" t="s">
        <v>652</v>
      </c>
      <c r="D506" t="s">
        <v>663</v>
      </c>
      <c r="E506" t="s">
        <v>451</v>
      </c>
      <c r="F506" t="s">
        <v>282</v>
      </c>
      <c r="G506" t="s">
        <v>281</v>
      </c>
      <c r="H506" t="s">
        <v>280</v>
      </c>
      <c r="I506" t="s">
        <v>439</v>
      </c>
      <c r="J506" t="s">
        <v>439</v>
      </c>
      <c r="K506" s="4">
        <v>231.14</v>
      </c>
      <c r="L506" s="4">
        <v>231.14</v>
      </c>
      <c r="M506" t="s">
        <v>44</v>
      </c>
      <c r="N506" t="s">
        <v>77</v>
      </c>
      <c r="O506" t="s">
        <v>99</v>
      </c>
      <c r="P506" t="s">
        <v>99</v>
      </c>
      <c r="Q506" t="s">
        <v>191</v>
      </c>
      <c r="R506" t="s">
        <v>283</v>
      </c>
      <c r="S506" t="s">
        <v>185</v>
      </c>
      <c r="T506" t="s">
        <v>198</v>
      </c>
      <c r="U506" t="s">
        <v>163</v>
      </c>
      <c r="V506" t="s">
        <v>164</v>
      </c>
      <c r="W506" t="s">
        <v>116</v>
      </c>
      <c r="X506" t="s">
        <v>44</v>
      </c>
      <c r="Y506" t="s">
        <v>99</v>
      </c>
      <c r="Z506" t="s">
        <v>421</v>
      </c>
      <c r="AC506" t="str">
        <f>IF(AA506="",M506,AA506)</f>
        <v>sim</v>
      </c>
      <c r="AD506" t="str">
        <f>IF(AB506="",X506,AB506)</f>
        <v>sim</v>
      </c>
      <c r="AE506" t="str">
        <f>IF(OR(Configuracao!B9="",Configuracao!B10=""),"aguardando limiar",IF(AND(K506&gt;=Configuracao!B9,K506/MAX(Reconciliacao!C2,1)&gt;=Configuracao!B10/100),"sim","não"))</f>
        <v>aguardando limiar</v>
      </c>
    </row>
    <row r="507" spans="1:31" x14ac:dyDescent="0.25">
      <c r="A507">
        <v>16733</v>
      </c>
      <c r="D507" t="s">
        <v>664</v>
      </c>
      <c r="E507" t="s">
        <v>451</v>
      </c>
      <c r="F507" t="s">
        <v>282</v>
      </c>
      <c r="G507" t="s">
        <v>281</v>
      </c>
      <c r="H507" t="s">
        <v>280</v>
      </c>
      <c r="I507" t="s">
        <v>461</v>
      </c>
      <c r="J507" t="s">
        <v>461</v>
      </c>
      <c r="K507" s="4">
        <v>239.8</v>
      </c>
      <c r="L507" s="4">
        <v>239.8</v>
      </c>
      <c r="M507" t="s">
        <v>44</v>
      </c>
      <c r="N507" t="s">
        <v>77</v>
      </c>
      <c r="O507" t="s">
        <v>99</v>
      </c>
      <c r="P507" t="s">
        <v>99</v>
      </c>
      <c r="Q507" t="s">
        <v>191</v>
      </c>
      <c r="R507" t="s">
        <v>283</v>
      </c>
      <c r="S507" t="s">
        <v>185</v>
      </c>
      <c r="T507" t="s">
        <v>198</v>
      </c>
      <c r="U507" t="s">
        <v>163</v>
      </c>
      <c r="V507" t="s">
        <v>164</v>
      </c>
      <c r="W507" t="s">
        <v>116</v>
      </c>
      <c r="X507" t="s">
        <v>44</v>
      </c>
      <c r="Y507" t="s">
        <v>99</v>
      </c>
      <c r="Z507" t="s">
        <v>421</v>
      </c>
      <c r="AC507" t="str">
        <f>IF(AA507="",M507,AA507)</f>
        <v>sim</v>
      </c>
      <c r="AD507" t="str">
        <f>IF(AB507="",X507,AB507)</f>
        <v>sim</v>
      </c>
      <c r="AE507" t="str">
        <f>IF(OR(Configuracao!B9="",Configuracao!B10=""),"aguardando limiar",IF(AND(K507&gt;=Configuracao!B9,K507/MAX(Reconciliacao!C2,1)&gt;=Configuracao!B10/100),"sim","não"))</f>
        <v>aguardando limiar</v>
      </c>
    </row>
    <row r="508" spans="1:31" x14ac:dyDescent="0.25">
      <c r="A508">
        <v>12757</v>
      </c>
      <c r="C508" t="s">
        <v>652</v>
      </c>
      <c r="D508" t="s">
        <v>663</v>
      </c>
      <c r="E508" t="s">
        <v>451</v>
      </c>
      <c r="F508" t="s">
        <v>282</v>
      </c>
      <c r="G508" t="s">
        <v>281</v>
      </c>
      <c r="H508" t="s">
        <v>280</v>
      </c>
      <c r="I508" t="s">
        <v>420</v>
      </c>
      <c r="J508" t="s">
        <v>454</v>
      </c>
      <c r="K508" s="4">
        <v>244.25</v>
      </c>
      <c r="L508" s="4">
        <v>244.25</v>
      </c>
      <c r="M508" t="s">
        <v>44</v>
      </c>
      <c r="N508" t="s">
        <v>77</v>
      </c>
      <c r="O508" t="s">
        <v>99</v>
      </c>
      <c r="P508" t="s">
        <v>99</v>
      </c>
      <c r="Q508" t="s">
        <v>191</v>
      </c>
      <c r="R508" t="s">
        <v>283</v>
      </c>
      <c r="S508" t="s">
        <v>185</v>
      </c>
      <c r="T508" t="s">
        <v>198</v>
      </c>
      <c r="U508" t="s">
        <v>163</v>
      </c>
      <c r="V508" t="s">
        <v>164</v>
      </c>
      <c r="W508" t="s">
        <v>116</v>
      </c>
      <c r="X508" t="s">
        <v>44</v>
      </c>
      <c r="Y508" t="s">
        <v>99</v>
      </c>
      <c r="Z508" t="s">
        <v>421</v>
      </c>
      <c r="AC508" t="str">
        <f>IF(AA508="",M508,AA508)</f>
        <v>sim</v>
      </c>
      <c r="AD508" t="str">
        <f>IF(AB508="",X508,AB508)</f>
        <v>sim</v>
      </c>
      <c r="AE508" t="str">
        <f>IF(OR(Configuracao!B9="",Configuracao!B10=""),"aguardando limiar",IF(AND(K508&gt;=Configuracao!B9,K508/MAX(Reconciliacao!C2,1)&gt;=Configuracao!B10/100),"sim","não"))</f>
        <v>aguardando limiar</v>
      </c>
    </row>
    <row r="509" spans="1:31" x14ac:dyDescent="0.25">
      <c r="A509">
        <v>13031</v>
      </c>
      <c r="C509" t="s">
        <v>665</v>
      </c>
      <c r="D509" t="s">
        <v>666</v>
      </c>
      <c r="E509" t="s">
        <v>451</v>
      </c>
      <c r="F509" t="s">
        <v>282</v>
      </c>
      <c r="G509" t="s">
        <v>281</v>
      </c>
      <c r="H509" t="s">
        <v>280</v>
      </c>
      <c r="I509" t="s">
        <v>424</v>
      </c>
      <c r="J509" t="s">
        <v>424</v>
      </c>
      <c r="K509" s="4">
        <v>253</v>
      </c>
      <c r="L509" s="4">
        <v>253</v>
      </c>
      <c r="M509" t="s">
        <v>44</v>
      </c>
      <c r="N509" t="s">
        <v>77</v>
      </c>
      <c r="O509" t="s">
        <v>99</v>
      </c>
      <c r="P509" t="s">
        <v>99</v>
      </c>
      <c r="Q509" t="s">
        <v>191</v>
      </c>
      <c r="R509" t="s">
        <v>283</v>
      </c>
      <c r="S509" t="s">
        <v>185</v>
      </c>
      <c r="T509" t="s">
        <v>198</v>
      </c>
      <c r="U509" t="s">
        <v>163</v>
      </c>
      <c r="V509" t="s">
        <v>164</v>
      </c>
      <c r="W509" t="s">
        <v>116</v>
      </c>
      <c r="X509" t="s">
        <v>44</v>
      </c>
      <c r="Y509" t="s">
        <v>99</v>
      </c>
      <c r="Z509" t="s">
        <v>421</v>
      </c>
      <c r="AC509" t="str">
        <f>IF(AA509="",M509,AA509)</f>
        <v>sim</v>
      </c>
      <c r="AD509" t="str">
        <f>IF(AB509="",X509,AB509)</f>
        <v>sim</v>
      </c>
      <c r="AE509" t="str">
        <f>IF(OR(Configuracao!B9="",Configuracao!B10=""),"aguardando limiar",IF(AND(K509&gt;=Configuracao!B9,K509/MAX(Reconciliacao!C2,1)&gt;=Configuracao!B10/100),"sim","não"))</f>
        <v>aguardando limiar</v>
      </c>
    </row>
    <row r="510" spans="1:31" x14ac:dyDescent="0.25">
      <c r="A510">
        <v>11867</v>
      </c>
      <c r="C510" t="s">
        <v>667</v>
      </c>
      <c r="D510" t="s">
        <v>666</v>
      </c>
      <c r="E510" t="s">
        <v>451</v>
      </c>
      <c r="F510" t="s">
        <v>282</v>
      </c>
      <c r="G510" t="s">
        <v>281</v>
      </c>
      <c r="H510" t="s">
        <v>280</v>
      </c>
      <c r="I510" t="s">
        <v>32</v>
      </c>
      <c r="J510" t="s">
        <v>32</v>
      </c>
      <c r="K510" s="4">
        <v>291</v>
      </c>
      <c r="L510" s="4">
        <v>291</v>
      </c>
      <c r="M510" t="s">
        <v>44</v>
      </c>
      <c r="N510" t="s">
        <v>77</v>
      </c>
      <c r="O510" t="s">
        <v>99</v>
      </c>
      <c r="P510" t="s">
        <v>99</v>
      </c>
      <c r="Q510" t="s">
        <v>191</v>
      </c>
      <c r="R510" t="s">
        <v>283</v>
      </c>
      <c r="S510" t="s">
        <v>185</v>
      </c>
      <c r="T510" t="s">
        <v>198</v>
      </c>
      <c r="U510" t="s">
        <v>163</v>
      </c>
      <c r="V510" t="s">
        <v>164</v>
      </c>
      <c r="W510" t="s">
        <v>116</v>
      </c>
      <c r="X510" t="s">
        <v>44</v>
      </c>
      <c r="Y510" t="s">
        <v>99</v>
      </c>
      <c r="Z510" t="s">
        <v>421</v>
      </c>
      <c r="AC510" t="str">
        <f>IF(AA510="",M510,AA510)</f>
        <v>sim</v>
      </c>
      <c r="AD510" t="str">
        <f>IF(AB510="",X510,AB510)</f>
        <v>sim</v>
      </c>
      <c r="AE510" t="str">
        <f>IF(OR(Configuracao!B9="",Configuracao!B10=""),"aguardando limiar",IF(AND(K510&gt;=Configuracao!B9,K510/MAX(Reconciliacao!C2,1)&gt;=Configuracao!B10/100),"sim","não"))</f>
        <v>aguardando limiar</v>
      </c>
    </row>
    <row r="511" spans="1:31" x14ac:dyDescent="0.25">
      <c r="A511">
        <v>15086</v>
      </c>
      <c r="D511" t="s">
        <v>661</v>
      </c>
      <c r="E511" t="s">
        <v>451</v>
      </c>
      <c r="F511" t="s">
        <v>282</v>
      </c>
      <c r="G511" t="s">
        <v>281</v>
      </c>
      <c r="H511" t="s">
        <v>280</v>
      </c>
      <c r="I511" t="s">
        <v>454</v>
      </c>
      <c r="J511" t="s">
        <v>454</v>
      </c>
      <c r="K511" s="4">
        <v>294.33</v>
      </c>
      <c r="L511" s="4">
        <v>294.33</v>
      </c>
      <c r="M511" t="s">
        <v>44</v>
      </c>
      <c r="N511" t="s">
        <v>77</v>
      </c>
      <c r="O511" t="s">
        <v>99</v>
      </c>
      <c r="P511" t="s">
        <v>99</v>
      </c>
      <c r="Q511" t="s">
        <v>191</v>
      </c>
      <c r="R511" t="s">
        <v>283</v>
      </c>
      <c r="S511" t="s">
        <v>185</v>
      </c>
      <c r="T511" t="s">
        <v>198</v>
      </c>
      <c r="U511" t="s">
        <v>163</v>
      </c>
      <c r="V511" t="s">
        <v>164</v>
      </c>
      <c r="W511" t="s">
        <v>116</v>
      </c>
      <c r="X511" t="s">
        <v>44</v>
      </c>
      <c r="Y511" t="s">
        <v>99</v>
      </c>
      <c r="Z511" t="s">
        <v>421</v>
      </c>
      <c r="AC511" t="str">
        <f>IF(AA511="",M511,AA511)</f>
        <v>sim</v>
      </c>
      <c r="AD511" t="str">
        <f>IF(AB511="",X511,AB511)</f>
        <v>sim</v>
      </c>
      <c r="AE511" t="str">
        <f>IF(OR(Configuracao!B9="",Configuracao!B10=""),"aguardando limiar",IF(AND(K511&gt;=Configuracao!B9,K511/MAX(Reconciliacao!C2,1)&gt;=Configuracao!B10/100),"sim","não"))</f>
        <v>aguardando limiar</v>
      </c>
    </row>
    <row r="512" spans="1:31" x14ac:dyDescent="0.25">
      <c r="A512">
        <v>18850</v>
      </c>
      <c r="C512" t="s">
        <v>652</v>
      </c>
      <c r="D512" t="s">
        <v>653</v>
      </c>
      <c r="E512" t="s">
        <v>451</v>
      </c>
      <c r="F512" t="s">
        <v>282</v>
      </c>
      <c r="G512" t="s">
        <v>281</v>
      </c>
      <c r="H512" t="s">
        <v>280</v>
      </c>
      <c r="I512" t="s">
        <v>35</v>
      </c>
      <c r="J512" t="s">
        <v>459</v>
      </c>
      <c r="K512" s="4">
        <v>322.65</v>
      </c>
      <c r="L512" s="4">
        <v>0</v>
      </c>
      <c r="M512" t="s">
        <v>44</v>
      </c>
      <c r="N512" t="s">
        <v>77</v>
      </c>
      <c r="O512" t="s">
        <v>99</v>
      </c>
      <c r="P512" t="s">
        <v>99</v>
      </c>
      <c r="Q512" t="s">
        <v>191</v>
      </c>
      <c r="R512" t="s">
        <v>283</v>
      </c>
      <c r="S512" t="s">
        <v>185</v>
      </c>
      <c r="T512" t="s">
        <v>198</v>
      </c>
      <c r="U512" t="s">
        <v>163</v>
      </c>
      <c r="V512" t="s">
        <v>164</v>
      </c>
      <c r="W512" t="s">
        <v>116</v>
      </c>
      <c r="X512" t="s">
        <v>44</v>
      </c>
      <c r="Y512" t="s">
        <v>99</v>
      </c>
      <c r="Z512" t="s">
        <v>421</v>
      </c>
      <c r="AC512" t="str">
        <f>IF(AA512="",M512,AA512)</f>
        <v>sim</v>
      </c>
      <c r="AD512" t="str">
        <f>IF(AB512="",X512,AB512)</f>
        <v>sim</v>
      </c>
      <c r="AE512" t="str">
        <f>IF(OR(Configuracao!B9="",Configuracao!B10=""),"aguardando limiar",IF(AND(K512&gt;=Configuracao!B9,K512/MAX(Reconciliacao!C2,1)&gt;=Configuracao!B10/100),"sim","não"))</f>
        <v>aguardando limiar</v>
      </c>
    </row>
    <row r="513" spans="1:31" x14ac:dyDescent="0.25">
      <c r="A513">
        <v>15842</v>
      </c>
      <c r="C513" t="s">
        <v>652</v>
      </c>
      <c r="D513" t="s">
        <v>663</v>
      </c>
      <c r="E513" t="s">
        <v>451</v>
      </c>
      <c r="F513" t="s">
        <v>282</v>
      </c>
      <c r="G513" t="s">
        <v>281</v>
      </c>
      <c r="H513" t="s">
        <v>280</v>
      </c>
      <c r="I513" t="s">
        <v>461</v>
      </c>
      <c r="J513" t="s">
        <v>442</v>
      </c>
      <c r="K513" s="4">
        <v>323.5</v>
      </c>
      <c r="L513" s="4">
        <v>323.5</v>
      </c>
      <c r="M513" t="s">
        <v>44</v>
      </c>
      <c r="N513" t="s">
        <v>77</v>
      </c>
      <c r="O513" t="s">
        <v>99</v>
      </c>
      <c r="P513" t="s">
        <v>99</v>
      </c>
      <c r="Q513" t="s">
        <v>191</v>
      </c>
      <c r="R513" t="s">
        <v>283</v>
      </c>
      <c r="S513" t="s">
        <v>185</v>
      </c>
      <c r="T513" t="s">
        <v>198</v>
      </c>
      <c r="U513" t="s">
        <v>163</v>
      </c>
      <c r="V513" t="s">
        <v>164</v>
      </c>
      <c r="W513" t="s">
        <v>116</v>
      </c>
      <c r="X513" t="s">
        <v>44</v>
      </c>
      <c r="Y513" t="s">
        <v>99</v>
      </c>
      <c r="Z513" t="s">
        <v>421</v>
      </c>
      <c r="AC513" t="str">
        <f>IF(AA513="",M513,AA513)</f>
        <v>sim</v>
      </c>
      <c r="AD513" t="str">
        <f>IF(AB513="",X513,AB513)</f>
        <v>sim</v>
      </c>
      <c r="AE513" t="str">
        <f>IF(OR(Configuracao!B9="",Configuracao!B10=""),"aguardando limiar",IF(AND(K513&gt;=Configuracao!B9,K513/MAX(Reconciliacao!C2,1)&gt;=Configuracao!B10/100),"sim","não"))</f>
        <v>aguardando limiar</v>
      </c>
    </row>
    <row r="514" spans="1:31" x14ac:dyDescent="0.25">
      <c r="A514">
        <v>18741</v>
      </c>
      <c r="C514" t="s">
        <v>652</v>
      </c>
      <c r="D514" t="s">
        <v>663</v>
      </c>
      <c r="E514" t="s">
        <v>451</v>
      </c>
      <c r="F514" t="s">
        <v>282</v>
      </c>
      <c r="G514" t="s">
        <v>281</v>
      </c>
      <c r="H514" t="s">
        <v>280</v>
      </c>
      <c r="I514" t="s">
        <v>35</v>
      </c>
      <c r="J514" t="s">
        <v>459</v>
      </c>
      <c r="K514" s="4">
        <v>343.57</v>
      </c>
      <c r="L514" s="4">
        <v>0</v>
      </c>
      <c r="M514" t="s">
        <v>44</v>
      </c>
      <c r="N514" t="s">
        <v>77</v>
      </c>
      <c r="O514" t="s">
        <v>99</v>
      </c>
      <c r="P514" t="s">
        <v>99</v>
      </c>
      <c r="Q514" t="s">
        <v>191</v>
      </c>
      <c r="R514" t="s">
        <v>283</v>
      </c>
      <c r="S514" t="s">
        <v>185</v>
      </c>
      <c r="T514" t="s">
        <v>198</v>
      </c>
      <c r="U514" t="s">
        <v>163</v>
      </c>
      <c r="V514" t="s">
        <v>164</v>
      </c>
      <c r="W514" t="s">
        <v>116</v>
      </c>
      <c r="X514" t="s">
        <v>44</v>
      </c>
      <c r="Y514" t="s">
        <v>99</v>
      </c>
      <c r="Z514" t="s">
        <v>421</v>
      </c>
      <c r="AC514" t="str">
        <f>IF(AA514="",M514,AA514)</f>
        <v>sim</v>
      </c>
      <c r="AD514" t="str">
        <f>IF(AB514="",X514,AB514)</f>
        <v>sim</v>
      </c>
      <c r="AE514" t="str">
        <f>IF(OR(Configuracao!B9="",Configuracao!B10=""),"aguardando limiar",IF(AND(K514&gt;=Configuracao!B9,K514/MAX(Reconciliacao!C2,1)&gt;=Configuracao!B10/100),"sim","não"))</f>
        <v>aguardando limiar</v>
      </c>
    </row>
    <row r="515" spans="1:31" x14ac:dyDescent="0.25">
      <c r="A515">
        <v>13444</v>
      </c>
      <c r="C515" t="s">
        <v>652</v>
      </c>
      <c r="D515" t="s">
        <v>663</v>
      </c>
      <c r="E515" t="s">
        <v>451</v>
      </c>
      <c r="F515" t="s">
        <v>282</v>
      </c>
      <c r="G515" t="s">
        <v>281</v>
      </c>
      <c r="H515" t="s">
        <v>280</v>
      </c>
      <c r="I515" t="s">
        <v>454</v>
      </c>
      <c r="J515" t="s">
        <v>461</v>
      </c>
      <c r="K515" s="4">
        <v>371.01</v>
      </c>
      <c r="L515" s="4">
        <v>371.01</v>
      </c>
      <c r="M515" t="s">
        <v>44</v>
      </c>
      <c r="N515" t="s">
        <v>77</v>
      </c>
      <c r="O515" t="s">
        <v>99</v>
      </c>
      <c r="P515" t="s">
        <v>99</v>
      </c>
      <c r="Q515" t="s">
        <v>191</v>
      </c>
      <c r="R515" t="s">
        <v>283</v>
      </c>
      <c r="S515" t="s">
        <v>185</v>
      </c>
      <c r="T515" t="s">
        <v>198</v>
      </c>
      <c r="U515" t="s">
        <v>163</v>
      </c>
      <c r="V515" t="s">
        <v>164</v>
      </c>
      <c r="W515" t="s">
        <v>116</v>
      </c>
      <c r="X515" t="s">
        <v>44</v>
      </c>
      <c r="Y515" t="s">
        <v>99</v>
      </c>
      <c r="Z515" t="s">
        <v>421</v>
      </c>
      <c r="AC515" t="str">
        <f>IF(AA515="",M515,AA515)</f>
        <v>sim</v>
      </c>
      <c r="AD515" t="str">
        <f>IF(AB515="",X515,AB515)</f>
        <v>sim</v>
      </c>
      <c r="AE515" t="str">
        <f>IF(OR(Configuracao!B9="",Configuracao!B10=""),"aguardando limiar",IF(AND(K515&gt;=Configuracao!B9,K515/MAX(Reconciliacao!C2,1)&gt;=Configuracao!B10/100),"sim","não"))</f>
        <v>aguardando limiar</v>
      </c>
    </row>
    <row r="516" spans="1:31" x14ac:dyDescent="0.25">
      <c r="A516">
        <v>17150</v>
      </c>
      <c r="C516" t="s">
        <v>652</v>
      </c>
      <c r="D516" t="s">
        <v>663</v>
      </c>
      <c r="E516" t="s">
        <v>451</v>
      </c>
      <c r="F516" t="s">
        <v>282</v>
      </c>
      <c r="G516" t="s">
        <v>281</v>
      </c>
      <c r="H516" t="s">
        <v>280</v>
      </c>
      <c r="I516" t="s">
        <v>442</v>
      </c>
      <c r="J516" t="s">
        <v>442</v>
      </c>
      <c r="K516" s="4">
        <v>431.87</v>
      </c>
      <c r="L516" s="4">
        <v>431.87</v>
      </c>
      <c r="M516" t="s">
        <v>44</v>
      </c>
      <c r="N516" t="s">
        <v>77</v>
      </c>
      <c r="O516" t="s">
        <v>99</v>
      </c>
      <c r="P516" t="s">
        <v>99</v>
      </c>
      <c r="Q516" t="s">
        <v>191</v>
      </c>
      <c r="R516" t="s">
        <v>283</v>
      </c>
      <c r="S516" t="s">
        <v>185</v>
      </c>
      <c r="T516" t="s">
        <v>198</v>
      </c>
      <c r="U516" t="s">
        <v>163</v>
      </c>
      <c r="V516" t="s">
        <v>164</v>
      </c>
      <c r="W516" t="s">
        <v>116</v>
      </c>
      <c r="X516" t="s">
        <v>44</v>
      </c>
      <c r="Y516" t="s">
        <v>99</v>
      </c>
      <c r="Z516" t="s">
        <v>421</v>
      </c>
      <c r="AC516" t="str">
        <f>IF(AA516="",M516,AA516)</f>
        <v>sim</v>
      </c>
      <c r="AD516" t="str">
        <f>IF(AB516="",X516,AB516)</f>
        <v>sim</v>
      </c>
      <c r="AE516" t="str">
        <f>IF(OR(Configuracao!B9="",Configuracao!B10=""),"aguardando limiar",IF(AND(K516&gt;=Configuracao!B9,K516/MAX(Reconciliacao!C2,1)&gt;=Configuracao!B10/100),"sim","não"))</f>
        <v>aguardando limiar</v>
      </c>
    </row>
    <row r="517" spans="1:31" x14ac:dyDescent="0.25">
      <c r="A517">
        <v>17857</v>
      </c>
      <c r="C517" t="s">
        <v>668</v>
      </c>
      <c r="D517" t="s">
        <v>666</v>
      </c>
      <c r="E517" t="s">
        <v>451</v>
      </c>
      <c r="F517" t="s">
        <v>282</v>
      </c>
      <c r="G517" t="s">
        <v>281</v>
      </c>
      <c r="H517" t="s">
        <v>280</v>
      </c>
      <c r="I517" t="s">
        <v>439</v>
      </c>
      <c r="J517" t="s">
        <v>439</v>
      </c>
      <c r="K517" s="4">
        <v>443</v>
      </c>
      <c r="L517" s="4">
        <v>443</v>
      </c>
      <c r="M517" t="s">
        <v>44</v>
      </c>
      <c r="N517" t="s">
        <v>77</v>
      </c>
      <c r="O517" t="s">
        <v>99</v>
      </c>
      <c r="P517" t="s">
        <v>99</v>
      </c>
      <c r="Q517" t="s">
        <v>191</v>
      </c>
      <c r="R517" t="s">
        <v>283</v>
      </c>
      <c r="S517" t="s">
        <v>185</v>
      </c>
      <c r="T517" t="s">
        <v>198</v>
      </c>
      <c r="U517" t="s">
        <v>163</v>
      </c>
      <c r="V517" t="s">
        <v>164</v>
      </c>
      <c r="W517" t="s">
        <v>116</v>
      </c>
      <c r="X517" t="s">
        <v>44</v>
      </c>
      <c r="Y517" t="s">
        <v>99</v>
      </c>
      <c r="Z517" t="s">
        <v>421</v>
      </c>
      <c r="AC517" t="str">
        <f>IF(AA517="",M517,AA517)</f>
        <v>sim</v>
      </c>
      <c r="AD517" t="str">
        <f>IF(AB517="",X517,AB517)</f>
        <v>sim</v>
      </c>
      <c r="AE517" t="str">
        <f>IF(OR(Configuracao!B9="",Configuracao!B10=""),"aguardando limiar",IF(AND(K517&gt;=Configuracao!B9,K517/MAX(Reconciliacao!C2,1)&gt;=Configuracao!B10/100),"sim","não"))</f>
        <v>aguardando limiar</v>
      </c>
    </row>
    <row r="518" spans="1:31" x14ac:dyDescent="0.25">
      <c r="A518">
        <v>11482</v>
      </c>
      <c r="C518" t="s">
        <v>652</v>
      </c>
      <c r="D518" t="s">
        <v>663</v>
      </c>
      <c r="E518" t="s">
        <v>451</v>
      </c>
      <c r="F518" t="s">
        <v>282</v>
      </c>
      <c r="G518" t="s">
        <v>281</v>
      </c>
      <c r="H518" t="s">
        <v>280</v>
      </c>
      <c r="I518" t="s">
        <v>32</v>
      </c>
      <c r="J518" t="s">
        <v>424</v>
      </c>
      <c r="K518" s="4">
        <v>461.62</v>
      </c>
      <c r="L518" s="4">
        <v>461.62</v>
      </c>
      <c r="M518" t="s">
        <v>44</v>
      </c>
      <c r="N518" t="s">
        <v>77</v>
      </c>
      <c r="O518" t="s">
        <v>99</v>
      </c>
      <c r="P518" t="s">
        <v>99</v>
      </c>
      <c r="Q518" t="s">
        <v>191</v>
      </c>
      <c r="R518" t="s">
        <v>283</v>
      </c>
      <c r="S518" t="s">
        <v>185</v>
      </c>
      <c r="T518" t="s">
        <v>198</v>
      </c>
      <c r="U518" t="s">
        <v>163</v>
      </c>
      <c r="V518" t="s">
        <v>164</v>
      </c>
      <c r="W518" t="s">
        <v>116</v>
      </c>
      <c r="X518" t="s">
        <v>44</v>
      </c>
      <c r="Y518" t="s">
        <v>99</v>
      </c>
      <c r="Z518" t="s">
        <v>421</v>
      </c>
      <c r="AC518" t="str">
        <f>IF(AA518="",M518,AA518)</f>
        <v>sim</v>
      </c>
      <c r="AD518" t="str">
        <f>IF(AB518="",X518,AB518)</f>
        <v>sim</v>
      </c>
      <c r="AE518" t="str">
        <f>IF(OR(Configuracao!B9="",Configuracao!B10=""),"aguardando limiar",IF(AND(K518&gt;=Configuracao!B9,K518/MAX(Reconciliacao!C2,1)&gt;=Configuracao!B10/100),"sim","não"))</f>
        <v>aguardando limiar</v>
      </c>
    </row>
    <row r="519" spans="1:31" x14ac:dyDescent="0.25">
      <c r="A519">
        <v>12665</v>
      </c>
      <c r="D519" t="s">
        <v>669</v>
      </c>
      <c r="E519" t="s">
        <v>451</v>
      </c>
      <c r="F519" t="s">
        <v>282</v>
      </c>
      <c r="G519" t="s">
        <v>281</v>
      </c>
      <c r="H519" t="s">
        <v>280</v>
      </c>
      <c r="I519" t="s">
        <v>420</v>
      </c>
      <c r="J519" t="s">
        <v>454</v>
      </c>
      <c r="K519" s="4">
        <v>684.6</v>
      </c>
      <c r="L519" s="4">
        <v>684.6</v>
      </c>
      <c r="M519" t="s">
        <v>44</v>
      </c>
      <c r="N519" t="s">
        <v>77</v>
      </c>
      <c r="O519" t="s">
        <v>99</v>
      </c>
      <c r="P519" t="s">
        <v>99</v>
      </c>
      <c r="Q519" t="s">
        <v>191</v>
      </c>
      <c r="R519" t="s">
        <v>283</v>
      </c>
      <c r="S519" t="s">
        <v>185</v>
      </c>
      <c r="T519" t="s">
        <v>198</v>
      </c>
      <c r="U519" t="s">
        <v>163</v>
      </c>
      <c r="V519" t="s">
        <v>164</v>
      </c>
      <c r="W519" t="s">
        <v>116</v>
      </c>
      <c r="X519" t="s">
        <v>44</v>
      </c>
      <c r="Y519" t="s">
        <v>99</v>
      </c>
      <c r="Z519" t="s">
        <v>421</v>
      </c>
      <c r="AC519" t="str">
        <f>IF(AA519="",M519,AA519)</f>
        <v>sim</v>
      </c>
      <c r="AD519" t="str">
        <f>IF(AB519="",X519,AB519)</f>
        <v>sim</v>
      </c>
      <c r="AE519" t="str">
        <f>IF(OR(Configuracao!B9="",Configuracao!B10=""),"aguardando limiar",IF(AND(K519&gt;=Configuracao!B9,K519/MAX(Reconciliacao!C2,1)&gt;=Configuracao!B10/100),"sim","não"))</f>
        <v>aguardando limiar</v>
      </c>
    </row>
    <row r="520" spans="1:31" x14ac:dyDescent="0.25">
      <c r="A520">
        <v>12002</v>
      </c>
      <c r="C520" t="s">
        <v>652</v>
      </c>
      <c r="D520" t="s">
        <v>669</v>
      </c>
      <c r="E520" t="s">
        <v>451</v>
      </c>
      <c r="F520" t="s">
        <v>282</v>
      </c>
      <c r="G520" t="s">
        <v>281</v>
      </c>
      <c r="H520" t="s">
        <v>280</v>
      </c>
      <c r="I520" t="s">
        <v>424</v>
      </c>
      <c r="J520" t="s">
        <v>420</v>
      </c>
      <c r="K520" s="4">
        <v>748.1</v>
      </c>
      <c r="L520" s="4">
        <v>748.1</v>
      </c>
      <c r="M520" t="s">
        <v>44</v>
      </c>
      <c r="N520" t="s">
        <v>77</v>
      </c>
      <c r="O520" t="s">
        <v>99</v>
      </c>
      <c r="P520" t="s">
        <v>99</v>
      </c>
      <c r="Q520" t="s">
        <v>191</v>
      </c>
      <c r="R520" t="s">
        <v>283</v>
      </c>
      <c r="S520" t="s">
        <v>185</v>
      </c>
      <c r="T520" t="s">
        <v>198</v>
      </c>
      <c r="U520" t="s">
        <v>163</v>
      </c>
      <c r="V520" t="s">
        <v>164</v>
      </c>
      <c r="W520" t="s">
        <v>116</v>
      </c>
      <c r="X520" t="s">
        <v>44</v>
      </c>
      <c r="Y520" t="s">
        <v>99</v>
      </c>
      <c r="Z520" t="s">
        <v>421</v>
      </c>
      <c r="AC520" t="str">
        <f>IF(AA520="",M520,AA520)</f>
        <v>sim</v>
      </c>
      <c r="AD520" t="str">
        <f>IF(AB520="",X520,AB520)</f>
        <v>sim</v>
      </c>
      <c r="AE520" t="str">
        <f>IF(OR(Configuracao!B9="",Configuracao!B10=""),"aguardando limiar",IF(AND(K520&gt;=Configuracao!B9,K520/MAX(Reconciliacao!C2,1)&gt;=Configuracao!B10/100),"sim","não"))</f>
        <v>aguardando limiar</v>
      </c>
    </row>
    <row r="521" spans="1:31" x14ac:dyDescent="0.25">
      <c r="A521">
        <v>17865</v>
      </c>
      <c r="C521" t="s">
        <v>652</v>
      </c>
      <c r="D521" t="s">
        <v>669</v>
      </c>
      <c r="E521" t="s">
        <v>451</v>
      </c>
      <c r="F521" t="s">
        <v>282</v>
      </c>
      <c r="G521" t="s">
        <v>281</v>
      </c>
      <c r="H521" t="s">
        <v>280</v>
      </c>
      <c r="I521" t="s">
        <v>439</v>
      </c>
      <c r="J521" t="s">
        <v>439</v>
      </c>
      <c r="K521" s="4">
        <v>769.05</v>
      </c>
      <c r="L521" s="4">
        <v>769.05</v>
      </c>
      <c r="M521" t="s">
        <v>44</v>
      </c>
      <c r="N521" t="s">
        <v>77</v>
      </c>
      <c r="O521" t="s">
        <v>99</v>
      </c>
      <c r="P521" t="s">
        <v>99</v>
      </c>
      <c r="Q521" t="s">
        <v>191</v>
      </c>
      <c r="R521" t="s">
        <v>283</v>
      </c>
      <c r="S521" t="s">
        <v>185</v>
      </c>
      <c r="T521" t="s">
        <v>198</v>
      </c>
      <c r="U521" t="s">
        <v>163</v>
      </c>
      <c r="V521" t="s">
        <v>164</v>
      </c>
      <c r="W521" t="s">
        <v>116</v>
      </c>
      <c r="X521" t="s">
        <v>44</v>
      </c>
      <c r="Y521" t="s">
        <v>99</v>
      </c>
      <c r="Z521" t="s">
        <v>421</v>
      </c>
      <c r="AC521" t="str">
        <f>IF(AA521="",M521,AA521)</f>
        <v>sim</v>
      </c>
      <c r="AD521" t="str">
        <f>IF(AB521="",X521,AB521)</f>
        <v>sim</v>
      </c>
      <c r="AE521" t="str">
        <f>IF(OR(Configuracao!B9="",Configuracao!B10=""),"aguardando limiar",IF(AND(K521&gt;=Configuracao!B9,K521/MAX(Reconciliacao!C2,1)&gt;=Configuracao!B10/100),"sim","não"))</f>
        <v>aguardando limiar</v>
      </c>
    </row>
    <row r="522" spans="1:31" x14ac:dyDescent="0.25">
      <c r="A522">
        <v>15739</v>
      </c>
      <c r="C522" t="s">
        <v>652</v>
      </c>
      <c r="D522" t="s">
        <v>669</v>
      </c>
      <c r="E522" t="s">
        <v>451</v>
      </c>
      <c r="F522" t="s">
        <v>282</v>
      </c>
      <c r="G522" t="s">
        <v>281</v>
      </c>
      <c r="H522" t="s">
        <v>280</v>
      </c>
      <c r="I522" t="s">
        <v>454</v>
      </c>
      <c r="J522" t="s">
        <v>461</v>
      </c>
      <c r="K522" s="4">
        <v>798.25</v>
      </c>
      <c r="L522" s="4">
        <v>798.25</v>
      </c>
      <c r="M522" t="s">
        <v>44</v>
      </c>
      <c r="N522" t="s">
        <v>77</v>
      </c>
      <c r="O522" t="s">
        <v>99</v>
      </c>
      <c r="P522" t="s">
        <v>99</v>
      </c>
      <c r="Q522" t="s">
        <v>191</v>
      </c>
      <c r="R522" t="s">
        <v>283</v>
      </c>
      <c r="S522" t="s">
        <v>185</v>
      </c>
      <c r="T522" t="s">
        <v>198</v>
      </c>
      <c r="U522" t="s">
        <v>163</v>
      </c>
      <c r="V522" t="s">
        <v>164</v>
      </c>
      <c r="W522" t="s">
        <v>116</v>
      </c>
      <c r="X522" t="s">
        <v>44</v>
      </c>
      <c r="Y522" t="s">
        <v>99</v>
      </c>
      <c r="Z522" t="s">
        <v>421</v>
      </c>
      <c r="AC522" t="str">
        <f>IF(AA522="",M522,AA522)</f>
        <v>sim</v>
      </c>
      <c r="AD522" t="str">
        <f>IF(AB522="",X522,AB522)</f>
        <v>sim</v>
      </c>
      <c r="AE522" t="str">
        <f>IF(OR(Configuracao!B9="",Configuracao!B10=""),"aguardando limiar",IF(AND(K522&gt;=Configuracao!B9,K522/MAX(Reconciliacao!C2,1)&gt;=Configuracao!B10/100),"sim","não"))</f>
        <v>aguardando limiar</v>
      </c>
    </row>
    <row r="523" spans="1:31" x14ac:dyDescent="0.25">
      <c r="A523">
        <v>14097</v>
      </c>
      <c r="C523" t="s">
        <v>652</v>
      </c>
      <c r="D523" t="s">
        <v>669</v>
      </c>
      <c r="E523" t="s">
        <v>451</v>
      </c>
      <c r="F523" t="s">
        <v>282</v>
      </c>
      <c r="G523" t="s">
        <v>281</v>
      </c>
      <c r="H523" t="s">
        <v>280</v>
      </c>
      <c r="I523" t="s">
        <v>454</v>
      </c>
      <c r="J523" t="s">
        <v>454</v>
      </c>
      <c r="K523" s="4">
        <v>808.45</v>
      </c>
      <c r="L523" s="4">
        <v>808.45</v>
      </c>
      <c r="M523" t="s">
        <v>44</v>
      </c>
      <c r="N523" t="s">
        <v>77</v>
      </c>
      <c r="O523" t="s">
        <v>99</v>
      </c>
      <c r="P523" t="s">
        <v>99</v>
      </c>
      <c r="Q523" t="s">
        <v>191</v>
      </c>
      <c r="R523" t="s">
        <v>283</v>
      </c>
      <c r="S523" t="s">
        <v>185</v>
      </c>
      <c r="T523" t="s">
        <v>198</v>
      </c>
      <c r="U523" t="s">
        <v>163</v>
      </c>
      <c r="V523" t="s">
        <v>164</v>
      </c>
      <c r="W523" t="s">
        <v>116</v>
      </c>
      <c r="X523" t="s">
        <v>44</v>
      </c>
      <c r="Y523" t="s">
        <v>99</v>
      </c>
      <c r="Z523" t="s">
        <v>421</v>
      </c>
      <c r="AC523" t="str">
        <f>IF(AA523="",M523,AA523)</f>
        <v>sim</v>
      </c>
      <c r="AD523" t="str">
        <f>IF(AB523="",X523,AB523)</f>
        <v>sim</v>
      </c>
      <c r="AE523" t="str">
        <f>IF(OR(Configuracao!B9="",Configuracao!B10=""),"aguardando limiar",IF(AND(K523&gt;=Configuracao!B9,K523/MAX(Reconciliacao!C2,1)&gt;=Configuracao!B10/100),"sim","não"))</f>
        <v>aguardando limiar</v>
      </c>
    </row>
    <row r="524" spans="1:31" x14ac:dyDescent="0.25">
      <c r="A524">
        <v>18712</v>
      </c>
      <c r="C524" t="s">
        <v>652</v>
      </c>
      <c r="D524" t="s">
        <v>669</v>
      </c>
      <c r="E524" t="s">
        <v>451</v>
      </c>
      <c r="F524" t="s">
        <v>282</v>
      </c>
      <c r="G524" t="s">
        <v>281</v>
      </c>
      <c r="H524" t="s">
        <v>280</v>
      </c>
      <c r="I524" t="s">
        <v>35</v>
      </c>
      <c r="J524" t="s">
        <v>459</v>
      </c>
      <c r="K524" s="4">
        <v>935.15</v>
      </c>
      <c r="L524" s="4">
        <v>0</v>
      </c>
      <c r="M524" t="s">
        <v>44</v>
      </c>
      <c r="N524" t="s">
        <v>77</v>
      </c>
      <c r="O524" t="s">
        <v>99</v>
      </c>
      <c r="P524" t="s">
        <v>99</v>
      </c>
      <c r="Q524" t="s">
        <v>191</v>
      </c>
      <c r="R524" t="s">
        <v>283</v>
      </c>
      <c r="S524" t="s">
        <v>185</v>
      </c>
      <c r="T524" t="s">
        <v>198</v>
      </c>
      <c r="U524" t="s">
        <v>163</v>
      </c>
      <c r="V524" t="s">
        <v>164</v>
      </c>
      <c r="W524" t="s">
        <v>116</v>
      </c>
      <c r="X524" t="s">
        <v>44</v>
      </c>
      <c r="Y524" t="s">
        <v>99</v>
      </c>
      <c r="Z524" t="s">
        <v>421</v>
      </c>
      <c r="AC524" t="str">
        <f>IF(AA524="",M524,AA524)</f>
        <v>sim</v>
      </c>
      <c r="AD524" t="str">
        <f>IF(AB524="",X524,AB524)</f>
        <v>sim</v>
      </c>
      <c r="AE524" t="str">
        <f>IF(OR(Configuracao!B9="",Configuracao!B10=""),"aguardando limiar",IF(AND(K524&gt;=Configuracao!B9,K524/MAX(Reconciliacao!C2,1)&gt;=Configuracao!B10/100),"sim","não"))</f>
        <v>aguardando limiar</v>
      </c>
    </row>
    <row r="525" spans="1:31" x14ac:dyDescent="0.25">
      <c r="A525">
        <v>11455</v>
      </c>
      <c r="C525" t="s">
        <v>652</v>
      </c>
      <c r="D525" t="s">
        <v>669</v>
      </c>
      <c r="E525" t="s">
        <v>451</v>
      </c>
      <c r="F525" t="s">
        <v>282</v>
      </c>
      <c r="G525" t="s">
        <v>281</v>
      </c>
      <c r="H525" t="s">
        <v>280</v>
      </c>
      <c r="I525" t="s">
        <v>32</v>
      </c>
      <c r="J525" t="s">
        <v>424</v>
      </c>
      <c r="K525" s="4">
        <v>1100.81</v>
      </c>
      <c r="L525" s="4">
        <v>1100.81</v>
      </c>
      <c r="M525" t="s">
        <v>44</v>
      </c>
      <c r="N525" t="s">
        <v>77</v>
      </c>
      <c r="O525" t="s">
        <v>99</v>
      </c>
      <c r="P525" t="s">
        <v>99</v>
      </c>
      <c r="Q525" t="s">
        <v>191</v>
      </c>
      <c r="R525" t="s">
        <v>283</v>
      </c>
      <c r="S525" t="s">
        <v>185</v>
      </c>
      <c r="T525" t="s">
        <v>198</v>
      </c>
      <c r="U525" t="s">
        <v>163</v>
      </c>
      <c r="V525" t="s">
        <v>164</v>
      </c>
      <c r="W525" t="s">
        <v>116</v>
      </c>
      <c r="X525" t="s">
        <v>166</v>
      </c>
      <c r="Y525" t="s">
        <v>670</v>
      </c>
      <c r="Z525" t="s">
        <v>434</v>
      </c>
      <c r="AC525" t="str">
        <f>IF(AA525="",M525,AA525)</f>
        <v>sim</v>
      </c>
      <c r="AD525" t="str">
        <f>IF(AB525="",X525,AB525)</f>
        <v>não</v>
      </c>
      <c r="AE525" t="str">
        <f>IF(OR(Configuracao!B9="",Configuracao!B10=""),"aguardando limiar",IF(AND(K525&gt;=Configuracao!B9,K525/MAX(Reconciliacao!C2,1)&gt;=Configuracao!B10/100),"sim","não"))</f>
        <v>aguardando limiar</v>
      </c>
    </row>
    <row r="526" spans="1:31" x14ac:dyDescent="0.25">
      <c r="A526">
        <v>17141</v>
      </c>
      <c r="C526" t="s">
        <v>652</v>
      </c>
      <c r="D526" t="s">
        <v>669</v>
      </c>
      <c r="E526" t="s">
        <v>451</v>
      </c>
      <c r="F526" t="s">
        <v>282</v>
      </c>
      <c r="G526" t="s">
        <v>281</v>
      </c>
      <c r="H526" t="s">
        <v>280</v>
      </c>
      <c r="I526" t="s">
        <v>442</v>
      </c>
      <c r="J526" t="s">
        <v>439</v>
      </c>
      <c r="K526" s="4">
        <v>1439.6</v>
      </c>
      <c r="L526" s="4">
        <v>1439.6</v>
      </c>
      <c r="M526" t="s">
        <v>44</v>
      </c>
      <c r="N526" t="s">
        <v>77</v>
      </c>
      <c r="O526" t="s">
        <v>99</v>
      </c>
      <c r="P526" t="s">
        <v>99</v>
      </c>
      <c r="Q526" t="s">
        <v>191</v>
      </c>
      <c r="R526" t="s">
        <v>283</v>
      </c>
      <c r="S526" t="s">
        <v>185</v>
      </c>
      <c r="T526" t="s">
        <v>198</v>
      </c>
      <c r="U526" t="s">
        <v>163</v>
      </c>
      <c r="V526" t="s">
        <v>164</v>
      </c>
      <c r="W526" t="s">
        <v>116</v>
      </c>
      <c r="X526" t="s">
        <v>166</v>
      </c>
      <c r="Y526" t="s">
        <v>670</v>
      </c>
      <c r="Z526" t="s">
        <v>434</v>
      </c>
      <c r="AC526" t="str">
        <f>IF(AA526="",M526,AA526)</f>
        <v>sim</v>
      </c>
      <c r="AD526" t="str">
        <f>IF(AB526="",X526,AB526)</f>
        <v>não</v>
      </c>
      <c r="AE526" t="str">
        <f>IF(OR(Configuracao!B9="",Configuracao!B10=""),"aguardando limiar",IF(AND(K526&gt;=Configuracao!B9,K526/MAX(Reconciliacao!C2,1)&gt;=Configuracao!B10/100),"sim","não"))</f>
        <v>aguardando limiar</v>
      </c>
    </row>
    <row r="527" spans="1:31" x14ac:dyDescent="0.25">
      <c r="A527">
        <v>12328</v>
      </c>
      <c r="C527" t="s">
        <v>671</v>
      </c>
      <c r="D527" t="s">
        <v>672</v>
      </c>
      <c r="E527" t="s">
        <v>451</v>
      </c>
      <c r="F527" t="s">
        <v>282</v>
      </c>
      <c r="G527" t="s">
        <v>352</v>
      </c>
      <c r="H527" t="s">
        <v>351</v>
      </c>
      <c r="I527" t="s">
        <v>424</v>
      </c>
      <c r="J527" t="s">
        <v>424</v>
      </c>
      <c r="K527" s="4">
        <v>117.6</v>
      </c>
      <c r="L527" s="4">
        <v>117.6</v>
      </c>
      <c r="M527" t="s">
        <v>44</v>
      </c>
      <c r="N527" t="s">
        <v>77</v>
      </c>
      <c r="O527" t="s">
        <v>99</v>
      </c>
      <c r="P527" t="s">
        <v>99</v>
      </c>
      <c r="Q527" t="s">
        <v>279</v>
      </c>
      <c r="R527" t="s">
        <v>353</v>
      </c>
      <c r="S527" t="s">
        <v>185</v>
      </c>
      <c r="T527" t="s">
        <v>198</v>
      </c>
      <c r="U527" t="s">
        <v>163</v>
      </c>
      <c r="V527" t="s">
        <v>164</v>
      </c>
      <c r="W527" t="s">
        <v>116</v>
      </c>
      <c r="X527" t="s">
        <v>44</v>
      </c>
      <c r="Y527" t="s">
        <v>99</v>
      </c>
      <c r="Z527" t="s">
        <v>421</v>
      </c>
      <c r="AC527" t="str">
        <f>IF(AA527="",M527,AA527)</f>
        <v>sim</v>
      </c>
      <c r="AD527" t="str">
        <f>IF(AB527="",X527,AB527)</f>
        <v>sim</v>
      </c>
      <c r="AE527" t="str">
        <f>IF(OR(Configuracao!B9="",Configuracao!B10=""),"aguardando limiar",IF(AND(K527&gt;=Configuracao!B9,K527/MAX(Reconciliacao!C2,1)&gt;=Configuracao!B10/100),"sim","não"))</f>
        <v>aguardando limiar</v>
      </c>
    </row>
    <row r="528" spans="1:31" x14ac:dyDescent="0.25">
      <c r="A528">
        <v>18392</v>
      </c>
      <c r="C528" t="s">
        <v>673</v>
      </c>
      <c r="D528" t="s">
        <v>463</v>
      </c>
      <c r="E528" t="s">
        <v>451</v>
      </c>
      <c r="F528" t="s">
        <v>282</v>
      </c>
      <c r="G528" t="s">
        <v>352</v>
      </c>
      <c r="H528" t="s">
        <v>351</v>
      </c>
      <c r="I528" t="s">
        <v>439</v>
      </c>
      <c r="J528" t="s">
        <v>439</v>
      </c>
      <c r="K528" s="4">
        <v>131.04</v>
      </c>
      <c r="L528" s="4">
        <v>131.04</v>
      </c>
      <c r="M528" t="s">
        <v>44</v>
      </c>
      <c r="N528" t="s">
        <v>77</v>
      </c>
      <c r="O528" t="s">
        <v>99</v>
      </c>
      <c r="P528" t="s">
        <v>99</v>
      </c>
      <c r="Q528" t="s">
        <v>279</v>
      </c>
      <c r="R528" t="s">
        <v>353</v>
      </c>
      <c r="S528" t="s">
        <v>185</v>
      </c>
      <c r="T528" t="s">
        <v>198</v>
      </c>
      <c r="U528" t="s">
        <v>163</v>
      </c>
      <c r="V528" t="s">
        <v>164</v>
      </c>
      <c r="W528" t="s">
        <v>116</v>
      </c>
      <c r="X528" t="s">
        <v>44</v>
      </c>
      <c r="Y528" t="s">
        <v>99</v>
      </c>
      <c r="Z528" t="s">
        <v>421</v>
      </c>
      <c r="AC528" t="str">
        <f>IF(AA528="",M528,AA528)</f>
        <v>sim</v>
      </c>
      <c r="AD528" t="str">
        <f>IF(AB528="",X528,AB528)</f>
        <v>sim</v>
      </c>
      <c r="AE528" t="str">
        <f>IF(OR(Configuracao!B9="",Configuracao!B10=""),"aguardando limiar",IF(AND(K528&gt;=Configuracao!B9,K528/MAX(Reconciliacao!C2,1)&gt;=Configuracao!B10/100),"sim","não"))</f>
        <v>aguardando limiar</v>
      </c>
    </row>
    <row r="529" spans="1:31" x14ac:dyDescent="0.25">
      <c r="A529">
        <v>16552</v>
      </c>
      <c r="C529" t="s">
        <v>674</v>
      </c>
      <c r="D529" t="s">
        <v>672</v>
      </c>
      <c r="E529" t="s">
        <v>451</v>
      </c>
      <c r="F529" t="s">
        <v>282</v>
      </c>
      <c r="G529" t="s">
        <v>352</v>
      </c>
      <c r="H529" t="s">
        <v>351</v>
      </c>
      <c r="I529" t="s">
        <v>461</v>
      </c>
      <c r="J529" t="s">
        <v>461</v>
      </c>
      <c r="K529" s="4">
        <v>148.8</v>
      </c>
      <c r="L529" s="4">
        <v>148.8</v>
      </c>
      <c r="M529" t="s">
        <v>44</v>
      </c>
      <c r="N529" t="s">
        <v>77</v>
      </c>
      <c r="O529" t="s">
        <v>99</v>
      </c>
      <c r="P529" t="s">
        <v>99</v>
      </c>
      <c r="Q529" t="s">
        <v>279</v>
      </c>
      <c r="R529" t="s">
        <v>353</v>
      </c>
      <c r="S529" t="s">
        <v>185</v>
      </c>
      <c r="T529" t="s">
        <v>198</v>
      </c>
      <c r="U529" t="s">
        <v>163</v>
      </c>
      <c r="V529" t="s">
        <v>164</v>
      </c>
      <c r="W529" t="s">
        <v>116</v>
      </c>
      <c r="X529" t="s">
        <v>44</v>
      </c>
      <c r="Y529" t="s">
        <v>99</v>
      </c>
      <c r="Z529" t="s">
        <v>421</v>
      </c>
      <c r="AC529" t="str">
        <f>IF(AA529="",M529,AA529)</f>
        <v>sim</v>
      </c>
      <c r="AD529" t="str">
        <f>IF(AB529="",X529,AB529)</f>
        <v>sim</v>
      </c>
      <c r="AE529" t="str">
        <f>IF(OR(Configuracao!B9="",Configuracao!B10=""),"aguardando limiar",IF(AND(K529&gt;=Configuracao!B9,K529/MAX(Reconciliacao!C2,1)&gt;=Configuracao!B10/100),"sim","não"))</f>
        <v>aguardando limiar</v>
      </c>
    </row>
    <row r="530" spans="1:31" x14ac:dyDescent="0.25">
      <c r="A530">
        <v>18337</v>
      </c>
      <c r="C530" t="s">
        <v>674</v>
      </c>
      <c r="D530" t="s">
        <v>672</v>
      </c>
      <c r="E530" t="s">
        <v>451</v>
      </c>
      <c r="F530" t="s">
        <v>282</v>
      </c>
      <c r="G530" t="s">
        <v>352</v>
      </c>
      <c r="H530" t="s">
        <v>351</v>
      </c>
      <c r="I530" t="s">
        <v>439</v>
      </c>
      <c r="J530" t="s">
        <v>35</v>
      </c>
      <c r="K530" s="4">
        <v>246.88</v>
      </c>
      <c r="L530" s="4">
        <v>246.88</v>
      </c>
      <c r="M530" t="s">
        <v>44</v>
      </c>
      <c r="N530" t="s">
        <v>77</v>
      </c>
      <c r="O530" t="s">
        <v>99</v>
      </c>
      <c r="P530" t="s">
        <v>99</v>
      </c>
      <c r="Q530" t="s">
        <v>279</v>
      </c>
      <c r="R530" t="s">
        <v>353</v>
      </c>
      <c r="S530" t="s">
        <v>185</v>
      </c>
      <c r="T530" t="s">
        <v>198</v>
      </c>
      <c r="U530" t="s">
        <v>163</v>
      </c>
      <c r="V530" t="s">
        <v>164</v>
      </c>
      <c r="W530" t="s">
        <v>116</v>
      </c>
      <c r="X530" t="s">
        <v>44</v>
      </c>
      <c r="Y530" t="s">
        <v>99</v>
      </c>
      <c r="Z530" t="s">
        <v>421</v>
      </c>
      <c r="AC530" t="str">
        <f>IF(AA530="",M530,AA530)</f>
        <v>sim</v>
      </c>
      <c r="AD530" t="str">
        <f>IF(AB530="",X530,AB530)</f>
        <v>sim</v>
      </c>
      <c r="AE530" t="str">
        <f>IF(OR(Configuracao!B9="",Configuracao!B10=""),"aguardando limiar",IF(AND(K530&gt;=Configuracao!B9,K530/MAX(Reconciliacao!C2,1)&gt;=Configuracao!B10/100),"sim","não"))</f>
        <v>aguardando limiar</v>
      </c>
    </row>
    <row r="531" spans="1:31" x14ac:dyDescent="0.25">
      <c r="A531">
        <v>11755</v>
      </c>
      <c r="D531" t="s">
        <v>653</v>
      </c>
      <c r="E531" t="s">
        <v>451</v>
      </c>
      <c r="F531" t="s">
        <v>282</v>
      </c>
      <c r="G531" t="s">
        <v>352</v>
      </c>
      <c r="H531" t="s">
        <v>351</v>
      </c>
      <c r="I531" t="s">
        <v>32</v>
      </c>
      <c r="J531" t="s">
        <v>32</v>
      </c>
      <c r="K531" s="4">
        <v>351.86</v>
      </c>
      <c r="L531" s="4">
        <v>351.86</v>
      </c>
      <c r="M531" t="s">
        <v>44</v>
      </c>
      <c r="N531" t="s">
        <v>77</v>
      </c>
      <c r="O531" t="s">
        <v>99</v>
      </c>
      <c r="P531" t="s">
        <v>99</v>
      </c>
      <c r="Q531" t="s">
        <v>279</v>
      </c>
      <c r="R531" t="s">
        <v>353</v>
      </c>
      <c r="S531" t="s">
        <v>185</v>
      </c>
      <c r="T531" t="s">
        <v>198</v>
      </c>
      <c r="U531" t="s">
        <v>163</v>
      </c>
      <c r="V531" t="s">
        <v>164</v>
      </c>
      <c r="W531" t="s">
        <v>116</v>
      </c>
      <c r="X531" t="s">
        <v>44</v>
      </c>
      <c r="Y531" t="s">
        <v>99</v>
      </c>
      <c r="Z531" t="s">
        <v>421</v>
      </c>
      <c r="AC531" t="str">
        <f>IF(AA531="",M531,AA531)</f>
        <v>sim</v>
      </c>
      <c r="AD531" t="str">
        <f>IF(AB531="",X531,AB531)</f>
        <v>sim</v>
      </c>
      <c r="AE531" t="str">
        <f>IF(OR(Configuracao!B9="",Configuracao!B10=""),"aguardando limiar",IF(AND(K531&gt;=Configuracao!B9,K531/MAX(Reconciliacao!C2,1)&gt;=Configuracao!B10/100),"sim","não"))</f>
        <v>aguardando limiar</v>
      </c>
    </row>
    <row r="532" spans="1:31" x14ac:dyDescent="0.25">
      <c r="A532">
        <v>12856</v>
      </c>
      <c r="C532" t="s">
        <v>675</v>
      </c>
      <c r="D532" t="s">
        <v>672</v>
      </c>
      <c r="E532" t="s">
        <v>451</v>
      </c>
      <c r="F532" t="s">
        <v>282</v>
      </c>
      <c r="G532" t="s">
        <v>352</v>
      </c>
      <c r="H532" t="s">
        <v>351</v>
      </c>
      <c r="I532" t="s">
        <v>420</v>
      </c>
      <c r="J532" t="s">
        <v>454</v>
      </c>
      <c r="K532" s="4">
        <v>592.85</v>
      </c>
      <c r="L532" s="4">
        <v>592.85</v>
      </c>
      <c r="M532" t="s">
        <v>44</v>
      </c>
      <c r="N532" t="s">
        <v>77</v>
      </c>
      <c r="O532" t="s">
        <v>99</v>
      </c>
      <c r="P532" t="s">
        <v>99</v>
      </c>
      <c r="Q532" t="s">
        <v>279</v>
      </c>
      <c r="R532" t="s">
        <v>353</v>
      </c>
      <c r="S532" t="s">
        <v>185</v>
      </c>
      <c r="T532" t="s">
        <v>198</v>
      </c>
      <c r="U532" t="s">
        <v>163</v>
      </c>
      <c r="V532" t="s">
        <v>164</v>
      </c>
      <c r="W532" t="s">
        <v>116</v>
      </c>
      <c r="X532" t="s">
        <v>44</v>
      </c>
      <c r="Y532" t="s">
        <v>99</v>
      </c>
      <c r="Z532" t="s">
        <v>421</v>
      </c>
      <c r="AC532" t="str">
        <f>IF(AA532="",M532,AA532)</f>
        <v>sim</v>
      </c>
      <c r="AD532" t="str">
        <f>IF(AB532="",X532,AB532)</f>
        <v>sim</v>
      </c>
      <c r="AE532" t="str">
        <f>IF(OR(Configuracao!B9="",Configuracao!B10=""),"aguardando limiar",IF(AND(K532&gt;=Configuracao!B9,K532/MAX(Reconciliacao!C2,1)&gt;=Configuracao!B10/100),"sim","não"))</f>
        <v>aguardando limiar</v>
      </c>
    </row>
    <row r="533" spans="1:31" x14ac:dyDescent="0.25">
      <c r="A533">
        <v>12748</v>
      </c>
      <c r="C533" t="s">
        <v>676</v>
      </c>
      <c r="D533" t="s">
        <v>450</v>
      </c>
      <c r="E533" t="s">
        <v>451</v>
      </c>
      <c r="F533" t="s">
        <v>282</v>
      </c>
      <c r="G533" t="s">
        <v>352</v>
      </c>
      <c r="H533" t="s">
        <v>351</v>
      </c>
      <c r="I533" t="s">
        <v>420</v>
      </c>
      <c r="J533" t="s">
        <v>420</v>
      </c>
      <c r="K533" s="4">
        <v>799.8</v>
      </c>
      <c r="L533" s="4">
        <v>799.8</v>
      </c>
      <c r="M533" t="s">
        <v>44</v>
      </c>
      <c r="N533" t="s">
        <v>77</v>
      </c>
      <c r="O533" t="s">
        <v>99</v>
      </c>
      <c r="P533" t="s">
        <v>99</v>
      </c>
      <c r="Q533" t="s">
        <v>279</v>
      </c>
      <c r="R533" t="s">
        <v>353</v>
      </c>
      <c r="S533" t="s">
        <v>185</v>
      </c>
      <c r="T533" t="s">
        <v>198</v>
      </c>
      <c r="U533" t="s">
        <v>163</v>
      </c>
      <c r="V533" t="s">
        <v>164</v>
      </c>
      <c r="W533" t="s">
        <v>116</v>
      </c>
      <c r="X533" t="s">
        <v>44</v>
      </c>
      <c r="Y533" t="s">
        <v>99</v>
      </c>
      <c r="Z533" t="s">
        <v>421</v>
      </c>
      <c r="AC533" t="str">
        <f>IF(AA533="",M533,AA533)</f>
        <v>sim</v>
      </c>
      <c r="AD533" t="str">
        <f>IF(AB533="",X533,AB533)</f>
        <v>sim</v>
      </c>
      <c r="AE533" t="str">
        <f>IF(OR(Configuracao!B9="",Configuracao!B10=""),"aguardando limiar",IF(AND(K533&gt;=Configuracao!B9,K533/MAX(Reconciliacao!C2,1)&gt;=Configuracao!B10/100),"sim","não"))</f>
        <v>aguardando limiar</v>
      </c>
    </row>
    <row r="534" spans="1:31" x14ac:dyDescent="0.25">
      <c r="A534">
        <v>15743</v>
      </c>
      <c r="C534" t="s">
        <v>677</v>
      </c>
      <c r="D534" t="s">
        <v>450</v>
      </c>
      <c r="E534" t="s">
        <v>451</v>
      </c>
      <c r="F534" t="s">
        <v>282</v>
      </c>
      <c r="G534" t="s">
        <v>369</v>
      </c>
      <c r="H534" t="s">
        <v>368</v>
      </c>
      <c r="I534" t="s">
        <v>454</v>
      </c>
      <c r="J534" t="s">
        <v>461</v>
      </c>
      <c r="K534" s="4">
        <v>34.89</v>
      </c>
      <c r="L534" s="4">
        <v>34.89</v>
      </c>
      <c r="M534" t="s">
        <v>44</v>
      </c>
      <c r="N534" t="s">
        <v>77</v>
      </c>
      <c r="O534" t="s">
        <v>99</v>
      </c>
      <c r="P534" t="s">
        <v>99</v>
      </c>
      <c r="Q534" t="s">
        <v>202</v>
      </c>
      <c r="R534" t="s">
        <v>203</v>
      </c>
      <c r="S534" t="s">
        <v>161</v>
      </c>
      <c r="T534" t="s">
        <v>162</v>
      </c>
      <c r="U534" t="s">
        <v>163</v>
      </c>
      <c r="V534" t="s">
        <v>164</v>
      </c>
      <c r="W534" t="s">
        <v>116</v>
      </c>
      <c r="X534" t="s">
        <v>44</v>
      </c>
      <c r="Y534" t="s">
        <v>99</v>
      </c>
      <c r="Z534" t="s">
        <v>421</v>
      </c>
      <c r="AC534" t="str">
        <f>IF(AA534="",M534,AA534)</f>
        <v>sim</v>
      </c>
      <c r="AD534" t="str">
        <f>IF(AB534="",X534,AB534)</f>
        <v>sim</v>
      </c>
      <c r="AE534" t="str">
        <f>IF(OR(Configuracao!B9="",Configuracao!B10=""),"aguardando limiar",IF(AND(K534&gt;=Configuracao!B9,K534/MAX(Reconciliacao!C2,1)&gt;=Configuracao!B10/100),"sim","não"))</f>
        <v>aguardando limiar</v>
      </c>
    </row>
    <row r="535" spans="1:31" x14ac:dyDescent="0.25">
      <c r="A535">
        <v>11634</v>
      </c>
      <c r="C535" t="s">
        <v>678</v>
      </c>
      <c r="D535" t="s">
        <v>450</v>
      </c>
      <c r="E535" t="s">
        <v>451</v>
      </c>
      <c r="F535" t="s">
        <v>282</v>
      </c>
      <c r="G535" t="s">
        <v>369</v>
      </c>
      <c r="H535" t="s">
        <v>368</v>
      </c>
      <c r="I535" t="s">
        <v>32</v>
      </c>
      <c r="J535" t="s">
        <v>32</v>
      </c>
      <c r="K535" s="4">
        <v>47.99</v>
      </c>
      <c r="L535" s="4">
        <v>47.99</v>
      </c>
      <c r="M535" t="s">
        <v>44</v>
      </c>
      <c r="N535" t="s">
        <v>77</v>
      </c>
      <c r="O535" t="s">
        <v>99</v>
      </c>
      <c r="P535" t="s">
        <v>99</v>
      </c>
      <c r="Q535" t="s">
        <v>202</v>
      </c>
      <c r="R535" t="s">
        <v>203</v>
      </c>
      <c r="S535" t="s">
        <v>161</v>
      </c>
      <c r="T535" t="s">
        <v>162</v>
      </c>
      <c r="U535" t="s">
        <v>163</v>
      </c>
      <c r="V535" t="s">
        <v>164</v>
      </c>
      <c r="W535" t="s">
        <v>116</v>
      </c>
      <c r="X535" t="s">
        <v>44</v>
      </c>
      <c r="Y535" t="s">
        <v>99</v>
      </c>
      <c r="Z535" t="s">
        <v>421</v>
      </c>
      <c r="AC535" t="str">
        <f>IF(AA535="",M535,AA535)</f>
        <v>sim</v>
      </c>
      <c r="AD535" t="str">
        <f>IF(AB535="",X535,AB535)</f>
        <v>sim</v>
      </c>
      <c r="AE535" t="str">
        <f>IF(OR(Configuracao!B9="",Configuracao!B10=""),"aguardando limiar",IF(AND(K535&gt;=Configuracao!B9,K535/MAX(Reconciliacao!C2,1)&gt;=Configuracao!B10/100),"sim","não"))</f>
        <v>aguardando limiar</v>
      </c>
    </row>
    <row r="536" spans="1:31" x14ac:dyDescent="0.25">
      <c r="A536">
        <v>12137</v>
      </c>
      <c r="C536" t="s">
        <v>679</v>
      </c>
      <c r="D536" t="s">
        <v>450</v>
      </c>
      <c r="E536" t="s">
        <v>451</v>
      </c>
      <c r="F536" t="s">
        <v>282</v>
      </c>
      <c r="G536" t="s">
        <v>369</v>
      </c>
      <c r="H536" t="s">
        <v>368</v>
      </c>
      <c r="I536" t="s">
        <v>424</v>
      </c>
      <c r="J536" t="s">
        <v>424</v>
      </c>
      <c r="K536" s="4">
        <v>74.85</v>
      </c>
      <c r="L536" s="4">
        <v>74.85</v>
      </c>
      <c r="M536" t="s">
        <v>44</v>
      </c>
      <c r="N536" t="s">
        <v>77</v>
      </c>
      <c r="O536" t="s">
        <v>99</v>
      </c>
      <c r="P536" t="s">
        <v>99</v>
      </c>
      <c r="Q536" t="s">
        <v>202</v>
      </c>
      <c r="R536" t="s">
        <v>203</v>
      </c>
      <c r="S536" t="s">
        <v>161</v>
      </c>
      <c r="T536" t="s">
        <v>162</v>
      </c>
      <c r="U536" t="s">
        <v>163</v>
      </c>
      <c r="V536" t="s">
        <v>164</v>
      </c>
      <c r="W536" t="s">
        <v>116</v>
      </c>
      <c r="X536" t="s">
        <v>44</v>
      </c>
      <c r="Y536" t="s">
        <v>99</v>
      </c>
      <c r="Z536" t="s">
        <v>421</v>
      </c>
      <c r="AC536" t="str">
        <f>IF(AA536="",M536,AA536)</f>
        <v>sim</v>
      </c>
      <c r="AD536" t="str">
        <f>IF(AB536="",X536,AB536)</f>
        <v>sim</v>
      </c>
      <c r="AE536" t="str">
        <f>IF(OR(Configuracao!B9="",Configuracao!B10=""),"aguardando limiar",IF(AND(K536&gt;=Configuracao!B9,K536/MAX(Reconciliacao!C2,1)&gt;=Configuracao!B10/100),"sim","não"))</f>
        <v>aguardando limiar</v>
      </c>
    </row>
    <row r="537" spans="1:31" x14ac:dyDescent="0.25">
      <c r="A537">
        <v>12044</v>
      </c>
      <c r="C537" t="s">
        <v>680</v>
      </c>
      <c r="D537" t="s">
        <v>450</v>
      </c>
      <c r="E537" t="s">
        <v>525</v>
      </c>
      <c r="F537" t="s">
        <v>282</v>
      </c>
      <c r="G537" t="s">
        <v>369</v>
      </c>
      <c r="H537" t="s">
        <v>368</v>
      </c>
      <c r="I537" t="s">
        <v>424</v>
      </c>
      <c r="J537" t="s">
        <v>424</v>
      </c>
      <c r="K537" s="4">
        <v>129</v>
      </c>
      <c r="L537" s="4">
        <v>129</v>
      </c>
      <c r="M537" t="s">
        <v>44</v>
      </c>
      <c r="N537" t="s">
        <v>77</v>
      </c>
      <c r="O537" t="s">
        <v>99</v>
      </c>
      <c r="P537" t="s">
        <v>99</v>
      </c>
      <c r="Q537" t="s">
        <v>202</v>
      </c>
      <c r="R537" t="s">
        <v>203</v>
      </c>
      <c r="S537" t="s">
        <v>161</v>
      </c>
      <c r="T537" t="s">
        <v>162</v>
      </c>
      <c r="U537" t="s">
        <v>163</v>
      </c>
      <c r="V537" t="s">
        <v>164</v>
      </c>
      <c r="W537" t="s">
        <v>116</v>
      </c>
      <c r="X537" t="s">
        <v>44</v>
      </c>
      <c r="Y537" t="s">
        <v>99</v>
      </c>
      <c r="Z537" t="s">
        <v>421</v>
      </c>
      <c r="AC537" t="str">
        <f>IF(AA537="",M537,AA537)</f>
        <v>sim</v>
      </c>
      <c r="AD537" t="str">
        <f>IF(AB537="",X537,AB537)</f>
        <v>sim</v>
      </c>
      <c r="AE537" t="str">
        <f>IF(OR(Configuracao!B9="",Configuracao!B10=""),"aguardando limiar",IF(AND(K537&gt;=Configuracao!B9,K537/MAX(Reconciliacao!C2,1)&gt;=Configuracao!B10/100),"sim","não"))</f>
        <v>aguardando limiar</v>
      </c>
    </row>
    <row r="538" spans="1:31" x14ac:dyDescent="0.25">
      <c r="A538">
        <v>18973</v>
      </c>
      <c r="C538" t="s">
        <v>681</v>
      </c>
      <c r="D538" t="s">
        <v>450</v>
      </c>
      <c r="E538" t="s">
        <v>486</v>
      </c>
      <c r="F538" t="s">
        <v>282</v>
      </c>
      <c r="G538" t="s">
        <v>369</v>
      </c>
      <c r="H538" t="s">
        <v>368</v>
      </c>
      <c r="I538" t="s">
        <v>35</v>
      </c>
      <c r="J538" t="s">
        <v>35</v>
      </c>
      <c r="K538" s="4">
        <v>141.9</v>
      </c>
      <c r="L538" s="4">
        <v>141.9</v>
      </c>
      <c r="M538" t="s">
        <v>44</v>
      </c>
      <c r="N538" t="s">
        <v>77</v>
      </c>
      <c r="O538" t="s">
        <v>99</v>
      </c>
      <c r="P538" t="s">
        <v>99</v>
      </c>
      <c r="Q538" t="s">
        <v>202</v>
      </c>
      <c r="R538" t="s">
        <v>203</v>
      </c>
      <c r="S538" t="s">
        <v>161</v>
      </c>
      <c r="T538" t="s">
        <v>162</v>
      </c>
      <c r="U538" t="s">
        <v>163</v>
      </c>
      <c r="V538" t="s">
        <v>164</v>
      </c>
      <c r="W538" t="s">
        <v>116</v>
      </c>
      <c r="X538" t="s">
        <v>44</v>
      </c>
      <c r="Y538" t="s">
        <v>99</v>
      </c>
      <c r="Z538" t="s">
        <v>421</v>
      </c>
      <c r="AC538" t="str">
        <f>IF(AA538="",M538,AA538)</f>
        <v>sim</v>
      </c>
      <c r="AD538" t="str">
        <f>IF(AB538="",X538,AB538)</f>
        <v>sim</v>
      </c>
      <c r="AE538" t="str">
        <f>IF(OR(Configuracao!B9="",Configuracao!B10=""),"aguardando limiar",IF(AND(K538&gt;=Configuracao!B9,K538/MAX(Reconciliacao!C2,1)&gt;=Configuracao!B10/100),"sim","não"))</f>
        <v>aguardando limiar</v>
      </c>
    </row>
    <row r="539" spans="1:31" x14ac:dyDescent="0.25">
      <c r="A539">
        <v>18974</v>
      </c>
      <c r="C539" t="s">
        <v>682</v>
      </c>
      <c r="D539" t="s">
        <v>450</v>
      </c>
      <c r="E539" t="s">
        <v>458</v>
      </c>
      <c r="F539" t="s">
        <v>282</v>
      </c>
      <c r="G539" t="s">
        <v>369</v>
      </c>
      <c r="H539" t="s">
        <v>368</v>
      </c>
      <c r="I539" t="s">
        <v>35</v>
      </c>
      <c r="J539" t="s">
        <v>35</v>
      </c>
      <c r="K539" s="4">
        <v>174.67</v>
      </c>
      <c r="L539" s="4">
        <v>174.67</v>
      </c>
      <c r="M539" t="s">
        <v>44</v>
      </c>
      <c r="N539" t="s">
        <v>77</v>
      </c>
      <c r="O539" t="s">
        <v>99</v>
      </c>
      <c r="P539" t="s">
        <v>99</v>
      </c>
      <c r="Q539" t="s">
        <v>202</v>
      </c>
      <c r="R539" t="s">
        <v>203</v>
      </c>
      <c r="S539" t="s">
        <v>161</v>
      </c>
      <c r="T539" t="s">
        <v>162</v>
      </c>
      <c r="U539" t="s">
        <v>163</v>
      </c>
      <c r="V539" t="s">
        <v>164</v>
      </c>
      <c r="W539" t="s">
        <v>116</v>
      </c>
      <c r="X539" t="s">
        <v>44</v>
      </c>
      <c r="Y539" t="s">
        <v>99</v>
      </c>
      <c r="Z539" t="s">
        <v>421</v>
      </c>
      <c r="AC539" t="str">
        <f>IF(AA539="",M539,AA539)</f>
        <v>sim</v>
      </c>
      <c r="AD539" t="str">
        <f>IF(AB539="",X539,AB539)</f>
        <v>sim</v>
      </c>
      <c r="AE539" t="str">
        <f>IF(OR(Configuracao!B9="",Configuracao!B10=""),"aguardando limiar",IF(AND(K539&gt;=Configuracao!B9,K539/MAX(Reconciliacao!C2,1)&gt;=Configuracao!B10/100),"sim","não"))</f>
        <v>aguardando limiar</v>
      </c>
    </row>
    <row r="540" spans="1:31" x14ac:dyDescent="0.25">
      <c r="A540">
        <v>16148</v>
      </c>
      <c r="C540" t="s">
        <v>683</v>
      </c>
      <c r="D540" t="s">
        <v>684</v>
      </c>
      <c r="E540" t="s">
        <v>451</v>
      </c>
      <c r="F540" t="s">
        <v>282</v>
      </c>
      <c r="G540" t="s">
        <v>369</v>
      </c>
      <c r="H540" t="s">
        <v>368</v>
      </c>
      <c r="I540" t="s">
        <v>461</v>
      </c>
      <c r="J540" t="s">
        <v>461</v>
      </c>
      <c r="K540" s="4">
        <v>180</v>
      </c>
      <c r="L540" s="4">
        <v>180</v>
      </c>
      <c r="M540" t="s">
        <v>44</v>
      </c>
      <c r="N540" t="s">
        <v>77</v>
      </c>
      <c r="O540" t="s">
        <v>99</v>
      </c>
      <c r="P540" t="s">
        <v>99</v>
      </c>
      <c r="Q540" t="s">
        <v>202</v>
      </c>
      <c r="R540" t="s">
        <v>203</v>
      </c>
      <c r="S540" t="s">
        <v>161</v>
      </c>
      <c r="T540" t="s">
        <v>162</v>
      </c>
      <c r="U540" t="s">
        <v>163</v>
      </c>
      <c r="V540" t="s">
        <v>164</v>
      </c>
      <c r="W540" t="s">
        <v>116</v>
      </c>
      <c r="X540" t="s">
        <v>44</v>
      </c>
      <c r="Y540" t="s">
        <v>99</v>
      </c>
      <c r="Z540" t="s">
        <v>421</v>
      </c>
      <c r="AC540" t="str">
        <f>IF(AA540="",M540,AA540)</f>
        <v>sim</v>
      </c>
      <c r="AD540" t="str">
        <f>IF(AB540="",X540,AB540)</f>
        <v>sim</v>
      </c>
      <c r="AE540" t="str">
        <f>IF(OR(Configuracao!B9="",Configuracao!B10=""),"aguardando limiar",IF(AND(K540&gt;=Configuracao!B9,K540/MAX(Reconciliacao!C2,1)&gt;=Configuracao!B10/100),"sim","não"))</f>
        <v>aguardando limiar</v>
      </c>
    </row>
    <row r="541" spans="1:31" x14ac:dyDescent="0.25">
      <c r="A541">
        <v>15789</v>
      </c>
      <c r="C541" t="s">
        <v>685</v>
      </c>
      <c r="D541" t="s">
        <v>450</v>
      </c>
      <c r="E541" t="s">
        <v>467</v>
      </c>
      <c r="F541" t="s">
        <v>282</v>
      </c>
      <c r="G541" t="s">
        <v>369</v>
      </c>
      <c r="H541" t="s">
        <v>368</v>
      </c>
      <c r="I541" t="s">
        <v>454</v>
      </c>
      <c r="J541" t="s">
        <v>454</v>
      </c>
      <c r="K541" s="4">
        <v>191.9</v>
      </c>
      <c r="L541" s="4">
        <v>191.9</v>
      </c>
      <c r="M541" t="s">
        <v>44</v>
      </c>
      <c r="N541" t="s">
        <v>77</v>
      </c>
      <c r="O541" t="s">
        <v>99</v>
      </c>
      <c r="P541" t="s">
        <v>99</v>
      </c>
      <c r="Q541" t="s">
        <v>202</v>
      </c>
      <c r="R541" t="s">
        <v>203</v>
      </c>
      <c r="S541" t="s">
        <v>161</v>
      </c>
      <c r="T541" t="s">
        <v>162</v>
      </c>
      <c r="U541" t="s">
        <v>163</v>
      </c>
      <c r="V541" t="s">
        <v>164</v>
      </c>
      <c r="W541" t="s">
        <v>116</v>
      </c>
      <c r="X541" t="s">
        <v>44</v>
      </c>
      <c r="Y541" t="s">
        <v>99</v>
      </c>
      <c r="Z541" t="s">
        <v>421</v>
      </c>
      <c r="AC541" t="str">
        <f>IF(AA541="",M541,AA541)</f>
        <v>sim</v>
      </c>
      <c r="AD541" t="str">
        <f>IF(AB541="",X541,AB541)</f>
        <v>sim</v>
      </c>
      <c r="AE541" t="str">
        <f>IF(OR(Configuracao!B9="",Configuracao!B10=""),"aguardando limiar",IF(AND(K541&gt;=Configuracao!B9,K541/MAX(Reconciliacao!C2,1)&gt;=Configuracao!B10/100),"sim","não"))</f>
        <v>aguardando limiar</v>
      </c>
    </row>
    <row r="542" spans="1:31" x14ac:dyDescent="0.25">
      <c r="A542">
        <v>12266</v>
      </c>
      <c r="C542" t="s">
        <v>686</v>
      </c>
      <c r="D542" t="s">
        <v>450</v>
      </c>
      <c r="E542" t="s">
        <v>451</v>
      </c>
      <c r="F542" t="s">
        <v>282</v>
      </c>
      <c r="G542" t="s">
        <v>369</v>
      </c>
      <c r="H542" t="s">
        <v>368</v>
      </c>
      <c r="I542" t="s">
        <v>424</v>
      </c>
      <c r="J542" t="s">
        <v>424</v>
      </c>
      <c r="K542" s="4">
        <v>199.9</v>
      </c>
      <c r="L542" s="4">
        <v>199.9</v>
      </c>
      <c r="M542" t="s">
        <v>44</v>
      </c>
      <c r="N542" t="s">
        <v>77</v>
      </c>
      <c r="O542" t="s">
        <v>99</v>
      </c>
      <c r="P542" t="s">
        <v>99</v>
      </c>
      <c r="Q542" t="s">
        <v>202</v>
      </c>
      <c r="R542" t="s">
        <v>203</v>
      </c>
      <c r="S542" t="s">
        <v>161</v>
      </c>
      <c r="T542" t="s">
        <v>162</v>
      </c>
      <c r="U542" t="s">
        <v>163</v>
      </c>
      <c r="V542" t="s">
        <v>164</v>
      </c>
      <c r="W542" t="s">
        <v>116</v>
      </c>
      <c r="X542" t="s">
        <v>44</v>
      </c>
      <c r="Y542" t="s">
        <v>99</v>
      </c>
      <c r="Z542" t="s">
        <v>421</v>
      </c>
      <c r="AC542" t="str">
        <f>IF(AA542="",M542,AA542)</f>
        <v>sim</v>
      </c>
      <c r="AD542" t="str">
        <f>IF(AB542="",X542,AB542)</f>
        <v>sim</v>
      </c>
      <c r="AE542" t="str">
        <f>IF(OR(Configuracao!B9="",Configuracao!B10=""),"aguardando limiar",IF(AND(K542&gt;=Configuracao!B9,K542/MAX(Reconciliacao!C2,1)&gt;=Configuracao!B10/100),"sim","não"))</f>
        <v>aguardando limiar</v>
      </c>
    </row>
    <row r="543" spans="1:31" x14ac:dyDescent="0.25">
      <c r="A543">
        <v>12492</v>
      </c>
      <c r="C543" t="s">
        <v>687</v>
      </c>
      <c r="D543" t="s">
        <v>684</v>
      </c>
      <c r="E543" t="s">
        <v>451</v>
      </c>
      <c r="F543" t="s">
        <v>282</v>
      </c>
      <c r="G543" t="s">
        <v>369</v>
      </c>
      <c r="H543" t="s">
        <v>368</v>
      </c>
      <c r="I543" t="s">
        <v>420</v>
      </c>
      <c r="J543" t="s">
        <v>420</v>
      </c>
      <c r="K543" s="4">
        <v>230</v>
      </c>
      <c r="L543" s="4">
        <v>230</v>
      </c>
      <c r="M543" t="s">
        <v>44</v>
      </c>
      <c r="N543" t="s">
        <v>77</v>
      </c>
      <c r="O543" t="s">
        <v>99</v>
      </c>
      <c r="P543" t="s">
        <v>99</v>
      </c>
      <c r="Q543" t="s">
        <v>202</v>
      </c>
      <c r="R543" t="s">
        <v>203</v>
      </c>
      <c r="S543" t="s">
        <v>161</v>
      </c>
      <c r="T543" t="s">
        <v>162</v>
      </c>
      <c r="U543" t="s">
        <v>163</v>
      </c>
      <c r="V543" t="s">
        <v>164</v>
      </c>
      <c r="W543" t="s">
        <v>116</v>
      </c>
      <c r="X543" t="s">
        <v>44</v>
      </c>
      <c r="Y543" t="s">
        <v>99</v>
      </c>
      <c r="Z543" t="s">
        <v>421</v>
      </c>
      <c r="AC543" t="str">
        <f>IF(AA543="",M543,AA543)</f>
        <v>sim</v>
      </c>
      <c r="AD543" t="str">
        <f>IF(AB543="",X543,AB543)</f>
        <v>sim</v>
      </c>
      <c r="AE543" t="str">
        <f>IF(OR(Configuracao!B9="",Configuracao!B10=""),"aguardando limiar",IF(AND(K543&gt;=Configuracao!B9,K543/MAX(Reconciliacao!C2,1)&gt;=Configuracao!B10/100),"sim","não"))</f>
        <v>aguardando limiar</v>
      </c>
    </row>
    <row r="544" spans="1:31" x14ac:dyDescent="0.25">
      <c r="A544">
        <v>16440</v>
      </c>
      <c r="C544" t="s">
        <v>688</v>
      </c>
      <c r="D544" t="s">
        <v>463</v>
      </c>
      <c r="E544" t="s">
        <v>451</v>
      </c>
      <c r="F544" t="s">
        <v>282</v>
      </c>
      <c r="G544" t="s">
        <v>355</v>
      </c>
      <c r="H544" t="s">
        <v>354</v>
      </c>
      <c r="I544" t="s">
        <v>461</v>
      </c>
      <c r="J544" t="s">
        <v>461</v>
      </c>
      <c r="K544" s="4">
        <v>91</v>
      </c>
      <c r="L544" s="4">
        <v>91</v>
      </c>
      <c r="M544" t="s">
        <v>44</v>
      </c>
      <c r="N544" t="s">
        <v>77</v>
      </c>
      <c r="O544" t="s">
        <v>99</v>
      </c>
      <c r="P544" t="s">
        <v>99</v>
      </c>
      <c r="Q544" t="s">
        <v>191</v>
      </c>
      <c r="R544" t="s">
        <v>283</v>
      </c>
      <c r="S544" t="s">
        <v>185</v>
      </c>
      <c r="T544" t="s">
        <v>198</v>
      </c>
      <c r="U544" t="s">
        <v>163</v>
      </c>
      <c r="V544" t="s">
        <v>164</v>
      </c>
      <c r="W544" t="s">
        <v>116</v>
      </c>
      <c r="X544" t="s">
        <v>44</v>
      </c>
      <c r="Y544" t="s">
        <v>99</v>
      </c>
      <c r="Z544" t="s">
        <v>421</v>
      </c>
      <c r="AC544" t="str">
        <f>IF(AA544="",M544,AA544)</f>
        <v>sim</v>
      </c>
      <c r="AD544" t="str">
        <f>IF(AB544="",X544,AB544)</f>
        <v>sim</v>
      </c>
      <c r="AE544" t="str">
        <f>IF(OR(Configuracao!B9="",Configuracao!B10=""),"aguardando limiar",IF(AND(K544&gt;=Configuracao!B9,K544/MAX(Reconciliacao!C2,1)&gt;=Configuracao!B10/100),"sim","não"))</f>
        <v>aguardando limiar</v>
      </c>
    </row>
    <row r="545" spans="1:31" x14ac:dyDescent="0.25">
      <c r="A545">
        <v>13429</v>
      </c>
      <c r="C545" t="s">
        <v>689</v>
      </c>
      <c r="D545" t="s">
        <v>597</v>
      </c>
      <c r="E545" t="s">
        <v>451</v>
      </c>
      <c r="F545" t="s">
        <v>282</v>
      </c>
      <c r="G545" t="s">
        <v>355</v>
      </c>
      <c r="H545" t="s">
        <v>354</v>
      </c>
      <c r="I545" t="s">
        <v>454</v>
      </c>
      <c r="J545" t="s">
        <v>454</v>
      </c>
      <c r="K545" s="4">
        <v>169.99</v>
      </c>
      <c r="L545" s="4">
        <v>169.99</v>
      </c>
      <c r="M545" t="s">
        <v>44</v>
      </c>
      <c r="N545" t="s">
        <v>77</v>
      </c>
      <c r="O545" t="s">
        <v>99</v>
      </c>
      <c r="P545" t="s">
        <v>99</v>
      </c>
      <c r="Q545" t="s">
        <v>191</v>
      </c>
      <c r="R545" t="s">
        <v>283</v>
      </c>
      <c r="S545" t="s">
        <v>185</v>
      </c>
      <c r="T545" t="s">
        <v>198</v>
      </c>
      <c r="U545" t="s">
        <v>163</v>
      </c>
      <c r="V545" t="s">
        <v>164</v>
      </c>
      <c r="W545" t="s">
        <v>116</v>
      </c>
      <c r="X545" t="s">
        <v>44</v>
      </c>
      <c r="Y545" t="s">
        <v>99</v>
      </c>
      <c r="Z545" t="s">
        <v>421</v>
      </c>
      <c r="AC545" t="str">
        <f>IF(AA545="",M545,AA545)</f>
        <v>sim</v>
      </c>
      <c r="AD545" t="str">
        <f>IF(AB545="",X545,AB545)</f>
        <v>sim</v>
      </c>
      <c r="AE545" t="str">
        <f>IF(OR(Configuracao!B9="",Configuracao!B10=""),"aguardando limiar",IF(AND(K545&gt;=Configuracao!B9,K545/MAX(Reconciliacao!C2,1)&gt;=Configuracao!B10/100),"sim","não"))</f>
        <v>aguardando limiar</v>
      </c>
    </row>
    <row r="546" spans="1:31" x14ac:dyDescent="0.25">
      <c r="A546">
        <v>16439</v>
      </c>
      <c r="C546" t="s">
        <v>688</v>
      </c>
      <c r="D546" t="s">
        <v>450</v>
      </c>
      <c r="E546" t="s">
        <v>451</v>
      </c>
      <c r="F546" t="s">
        <v>282</v>
      </c>
      <c r="G546" t="s">
        <v>355</v>
      </c>
      <c r="H546" t="s">
        <v>354</v>
      </c>
      <c r="I546" t="s">
        <v>461</v>
      </c>
      <c r="J546" t="s">
        <v>461</v>
      </c>
      <c r="K546" s="4">
        <v>301.62</v>
      </c>
      <c r="L546" s="4">
        <v>301.62</v>
      </c>
      <c r="M546" t="s">
        <v>44</v>
      </c>
      <c r="N546" t="s">
        <v>77</v>
      </c>
      <c r="O546" t="s">
        <v>99</v>
      </c>
      <c r="P546" t="s">
        <v>99</v>
      </c>
      <c r="Q546" t="s">
        <v>191</v>
      </c>
      <c r="R546" t="s">
        <v>283</v>
      </c>
      <c r="S546" t="s">
        <v>185</v>
      </c>
      <c r="T546" t="s">
        <v>198</v>
      </c>
      <c r="U546" t="s">
        <v>163</v>
      </c>
      <c r="V546" t="s">
        <v>164</v>
      </c>
      <c r="W546" t="s">
        <v>116</v>
      </c>
      <c r="X546" t="s">
        <v>44</v>
      </c>
      <c r="Y546" t="s">
        <v>99</v>
      </c>
      <c r="Z546" t="s">
        <v>421</v>
      </c>
      <c r="AC546" t="str">
        <f>IF(AA546="",M546,AA546)</f>
        <v>sim</v>
      </c>
      <c r="AD546" t="str">
        <f>IF(AB546="",X546,AB546)</f>
        <v>sim</v>
      </c>
      <c r="AE546" t="str">
        <f>IF(OR(Configuracao!B9="",Configuracao!B10=""),"aguardando limiar",IF(AND(K546&gt;=Configuracao!B9,K546/MAX(Reconciliacao!C2,1)&gt;=Configuracao!B10/100),"sim","não"))</f>
        <v>aguardando limiar</v>
      </c>
    </row>
    <row r="547" spans="1:31" x14ac:dyDescent="0.25">
      <c r="A547">
        <v>16776</v>
      </c>
      <c r="C547" t="s">
        <v>690</v>
      </c>
      <c r="D547" t="s">
        <v>450</v>
      </c>
      <c r="E547" t="s">
        <v>451</v>
      </c>
      <c r="F547" t="s">
        <v>282</v>
      </c>
      <c r="G547" t="s">
        <v>355</v>
      </c>
      <c r="H547" t="s">
        <v>354</v>
      </c>
      <c r="I547" t="s">
        <v>442</v>
      </c>
      <c r="J547" t="s">
        <v>442</v>
      </c>
      <c r="K547" s="4">
        <v>315.6</v>
      </c>
      <c r="L547" s="4">
        <v>315.6</v>
      </c>
      <c r="M547" t="s">
        <v>44</v>
      </c>
      <c r="N547" t="s">
        <v>77</v>
      </c>
      <c r="O547" t="s">
        <v>99</v>
      </c>
      <c r="P547" t="s">
        <v>99</v>
      </c>
      <c r="Q547" t="s">
        <v>191</v>
      </c>
      <c r="R547" t="s">
        <v>283</v>
      </c>
      <c r="S547" t="s">
        <v>185</v>
      </c>
      <c r="T547" t="s">
        <v>198</v>
      </c>
      <c r="U547" t="s">
        <v>163</v>
      </c>
      <c r="V547" t="s">
        <v>164</v>
      </c>
      <c r="W547" t="s">
        <v>116</v>
      </c>
      <c r="X547" t="s">
        <v>44</v>
      </c>
      <c r="Y547" t="s">
        <v>99</v>
      </c>
      <c r="Z547" t="s">
        <v>421</v>
      </c>
      <c r="AC547" t="str">
        <f>IF(AA547="",M547,AA547)</f>
        <v>sim</v>
      </c>
      <c r="AD547" t="str">
        <f>IF(AB547="",X547,AB547)</f>
        <v>sim</v>
      </c>
      <c r="AE547" t="str">
        <f>IF(OR(Configuracao!B9="",Configuracao!B10=""),"aguardando limiar",IF(AND(K547&gt;=Configuracao!B9,K547/MAX(Reconciliacao!C2,1)&gt;=Configuracao!B10/100),"sim","não"))</f>
        <v>aguardando limiar</v>
      </c>
    </row>
    <row r="548" spans="1:31" x14ac:dyDescent="0.25">
      <c r="A548">
        <v>17512</v>
      </c>
      <c r="C548" t="s">
        <v>691</v>
      </c>
      <c r="D548" t="s">
        <v>692</v>
      </c>
      <c r="E548" t="s">
        <v>451</v>
      </c>
      <c r="F548" t="s">
        <v>282</v>
      </c>
      <c r="G548" t="s">
        <v>355</v>
      </c>
      <c r="H548" t="s">
        <v>354</v>
      </c>
      <c r="I548" t="s">
        <v>442</v>
      </c>
      <c r="J548" t="s">
        <v>439</v>
      </c>
      <c r="K548" s="4">
        <v>1360</v>
      </c>
      <c r="L548" s="4">
        <v>1360</v>
      </c>
      <c r="M548" t="s">
        <v>44</v>
      </c>
      <c r="N548" t="s">
        <v>77</v>
      </c>
      <c r="O548" t="s">
        <v>99</v>
      </c>
      <c r="P548" t="s">
        <v>99</v>
      </c>
      <c r="Q548" t="s">
        <v>191</v>
      </c>
      <c r="R548" t="s">
        <v>283</v>
      </c>
      <c r="S548" t="s">
        <v>185</v>
      </c>
      <c r="T548" t="s">
        <v>198</v>
      </c>
      <c r="U548" t="s">
        <v>163</v>
      </c>
      <c r="V548" t="s">
        <v>164</v>
      </c>
      <c r="W548" t="s">
        <v>116</v>
      </c>
      <c r="X548" t="s">
        <v>166</v>
      </c>
      <c r="Y548" t="s">
        <v>693</v>
      </c>
      <c r="Z548" t="s">
        <v>434</v>
      </c>
      <c r="AC548" t="str">
        <f>IF(AA548="",M548,AA548)</f>
        <v>sim</v>
      </c>
      <c r="AD548" t="str">
        <f>IF(AB548="",X548,AB548)</f>
        <v>não</v>
      </c>
      <c r="AE548" t="str">
        <f>IF(OR(Configuracao!B9="",Configuracao!B10=""),"aguardando limiar",IF(AND(K548&gt;=Configuracao!B9,K548/MAX(Reconciliacao!C2,1)&gt;=Configuracao!B10/100),"sim","não"))</f>
        <v>aguardando limiar</v>
      </c>
    </row>
    <row r="549" spans="1:31" x14ac:dyDescent="0.25">
      <c r="A549">
        <v>12379</v>
      </c>
      <c r="C549" t="s">
        <v>694</v>
      </c>
      <c r="D549" t="s">
        <v>450</v>
      </c>
      <c r="E549" t="s">
        <v>451</v>
      </c>
      <c r="F549" t="s">
        <v>307</v>
      </c>
      <c r="G549" t="s">
        <v>338</v>
      </c>
      <c r="H549" t="s">
        <v>337</v>
      </c>
      <c r="I549" t="s">
        <v>420</v>
      </c>
      <c r="J549" t="s">
        <v>420</v>
      </c>
      <c r="K549" s="4">
        <v>32.29</v>
      </c>
      <c r="L549" s="4">
        <v>32.29</v>
      </c>
      <c r="M549" t="s">
        <v>44</v>
      </c>
      <c r="N549" t="s">
        <v>77</v>
      </c>
      <c r="O549" t="s">
        <v>99</v>
      </c>
      <c r="P549" t="s">
        <v>99</v>
      </c>
      <c r="Q549" t="s">
        <v>191</v>
      </c>
      <c r="R549" t="s">
        <v>283</v>
      </c>
      <c r="S549" t="s">
        <v>185</v>
      </c>
      <c r="T549" t="s">
        <v>198</v>
      </c>
      <c r="U549" t="s">
        <v>163</v>
      </c>
      <c r="V549" t="s">
        <v>164</v>
      </c>
      <c r="W549" t="s">
        <v>116</v>
      </c>
      <c r="X549" t="s">
        <v>44</v>
      </c>
      <c r="Y549" t="s">
        <v>99</v>
      </c>
      <c r="Z549" t="s">
        <v>421</v>
      </c>
      <c r="AC549" t="str">
        <f>IF(AA549="",M549,AA549)</f>
        <v>sim</v>
      </c>
      <c r="AD549" t="str">
        <f>IF(AB549="",X549,AB549)</f>
        <v>sim</v>
      </c>
      <c r="AE549" t="str">
        <f>IF(OR(Configuracao!B9="",Configuracao!B10=""),"aguardando limiar",IF(AND(K549&gt;=Configuracao!B9,K549/MAX(Reconciliacao!C2,1)&gt;=Configuracao!B10/100),"sim","não"))</f>
        <v>aguardando limiar</v>
      </c>
    </row>
    <row r="550" spans="1:31" x14ac:dyDescent="0.25">
      <c r="A550">
        <v>16948</v>
      </c>
      <c r="C550" t="s">
        <v>695</v>
      </c>
      <c r="D550" t="s">
        <v>450</v>
      </c>
      <c r="E550" t="s">
        <v>451</v>
      </c>
      <c r="F550" t="s">
        <v>307</v>
      </c>
      <c r="G550" t="s">
        <v>338</v>
      </c>
      <c r="H550" t="s">
        <v>337</v>
      </c>
      <c r="I550" t="s">
        <v>442</v>
      </c>
      <c r="J550" t="s">
        <v>442</v>
      </c>
      <c r="K550" s="4">
        <v>36.74</v>
      </c>
      <c r="L550" s="4">
        <v>36.74</v>
      </c>
      <c r="M550" t="s">
        <v>44</v>
      </c>
      <c r="N550" t="s">
        <v>77</v>
      </c>
      <c r="O550" t="s">
        <v>99</v>
      </c>
      <c r="P550" t="s">
        <v>99</v>
      </c>
      <c r="Q550" t="s">
        <v>191</v>
      </c>
      <c r="R550" t="s">
        <v>283</v>
      </c>
      <c r="S550" t="s">
        <v>185</v>
      </c>
      <c r="T550" t="s">
        <v>198</v>
      </c>
      <c r="U550" t="s">
        <v>163</v>
      </c>
      <c r="V550" t="s">
        <v>164</v>
      </c>
      <c r="W550" t="s">
        <v>116</v>
      </c>
      <c r="X550" t="s">
        <v>44</v>
      </c>
      <c r="Y550" t="s">
        <v>99</v>
      </c>
      <c r="Z550" t="s">
        <v>421</v>
      </c>
      <c r="AC550" t="str">
        <f>IF(AA550="",M550,AA550)</f>
        <v>sim</v>
      </c>
      <c r="AD550" t="str">
        <f>IF(AB550="",X550,AB550)</f>
        <v>sim</v>
      </c>
      <c r="AE550" t="str">
        <f>IF(OR(Configuracao!B9="",Configuracao!B10=""),"aguardando limiar",IF(AND(K550&gt;=Configuracao!B9,K550/MAX(Reconciliacao!C2,1)&gt;=Configuracao!B10/100),"sim","não"))</f>
        <v>aguardando limiar</v>
      </c>
    </row>
    <row r="551" spans="1:31" x14ac:dyDescent="0.25">
      <c r="A551">
        <v>15946</v>
      </c>
      <c r="C551" t="s">
        <v>696</v>
      </c>
      <c r="D551" t="s">
        <v>450</v>
      </c>
      <c r="E551" t="s">
        <v>451</v>
      </c>
      <c r="F551" t="s">
        <v>307</v>
      </c>
      <c r="G551" t="s">
        <v>338</v>
      </c>
      <c r="H551" t="s">
        <v>337</v>
      </c>
      <c r="I551" t="s">
        <v>461</v>
      </c>
      <c r="J551" t="s">
        <v>461</v>
      </c>
      <c r="K551" s="4">
        <v>39.6</v>
      </c>
      <c r="L551" s="4">
        <v>39.6</v>
      </c>
      <c r="M551" t="s">
        <v>44</v>
      </c>
      <c r="N551" t="s">
        <v>77</v>
      </c>
      <c r="O551" t="s">
        <v>99</v>
      </c>
      <c r="P551" t="s">
        <v>99</v>
      </c>
      <c r="Q551" t="s">
        <v>191</v>
      </c>
      <c r="R551" t="s">
        <v>283</v>
      </c>
      <c r="S551" t="s">
        <v>185</v>
      </c>
      <c r="T551" t="s">
        <v>198</v>
      </c>
      <c r="U551" t="s">
        <v>163</v>
      </c>
      <c r="V551" t="s">
        <v>164</v>
      </c>
      <c r="W551" t="s">
        <v>116</v>
      </c>
      <c r="X551" t="s">
        <v>44</v>
      </c>
      <c r="Y551" t="s">
        <v>99</v>
      </c>
      <c r="Z551" t="s">
        <v>421</v>
      </c>
      <c r="AC551" t="str">
        <f>IF(AA551="",M551,AA551)</f>
        <v>sim</v>
      </c>
      <c r="AD551" t="str">
        <f>IF(AB551="",X551,AB551)</f>
        <v>sim</v>
      </c>
      <c r="AE551" t="str">
        <f>IF(OR(Configuracao!B9="",Configuracao!B10=""),"aguardando limiar",IF(AND(K551&gt;=Configuracao!B9,K551/MAX(Reconciliacao!C2,1)&gt;=Configuracao!B10/100),"sim","não"))</f>
        <v>aguardando limiar</v>
      </c>
    </row>
    <row r="552" spans="1:31" x14ac:dyDescent="0.25">
      <c r="A552">
        <v>18200</v>
      </c>
      <c r="C552" t="s">
        <v>697</v>
      </c>
      <c r="D552" t="s">
        <v>450</v>
      </c>
      <c r="E552" t="s">
        <v>451</v>
      </c>
      <c r="F552" t="s">
        <v>307</v>
      </c>
      <c r="G552" t="s">
        <v>338</v>
      </c>
      <c r="H552" t="s">
        <v>337</v>
      </c>
      <c r="I552" t="s">
        <v>439</v>
      </c>
      <c r="J552" t="s">
        <v>439</v>
      </c>
      <c r="K552" s="4">
        <v>46.28</v>
      </c>
      <c r="L552" s="4">
        <v>46.28</v>
      </c>
      <c r="M552" t="s">
        <v>44</v>
      </c>
      <c r="N552" t="s">
        <v>77</v>
      </c>
      <c r="O552" t="s">
        <v>99</v>
      </c>
      <c r="P552" t="s">
        <v>99</v>
      </c>
      <c r="Q552" t="s">
        <v>191</v>
      </c>
      <c r="R552" t="s">
        <v>283</v>
      </c>
      <c r="S552" t="s">
        <v>185</v>
      </c>
      <c r="T552" t="s">
        <v>198</v>
      </c>
      <c r="U552" t="s">
        <v>163</v>
      </c>
      <c r="V552" t="s">
        <v>164</v>
      </c>
      <c r="W552" t="s">
        <v>116</v>
      </c>
      <c r="X552" t="s">
        <v>44</v>
      </c>
      <c r="Y552" t="s">
        <v>99</v>
      </c>
      <c r="Z552" t="s">
        <v>421</v>
      </c>
      <c r="AC552" t="str">
        <f>IF(AA552="",M552,AA552)</f>
        <v>sim</v>
      </c>
      <c r="AD552" t="str">
        <f>IF(AB552="",X552,AB552)</f>
        <v>sim</v>
      </c>
      <c r="AE552" t="str">
        <f>IF(OR(Configuracao!B9="",Configuracao!B10=""),"aguardando limiar",IF(AND(K552&gt;=Configuracao!B9,K552/MAX(Reconciliacao!C2,1)&gt;=Configuracao!B10/100),"sim","não"))</f>
        <v>aguardando limiar</v>
      </c>
    </row>
    <row r="553" spans="1:31" x14ac:dyDescent="0.25">
      <c r="A553">
        <v>11751</v>
      </c>
      <c r="C553" t="s">
        <v>698</v>
      </c>
      <c r="D553" t="s">
        <v>657</v>
      </c>
      <c r="E553" t="s">
        <v>451</v>
      </c>
      <c r="F553" t="s">
        <v>307</v>
      </c>
      <c r="G553" t="s">
        <v>338</v>
      </c>
      <c r="H553" t="s">
        <v>337</v>
      </c>
      <c r="I553" t="s">
        <v>32</v>
      </c>
      <c r="J553" t="s">
        <v>32</v>
      </c>
      <c r="K553" s="4">
        <v>66.31</v>
      </c>
      <c r="L553" s="4">
        <v>66.31</v>
      </c>
      <c r="M553" t="s">
        <v>44</v>
      </c>
      <c r="N553" t="s">
        <v>77</v>
      </c>
      <c r="O553" t="s">
        <v>99</v>
      </c>
      <c r="P553" t="s">
        <v>99</v>
      </c>
      <c r="Q553" t="s">
        <v>191</v>
      </c>
      <c r="R553" t="s">
        <v>283</v>
      </c>
      <c r="S553" t="s">
        <v>185</v>
      </c>
      <c r="T553" t="s">
        <v>198</v>
      </c>
      <c r="U553" t="s">
        <v>163</v>
      </c>
      <c r="V553" t="s">
        <v>164</v>
      </c>
      <c r="W553" t="s">
        <v>116</v>
      </c>
      <c r="X553" t="s">
        <v>44</v>
      </c>
      <c r="Y553" t="s">
        <v>99</v>
      </c>
      <c r="Z553" t="s">
        <v>421</v>
      </c>
      <c r="AC553" t="str">
        <f>IF(AA553="",M553,AA553)</f>
        <v>sim</v>
      </c>
      <c r="AD553" t="str">
        <f>IF(AB553="",X553,AB553)</f>
        <v>sim</v>
      </c>
      <c r="AE553" t="str">
        <f>IF(OR(Configuracao!B9="",Configuracao!B10=""),"aguardando limiar",IF(AND(K553&gt;=Configuracao!B9,K553/MAX(Reconciliacao!C2,1)&gt;=Configuracao!B10/100),"sim","não"))</f>
        <v>aguardando limiar</v>
      </c>
    </row>
    <row r="554" spans="1:31" x14ac:dyDescent="0.25">
      <c r="A554">
        <v>12749</v>
      </c>
      <c r="C554" t="s">
        <v>699</v>
      </c>
      <c r="D554" t="s">
        <v>450</v>
      </c>
      <c r="E554" t="s">
        <v>451</v>
      </c>
      <c r="F554" t="s">
        <v>307</v>
      </c>
      <c r="G554" t="s">
        <v>338</v>
      </c>
      <c r="H554" t="s">
        <v>337</v>
      </c>
      <c r="I554" t="s">
        <v>420</v>
      </c>
      <c r="J554" t="s">
        <v>420</v>
      </c>
      <c r="K554" s="4">
        <v>67.38</v>
      </c>
      <c r="L554" s="4">
        <v>67.38</v>
      </c>
      <c r="M554" t="s">
        <v>44</v>
      </c>
      <c r="N554" t="s">
        <v>77</v>
      </c>
      <c r="O554" t="s">
        <v>99</v>
      </c>
      <c r="P554" t="s">
        <v>99</v>
      </c>
      <c r="Q554" t="s">
        <v>191</v>
      </c>
      <c r="R554" t="s">
        <v>283</v>
      </c>
      <c r="S554" t="s">
        <v>185</v>
      </c>
      <c r="T554" t="s">
        <v>198</v>
      </c>
      <c r="U554" t="s">
        <v>163</v>
      </c>
      <c r="V554" t="s">
        <v>164</v>
      </c>
      <c r="W554" t="s">
        <v>116</v>
      </c>
      <c r="X554" t="s">
        <v>44</v>
      </c>
      <c r="Y554" t="s">
        <v>99</v>
      </c>
      <c r="Z554" t="s">
        <v>421</v>
      </c>
      <c r="AC554" t="str">
        <f>IF(AA554="",M554,AA554)</f>
        <v>sim</v>
      </c>
      <c r="AD554" t="str">
        <f>IF(AB554="",X554,AB554)</f>
        <v>sim</v>
      </c>
      <c r="AE554" t="str">
        <f>IF(OR(Configuracao!B9="",Configuracao!B10=""),"aguardando limiar",IF(AND(K554&gt;=Configuracao!B9,K554/MAX(Reconciliacao!C2,1)&gt;=Configuracao!B10/100),"sim","não"))</f>
        <v>aguardando limiar</v>
      </c>
    </row>
    <row r="555" spans="1:31" x14ac:dyDescent="0.25">
      <c r="A555">
        <v>11356</v>
      </c>
      <c r="C555" t="s">
        <v>700</v>
      </c>
      <c r="D555" t="s">
        <v>450</v>
      </c>
      <c r="E555" t="s">
        <v>451</v>
      </c>
      <c r="F555" t="s">
        <v>307</v>
      </c>
      <c r="G555" t="s">
        <v>338</v>
      </c>
      <c r="H555" t="s">
        <v>337</v>
      </c>
      <c r="I555" t="s">
        <v>32</v>
      </c>
      <c r="J555" t="s">
        <v>32</v>
      </c>
      <c r="K555" s="4">
        <v>71.99</v>
      </c>
      <c r="L555" s="4">
        <v>71.99</v>
      </c>
      <c r="M555" t="s">
        <v>44</v>
      </c>
      <c r="N555" t="s">
        <v>77</v>
      </c>
      <c r="O555" t="s">
        <v>99</v>
      </c>
      <c r="P555" t="s">
        <v>99</v>
      </c>
      <c r="Q555" t="s">
        <v>191</v>
      </c>
      <c r="R555" t="s">
        <v>283</v>
      </c>
      <c r="S555" t="s">
        <v>185</v>
      </c>
      <c r="T555" t="s">
        <v>198</v>
      </c>
      <c r="U555" t="s">
        <v>163</v>
      </c>
      <c r="V555" t="s">
        <v>164</v>
      </c>
      <c r="W555" t="s">
        <v>116</v>
      </c>
      <c r="X555" t="s">
        <v>44</v>
      </c>
      <c r="Y555" t="s">
        <v>99</v>
      </c>
      <c r="Z555" t="s">
        <v>421</v>
      </c>
      <c r="AC555" t="str">
        <f>IF(AA555="",M555,AA555)</f>
        <v>sim</v>
      </c>
      <c r="AD555" t="str">
        <f>IF(AB555="",X555,AB555)</f>
        <v>sim</v>
      </c>
      <c r="AE555" t="str">
        <f>IF(OR(Configuracao!B9="",Configuracao!B10=""),"aguardando limiar",IF(AND(K555&gt;=Configuracao!B9,K555/MAX(Reconciliacao!C2,1)&gt;=Configuracao!B10/100),"sim","não"))</f>
        <v>aguardando limiar</v>
      </c>
    </row>
    <row r="556" spans="1:31" x14ac:dyDescent="0.25">
      <c r="A556">
        <v>12813</v>
      </c>
      <c r="C556" t="s">
        <v>701</v>
      </c>
      <c r="D556" t="s">
        <v>463</v>
      </c>
      <c r="E556" t="s">
        <v>451</v>
      </c>
      <c r="F556" t="s">
        <v>307</v>
      </c>
      <c r="G556" t="s">
        <v>338</v>
      </c>
      <c r="H556" t="s">
        <v>337</v>
      </c>
      <c r="I556" t="s">
        <v>420</v>
      </c>
      <c r="J556" t="s">
        <v>420</v>
      </c>
      <c r="K556" s="4">
        <v>118.11</v>
      </c>
      <c r="L556" s="4">
        <v>118.11</v>
      </c>
      <c r="M556" t="s">
        <v>44</v>
      </c>
      <c r="N556" t="s">
        <v>77</v>
      </c>
      <c r="O556" t="s">
        <v>99</v>
      </c>
      <c r="P556" t="s">
        <v>99</v>
      </c>
      <c r="Q556" t="s">
        <v>191</v>
      </c>
      <c r="R556" t="s">
        <v>283</v>
      </c>
      <c r="S556" t="s">
        <v>185</v>
      </c>
      <c r="T556" t="s">
        <v>198</v>
      </c>
      <c r="U556" t="s">
        <v>163</v>
      </c>
      <c r="V556" t="s">
        <v>164</v>
      </c>
      <c r="W556" t="s">
        <v>116</v>
      </c>
      <c r="X556" t="s">
        <v>44</v>
      </c>
      <c r="Y556" t="s">
        <v>99</v>
      </c>
      <c r="Z556" t="s">
        <v>421</v>
      </c>
      <c r="AC556" t="str">
        <f>IF(AA556="",M556,AA556)</f>
        <v>sim</v>
      </c>
      <c r="AD556" t="str">
        <f>IF(AB556="",X556,AB556)</f>
        <v>sim</v>
      </c>
      <c r="AE556" t="str">
        <f>IF(OR(Configuracao!B9="",Configuracao!B10=""),"aguardando limiar",IF(AND(K556&gt;=Configuracao!B9,K556/MAX(Reconciliacao!C2,1)&gt;=Configuracao!B10/100),"sim","não"))</f>
        <v>aguardando limiar</v>
      </c>
    </row>
    <row r="557" spans="1:31" x14ac:dyDescent="0.25">
      <c r="A557">
        <v>12589</v>
      </c>
      <c r="C557" t="s">
        <v>702</v>
      </c>
      <c r="D557" t="s">
        <v>450</v>
      </c>
      <c r="E557" t="s">
        <v>451</v>
      </c>
      <c r="F557" t="s">
        <v>307</v>
      </c>
      <c r="G557" t="s">
        <v>338</v>
      </c>
      <c r="H557" t="s">
        <v>337</v>
      </c>
      <c r="I557" t="s">
        <v>420</v>
      </c>
      <c r="J557" t="s">
        <v>420</v>
      </c>
      <c r="K557" s="4">
        <v>130.44</v>
      </c>
      <c r="L557" s="4">
        <v>130.44</v>
      </c>
      <c r="M557" t="s">
        <v>44</v>
      </c>
      <c r="N557" t="s">
        <v>77</v>
      </c>
      <c r="O557" t="s">
        <v>99</v>
      </c>
      <c r="P557" t="s">
        <v>99</v>
      </c>
      <c r="Q557" t="s">
        <v>191</v>
      </c>
      <c r="R557" t="s">
        <v>283</v>
      </c>
      <c r="S557" t="s">
        <v>185</v>
      </c>
      <c r="T557" t="s">
        <v>198</v>
      </c>
      <c r="U557" t="s">
        <v>163</v>
      </c>
      <c r="V557" t="s">
        <v>164</v>
      </c>
      <c r="W557" t="s">
        <v>116</v>
      </c>
      <c r="X557" t="s">
        <v>44</v>
      </c>
      <c r="Y557" t="s">
        <v>99</v>
      </c>
      <c r="Z557" t="s">
        <v>421</v>
      </c>
      <c r="AC557" t="str">
        <f>IF(AA557="",M557,AA557)</f>
        <v>sim</v>
      </c>
      <c r="AD557" t="str">
        <f>IF(AB557="",X557,AB557)</f>
        <v>sim</v>
      </c>
      <c r="AE557" t="str">
        <f>IF(OR(Configuracao!B9="",Configuracao!B10=""),"aguardando limiar",IF(AND(K557&gt;=Configuracao!B9,K557/MAX(Reconciliacao!C2,1)&gt;=Configuracao!B10/100),"sim","não"))</f>
        <v>aguardando limiar</v>
      </c>
    </row>
    <row r="558" spans="1:31" x14ac:dyDescent="0.25">
      <c r="A558">
        <v>11355</v>
      </c>
      <c r="C558" t="s">
        <v>703</v>
      </c>
      <c r="D558" t="s">
        <v>450</v>
      </c>
      <c r="E558" t="s">
        <v>451</v>
      </c>
      <c r="F558" t="s">
        <v>307</v>
      </c>
      <c r="G558" t="s">
        <v>338</v>
      </c>
      <c r="H558" t="s">
        <v>337</v>
      </c>
      <c r="I558" t="s">
        <v>32</v>
      </c>
      <c r="J558" t="s">
        <v>32</v>
      </c>
      <c r="K558" s="4">
        <v>151.15</v>
      </c>
      <c r="L558" s="4">
        <v>151.15</v>
      </c>
      <c r="M558" t="s">
        <v>44</v>
      </c>
      <c r="N558" t="s">
        <v>77</v>
      </c>
      <c r="O558" t="s">
        <v>99</v>
      </c>
      <c r="P558" t="s">
        <v>99</v>
      </c>
      <c r="Q558" t="s">
        <v>191</v>
      </c>
      <c r="R558" t="s">
        <v>283</v>
      </c>
      <c r="S558" t="s">
        <v>185</v>
      </c>
      <c r="T558" t="s">
        <v>198</v>
      </c>
      <c r="U558" t="s">
        <v>163</v>
      </c>
      <c r="V558" t="s">
        <v>164</v>
      </c>
      <c r="W558" t="s">
        <v>116</v>
      </c>
      <c r="X558" t="s">
        <v>44</v>
      </c>
      <c r="Y558" t="s">
        <v>99</v>
      </c>
      <c r="Z558" t="s">
        <v>421</v>
      </c>
      <c r="AC558" t="str">
        <f>IF(AA558="",M558,AA558)</f>
        <v>sim</v>
      </c>
      <c r="AD558" t="str">
        <f>IF(AB558="",X558,AB558)</f>
        <v>sim</v>
      </c>
      <c r="AE558" t="str">
        <f>IF(OR(Configuracao!B9="",Configuracao!B10=""),"aguardando limiar",IF(AND(K558&gt;=Configuracao!B9,K558/MAX(Reconciliacao!C2,1)&gt;=Configuracao!B10/100),"sim","não"))</f>
        <v>aguardando limiar</v>
      </c>
    </row>
    <row r="559" spans="1:31" x14ac:dyDescent="0.25">
      <c r="A559">
        <v>12004</v>
      </c>
      <c r="C559" t="s">
        <v>704</v>
      </c>
      <c r="D559" t="s">
        <v>450</v>
      </c>
      <c r="E559" t="s">
        <v>451</v>
      </c>
      <c r="F559" t="s">
        <v>307</v>
      </c>
      <c r="G559" t="s">
        <v>338</v>
      </c>
      <c r="H559" t="s">
        <v>337</v>
      </c>
      <c r="I559" t="s">
        <v>424</v>
      </c>
      <c r="J559" t="s">
        <v>424</v>
      </c>
      <c r="K559" s="4">
        <v>153.7</v>
      </c>
      <c r="L559" s="4">
        <v>153.7</v>
      </c>
      <c r="M559" t="s">
        <v>44</v>
      </c>
      <c r="N559" t="s">
        <v>77</v>
      </c>
      <c r="O559" t="s">
        <v>99</v>
      </c>
      <c r="P559" t="s">
        <v>99</v>
      </c>
      <c r="Q559" t="s">
        <v>191</v>
      </c>
      <c r="R559" t="s">
        <v>283</v>
      </c>
      <c r="S559" t="s">
        <v>185</v>
      </c>
      <c r="T559" t="s">
        <v>198</v>
      </c>
      <c r="U559" t="s">
        <v>163</v>
      </c>
      <c r="V559" t="s">
        <v>164</v>
      </c>
      <c r="W559" t="s">
        <v>116</v>
      </c>
      <c r="X559" t="s">
        <v>44</v>
      </c>
      <c r="Y559" t="s">
        <v>99</v>
      </c>
      <c r="Z559" t="s">
        <v>421</v>
      </c>
      <c r="AC559" t="str">
        <f>IF(AA559="",M559,AA559)</f>
        <v>sim</v>
      </c>
      <c r="AD559" t="str">
        <f>IF(AB559="",X559,AB559)</f>
        <v>sim</v>
      </c>
      <c r="AE559" t="str">
        <f>IF(OR(Configuracao!B9="",Configuracao!B10=""),"aguardando limiar",IF(AND(K559&gt;=Configuracao!B9,K559/MAX(Reconciliacao!C2,1)&gt;=Configuracao!B10/100),"sim","não"))</f>
        <v>aguardando limiar</v>
      </c>
    </row>
    <row r="560" spans="1:31" x14ac:dyDescent="0.25">
      <c r="A560">
        <v>18972</v>
      </c>
      <c r="C560" t="s">
        <v>705</v>
      </c>
      <c r="D560" t="s">
        <v>450</v>
      </c>
      <c r="E560" t="s">
        <v>451</v>
      </c>
      <c r="F560" t="s">
        <v>307</v>
      </c>
      <c r="G560" t="s">
        <v>338</v>
      </c>
      <c r="H560" t="s">
        <v>337</v>
      </c>
      <c r="I560" t="s">
        <v>35</v>
      </c>
      <c r="J560" t="s">
        <v>35</v>
      </c>
      <c r="K560" s="4">
        <v>165.9</v>
      </c>
      <c r="L560" s="4">
        <v>165.9</v>
      </c>
      <c r="M560" t="s">
        <v>44</v>
      </c>
      <c r="N560" t="s">
        <v>77</v>
      </c>
      <c r="O560" t="s">
        <v>99</v>
      </c>
      <c r="P560" t="s">
        <v>99</v>
      </c>
      <c r="Q560" t="s">
        <v>191</v>
      </c>
      <c r="R560" t="s">
        <v>283</v>
      </c>
      <c r="S560" t="s">
        <v>185</v>
      </c>
      <c r="T560" t="s">
        <v>198</v>
      </c>
      <c r="U560" t="s">
        <v>163</v>
      </c>
      <c r="V560" t="s">
        <v>164</v>
      </c>
      <c r="W560" t="s">
        <v>116</v>
      </c>
      <c r="X560" t="s">
        <v>44</v>
      </c>
      <c r="Y560" t="s">
        <v>99</v>
      </c>
      <c r="Z560" t="s">
        <v>421</v>
      </c>
      <c r="AC560" t="str">
        <f>IF(AA560="",M560,AA560)</f>
        <v>sim</v>
      </c>
      <c r="AD560" t="str">
        <f>IF(AB560="",X560,AB560)</f>
        <v>sim</v>
      </c>
      <c r="AE560" t="str">
        <f>IF(OR(Configuracao!B9="",Configuracao!B10=""),"aguardando limiar",IF(AND(K560&gt;=Configuracao!B9,K560/MAX(Reconciliacao!C2,1)&gt;=Configuracao!B10/100),"sim","não"))</f>
        <v>aguardando limiar</v>
      </c>
    </row>
    <row r="561" spans="1:31" x14ac:dyDescent="0.25">
      <c r="A561">
        <v>12073</v>
      </c>
      <c r="C561" t="s">
        <v>706</v>
      </c>
      <c r="D561" t="s">
        <v>450</v>
      </c>
      <c r="E561" t="s">
        <v>451</v>
      </c>
      <c r="F561" t="s">
        <v>307</v>
      </c>
      <c r="G561" t="s">
        <v>338</v>
      </c>
      <c r="H561" t="s">
        <v>337</v>
      </c>
      <c r="I561" t="s">
        <v>424</v>
      </c>
      <c r="J561" t="s">
        <v>420</v>
      </c>
      <c r="K561" s="4">
        <v>169</v>
      </c>
      <c r="L561" s="4">
        <v>169</v>
      </c>
      <c r="M561" t="s">
        <v>44</v>
      </c>
      <c r="N561" t="s">
        <v>77</v>
      </c>
      <c r="O561" t="s">
        <v>99</v>
      </c>
      <c r="P561" t="s">
        <v>99</v>
      </c>
      <c r="Q561" t="s">
        <v>191</v>
      </c>
      <c r="R561" t="s">
        <v>283</v>
      </c>
      <c r="S561" t="s">
        <v>185</v>
      </c>
      <c r="T561" t="s">
        <v>198</v>
      </c>
      <c r="U561" t="s">
        <v>163</v>
      </c>
      <c r="V561" t="s">
        <v>164</v>
      </c>
      <c r="W561" t="s">
        <v>116</v>
      </c>
      <c r="X561" t="s">
        <v>44</v>
      </c>
      <c r="Y561" t="s">
        <v>99</v>
      </c>
      <c r="Z561" t="s">
        <v>421</v>
      </c>
      <c r="AC561" t="str">
        <f>IF(AA561="",M561,AA561)</f>
        <v>sim</v>
      </c>
      <c r="AD561" t="str">
        <f>IF(AB561="",X561,AB561)</f>
        <v>sim</v>
      </c>
      <c r="AE561" t="str">
        <f>IF(OR(Configuracao!B9="",Configuracao!B10=""),"aguardando limiar",IF(AND(K561&gt;=Configuracao!B9,K561/MAX(Reconciliacao!C2,1)&gt;=Configuracao!B10/100),"sim","não"))</f>
        <v>aguardando limiar</v>
      </c>
    </row>
    <row r="562" spans="1:31" x14ac:dyDescent="0.25">
      <c r="A562">
        <v>12023</v>
      </c>
      <c r="C562" t="s">
        <v>707</v>
      </c>
      <c r="D562" t="s">
        <v>450</v>
      </c>
      <c r="E562" t="s">
        <v>451</v>
      </c>
      <c r="F562" t="s">
        <v>307</v>
      </c>
      <c r="G562" t="s">
        <v>338</v>
      </c>
      <c r="H562" t="s">
        <v>337</v>
      </c>
      <c r="I562" t="s">
        <v>424</v>
      </c>
      <c r="J562" t="s">
        <v>424</v>
      </c>
      <c r="K562" s="4">
        <v>177.89</v>
      </c>
      <c r="L562" s="4">
        <v>177.89</v>
      </c>
      <c r="M562" t="s">
        <v>44</v>
      </c>
      <c r="N562" t="s">
        <v>77</v>
      </c>
      <c r="O562" t="s">
        <v>99</v>
      </c>
      <c r="P562" t="s">
        <v>99</v>
      </c>
      <c r="Q562" t="s">
        <v>191</v>
      </c>
      <c r="R562" t="s">
        <v>283</v>
      </c>
      <c r="S562" t="s">
        <v>185</v>
      </c>
      <c r="T562" t="s">
        <v>198</v>
      </c>
      <c r="U562" t="s">
        <v>163</v>
      </c>
      <c r="V562" t="s">
        <v>164</v>
      </c>
      <c r="W562" t="s">
        <v>116</v>
      </c>
      <c r="X562" t="s">
        <v>44</v>
      </c>
      <c r="Y562" t="s">
        <v>99</v>
      </c>
      <c r="Z562" t="s">
        <v>421</v>
      </c>
      <c r="AC562" t="str">
        <f>IF(AA562="",M562,AA562)</f>
        <v>sim</v>
      </c>
      <c r="AD562" t="str">
        <f>IF(AB562="",X562,AB562)</f>
        <v>sim</v>
      </c>
      <c r="AE562" t="str">
        <f>IF(OR(Configuracao!B9="",Configuracao!B10=""),"aguardando limiar",IF(AND(K562&gt;=Configuracao!B9,K562/MAX(Reconciliacao!C2,1)&gt;=Configuracao!B10/100),"sim","não"))</f>
        <v>aguardando limiar</v>
      </c>
    </row>
    <row r="563" spans="1:31" x14ac:dyDescent="0.25">
      <c r="A563">
        <v>12750</v>
      </c>
      <c r="C563" t="s">
        <v>708</v>
      </c>
      <c r="D563" t="s">
        <v>450</v>
      </c>
      <c r="E563" t="s">
        <v>451</v>
      </c>
      <c r="F563" t="s">
        <v>307</v>
      </c>
      <c r="G563" t="s">
        <v>338</v>
      </c>
      <c r="H563" t="s">
        <v>337</v>
      </c>
      <c r="I563" t="s">
        <v>420</v>
      </c>
      <c r="J563" t="s">
        <v>420</v>
      </c>
      <c r="K563" s="4">
        <v>179.95</v>
      </c>
      <c r="L563" s="4">
        <v>179.95</v>
      </c>
      <c r="M563" t="s">
        <v>44</v>
      </c>
      <c r="N563" t="s">
        <v>77</v>
      </c>
      <c r="O563" t="s">
        <v>99</v>
      </c>
      <c r="P563" t="s">
        <v>99</v>
      </c>
      <c r="Q563" t="s">
        <v>191</v>
      </c>
      <c r="R563" t="s">
        <v>283</v>
      </c>
      <c r="S563" t="s">
        <v>185</v>
      </c>
      <c r="T563" t="s">
        <v>198</v>
      </c>
      <c r="U563" t="s">
        <v>163</v>
      </c>
      <c r="V563" t="s">
        <v>164</v>
      </c>
      <c r="W563" t="s">
        <v>116</v>
      </c>
      <c r="X563" t="s">
        <v>166</v>
      </c>
      <c r="Y563" t="s">
        <v>709</v>
      </c>
      <c r="Z563" t="s">
        <v>434</v>
      </c>
      <c r="AC563" t="str">
        <f>IF(AA563="",M563,AA563)</f>
        <v>sim</v>
      </c>
      <c r="AD563" t="str">
        <f>IF(AB563="",X563,AB563)</f>
        <v>não</v>
      </c>
      <c r="AE563" t="str">
        <f>IF(OR(Configuracao!B9="",Configuracao!B10=""),"aguardando limiar",IF(AND(K563&gt;=Configuracao!B9,K563/MAX(Reconciliacao!C2,1)&gt;=Configuracao!B10/100),"sim","não"))</f>
        <v>aguardando limiar</v>
      </c>
    </row>
    <row r="564" spans="1:31" x14ac:dyDescent="0.25">
      <c r="A564">
        <v>13824</v>
      </c>
      <c r="C564" t="s">
        <v>696</v>
      </c>
      <c r="D564" t="s">
        <v>450</v>
      </c>
      <c r="E564" t="s">
        <v>451</v>
      </c>
      <c r="F564" t="s">
        <v>307</v>
      </c>
      <c r="G564" t="s">
        <v>338</v>
      </c>
      <c r="H564" t="s">
        <v>337</v>
      </c>
      <c r="I564" t="s">
        <v>454</v>
      </c>
      <c r="J564" t="s">
        <v>454</v>
      </c>
      <c r="K564" s="4">
        <v>194.82</v>
      </c>
      <c r="L564" s="4">
        <v>194.82</v>
      </c>
      <c r="M564" t="s">
        <v>44</v>
      </c>
      <c r="N564" t="s">
        <v>77</v>
      </c>
      <c r="O564" t="s">
        <v>99</v>
      </c>
      <c r="P564" t="s">
        <v>99</v>
      </c>
      <c r="Q564" t="s">
        <v>191</v>
      </c>
      <c r="R564" t="s">
        <v>283</v>
      </c>
      <c r="S564" t="s">
        <v>185</v>
      </c>
      <c r="T564" t="s">
        <v>198</v>
      </c>
      <c r="U564" t="s">
        <v>163</v>
      </c>
      <c r="V564" t="s">
        <v>164</v>
      </c>
      <c r="W564" t="s">
        <v>116</v>
      </c>
      <c r="X564" t="s">
        <v>44</v>
      </c>
      <c r="Y564" t="s">
        <v>99</v>
      </c>
      <c r="Z564" t="s">
        <v>421</v>
      </c>
      <c r="AC564" t="str">
        <f>IF(AA564="",M564,AA564)</f>
        <v>sim</v>
      </c>
      <c r="AD564" t="str">
        <f>IF(AB564="",X564,AB564)</f>
        <v>sim</v>
      </c>
      <c r="AE564" t="str">
        <f>IF(OR(Configuracao!B9="",Configuracao!B10=""),"aguardando limiar",IF(AND(K564&gt;=Configuracao!B9,K564/MAX(Reconciliacao!C2,1)&gt;=Configuracao!B10/100),"sim","não"))</f>
        <v>aguardando limiar</v>
      </c>
    </row>
    <row r="565" spans="1:31" x14ac:dyDescent="0.25">
      <c r="A565">
        <v>18613</v>
      </c>
      <c r="C565" t="s">
        <v>710</v>
      </c>
      <c r="D565" t="s">
        <v>450</v>
      </c>
      <c r="E565" t="s">
        <v>451</v>
      </c>
      <c r="F565" t="s">
        <v>307</v>
      </c>
      <c r="G565" t="s">
        <v>338</v>
      </c>
      <c r="H565" t="s">
        <v>337</v>
      </c>
      <c r="I565" t="s">
        <v>35</v>
      </c>
      <c r="J565" t="s">
        <v>35</v>
      </c>
      <c r="K565" s="4">
        <v>248.56</v>
      </c>
      <c r="L565" s="4">
        <v>248.56</v>
      </c>
      <c r="M565" t="s">
        <v>44</v>
      </c>
      <c r="N565" t="s">
        <v>77</v>
      </c>
      <c r="O565" t="s">
        <v>99</v>
      </c>
      <c r="P565" t="s">
        <v>99</v>
      </c>
      <c r="Q565" t="s">
        <v>191</v>
      </c>
      <c r="R565" t="s">
        <v>283</v>
      </c>
      <c r="S565" t="s">
        <v>185</v>
      </c>
      <c r="T565" t="s">
        <v>198</v>
      </c>
      <c r="U565" t="s">
        <v>163</v>
      </c>
      <c r="V565" t="s">
        <v>164</v>
      </c>
      <c r="W565" t="s">
        <v>116</v>
      </c>
      <c r="X565" t="s">
        <v>44</v>
      </c>
      <c r="Y565" t="s">
        <v>99</v>
      </c>
      <c r="Z565" t="s">
        <v>421</v>
      </c>
      <c r="AC565" t="str">
        <f>IF(AA565="",M565,AA565)</f>
        <v>sim</v>
      </c>
      <c r="AD565" t="str">
        <f>IF(AB565="",X565,AB565)</f>
        <v>sim</v>
      </c>
      <c r="AE565" t="str">
        <f>IF(OR(Configuracao!B9="",Configuracao!B10=""),"aguardando limiar",IF(AND(K565&gt;=Configuracao!B9,K565/MAX(Reconciliacao!C2,1)&gt;=Configuracao!B10/100),"sim","não"))</f>
        <v>aguardando limiar</v>
      </c>
    </row>
    <row r="566" spans="1:31" x14ac:dyDescent="0.25">
      <c r="A566">
        <v>14568</v>
      </c>
      <c r="C566" t="s">
        <v>711</v>
      </c>
      <c r="D566" t="s">
        <v>450</v>
      </c>
      <c r="E566" t="s">
        <v>451</v>
      </c>
      <c r="F566" t="s">
        <v>307</v>
      </c>
      <c r="G566" t="s">
        <v>338</v>
      </c>
      <c r="H566" t="s">
        <v>337</v>
      </c>
      <c r="I566" t="s">
        <v>454</v>
      </c>
      <c r="J566" t="s">
        <v>454</v>
      </c>
      <c r="K566" s="4">
        <v>281.91</v>
      </c>
      <c r="L566" s="4">
        <v>281.91</v>
      </c>
      <c r="M566" t="s">
        <v>44</v>
      </c>
      <c r="N566" t="s">
        <v>77</v>
      </c>
      <c r="O566" t="s">
        <v>99</v>
      </c>
      <c r="P566" t="s">
        <v>99</v>
      </c>
      <c r="Q566" t="s">
        <v>191</v>
      </c>
      <c r="R566" t="s">
        <v>283</v>
      </c>
      <c r="S566" t="s">
        <v>185</v>
      </c>
      <c r="T566" t="s">
        <v>198</v>
      </c>
      <c r="U566" t="s">
        <v>163</v>
      </c>
      <c r="V566" t="s">
        <v>164</v>
      </c>
      <c r="W566" t="s">
        <v>116</v>
      </c>
      <c r="X566" t="s">
        <v>44</v>
      </c>
      <c r="Y566" t="s">
        <v>99</v>
      </c>
      <c r="Z566" t="s">
        <v>421</v>
      </c>
      <c r="AC566" t="str">
        <f>IF(AA566="",M566,AA566)</f>
        <v>sim</v>
      </c>
      <c r="AD566" t="str">
        <f>IF(AB566="",X566,AB566)</f>
        <v>sim</v>
      </c>
      <c r="AE566" t="str">
        <f>IF(OR(Configuracao!B9="",Configuracao!B10=""),"aguardando limiar",IF(AND(K566&gt;=Configuracao!B9,K566/MAX(Reconciliacao!C2,1)&gt;=Configuracao!B10/100),"sim","não"))</f>
        <v>aguardando limiar</v>
      </c>
    </row>
    <row r="567" spans="1:31" x14ac:dyDescent="0.25">
      <c r="A567">
        <v>12909</v>
      </c>
      <c r="C567" t="s">
        <v>699</v>
      </c>
      <c r="D567" t="s">
        <v>712</v>
      </c>
      <c r="E567" t="s">
        <v>451</v>
      </c>
      <c r="F567" t="s">
        <v>307</v>
      </c>
      <c r="G567" t="s">
        <v>338</v>
      </c>
      <c r="H567" t="s">
        <v>337</v>
      </c>
      <c r="I567" t="s">
        <v>420</v>
      </c>
      <c r="J567" t="s">
        <v>420</v>
      </c>
      <c r="K567" s="4">
        <v>285.6</v>
      </c>
      <c r="L567" s="4">
        <v>285.6</v>
      </c>
      <c r="M567" t="s">
        <v>44</v>
      </c>
      <c r="N567" t="s">
        <v>77</v>
      </c>
      <c r="O567" t="s">
        <v>99</v>
      </c>
      <c r="P567" t="s">
        <v>99</v>
      </c>
      <c r="Q567" t="s">
        <v>191</v>
      </c>
      <c r="R567" t="s">
        <v>283</v>
      </c>
      <c r="S567" t="s">
        <v>185</v>
      </c>
      <c r="T567" t="s">
        <v>198</v>
      </c>
      <c r="U567" t="s">
        <v>163</v>
      </c>
      <c r="V567" t="s">
        <v>164</v>
      </c>
      <c r="W567" t="s">
        <v>116</v>
      </c>
      <c r="X567" t="s">
        <v>44</v>
      </c>
      <c r="Y567" t="s">
        <v>99</v>
      </c>
      <c r="Z567" t="s">
        <v>421</v>
      </c>
      <c r="AC567" t="str">
        <f>IF(AA567="",M567,AA567)</f>
        <v>sim</v>
      </c>
      <c r="AD567" t="str">
        <f>IF(AB567="",X567,AB567)</f>
        <v>sim</v>
      </c>
      <c r="AE567" t="str">
        <f>IF(OR(Configuracao!B9="",Configuracao!B10=""),"aguardando limiar",IF(AND(K567&gt;=Configuracao!B9,K567/MAX(Reconciliacao!C2,1)&gt;=Configuracao!B10/100),"sim","não"))</f>
        <v>aguardando limiar</v>
      </c>
    </row>
    <row r="568" spans="1:31" x14ac:dyDescent="0.25">
      <c r="A568">
        <v>15742</v>
      </c>
      <c r="C568" t="s">
        <v>713</v>
      </c>
      <c r="D568" t="s">
        <v>714</v>
      </c>
      <c r="E568" t="s">
        <v>451</v>
      </c>
      <c r="F568" t="s">
        <v>307</v>
      </c>
      <c r="G568" t="s">
        <v>338</v>
      </c>
      <c r="H568" t="s">
        <v>337</v>
      </c>
      <c r="I568" t="s">
        <v>454</v>
      </c>
      <c r="J568" t="s">
        <v>454</v>
      </c>
      <c r="K568" s="4">
        <v>291.47</v>
      </c>
      <c r="L568" s="4">
        <v>291.47</v>
      </c>
      <c r="M568" t="s">
        <v>44</v>
      </c>
      <c r="N568" t="s">
        <v>77</v>
      </c>
      <c r="O568" t="s">
        <v>99</v>
      </c>
      <c r="P568" t="s">
        <v>99</v>
      </c>
      <c r="Q568" t="s">
        <v>191</v>
      </c>
      <c r="R568" t="s">
        <v>283</v>
      </c>
      <c r="S568" t="s">
        <v>185</v>
      </c>
      <c r="T568" t="s">
        <v>198</v>
      </c>
      <c r="U568" t="s">
        <v>163</v>
      </c>
      <c r="V568" t="s">
        <v>164</v>
      </c>
      <c r="W568" t="s">
        <v>116</v>
      </c>
      <c r="X568" t="s">
        <v>44</v>
      </c>
      <c r="Y568" t="s">
        <v>99</v>
      </c>
      <c r="Z568" t="s">
        <v>421</v>
      </c>
      <c r="AC568" t="str">
        <f>IF(AA568="",M568,AA568)</f>
        <v>sim</v>
      </c>
      <c r="AD568" t="str">
        <f>IF(AB568="",X568,AB568)</f>
        <v>sim</v>
      </c>
      <c r="AE568" t="str">
        <f>IF(OR(Configuracao!B9="",Configuracao!B10=""),"aguardando limiar",IF(AND(K568&gt;=Configuracao!B9,K568/MAX(Reconciliacao!C2,1)&gt;=Configuracao!B10/100),"sim","não"))</f>
        <v>aguardando limiar</v>
      </c>
    </row>
    <row r="569" spans="1:31" x14ac:dyDescent="0.25">
      <c r="A569">
        <v>11673</v>
      </c>
      <c r="C569" t="s">
        <v>715</v>
      </c>
      <c r="D569" t="s">
        <v>716</v>
      </c>
      <c r="E569" t="s">
        <v>451</v>
      </c>
      <c r="F569" t="s">
        <v>307</v>
      </c>
      <c r="G569" t="s">
        <v>338</v>
      </c>
      <c r="H569" t="s">
        <v>337</v>
      </c>
      <c r="I569" t="s">
        <v>32</v>
      </c>
      <c r="J569" t="s">
        <v>32</v>
      </c>
      <c r="K569" s="4">
        <v>315</v>
      </c>
      <c r="L569" s="4">
        <v>315</v>
      </c>
      <c r="M569" t="s">
        <v>44</v>
      </c>
      <c r="N569" t="s">
        <v>77</v>
      </c>
      <c r="O569" t="s">
        <v>99</v>
      </c>
      <c r="P569" t="s">
        <v>99</v>
      </c>
      <c r="Q569" t="s">
        <v>191</v>
      </c>
      <c r="R569" t="s">
        <v>283</v>
      </c>
      <c r="S569" t="s">
        <v>185</v>
      </c>
      <c r="T569" t="s">
        <v>198</v>
      </c>
      <c r="U569" t="s">
        <v>163</v>
      </c>
      <c r="V569" t="s">
        <v>164</v>
      </c>
      <c r="W569" t="s">
        <v>116</v>
      </c>
      <c r="X569" t="s">
        <v>44</v>
      </c>
      <c r="Y569" t="s">
        <v>99</v>
      </c>
      <c r="Z569" t="s">
        <v>421</v>
      </c>
      <c r="AC569" t="str">
        <f>IF(AA569="",M569,AA569)</f>
        <v>sim</v>
      </c>
      <c r="AD569" t="str">
        <f>IF(AB569="",X569,AB569)</f>
        <v>sim</v>
      </c>
      <c r="AE569" t="str">
        <f>IF(OR(Configuracao!B9="",Configuracao!B10=""),"aguardando limiar",IF(AND(K569&gt;=Configuracao!B9,K569/MAX(Reconciliacao!C2,1)&gt;=Configuracao!B10/100),"sim","não"))</f>
        <v>aguardando limiar</v>
      </c>
    </row>
    <row r="570" spans="1:31" x14ac:dyDescent="0.25">
      <c r="A570">
        <v>11674</v>
      </c>
      <c r="C570" t="s">
        <v>717</v>
      </c>
      <c r="D570" t="s">
        <v>716</v>
      </c>
      <c r="E570" t="s">
        <v>451</v>
      </c>
      <c r="F570" t="s">
        <v>307</v>
      </c>
      <c r="G570" t="s">
        <v>338</v>
      </c>
      <c r="H570" t="s">
        <v>337</v>
      </c>
      <c r="I570" t="s">
        <v>32</v>
      </c>
      <c r="J570" t="s">
        <v>424</v>
      </c>
      <c r="K570" s="4">
        <v>315</v>
      </c>
      <c r="L570" s="4">
        <v>315</v>
      </c>
      <c r="M570" t="s">
        <v>44</v>
      </c>
      <c r="N570" t="s">
        <v>77</v>
      </c>
      <c r="O570" t="s">
        <v>99</v>
      </c>
      <c r="P570" t="s">
        <v>99</v>
      </c>
      <c r="Q570" t="s">
        <v>191</v>
      </c>
      <c r="R570" t="s">
        <v>283</v>
      </c>
      <c r="S570" t="s">
        <v>185</v>
      </c>
      <c r="T570" t="s">
        <v>198</v>
      </c>
      <c r="U570" t="s">
        <v>163</v>
      </c>
      <c r="V570" t="s">
        <v>164</v>
      </c>
      <c r="W570" t="s">
        <v>116</v>
      </c>
      <c r="X570" t="s">
        <v>44</v>
      </c>
      <c r="Y570" t="s">
        <v>99</v>
      </c>
      <c r="Z570" t="s">
        <v>421</v>
      </c>
      <c r="AC570" t="str">
        <f>IF(AA570="",M570,AA570)</f>
        <v>sim</v>
      </c>
      <c r="AD570" t="str">
        <f>IF(AB570="",X570,AB570)</f>
        <v>sim</v>
      </c>
      <c r="AE570" t="str">
        <f>IF(OR(Configuracao!B9="",Configuracao!B10=""),"aguardando limiar",IF(AND(K570&gt;=Configuracao!B9,K570/MAX(Reconciliacao!C2,1)&gt;=Configuracao!B10/100),"sim","não"))</f>
        <v>aguardando limiar</v>
      </c>
    </row>
    <row r="571" spans="1:31" x14ac:dyDescent="0.25">
      <c r="A571">
        <v>12136</v>
      </c>
      <c r="C571" t="s">
        <v>718</v>
      </c>
      <c r="D571" t="s">
        <v>450</v>
      </c>
      <c r="E571" t="s">
        <v>451</v>
      </c>
      <c r="F571" t="s">
        <v>307</v>
      </c>
      <c r="G571" t="s">
        <v>338</v>
      </c>
      <c r="H571" t="s">
        <v>337</v>
      </c>
      <c r="I571" t="s">
        <v>424</v>
      </c>
      <c r="J571" t="s">
        <v>424</v>
      </c>
      <c r="K571" s="4">
        <v>491</v>
      </c>
      <c r="L571" s="4">
        <v>491</v>
      </c>
      <c r="M571" t="s">
        <v>44</v>
      </c>
      <c r="N571" t="s">
        <v>77</v>
      </c>
      <c r="O571" t="s">
        <v>99</v>
      </c>
      <c r="P571" t="s">
        <v>99</v>
      </c>
      <c r="Q571" t="s">
        <v>191</v>
      </c>
      <c r="R571" t="s">
        <v>283</v>
      </c>
      <c r="S571" t="s">
        <v>185</v>
      </c>
      <c r="T571" t="s">
        <v>198</v>
      </c>
      <c r="U571" t="s">
        <v>163</v>
      </c>
      <c r="V571" t="s">
        <v>164</v>
      </c>
      <c r="W571" t="s">
        <v>116</v>
      </c>
      <c r="X571" t="s">
        <v>44</v>
      </c>
      <c r="Y571" t="s">
        <v>99</v>
      </c>
      <c r="Z571" t="s">
        <v>421</v>
      </c>
      <c r="AC571" t="str">
        <f>IF(AA571="",M571,AA571)</f>
        <v>sim</v>
      </c>
      <c r="AD571" t="str">
        <f>IF(AB571="",X571,AB571)</f>
        <v>sim</v>
      </c>
      <c r="AE571" t="str">
        <f>IF(OR(Configuracao!B9="",Configuracao!B10=""),"aguardando limiar",IF(AND(K571&gt;=Configuracao!B9,K571/MAX(Reconciliacao!C2,1)&gt;=Configuracao!B10/100),"sim","não"))</f>
        <v>aguardando limiar</v>
      </c>
    </row>
    <row r="572" spans="1:31" x14ac:dyDescent="0.25">
      <c r="A572">
        <v>12636</v>
      </c>
      <c r="C572" t="s">
        <v>718</v>
      </c>
      <c r="D572" t="s">
        <v>450</v>
      </c>
      <c r="E572" t="s">
        <v>451</v>
      </c>
      <c r="F572" t="s">
        <v>307</v>
      </c>
      <c r="G572" t="s">
        <v>338</v>
      </c>
      <c r="H572" t="s">
        <v>337</v>
      </c>
      <c r="I572" t="s">
        <v>420</v>
      </c>
      <c r="J572" t="s">
        <v>420</v>
      </c>
      <c r="K572" s="4">
        <v>491</v>
      </c>
      <c r="L572" s="4">
        <v>491</v>
      </c>
      <c r="M572" t="s">
        <v>44</v>
      </c>
      <c r="N572" t="s">
        <v>77</v>
      </c>
      <c r="O572" t="s">
        <v>99</v>
      </c>
      <c r="P572" t="s">
        <v>99</v>
      </c>
      <c r="Q572" t="s">
        <v>191</v>
      </c>
      <c r="R572" t="s">
        <v>283</v>
      </c>
      <c r="S572" t="s">
        <v>185</v>
      </c>
      <c r="T572" t="s">
        <v>198</v>
      </c>
      <c r="U572" t="s">
        <v>163</v>
      </c>
      <c r="V572" t="s">
        <v>164</v>
      </c>
      <c r="W572" t="s">
        <v>116</v>
      </c>
      <c r="X572" t="s">
        <v>44</v>
      </c>
      <c r="Y572" t="s">
        <v>99</v>
      </c>
      <c r="Z572" t="s">
        <v>421</v>
      </c>
      <c r="AC572" t="str">
        <f>IF(AA572="",M572,AA572)</f>
        <v>sim</v>
      </c>
      <c r="AD572" t="str">
        <f>IF(AB572="",X572,AB572)</f>
        <v>sim</v>
      </c>
      <c r="AE572" t="str">
        <f>IF(OR(Configuracao!B9="",Configuracao!B10=""),"aguardando limiar",IF(AND(K572&gt;=Configuracao!B9,K572/MAX(Reconciliacao!C2,1)&gt;=Configuracao!B10/100),"sim","não"))</f>
        <v>aguardando limiar</v>
      </c>
    </row>
    <row r="573" spans="1:31" x14ac:dyDescent="0.25">
      <c r="A573">
        <v>16863</v>
      </c>
      <c r="C573" t="s">
        <v>719</v>
      </c>
      <c r="D573" t="s">
        <v>657</v>
      </c>
      <c r="E573" t="s">
        <v>451</v>
      </c>
      <c r="F573" t="s">
        <v>307</v>
      </c>
      <c r="G573" t="s">
        <v>306</v>
      </c>
      <c r="H573" t="s">
        <v>305</v>
      </c>
      <c r="I573" t="s">
        <v>442</v>
      </c>
      <c r="J573" t="s">
        <v>442</v>
      </c>
      <c r="K573" s="4">
        <v>6.29</v>
      </c>
      <c r="L573" s="4">
        <v>6.29</v>
      </c>
      <c r="M573" t="s">
        <v>44</v>
      </c>
      <c r="N573" t="s">
        <v>77</v>
      </c>
      <c r="O573" t="s">
        <v>99</v>
      </c>
      <c r="P573" t="s">
        <v>99</v>
      </c>
      <c r="Q573" t="s">
        <v>191</v>
      </c>
      <c r="R573" t="s">
        <v>283</v>
      </c>
      <c r="S573" t="s">
        <v>185</v>
      </c>
      <c r="T573" t="s">
        <v>198</v>
      </c>
      <c r="U573" t="s">
        <v>163</v>
      </c>
      <c r="V573" t="s">
        <v>164</v>
      </c>
      <c r="W573" t="s">
        <v>116</v>
      </c>
      <c r="X573" t="s">
        <v>44</v>
      </c>
      <c r="Y573" t="s">
        <v>99</v>
      </c>
      <c r="Z573" t="s">
        <v>421</v>
      </c>
      <c r="AC573" t="str">
        <f>IF(AA573="",M573,AA573)</f>
        <v>sim</v>
      </c>
      <c r="AD573" t="str">
        <f>IF(AB573="",X573,AB573)</f>
        <v>sim</v>
      </c>
      <c r="AE573" t="str">
        <f>IF(OR(Configuracao!B9="",Configuracao!B10=""),"aguardando limiar",IF(AND(K573&gt;=Configuracao!B9,K573/MAX(Reconciliacao!C2,1)&gt;=Configuracao!B10/100),"sim","não"))</f>
        <v>aguardando limiar</v>
      </c>
    </row>
    <row r="574" spans="1:31" x14ac:dyDescent="0.25">
      <c r="A574">
        <v>17769</v>
      </c>
      <c r="C574" t="s">
        <v>720</v>
      </c>
      <c r="D574" t="s">
        <v>657</v>
      </c>
      <c r="E574" t="s">
        <v>451</v>
      </c>
      <c r="F574" t="s">
        <v>307</v>
      </c>
      <c r="G574" t="s">
        <v>306</v>
      </c>
      <c r="H574" t="s">
        <v>305</v>
      </c>
      <c r="I574" t="s">
        <v>439</v>
      </c>
      <c r="J574" t="s">
        <v>439</v>
      </c>
      <c r="K574" s="4">
        <v>6.49</v>
      </c>
      <c r="L574" s="4">
        <v>6.49</v>
      </c>
      <c r="M574" t="s">
        <v>44</v>
      </c>
      <c r="N574" t="s">
        <v>77</v>
      </c>
      <c r="O574" t="s">
        <v>99</v>
      </c>
      <c r="P574" t="s">
        <v>99</v>
      </c>
      <c r="Q574" t="s">
        <v>191</v>
      </c>
      <c r="R574" t="s">
        <v>283</v>
      </c>
      <c r="S574" t="s">
        <v>185</v>
      </c>
      <c r="T574" t="s">
        <v>198</v>
      </c>
      <c r="U574" t="s">
        <v>163</v>
      </c>
      <c r="V574" t="s">
        <v>164</v>
      </c>
      <c r="W574" t="s">
        <v>116</v>
      </c>
      <c r="X574" t="s">
        <v>44</v>
      </c>
      <c r="Y574" t="s">
        <v>99</v>
      </c>
      <c r="Z574" t="s">
        <v>421</v>
      </c>
      <c r="AC574" t="str">
        <f>IF(AA574="",M574,AA574)</f>
        <v>sim</v>
      </c>
      <c r="AD574" t="str">
        <f>IF(AB574="",X574,AB574)</f>
        <v>sim</v>
      </c>
      <c r="AE574" t="str">
        <f>IF(OR(Configuracao!B9="",Configuracao!B10=""),"aguardando limiar",IF(AND(K574&gt;=Configuracao!B9,K574/MAX(Reconciliacao!C2,1)&gt;=Configuracao!B10/100),"sim","não"))</f>
        <v>aguardando limiar</v>
      </c>
    </row>
    <row r="575" spans="1:31" x14ac:dyDescent="0.25">
      <c r="A575">
        <v>15738</v>
      </c>
      <c r="C575" t="s">
        <v>652</v>
      </c>
      <c r="D575" t="s">
        <v>669</v>
      </c>
      <c r="E575" t="s">
        <v>451</v>
      </c>
      <c r="F575" t="s">
        <v>307</v>
      </c>
      <c r="G575" t="s">
        <v>306</v>
      </c>
      <c r="H575" t="s">
        <v>305</v>
      </c>
      <c r="I575" t="s">
        <v>454</v>
      </c>
      <c r="J575" t="s">
        <v>461</v>
      </c>
      <c r="K575" s="4">
        <v>6.92</v>
      </c>
      <c r="L575" s="4">
        <v>6.92</v>
      </c>
      <c r="M575" t="s">
        <v>44</v>
      </c>
      <c r="N575" t="s">
        <v>77</v>
      </c>
      <c r="O575" t="s">
        <v>99</v>
      </c>
      <c r="P575" t="s">
        <v>99</v>
      </c>
      <c r="Q575" t="s">
        <v>191</v>
      </c>
      <c r="R575" t="s">
        <v>283</v>
      </c>
      <c r="S575" t="s">
        <v>185</v>
      </c>
      <c r="T575" t="s">
        <v>198</v>
      </c>
      <c r="U575" t="s">
        <v>163</v>
      </c>
      <c r="V575" t="s">
        <v>164</v>
      </c>
      <c r="W575" t="s">
        <v>116</v>
      </c>
      <c r="X575" t="s">
        <v>44</v>
      </c>
      <c r="Y575" t="s">
        <v>99</v>
      </c>
      <c r="Z575" t="s">
        <v>421</v>
      </c>
      <c r="AC575" t="str">
        <f>IF(AA575="",M575,AA575)</f>
        <v>sim</v>
      </c>
      <c r="AD575" t="str">
        <f>IF(AB575="",X575,AB575)</f>
        <v>sim</v>
      </c>
      <c r="AE575" t="str">
        <f>IF(OR(Configuracao!B9="",Configuracao!B10=""),"aguardando limiar",IF(AND(K575&gt;=Configuracao!B9,K575/MAX(Reconciliacao!C2,1)&gt;=Configuracao!B10/100),"sim","não"))</f>
        <v>aguardando limiar</v>
      </c>
    </row>
    <row r="576" spans="1:31" x14ac:dyDescent="0.25">
      <c r="A576">
        <v>17142</v>
      </c>
      <c r="C576" t="s">
        <v>652</v>
      </c>
      <c r="D576" t="s">
        <v>669</v>
      </c>
      <c r="E576" t="s">
        <v>451</v>
      </c>
      <c r="F576" t="s">
        <v>307</v>
      </c>
      <c r="G576" t="s">
        <v>306</v>
      </c>
      <c r="H576" t="s">
        <v>305</v>
      </c>
      <c r="I576" t="s">
        <v>442</v>
      </c>
      <c r="J576" t="s">
        <v>439</v>
      </c>
      <c r="K576" s="4">
        <v>9.92</v>
      </c>
      <c r="L576" s="4">
        <v>9.92</v>
      </c>
      <c r="M576" t="s">
        <v>44</v>
      </c>
      <c r="N576" t="s">
        <v>77</v>
      </c>
      <c r="O576" t="s">
        <v>99</v>
      </c>
      <c r="P576" t="s">
        <v>99</v>
      </c>
      <c r="Q576" t="s">
        <v>191</v>
      </c>
      <c r="R576" t="s">
        <v>283</v>
      </c>
      <c r="S576" t="s">
        <v>185</v>
      </c>
      <c r="T576" t="s">
        <v>198</v>
      </c>
      <c r="U576" t="s">
        <v>163</v>
      </c>
      <c r="V576" t="s">
        <v>164</v>
      </c>
      <c r="W576" t="s">
        <v>116</v>
      </c>
      <c r="X576" t="s">
        <v>44</v>
      </c>
      <c r="Y576" t="s">
        <v>99</v>
      </c>
      <c r="Z576" t="s">
        <v>421</v>
      </c>
      <c r="AC576" t="str">
        <f>IF(AA576="",M576,AA576)</f>
        <v>sim</v>
      </c>
      <c r="AD576" t="str">
        <f>IF(AB576="",X576,AB576)</f>
        <v>sim</v>
      </c>
      <c r="AE576" t="str">
        <f>IF(OR(Configuracao!B9="",Configuracao!B10=""),"aguardando limiar",IF(AND(K576&gt;=Configuracao!B9,K576/MAX(Reconciliacao!C2,1)&gt;=Configuracao!B10/100),"sim","não"))</f>
        <v>aguardando limiar</v>
      </c>
    </row>
    <row r="577" spans="1:31" x14ac:dyDescent="0.25">
      <c r="A577">
        <v>16879</v>
      </c>
      <c r="C577" t="s">
        <v>721</v>
      </c>
      <c r="D577" t="s">
        <v>657</v>
      </c>
      <c r="E577" t="s">
        <v>451</v>
      </c>
      <c r="F577" t="s">
        <v>307</v>
      </c>
      <c r="G577" t="s">
        <v>306</v>
      </c>
      <c r="H577" t="s">
        <v>305</v>
      </c>
      <c r="I577" t="s">
        <v>442</v>
      </c>
      <c r="J577" t="s">
        <v>442</v>
      </c>
      <c r="K577" s="4">
        <v>10.49</v>
      </c>
      <c r="L577" s="4">
        <v>10.49</v>
      </c>
      <c r="M577" t="s">
        <v>44</v>
      </c>
      <c r="N577" t="s">
        <v>77</v>
      </c>
      <c r="O577" t="s">
        <v>99</v>
      </c>
      <c r="P577" t="s">
        <v>99</v>
      </c>
      <c r="Q577" t="s">
        <v>191</v>
      </c>
      <c r="R577" t="s">
        <v>283</v>
      </c>
      <c r="S577" t="s">
        <v>185</v>
      </c>
      <c r="T577" t="s">
        <v>198</v>
      </c>
      <c r="U577" t="s">
        <v>163</v>
      </c>
      <c r="V577" t="s">
        <v>164</v>
      </c>
      <c r="W577" t="s">
        <v>116</v>
      </c>
      <c r="X577" t="s">
        <v>44</v>
      </c>
      <c r="Y577" t="s">
        <v>99</v>
      </c>
      <c r="Z577" t="s">
        <v>421</v>
      </c>
      <c r="AC577" t="str">
        <f>IF(AA577="",M577,AA577)</f>
        <v>sim</v>
      </c>
      <c r="AD577" t="str">
        <f>IF(AB577="",X577,AB577)</f>
        <v>sim</v>
      </c>
      <c r="AE577" t="str">
        <f>IF(OR(Configuracao!B9="",Configuracao!B10=""),"aguardando limiar",IF(AND(K577&gt;=Configuracao!B9,K577/MAX(Reconciliacao!C2,1)&gt;=Configuracao!B10/100),"sim","não"))</f>
        <v>aguardando limiar</v>
      </c>
    </row>
    <row r="578" spans="1:31" x14ac:dyDescent="0.25">
      <c r="A578">
        <v>14096</v>
      </c>
      <c r="C578" t="s">
        <v>652</v>
      </c>
      <c r="D578" t="s">
        <v>669</v>
      </c>
      <c r="E578" t="s">
        <v>451</v>
      </c>
      <c r="F578" t="s">
        <v>307</v>
      </c>
      <c r="G578" t="s">
        <v>306</v>
      </c>
      <c r="H578" t="s">
        <v>305</v>
      </c>
      <c r="I578" t="s">
        <v>454</v>
      </c>
      <c r="J578" t="s">
        <v>454</v>
      </c>
      <c r="K578" s="4">
        <v>10.59</v>
      </c>
      <c r="L578" s="4">
        <v>10.59</v>
      </c>
      <c r="M578" t="s">
        <v>44</v>
      </c>
      <c r="N578" t="s">
        <v>77</v>
      </c>
      <c r="O578" t="s">
        <v>99</v>
      </c>
      <c r="P578" t="s">
        <v>99</v>
      </c>
      <c r="Q578" t="s">
        <v>191</v>
      </c>
      <c r="R578" t="s">
        <v>283</v>
      </c>
      <c r="S578" t="s">
        <v>185</v>
      </c>
      <c r="T578" t="s">
        <v>198</v>
      </c>
      <c r="U578" t="s">
        <v>163</v>
      </c>
      <c r="V578" t="s">
        <v>164</v>
      </c>
      <c r="W578" t="s">
        <v>116</v>
      </c>
      <c r="X578" t="s">
        <v>44</v>
      </c>
      <c r="Y578" t="s">
        <v>99</v>
      </c>
      <c r="Z578" t="s">
        <v>421</v>
      </c>
      <c r="AC578" t="str">
        <f>IF(AA578="",M578,AA578)</f>
        <v>sim</v>
      </c>
      <c r="AD578" t="str">
        <f>IF(AB578="",X578,AB578)</f>
        <v>sim</v>
      </c>
      <c r="AE578" t="str">
        <f>IF(OR(Configuracao!B9="",Configuracao!B10=""),"aguardando limiar",IF(AND(K578&gt;=Configuracao!B9,K578/MAX(Reconciliacao!C2,1)&gt;=Configuracao!B10/100),"sim","não"))</f>
        <v>aguardando limiar</v>
      </c>
    </row>
    <row r="579" spans="1:31" x14ac:dyDescent="0.25">
      <c r="A579">
        <v>12801</v>
      </c>
      <c r="C579" t="s">
        <v>652</v>
      </c>
      <c r="D579" t="s">
        <v>669</v>
      </c>
      <c r="E579" t="s">
        <v>451</v>
      </c>
      <c r="F579" t="s">
        <v>307</v>
      </c>
      <c r="G579" t="s">
        <v>306</v>
      </c>
      <c r="H579" t="s">
        <v>305</v>
      </c>
      <c r="I579" t="s">
        <v>32</v>
      </c>
      <c r="J579" t="s">
        <v>424</v>
      </c>
      <c r="K579" s="4">
        <v>10.89</v>
      </c>
      <c r="L579" s="4">
        <v>10.89</v>
      </c>
      <c r="M579" t="s">
        <v>44</v>
      </c>
      <c r="N579" t="s">
        <v>77</v>
      </c>
      <c r="O579" t="s">
        <v>99</v>
      </c>
      <c r="P579" t="s">
        <v>99</v>
      </c>
      <c r="Q579" t="s">
        <v>191</v>
      </c>
      <c r="R579" t="s">
        <v>283</v>
      </c>
      <c r="S579" t="s">
        <v>185</v>
      </c>
      <c r="T579" t="s">
        <v>198</v>
      </c>
      <c r="U579" t="s">
        <v>163</v>
      </c>
      <c r="V579" t="s">
        <v>164</v>
      </c>
      <c r="W579" t="s">
        <v>116</v>
      </c>
      <c r="X579" t="s">
        <v>44</v>
      </c>
      <c r="Y579" t="s">
        <v>99</v>
      </c>
      <c r="Z579" t="s">
        <v>421</v>
      </c>
      <c r="AC579" t="str">
        <f>IF(AA579="",M579,AA579)</f>
        <v>sim</v>
      </c>
      <c r="AD579" t="str">
        <f>IF(AB579="",X579,AB579)</f>
        <v>sim</v>
      </c>
      <c r="AE579" t="str">
        <f>IF(OR(Configuracao!B9="",Configuracao!B10=""),"aguardando limiar",IF(AND(K579&gt;=Configuracao!B9,K579/MAX(Reconciliacao!C2,1)&gt;=Configuracao!B10/100),"sim","não"))</f>
        <v>aguardando limiar</v>
      </c>
    </row>
    <row r="580" spans="1:31" x14ac:dyDescent="0.25">
      <c r="A580">
        <v>12713</v>
      </c>
      <c r="C580" t="s">
        <v>652</v>
      </c>
      <c r="D580" t="s">
        <v>450</v>
      </c>
      <c r="E580" t="s">
        <v>451</v>
      </c>
      <c r="F580" t="s">
        <v>307</v>
      </c>
      <c r="G580" t="s">
        <v>306</v>
      </c>
      <c r="H580" t="s">
        <v>305</v>
      </c>
      <c r="I580" t="s">
        <v>420</v>
      </c>
      <c r="J580" t="s">
        <v>420</v>
      </c>
      <c r="K580" s="4">
        <v>16.99</v>
      </c>
      <c r="L580" s="4">
        <v>16.99</v>
      </c>
      <c r="M580" t="s">
        <v>44</v>
      </c>
      <c r="N580" t="s">
        <v>77</v>
      </c>
      <c r="O580" t="s">
        <v>99</v>
      </c>
      <c r="P580" t="s">
        <v>99</v>
      </c>
      <c r="Q580" t="s">
        <v>191</v>
      </c>
      <c r="R580" t="s">
        <v>283</v>
      </c>
      <c r="S580" t="s">
        <v>185</v>
      </c>
      <c r="T580" t="s">
        <v>198</v>
      </c>
      <c r="U580" t="s">
        <v>163</v>
      </c>
      <c r="V580" t="s">
        <v>164</v>
      </c>
      <c r="W580" t="s">
        <v>116</v>
      </c>
      <c r="X580" t="s">
        <v>44</v>
      </c>
      <c r="Y580" t="s">
        <v>99</v>
      </c>
      <c r="Z580" t="s">
        <v>421</v>
      </c>
      <c r="AC580" t="str">
        <f>IF(AA580="",M580,AA580)</f>
        <v>sim</v>
      </c>
      <c r="AD580" t="str">
        <f>IF(AB580="",X580,AB580)</f>
        <v>sim</v>
      </c>
      <c r="AE580" t="str">
        <f>IF(OR(Configuracao!B9="",Configuracao!B10=""),"aguardando limiar",IF(AND(K580&gt;=Configuracao!B9,K580/MAX(Reconciliacao!C2,1)&gt;=Configuracao!B10/100),"sim","não"))</f>
        <v>aguardando limiar</v>
      </c>
    </row>
    <row r="581" spans="1:31" x14ac:dyDescent="0.25">
      <c r="A581">
        <v>12759</v>
      </c>
      <c r="C581" t="s">
        <v>652</v>
      </c>
      <c r="D581" t="s">
        <v>450</v>
      </c>
      <c r="E581" t="s">
        <v>451</v>
      </c>
      <c r="F581" t="s">
        <v>307</v>
      </c>
      <c r="G581" t="s">
        <v>306</v>
      </c>
      <c r="H581" t="s">
        <v>305</v>
      </c>
      <c r="I581" t="s">
        <v>420</v>
      </c>
      <c r="J581" t="s">
        <v>420</v>
      </c>
      <c r="K581" s="4">
        <v>16.99</v>
      </c>
      <c r="L581" s="4">
        <v>16.99</v>
      </c>
      <c r="M581" t="s">
        <v>44</v>
      </c>
      <c r="N581" t="s">
        <v>77</v>
      </c>
      <c r="O581" t="s">
        <v>99</v>
      </c>
      <c r="P581" t="s">
        <v>99</v>
      </c>
      <c r="Q581" t="s">
        <v>191</v>
      </c>
      <c r="R581" t="s">
        <v>283</v>
      </c>
      <c r="S581" t="s">
        <v>185</v>
      </c>
      <c r="T581" t="s">
        <v>198</v>
      </c>
      <c r="U581" t="s">
        <v>163</v>
      </c>
      <c r="V581" t="s">
        <v>164</v>
      </c>
      <c r="W581" t="s">
        <v>116</v>
      </c>
      <c r="X581" t="s">
        <v>44</v>
      </c>
      <c r="Y581" t="s">
        <v>99</v>
      </c>
      <c r="Z581" t="s">
        <v>421</v>
      </c>
      <c r="AC581" t="str">
        <f>IF(AA581="",M581,AA581)</f>
        <v>sim</v>
      </c>
      <c r="AD581" t="str">
        <f>IF(AB581="",X581,AB581)</f>
        <v>sim</v>
      </c>
      <c r="AE581" t="str">
        <f>IF(OR(Configuracao!B9="",Configuracao!B10=""),"aguardando limiar",IF(AND(K581&gt;=Configuracao!B9,K581/MAX(Reconciliacao!C2,1)&gt;=Configuracao!B10/100),"sim","não"))</f>
        <v>aguardando limiar</v>
      </c>
    </row>
    <row r="582" spans="1:31" x14ac:dyDescent="0.25">
      <c r="A582">
        <v>17868</v>
      </c>
      <c r="C582" t="s">
        <v>652</v>
      </c>
      <c r="D582" t="s">
        <v>653</v>
      </c>
      <c r="E582" t="s">
        <v>451</v>
      </c>
      <c r="F582" t="s">
        <v>307</v>
      </c>
      <c r="G582" t="s">
        <v>306</v>
      </c>
      <c r="H582" t="s">
        <v>305</v>
      </c>
      <c r="I582" t="s">
        <v>439</v>
      </c>
      <c r="J582" t="s">
        <v>439</v>
      </c>
      <c r="K582" s="4">
        <v>17.05</v>
      </c>
      <c r="L582" s="4">
        <v>17.05</v>
      </c>
      <c r="M582" t="s">
        <v>44</v>
      </c>
      <c r="N582" t="s">
        <v>77</v>
      </c>
      <c r="O582" t="s">
        <v>99</v>
      </c>
      <c r="P582" t="s">
        <v>99</v>
      </c>
      <c r="Q582" t="s">
        <v>191</v>
      </c>
      <c r="R582" t="s">
        <v>283</v>
      </c>
      <c r="S582" t="s">
        <v>185</v>
      </c>
      <c r="T582" t="s">
        <v>198</v>
      </c>
      <c r="U582" t="s">
        <v>163</v>
      </c>
      <c r="V582" t="s">
        <v>164</v>
      </c>
      <c r="W582" t="s">
        <v>116</v>
      </c>
      <c r="X582" t="s">
        <v>44</v>
      </c>
      <c r="Y582" t="s">
        <v>99</v>
      </c>
      <c r="Z582" t="s">
        <v>421</v>
      </c>
      <c r="AC582" t="str">
        <f>IF(AA582="",M582,AA582)</f>
        <v>sim</v>
      </c>
      <c r="AD582" t="str">
        <f>IF(AB582="",X582,AB582)</f>
        <v>sim</v>
      </c>
      <c r="AE582" t="str">
        <f>IF(OR(Configuracao!B9="",Configuracao!B10=""),"aguardando limiar",IF(AND(K582&gt;=Configuracao!B9,K582/MAX(Reconciliacao!C2,1)&gt;=Configuracao!B10/100),"sim","não"))</f>
        <v>aguardando limiar</v>
      </c>
    </row>
    <row r="583" spans="1:31" x14ac:dyDescent="0.25">
      <c r="A583">
        <v>17149</v>
      </c>
      <c r="C583" t="s">
        <v>722</v>
      </c>
      <c r="D583" t="s">
        <v>657</v>
      </c>
      <c r="E583" t="s">
        <v>451</v>
      </c>
      <c r="F583" t="s">
        <v>307</v>
      </c>
      <c r="G583" t="s">
        <v>306</v>
      </c>
      <c r="H583" t="s">
        <v>305</v>
      </c>
      <c r="I583" t="s">
        <v>442</v>
      </c>
      <c r="J583" t="s">
        <v>442</v>
      </c>
      <c r="K583" s="4">
        <v>19.47</v>
      </c>
      <c r="L583" s="4">
        <v>19.47</v>
      </c>
      <c r="M583" t="s">
        <v>44</v>
      </c>
      <c r="N583" t="s">
        <v>77</v>
      </c>
      <c r="O583" t="s">
        <v>99</v>
      </c>
      <c r="P583" t="s">
        <v>99</v>
      </c>
      <c r="Q583" t="s">
        <v>191</v>
      </c>
      <c r="R583" t="s">
        <v>283</v>
      </c>
      <c r="S583" t="s">
        <v>185</v>
      </c>
      <c r="T583" t="s">
        <v>198</v>
      </c>
      <c r="U583" t="s">
        <v>163</v>
      </c>
      <c r="V583" t="s">
        <v>164</v>
      </c>
      <c r="W583" t="s">
        <v>116</v>
      </c>
      <c r="X583" t="s">
        <v>44</v>
      </c>
      <c r="Y583" t="s">
        <v>99</v>
      </c>
      <c r="Z583" t="s">
        <v>421</v>
      </c>
      <c r="AC583" t="str">
        <f>IF(AA583="",M583,AA583)</f>
        <v>sim</v>
      </c>
      <c r="AD583" t="str">
        <f>IF(AB583="",X583,AB583)</f>
        <v>sim</v>
      </c>
      <c r="AE583" t="str">
        <f>IF(OR(Configuracao!B9="",Configuracao!B10=""),"aguardando limiar",IF(AND(K583&gt;=Configuracao!B9,K583/MAX(Reconciliacao!C2,1)&gt;=Configuracao!B10/100),"sim","não"))</f>
        <v>aguardando limiar</v>
      </c>
    </row>
    <row r="584" spans="1:31" x14ac:dyDescent="0.25">
      <c r="A584">
        <v>12804</v>
      </c>
      <c r="C584" t="s">
        <v>652</v>
      </c>
      <c r="D584" t="s">
        <v>653</v>
      </c>
      <c r="E584" t="s">
        <v>451</v>
      </c>
      <c r="F584" t="s">
        <v>307</v>
      </c>
      <c r="G584" t="s">
        <v>306</v>
      </c>
      <c r="H584" t="s">
        <v>305</v>
      </c>
      <c r="I584" t="s">
        <v>32</v>
      </c>
      <c r="J584" t="s">
        <v>32</v>
      </c>
      <c r="K584" s="4">
        <v>21.2</v>
      </c>
      <c r="L584" s="4">
        <v>21.2</v>
      </c>
      <c r="M584" t="s">
        <v>44</v>
      </c>
      <c r="N584" t="s">
        <v>77</v>
      </c>
      <c r="O584" t="s">
        <v>99</v>
      </c>
      <c r="P584" t="s">
        <v>99</v>
      </c>
      <c r="Q584" t="s">
        <v>191</v>
      </c>
      <c r="R584" t="s">
        <v>283</v>
      </c>
      <c r="S584" t="s">
        <v>185</v>
      </c>
      <c r="T584" t="s">
        <v>198</v>
      </c>
      <c r="U584" t="s">
        <v>163</v>
      </c>
      <c r="V584" t="s">
        <v>164</v>
      </c>
      <c r="W584" t="s">
        <v>116</v>
      </c>
      <c r="X584" t="s">
        <v>44</v>
      </c>
      <c r="Y584" t="s">
        <v>99</v>
      </c>
      <c r="Z584" t="s">
        <v>421</v>
      </c>
      <c r="AC584" t="str">
        <f>IF(AA584="",M584,AA584)</f>
        <v>sim</v>
      </c>
      <c r="AD584" t="str">
        <f>IF(AB584="",X584,AB584)</f>
        <v>sim</v>
      </c>
      <c r="AE584" t="str">
        <f>IF(OR(Configuracao!B9="",Configuracao!B10=""),"aguardando limiar",IF(AND(K584&gt;=Configuracao!B9,K584/MAX(Reconciliacao!C2,1)&gt;=Configuracao!B10/100),"sim","não"))</f>
        <v>aguardando limiar</v>
      </c>
    </row>
    <row r="585" spans="1:31" x14ac:dyDescent="0.25">
      <c r="A585">
        <v>12672</v>
      </c>
      <c r="C585" t="s">
        <v>652</v>
      </c>
      <c r="D585" t="s">
        <v>669</v>
      </c>
      <c r="E585" t="s">
        <v>451</v>
      </c>
      <c r="F585" t="s">
        <v>307</v>
      </c>
      <c r="G585" t="s">
        <v>306</v>
      </c>
      <c r="H585" t="s">
        <v>305</v>
      </c>
      <c r="I585" t="s">
        <v>424</v>
      </c>
      <c r="J585" t="s">
        <v>420</v>
      </c>
      <c r="K585" s="4">
        <v>22.96</v>
      </c>
      <c r="L585" s="4">
        <v>22.96</v>
      </c>
      <c r="M585" t="s">
        <v>44</v>
      </c>
      <c r="N585" t="s">
        <v>77</v>
      </c>
      <c r="O585" t="s">
        <v>99</v>
      </c>
      <c r="P585" t="s">
        <v>99</v>
      </c>
      <c r="Q585" t="s">
        <v>191</v>
      </c>
      <c r="R585" t="s">
        <v>283</v>
      </c>
      <c r="S585" t="s">
        <v>185</v>
      </c>
      <c r="T585" t="s">
        <v>198</v>
      </c>
      <c r="U585" t="s">
        <v>163</v>
      </c>
      <c r="V585" t="s">
        <v>164</v>
      </c>
      <c r="W585" t="s">
        <v>116</v>
      </c>
      <c r="X585" t="s">
        <v>44</v>
      </c>
      <c r="Y585" t="s">
        <v>99</v>
      </c>
      <c r="Z585" t="s">
        <v>421</v>
      </c>
      <c r="AC585" t="str">
        <f>IF(AA585="",M585,AA585)</f>
        <v>sim</v>
      </c>
      <c r="AD585" t="str">
        <f>IF(AB585="",X585,AB585)</f>
        <v>sim</v>
      </c>
      <c r="AE585" t="str">
        <f>IF(OR(Configuracao!B9="",Configuracao!B10=""),"aguardando limiar",IF(AND(K585&gt;=Configuracao!B9,K585/MAX(Reconciliacao!C2,1)&gt;=Configuracao!B10/100),"sim","não"))</f>
        <v>aguardando limiar</v>
      </c>
    </row>
    <row r="586" spans="1:31" x14ac:dyDescent="0.25">
      <c r="A586">
        <v>13039</v>
      </c>
      <c r="C586" t="s">
        <v>723</v>
      </c>
      <c r="D586" t="s">
        <v>450</v>
      </c>
      <c r="E586" t="s">
        <v>451</v>
      </c>
      <c r="F586" t="s">
        <v>307</v>
      </c>
      <c r="G586" t="s">
        <v>306</v>
      </c>
      <c r="H586" t="s">
        <v>305</v>
      </c>
      <c r="I586" t="s">
        <v>424</v>
      </c>
      <c r="J586" t="s">
        <v>424</v>
      </c>
      <c r="K586" s="4">
        <v>25.98</v>
      </c>
      <c r="L586" s="4">
        <v>25.98</v>
      </c>
      <c r="M586" t="s">
        <v>44</v>
      </c>
      <c r="N586" t="s">
        <v>77</v>
      </c>
      <c r="O586" t="s">
        <v>99</v>
      </c>
      <c r="P586" t="s">
        <v>99</v>
      </c>
      <c r="Q586" t="s">
        <v>191</v>
      </c>
      <c r="R586" t="s">
        <v>283</v>
      </c>
      <c r="S586" t="s">
        <v>185</v>
      </c>
      <c r="T586" t="s">
        <v>198</v>
      </c>
      <c r="U586" t="s">
        <v>163</v>
      </c>
      <c r="V586" t="s">
        <v>164</v>
      </c>
      <c r="W586" t="s">
        <v>116</v>
      </c>
      <c r="X586" t="s">
        <v>44</v>
      </c>
      <c r="Y586" t="s">
        <v>99</v>
      </c>
      <c r="Z586" t="s">
        <v>421</v>
      </c>
      <c r="AC586" t="str">
        <f>IF(AA586="",M586,AA586)</f>
        <v>sim</v>
      </c>
      <c r="AD586" t="str">
        <f>IF(AB586="",X586,AB586)</f>
        <v>sim</v>
      </c>
      <c r="AE586" t="str">
        <f>IF(OR(Configuracao!B9="",Configuracao!B10=""),"aguardando limiar",IF(AND(K586&gt;=Configuracao!B9,K586/MAX(Reconciliacao!C2,1)&gt;=Configuracao!B10/100),"sim","não"))</f>
        <v>aguardando limiar</v>
      </c>
    </row>
    <row r="587" spans="1:31" x14ac:dyDescent="0.25">
      <c r="A587">
        <v>12802</v>
      </c>
      <c r="C587" t="s">
        <v>652</v>
      </c>
      <c r="D587" t="s">
        <v>653</v>
      </c>
      <c r="E587" t="s">
        <v>451</v>
      </c>
      <c r="F587" t="s">
        <v>307</v>
      </c>
      <c r="G587" t="s">
        <v>306</v>
      </c>
      <c r="H587" t="s">
        <v>305</v>
      </c>
      <c r="I587" t="s">
        <v>424</v>
      </c>
      <c r="J587" t="s">
        <v>424</v>
      </c>
      <c r="K587" s="4">
        <v>29.59</v>
      </c>
      <c r="L587" s="4">
        <v>29.59</v>
      </c>
      <c r="M587" t="s">
        <v>44</v>
      </c>
      <c r="N587" t="s">
        <v>77</v>
      </c>
      <c r="O587" t="s">
        <v>99</v>
      </c>
      <c r="P587" t="s">
        <v>99</v>
      </c>
      <c r="Q587" t="s">
        <v>191</v>
      </c>
      <c r="R587" t="s">
        <v>283</v>
      </c>
      <c r="S587" t="s">
        <v>185</v>
      </c>
      <c r="T587" t="s">
        <v>198</v>
      </c>
      <c r="U587" t="s">
        <v>163</v>
      </c>
      <c r="V587" t="s">
        <v>164</v>
      </c>
      <c r="W587" t="s">
        <v>116</v>
      </c>
      <c r="X587" t="s">
        <v>44</v>
      </c>
      <c r="Y587" t="s">
        <v>99</v>
      </c>
      <c r="Z587" t="s">
        <v>421</v>
      </c>
      <c r="AC587" t="str">
        <f>IF(AA587="",M587,AA587)</f>
        <v>sim</v>
      </c>
      <c r="AD587" t="str">
        <f>IF(AB587="",X587,AB587)</f>
        <v>sim</v>
      </c>
      <c r="AE587" t="str">
        <f>IF(OR(Configuracao!B9="",Configuracao!B10=""),"aguardando limiar",IF(AND(K587&gt;=Configuracao!B9,K587/MAX(Reconciliacao!C2,1)&gt;=Configuracao!B10/100),"sim","não"))</f>
        <v>aguardando limiar</v>
      </c>
    </row>
    <row r="588" spans="1:31" x14ac:dyDescent="0.25">
      <c r="A588">
        <v>12664</v>
      </c>
      <c r="C588" t="s">
        <v>652</v>
      </c>
      <c r="D588" t="s">
        <v>653</v>
      </c>
      <c r="E588" t="s">
        <v>451</v>
      </c>
      <c r="F588" t="s">
        <v>307</v>
      </c>
      <c r="G588" t="s">
        <v>306</v>
      </c>
      <c r="H588" t="s">
        <v>305</v>
      </c>
      <c r="I588" t="s">
        <v>420</v>
      </c>
      <c r="J588" t="s">
        <v>454</v>
      </c>
      <c r="K588" s="4">
        <v>32.39</v>
      </c>
      <c r="L588" s="4">
        <v>32.39</v>
      </c>
      <c r="M588" t="s">
        <v>44</v>
      </c>
      <c r="N588" t="s">
        <v>77</v>
      </c>
      <c r="O588" t="s">
        <v>99</v>
      </c>
      <c r="P588" t="s">
        <v>99</v>
      </c>
      <c r="Q588" t="s">
        <v>191</v>
      </c>
      <c r="R588" t="s">
        <v>283</v>
      </c>
      <c r="S588" t="s">
        <v>185</v>
      </c>
      <c r="T588" t="s">
        <v>198</v>
      </c>
      <c r="U588" t="s">
        <v>163</v>
      </c>
      <c r="V588" t="s">
        <v>164</v>
      </c>
      <c r="W588" t="s">
        <v>116</v>
      </c>
      <c r="X588" t="s">
        <v>44</v>
      </c>
      <c r="Y588" t="s">
        <v>99</v>
      </c>
      <c r="Z588" t="s">
        <v>421</v>
      </c>
      <c r="AC588" t="str">
        <f>IF(AA588="",M588,AA588)</f>
        <v>sim</v>
      </c>
      <c r="AD588" t="str">
        <f>IF(AB588="",X588,AB588)</f>
        <v>sim</v>
      </c>
      <c r="AE588" t="str">
        <f>IF(OR(Configuracao!B9="",Configuracao!B10=""),"aguardando limiar",IF(AND(K588&gt;=Configuracao!B9,K588/MAX(Reconciliacao!C2,1)&gt;=Configuracao!B10/100),"sim","não"))</f>
        <v>aguardando limiar</v>
      </c>
    </row>
    <row r="589" spans="1:31" x14ac:dyDescent="0.25">
      <c r="A589">
        <v>18740</v>
      </c>
      <c r="C589" t="s">
        <v>652</v>
      </c>
      <c r="D589" t="s">
        <v>669</v>
      </c>
      <c r="E589" t="s">
        <v>451</v>
      </c>
      <c r="F589" t="s">
        <v>307</v>
      </c>
      <c r="G589" t="s">
        <v>306</v>
      </c>
      <c r="H589" t="s">
        <v>305</v>
      </c>
      <c r="I589" t="s">
        <v>35</v>
      </c>
      <c r="J589" t="s">
        <v>459</v>
      </c>
      <c r="K589" s="4">
        <v>32.8</v>
      </c>
      <c r="L589" s="4">
        <v>0</v>
      </c>
      <c r="M589" t="s">
        <v>44</v>
      </c>
      <c r="N589" t="s">
        <v>77</v>
      </c>
      <c r="O589" t="s">
        <v>99</v>
      </c>
      <c r="P589" t="s">
        <v>99</v>
      </c>
      <c r="Q589" t="s">
        <v>191</v>
      </c>
      <c r="R589" t="s">
        <v>283</v>
      </c>
      <c r="S589" t="s">
        <v>185</v>
      </c>
      <c r="T589" t="s">
        <v>198</v>
      </c>
      <c r="U589" t="s">
        <v>163</v>
      </c>
      <c r="V589" t="s">
        <v>164</v>
      </c>
      <c r="W589" t="s">
        <v>116</v>
      </c>
      <c r="X589" t="s">
        <v>44</v>
      </c>
      <c r="Y589" t="s">
        <v>99</v>
      </c>
      <c r="Z589" t="s">
        <v>421</v>
      </c>
      <c r="AC589" t="str">
        <f>IF(AA589="",M589,AA589)</f>
        <v>sim</v>
      </c>
      <c r="AD589" t="str">
        <f>IF(AB589="",X589,AB589)</f>
        <v>sim</v>
      </c>
      <c r="AE589" t="str">
        <f>IF(OR(Configuracao!B9="",Configuracao!B10=""),"aguardando limiar",IF(AND(K589&gt;=Configuracao!B9,K589/MAX(Reconciliacao!C2,1)&gt;=Configuracao!B10/100),"sim","não"))</f>
        <v>aguardando limiar</v>
      </c>
    </row>
    <row r="590" spans="1:31" x14ac:dyDescent="0.25">
      <c r="A590">
        <v>11637</v>
      </c>
      <c r="C590" t="s">
        <v>724</v>
      </c>
      <c r="D590" t="s">
        <v>659</v>
      </c>
      <c r="E590" t="s">
        <v>451</v>
      </c>
      <c r="F590" t="s">
        <v>307</v>
      </c>
      <c r="G590" t="s">
        <v>306</v>
      </c>
      <c r="H590" t="s">
        <v>305</v>
      </c>
      <c r="I590" t="s">
        <v>32</v>
      </c>
      <c r="J590" t="s">
        <v>32</v>
      </c>
      <c r="K590" s="4">
        <v>35.99</v>
      </c>
      <c r="L590" s="4">
        <v>35.99</v>
      </c>
      <c r="M590" t="s">
        <v>44</v>
      </c>
      <c r="N590" t="s">
        <v>77</v>
      </c>
      <c r="O590" t="s">
        <v>99</v>
      </c>
      <c r="P590" t="s">
        <v>99</v>
      </c>
      <c r="Q590" t="s">
        <v>191</v>
      </c>
      <c r="R590" t="s">
        <v>283</v>
      </c>
      <c r="S590" t="s">
        <v>185</v>
      </c>
      <c r="T590" t="s">
        <v>198</v>
      </c>
      <c r="U590" t="s">
        <v>163</v>
      </c>
      <c r="V590" t="s">
        <v>164</v>
      </c>
      <c r="W590" t="s">
        <v>116</v>
      </c>
      <c r="X590" t="s">
        <v>44</v>
      </c>
      <c r="Y590" t="s">
        <v>99</v>
      </c>
      <c r="Z590" t="s">
        <v>421</v>
      </c>
      <c r="AC590" t="str">
        <f>IF(AA590="",M590,AA590)</f>
        <v>sim</v>
      </c>
      <c r="AD590" t="str">
        <f>IF(AB590="",X590,AB590)</f>
        <v>sim</v>
      </c>
      <c r="AE590" t="str">
        <f>IF(OR(Configuracao!B9="",Configuracao!B10=""),"aguardando limiar",IF(AND(K590&gt;=Configuracao!B9,K590/MAX(Reconciliacao!C2,1)&gt;=Configuracao!B10/100),"sim","não"))</f>
        <v>aguardando limiar</v>
      </c>
    </row>
    <row r="591" spans="1:31" x14ac:dyDescent="0.25">
      <c r="A591">
        <v>15840</v>
      </c>
      <c r="C591" t="s">
        <v>652</v>
      </c>
      <c r="D591" t="s">
        <v>653</v>
      </c>
      <c r="E591" t="s">
        <v>451</v>
      </c>
      <c r="F591" t="s">
        <v>307</v>
      </c>
      <c r="G591" t="s">
        <v>306</v>
      </c>
      <c r="H591" t="s">
        <v>305</v>
      </c>
      <c r="I591" t="s">
        <v>461</v>
      </c>
      <c r="J591" t="s">
        <v>461</v>
      </c>
      <c r="K591" s="4">
        <v>42.47</v>
      </c>
      <c r="L591" s="4">
        <v>42.47</v>
      </c>
      <c r="M591" t="s">
        <v>44</v>
      </c>
      <c r="N591" t="s">
        <v>77</v>
      </c>
      <c r="O591" t="s">
        <v>99</v>
      </c>
      <c r="P591" t="s">
        <v>99</v>
      </c>
      <c r="Q591" t="s">
        <v>191</v>
      </c>
      <c r="R591" t="s">
        <v>283</v>
      </c>
      <c r="S591" t="s">
        <v>185</v>
      </c>
      <c r="T591" t="s">
        <v>198</v>
      </c>
      <c r="U591" t="s">
        <v>163</v>
      </c>
      <c r="V591" t="s">
        <v>164</v>
      </c>
      <c r="W591" t="s">
        <v>116</v>
      </c>
      <c r="X591" t="s">
        <v>44</v>
      </c>
      <c r="Y591" t="s">
        <v>99</v>
      </c>
      <c r="Z591" t="s">
        <v>421</v>
      </c>
      <c r="AC591" t="str">
        <f>IF(AA591="",M591,AA591)</f>
        <v>sim</v>
      </c>
      <c r="AD591" t="str">
        <f>IF(AB591="",X591,AB591)</f>
        <v>sim</v>
      </c>
      <c r="AE591" t="str">
        <f>IF(OR(Configuracao!B9="",Configuracao!B10=""),"aguardando limiar",IF(AND(K591&gt;=Configuracao!B9,K591/MAX(Reconciliacao!C2,1)&gt;=Configuracao!B10/100),"sim","não"))</f>
        <v>aguardando limiar</v>
      </c>
    </row>
    <row r="592" spans="1:31" x14ac:dyDescent="0.25">
      <c r="A592">
        <v>17866</v>
      </c>
      <c r="C592" t="s">
        <v>652</v>
      </c>
      <c r="D592" t="s">
        <v>669</v>
      </c>
      <c r="E592" t="s">
        <v>451</v>
      </c>
      <c r="F592" t="s">
        <v>307</v>
      </c>
      <c r="G592" t="s">
        <v>306</v>
      </c>
      <c r="H592" t="s">
        <v>305</v>
      </c>
      <c r="I592" t="s">
        <v>439</v>
      </c>
      <c r="J592" t="s">
        <v>439</v>
      </c>
      <c r="K592" s="4">
        <v>42.9</v>
      </c>
      <c r="L592" s="4">
        <v>42.9</v>
      </c>
      <c r="M592" t="s">
        <v>44</v>
      </c>
      <c r="N592" t="s">
        <v>77</v>
      </c>
      <c r="O592" t="s">
        <v>99</v>
      </c>
      <c r="P592" t="s">
        <v>99</v>
      </c>
      <c r="Q592" t="s">
        <v>191</v>
      </c>
      <c r="R592" t="s">
        <v>283</v>
      </c>
      <c r="S592" t="s">
        <v>185</v>
      </c>
      <c r="T592" t="s">
        <v>198</v>
      </c>
      <c r="U592" t="s">
        <v>163</v>
      </c>
      <c r="V592" t="s">
        <v>164</v>
      </c>
      <c r="W592" t="s">
        <v>116</v>
      </c>
      <c r="X592" t="s">
        <v>44</v>
      </c>
      <c r="Y592" t="s">
        <v>99</v>
      </c>
      <c r="Z592" t="s">
        <v>421</v>
      </c>
      <c r="AC592" t="str">
        <f>IF(AA592="",M592,AA592)</f>
        <v>sim</v>
      </c>
      <c r="AD592" t="str">
        <f>IF(AB592="",X592,AB592)</f>
        <v>sim</v>
      </c>
      <c r="AE592" t="str">
        <f>IF(OR(Configuracao!B9="",Configuracao!B10=""),"aguardando limiar",IF(AND(K592&gt;=Configuracao!B9,K592/MAX(Reconciliacao!C2,1)&gt;=Configuracao!B10/100),"sim","não"))</f>
        <v>aguardando limiar</v>
      </c>
    </row>
    <row r="593" spans="1:31" x14ac:dyDescent="0.25">
      <c r="A593">
        <v>14112</v>
      </c>
      <c r="C593" t="s">
        <v>652</v>
      </c>
      <c r="D593" t="s">
        <v>450</v>
      </c>
      <c r="E593" t="s">
        <v>451</v>
      </c>
      <c r="F593" t="s">
        <v>307</v>
      </c>
      <c r="G593" t="s">
        <v>306</v>
      </c>
      <c r="H593" t="s">
        <v>305</v>
      </c>
      <c r="I593" t="s">
        <v>454</v>
      </c>
      <c r="J593" t="s">
        <v>454</v>
      </c>
      <c r="K593" s="4">
        <v>42.97</v>
      </c>
      <c r="L593" s="4">
        <v>42.97</v>
      </c>
      <c r="M593" t="s">
        <v>44</v>
      </c>
      <c r="N593" t="s">
        <v>77</v>
      </c>
      <c r="O593" t="s">
        <v>99</v>
      </c>
      <c r="P593" t="s">
        <v>99</v>
      </c>
      <c r="Q593" t="s">
        <v>191</v>
      </c>
      <c r="R593" t="s">
        <v>283</v>
      </c>
      <c r="S593" t="s">
        <v>185</v>
      </c>
      <c r="T593" t="s">
        <v>198</v>
      </c>
      <c r="U593" t="s">
        <v>163</v>
      </c>
      <c r="V593" t="s">
        <v>164</v>
      </c>
      <c r="W593" t="s">
        <v>116</v>
      </c>
      <c r="X593" t="s">
        <v>44</v>
      </c>
      <c r="Y593" t="s">
        <v>99</v>
      </c>
      <c r="Z593" t="s">
        <v>421</v>
      </c>
      <c r="AC593" t="str">
        <f>IF(AA593="",M593,AA593)</f>
        <v>sim</v>
      </c>
      <c r="AD593" t="str">
        <f>IF(AB593="",X593,AB593)</f>
        <v>sim</v>
      </c>
      <c r="AE593" t="str">
        <f>IF(OR(Configuracao!B9="",Configuracao!B10=""),"aguardando limiar",IF(AND(K593&gt;=Configuracao!B9,K593/MAX(Reconciliacao!C2,1)&gt;=Configuracao!B10/100),"sim","não"))</f>
        <v>aguardando limiar</v>
      </c>
    </row>
    <row r="594" spans="1:31" x14ac:dyDescent="0.25">
      <c r="A594">
        <v>18711</v>
      </c>
      <c r="C594" t="s">
        <v>652</v>
      </c>
      <c r="D594" t="s">
        <v>653</v>
      </c>
      <c r="E594" t="s">
        <v>451</v>
      </c>
      <c r="F594" t="s">
        <v>307</v>
      </c>
      <c r="G594" t="s">
        <v>306</v>
      </c>
      <c r="H594" t="s">
        <v>305</v>
      </c>
      <c r="I594" t="s">
        <v>35</v>
      </c>
      <c r="J594" t="s">
        <v>459</v>
      </c>
      <c r="K594" s="4">
        <v>44.31</v>
      </c>
      <c r="L594" s="4">
        <v>0</v>
      </c>
      <c r="M594" t="s">
        <v>44</v>
      </c>
      <c r="N594" t="s">
        <v>77</v>
      </c>
      <c r="O594" t="s">
        <v>99</v>
      </c>
      <c r="P594" t="s">
        <v>99</v>
      </c>
      <c r="Q594" t="s">
        <v>191</v>
      </c>
      <c r="R594" t="s">
        <v>283</v>
      </c>
      <c r="S594" t="s">
        <v>185</v>
      </c>
      <c r="T594" t="s">
        <v>198</v>
      </c>
      <c r="U594" t="s">
        <v>163</v>
      </c>
      <c r="V594" t="s">
        <v>164</v>
      </c>
      <c r="W594" t="s">
        <v>116</v>
      </c>
      <c r="X594" t="s">
        <v>44</v>
      </c>
      <c r="Y594" t="s">
        <v>99</v>
      </c>
      <c r="Z594" t="s">
        <v>421</v>
      </c>
      <c r="AC594" t="str">
        <f>IF(AA594="",M594,AA594)</f>
        <v>sim</v>
      </c>
      <c r="AD594" t="str">
        <f>IF(AB594="",X594,AB594)</f>
        <v>sim</v>
      </c>
      <c r="AE594" t="str">
        <f>IF(OR(Configuracao!B9="",Configuracao!B10=""),"aguardando limiar",IF(AND(K594&gt;=Configuracao!B9,K594/MAX(Reconciliacao!C2,1)&gt;=Configuracao!B10/100),"sim","não"))</f>
        <v>aguardando limiar</v>
      </c>
    </row>
    <row r="595" spans="1:31" x14ac:dyDescent="0.25">
      <c r="A595">
        <v>12803</v>
      </c>
      <c r="C595" t="s">
        <v>652</v>
      </c>
      <c r="D595" t="s">
        <v>653</v>
      </c>
      <c r="E595" t="s">
        <v>451</v>
      </c>
      <c r="F595" t="s">
        <v>307</v>
      </c>
      <c r="G595" t="s">
        <v>306</v>
      </c>
      <c r="H595" t="s">
        <v>305</v>
      </c>
      <c r="I595" t="s">
        <v>32</v>
      </c>
      <c r="J595" t="s">
        <v>32</v>
      </c>
      <c r="K595" s="4">
        <v>47.02</v>
      </c>
      <c r="L595" s="4">
        <v>47.02</v>
      </c>
      <c r="M595" t="s">
        <v>44</v>
      </c>
      <c r="N595" t="s">
        <v>77</v>
      </c>
      <c r="O595" t="s">
        <v>99</v>
      </c>
      <c r="P595" t="s">
        <v>99</v>
      </c>
      <c r="Q595" t="s">
        <v>191</v>
      </c>
      <c r="R595" t="s">
        <v>283</v>
      </c>
      <c r="S595" t="s">
        <v>185</v>
      </c>
      <c r="T595" t="s">
        <v>198</v>
      </c>
      <c r="U595" t="s">
        <v>163</v>
      </c>
      <c r="V595" t="s">
        <v>164</v>
      </c>
      <c r="W595" t="s">
        <v>116</v>
      </c>
      <c r="X595" t="s">
        <v>44</v>
      </c>
      <c r="Y595" t="s">
        <v>99</v>
      </c>
      <c r="Z595" t="s">
        <v>421</v>
      </c>
      <c r="AC595" t="str">
        <f>IF(AA595="",M595,AA595)</f>
        <v>sim</v>
      </c>
      <c r="AD595" t="str">
        <f>IF(AB595="",X595,AB595)</f>
        <v>sim</v>
      </c>
      <c r="AE595" t="str">
        <f>IF(OR(Configuracao!B9="",Configuracao!B10=""),"aguardando limiar",IF(AND(K595&gt;=Configuracao!B9,K595/MAX(Reconciliacao!C2,1)&gt;=Configuracao!B10/100),"sim","não"))</f>
        <v>aguardando limiar</v>
      </c>
    </row>
    <row r="596" spans="1:31" x14ac:dyDescent="0.25">
      <c r="A596">
        <v>15734</v>
      </c>
      <c r="C596" t="s">
        <v>652</v>
      </c>
      <c r="D596" t="s">
        <v>450</v>
      </c>
      <c r="E596" t="s">
        <v>451</v>
      </c>
      <c r="F596" t="s">
        <v>307</v>
      </c>
      <c r="G596" t="s">
        <v>306</v>
      </c>
      <c r="H596" t="s">
        <v>305</v>
      </c>
      <c r="I596" t="s">
        <v>454</v>
      </c>
      <c r="J596" t="s">
        <v>454</v>
      </c>
      <c r="K596" s="4">
        <v>53.31</v>
      </c>
      <c r="L596" s="4">
        <v>53.31</v>
      </c>
      <c r="M596" t="s">
        <v>44</v>
      </c>
      <c r="N596" t="s">
        <v>77</v>
      </c>
      <c r="O596" t="s">
        <v>99</v>
      </c>
      <c r="P596" t="s">
        <v>99</v>
      </c>
      <c r="Q596" t="s">
        <v>191</v>
      </c>
      <c r="R596" t="s">
        <v>283</v>
      </c>
      <c r="S596" t="s">
        <v>185</v>
      </c>
      <c r="T596" t="s">
        <v>198</v>
      </c>
      <c r="U596" t="s">
        <v>163</v>
      </c>
      <c r="V596" t="s">
        <v>164</v>
      </c>
      <c r="W596" t="s">
        <v>116</v>
      </c>
      <c r="X596" t="s">
        <v>44</v>
      </c>
      <c r="Y596" t="s">
        <v>99</v>
      </c>
      <c r="Z596" t="s">
        <v>421</v>
      </c>
      <c r="AC596" t="str">
        <f>IF(AA596="",M596,AA596)</f>
        <v>sim</v>
      </c>
      <c r="AD596" t="str">
        <f>IF(AB596="",X596,AB596)</f>
        <v>sim</v>
      </c>
      <c r="AE596" t="str">
        <f>IF(OR(Configuracao!B9="",Configuracao!B10=""),"aguardando limiar",IF(AND(K596&gt;=Configuracao!B9,K596/MAX(Reconciliacao!C2,1)&gt;=Configuracao!B10/100),"sim","não"))</f>
        <v>aguardando limiar</v>
      </c>
    </row>
    <row r="597" spans="1:31" x14ac:dyDescent="0.25">
      <c r="A597">
        <v>17151</v>
      </c>
      <c r="C597" t="s">
        <v>652</v>
      </c>
      <c r="D597" t="s">
        <v>663</v>
      </c>
      <c r="E597" t="s">
        <v>451</v>
      </c>
      <c r="F597" t="s">
        <v>307</v>
      </c>
      <c r="G597" t="s">
        <v>306</v>
      </c>
      <c r="H597" t="s">
        <v>305</v>
      </c>
      <c r="I597" t="s">
        <v>442</v>
      </c>
      <c r="J597" t="s">
        <v>442</v>
      </c>
      <c r="K597" s="4">
        <v>56.27</v>
      </c>
      <c r="L597" s="4">
        <v>56.27</v>
      </c>
      <c r="M597" t="s">
        <v>44</v>
      </c>
      <c r="N597" t="s">
        <v>77</v>
      </c>
      <c r="O597" t="s">
        <v>99</v>
      </c>
      <c r="P597" t="s">
        <v>99</v>
      </c>
      <c r="Q597" t="s">
        <v>191</v>
      </c>
      <c r="R597" t="s">
        <v>283</v>
      </c>
      <c r="S597" t="s">
        <v>185</v>
      </c>
      <c r="T597" t="s">
        <v>198</v>
      </c>
      <c r="U597" t="s">
        <v>163</v>
      </c>
      <c r="V597" t="s">
        <v>164</v>
      </c>
      <c r="W597" t="s">
        <v>116</v>
      </c>
      <c r="X597" t="s">
        <v>44</v>
      </c>
      <c r="Y597" t="s">
        <v>99</v>
      </c>
      <c r="Z597" t="s">
        <v>421</v>
      </c>
      <c r="AC597" t="str">
        <f>IF(AA597="",M597,AA597)</f>
        <v>sim</v>
      </c>
      <c r="AD597" t="str">
        <f>IF(AB597="",X597,AB597)</f>
        <v>sim</v>
      </c>
      <c r="AE597" t="str">
        <f>IF(OR(Configuracao!B9="",Configuracao!B10=""),"aguardando limiar",IF(AND(K597&gt;=Configuracao!B9,K597/MAX(Reconciliacao!C2,1)&gt;=Configuracao!B10/100),"sim","não"))</f>
        <v>aguardando limiar</v>
      </c>
    </row>
    <row r="598" spans="1:31" x14ac:dyDescent="0.25">
      <c r="A598">
        <v>18146</v>
      </c>
      <c r="C598" t="s">
        <v>652</v>
      </c>
      <c r="D598" t="s">
        <v>450</v>
      </c>
      <c r="E598" t="s">
        <v>451</v>
      </c>
      <c r="F598" t="s">
        <v>307</v>
      </c>
      <c r="G598" t="s">
        <v>306</v>
      </c>
      <c r="H598" t="s">
        <v>305</v>
      </c>
      <c r="I598" t="s">
        <v>439</v>
      </c>
      <c r="J598" t="s">
        <v>439</v>
      </c>
      <c r="K598" s="4">
        <v>56.33</v>
      </c>
      <c r="L598" s="4">
        <v>56.33</v>
      </c>
      <c r="M598" t="s">
        <v>44</v>
      </c>
      <c r="N598" t="s">
        <v>77</v>
      </c>
      <c r="O598" t="s">
        <v>99</v>
      </c>
      <c r="P598" t="s">
        <v>99</v>
      </c>
      <c r="Q598" t="s">
        <v>191</v>
      </c>
      <c r="R598" t="s">
        <v>283</v>
      </c>
      <c r="S598" t="s">
        <v>185</v>
      </c>
      <c r="T598" t="s">
        <v>198</v>
      </c>
      <c r="U598" t="s">
        <v>163</v>
      </c>
      <c r="V598" t="s">
        <v>164</v>
      </c>
      <c r="W598" t="s">
        <v>116</v>
      </c>
      <c r="X598" t="s">
        <v>44</v>
      </c>
      <c r="Y598" t="s">
        <v>99</v>
      </c>
      <c r="Z598" t="s">
        <v>421</v>
      </c>
      <c r="AC598" t="str">
        <f>IF(AA598="",M598,AA598)</f>
        <v>sim</v>
      </c>
      <c r="AD598" t="str">
        <f>IF(AB598="",X598,AB598)</f>
        <v>sim</v>
      </c>
      <c r="AE598" t="str">
        <f>IF(OR(Configuracao!B9="",Configuracao!B10=""),"aguardando limiar",IF(AND(K598&gt;=Configuracao!B9,K598/MAX(Reconciliacao!C2,1)&gt;=Configuracao!B10/100),"sim","não"))</f>
        <v>aguardando limiar</v>
      </c>
    </row>
    <row r="599" spans="1:31" x14ac:dyDescent="0.25">
      <c r="A599">
        <v>17984</v>
      </c>
      <c r="C599" t="s">
        <v>652</v>
      </c>
      <c r="D599" t="s">
        <v>450</v>
      </c>
      <c r="E599" t="s">
        <v>451</v>
      </c>
      <c r="F599" t="s">
        <v>307</v>
      </c>
      <c r="G599" t="s">
        <v>306</v>
      </c>
      <c r="H599" t="s">
        <v>305</v>
      </c>
      <c r="I599" t="s">
        <v>439</v>
      </c>
      <c r="J599" t="s">
        <v>439</v>
      </c>
      <c r="K599" s="4">
        <v>57.14</v>
      </c>
      <c r="L599" s="4">
        <v>57.14</v>
      </c>
      <c r="M599" t="s">
        <v>44</v>
      </c>
      <c r="N599" t="s">
        <v>77</v>
      </c>
      <c r="O599" t="s">
        <v>99</v>
      </c>
      <c r="P599" t="s">
        <v>99</v>
      </c>
      <c r="Q599" t="s">
        <v>191</v>
      </c>
      <c r="R599" t="s">
        <v>283</v>
      </c>
      <c r="S599" t="s">
        <v>185</v>
      </c>
      <c r="T599" t="s">
        <v>198</v>
      </c>
      <c r="U599" t="s">
        <v>163</v>
      </c>
      <c r="V599" t="s">
        <v>164</v>
      </c>
      <c r="W599" t="s">
        <v>116</v>
      </c>
      <c r="X599" t="s">
        <v>44</v>
      </c>
      <c r="Y599" t="s">
        <v>99</v>
      </c>
      <c r="Z599" t="s">
        <v>421</v>
      </c>
      <c r="AC599" t="str">
        <f>IF(AA599="",M599,AA599)</f>
        <v>sim</v>
      </c>
      <c r="AD599" t="str">
        <f>IF(AB599="",X599,AB599)</f>
        <v>sim</v>
      </c>
      <c r="AE599" t="str">
        <f>IF(OR(Configuracao!B9="",Configuracao!B10=""),"aguardando limiar",IF(AND(K599&gt;=Configuracao!B9,K599/MAX(Reconciliacao!C2,1)&gt;=Configuracao!B10/100),"sim","não"))</f>
        <v>aguardando limiar</v>
      </c>
    </row>
    <row r="600" spans="1:31" x14ac:dyDescent="0.25">
      <c r="A600">
        <v>18742</v>
      </c>
      <c r="C600" t="s">
        <v>652</v>
      </c>
      <c r="D600" t="s">
        <v>663</v>
      </c>
      <c r="E600" t="s">
        <v>451</v>
      </c>
      <c r="F600" t="s">
        <v>307</v>
      </c>
      <c r="G600" t="s">
        <v>306</v>
      </c>
      <c r="H600" t="s">
        <v>305</v>
      </c>
      <c r="I600" t="s">
        <v>35</v>
      </c>
      <c r="J600" t="s">
        <v>459</v>
      </c>
      <c r="K600" s="4">
        <v>60.16</v>
      </c>
      <c r="L600" s="4">
        <v>0</v>
      </c>
      <c r="M600" t="s">
        <v>44</v>
      </c>
      <c r="N600" t="s">
        <v>77</v>
      </c>
      <c r="O600" t="s">
        <v>99</v>
      </c>
      <c r="P600" t="s">
        <v>99</v>
      </c>
      <c r="Q600" t="s">
        <v>191</v>
      </c>
      <c r="R600" t="s">
        <v>283</v>
      </c>
      <c r="S600" t="s">
        <v>185</v>
      </c>
      <c r="T600" t="s">
        <v>198</v>
      </c>
      <c r="U600" t="s">
        <v>163</v>
      </c>
      <c r="V600" t="s">
        <v>164</v>
      </c>
      <c r="W600" t="s">
        <v>116</v>
      </c>
      <c r="X600" t="s">
        <v>44</v>
      </c>
      <c r="Y600" t="s">
        <v>99</v>
      </c>
      <c r="Z600" t="s">
        <v>421</v>
      </c>
      <c r="AC600" t="str">
        <f>IF(AA600="",M600,AA600)</f>
        <v>sim</v>
      </c>
      <c r="AD600" t="str">
        <f>IF(AB600="",X600,AB600)</f>
        <v>sim</v>
      </c>
      <c r="AE600" t="str">
        <f>IF(OR(Configuracao!B9="",Configuracao!B10=""),"aguardando limiar",IF(AND(K600&gt;=Configuracao!B9,K600/MAX(Reconciliacao!C2,1)&gt;=Configuracao!B10/100),"sim","não"))</f>
        <v>aguardando limiar</v>
      </c>
    </row>
    <row r="601" spans="1:31" x14ac:dyDescent="0.25">
      <c r="A601">
        <v>13447</v>
      </c>
      <c r="C601" t="s">
        <v>652</v>
      </c>
      <c r="D601" t="s">
        <v>450</v>
      </c>
      <c r="E601" t="s">
        <v>451</v>
      </c>
      <c r="F601" t="s">
        <v>307</v>
      </c>
      <c r="G601" t="s">
        <v>306</v>
      </c>
      <c r="H601" t="s">
        <v>305</v>
      </c>
      <c r="I601" t="s">
        <v>454</v>
      </c>
      <c r="J601" t="s">
        <v>454</v>
      </c>
      <c r="K601" s="4">
        <v>70.8</v>
      </c>
      <c r="L601" s="4">
        <v>70.8</v>
      </c>
      <c r="M601" t="s">
        <v>44</v>
      </c>
      <c r="N601" t="s">
        <v>77</v>
      </c>
      <c r="O601" t="s">
        <v>99</v>
      </c>
      <c r="P601" t="s">
        <v>99</v>
      </c>
      <c r="Q601" t="s">
        <v>191</v>
      </c>
      <c r="R601" t="s">
        <v>283</v>
      </c>
      <c r="S601" t="s">
        <v>185</v>
      </c>
      <c r="T601" t="s">
        <v>198</v>
      </c>
      <c r="U601" t="s">
        <v>163</v>
      </c>
      <c r="V601" t="s">
        <v>164</v>
      </c>
      <c r="W601" t="s">
        <v>116</v>
      </c>
      <c r="X601" t="s">
        <v>44</v>
      </c>
      <c r="Y601" t="s">
        <v>99</v>
      </c>
      <c r="Z601" t="s">
        <v>421</v>
      </c>
      <c r="AC601" t="str">
        <f>IF(AA601="",M601,AA601)</f>
        <v>sim</v>
      </c>
      <c r="AD601" t="str">
        <f>IF(AB601="",X601,AB601)</f>
        <v>sim</v>
      </c>
      <c r="AE601" t="str">
        <f>IF(OR(Configuracao!B9="",Configuracao!B10=""),"aguardando limiar",IF(AND(K601&gt;=Configuracao!B9,K601/MAX(Reconciliacao!C2,1)&gt;=Configuracao!B10/100),"sim","não"))</f>
        <v>aguardando limiar</v>
      </c>
    </row>
    <row r="602" spans="1:31" x14ac:dyDescent="0.25">
      <c r="A602">
        <v>13448</v>
      </c>
      <c r="C602" t="s">
        <v>652</v>
      </c>
      <c r="D602" t="s">
        <v>450</v>
      </c>
      <c r="E602" t="s">
        <v>451</v>
      </c>
      <c r="F602" t="s">
        <v>307</v>
      </c>
      <c r="G602" t="s">
        <v>306</v>
      </c>
      <c r="H602" t="s">
        <v>305</v>
      </c>
      <c r="I602" t="s">
        <v>454</v>
      </c>
      <c r="J602" t="s">
        <v>454</v>
      </c>
      <c r="K602" s="4">
        <v>74.66</v>
      </c>
      <c r="L602" s="4">
        <v>74.66</v>
      </c>
      <c r="M602" t="s">
        <v>44</v>
      </c>
      <c r="N602" t="s">
        <v>77</v>
      </c>
      <c r="O602" t="s">
        <v>99</v>
      </c>
      <c r="P602" t="s">
        <v>99</v>
      </c>
      <c r="Q602" t="s">
        <v>191</v>
      </c>
      <c r="R602" t="s">
        <v>283</v>
      </c>
      <c r="S602" t="s">
        <v>185</v>
      </c>
      <c r="T602" t="s">
        <v>198</v>
      </c>
      <c r="U602" t="s">
        <v>163</v>
      </c>
      <c r="V602" t="s">
        <v>164</v>
      </c>
      <c r="W602" t="s">
        <v>116</v>
      </c>
      <c r="X602" t="s">
        <v>44</v>
      </c>
      <c r="Y602" t="s">
        <v>99</v>
      </c>
      <c r="Z602" t="s">
        <v>421</v>
      </c>
      <c r="AC602" t="str">
        <f>IF(AA602="",M602,AA602)</f>
        <v>sim</v>
      </c>
      <c r="AD602" t="str">
        <f>IF(AB602="",X602,AB602)</f>
        <v>sim</v>
      </c>
      <c r="AE602" t="str">
        <f>IF(OR(Configuracao!B9="",Configuracao!B10=""),"aguardando limiar",IF(AND(K602&gt;=Configuracao!B9,K602/MAX(Reconciliacao!C2,1)&gt;=Configuracao!B10/100),"sim","não"))</f>
        <v>aguardando limiar</v>
      </c>
    </row>
    <row r="603" spans="1:31" x14ac:dyDescent="0.25">
      <c r="A603">
        <v>17829</v>
      </c>
      <c r="C603" t="s">
        <v>652</v>
      </c>
      <c r="D603" t="s">
        <v>663</v>
      </c>
      <c r="E603" t="s">
        <v>451</v>
      </c>
      <c r="F603" t="s">
        <v>307</v>
      </c>
      <c r="G603" t="s">
        <v>306</v>
      </c>
      <c r="H603" t="s">
        <v>305</v>
      </c>
      <c r="I603" t="s">
        <v>439</v>
      </c>
      <c r="J603" t="s">
        <v>439</v>
      </c>
      <c r="K603" s="4">
        <v>83.13</v>
      </c>
      <c r="L603" s="4">
        <v>83.13</v>
      </c>
      <c r="M603" t="s">
        <v>44</v>
      </c>
      <c r="N603" t="s">
        <v>77</v>
      </c>
      <c r="O603" t="s">
        <v>99</v>
      </c>
      <c r="P603" t="s">
        <v>99</v>
      </c>
      <c r="Q603" t="s">
        <v>191</v>
      </c>
      <c r="R603" t="s">
        <v>283</v>
      </c>
      <c r="S603" t="s">
        <v>185</v>
      </c>
      <c r="T603" t="s">
        <v>198</v>
      </c>
      <c r="U603" t="s">
        <v>163</v>
      </c>
      <c r="V603" t="s">
        <v>164</v>
      </c>
      <c r="W603" t="s">
        <v>116</v>
      </c>
      <c r="X603" t="s">
        <v>44</v>
      </c>
      <c r="Y603" t="s">
        <v>99</v>
      </c>
      <c r="Z603" t="s">
        <v>421</v>
      </c>
      <c r="AC603" t="str">
        <f>IF(AA603="",M603,AA603)</f>
        <v>sim</v>
      </c>
      <c r="AD603" t="str">
        <f>IF(AB603="",X603,AB603)</f>
        <v>sim</v>
      </c>
      <c r="AE603" t="str">
        <f>IF(OR(Configuracao!B9="",Configuracao!B10=""),"aguardando limiar",IF(AND(K603&gt;=Configuracao!B9,K603/MAX(Reconciliacao!C2,1)&gt;=Configuracao!B10/100),"sim","não"))</f>
        <v>aguardando limiar</v>
      </c>
    </row>
    <row r="604" spans="1:31" x14ac:dyDescent="0.25">
      <c r="A604">
        <v>15740</v>
      </c>
      <c r="C604" t="s">
        <v>652</v>
      </c>
      <c r="D604" t="s">
        <v>653</v>
      </c>
      <c r="E604" t="s">
        <v>451</v>
      </c>
      <c r="F604" t="s">
        <v>307</v>
      </c>
      <c r="G604" t="s">
        <v>306</v>
      </c>
      <c r="H604" t="s">
        <v>305</v>
      </c>
      <c r="I604" t="s">
        <v>454</v>
      </c>
      <c r="J604" t="s">
        <v>461</v>
      </c>
      <c r="K604" s="4">
        <v>84.19</v>
      </c>
      <c r="L604" s="4">
        <v>84.19</v>
      </c>
      <c r="M604" t="s">
        <v>44</v>
      </c>
      <c r="N604" t="s">
        <v>77</v>
      </c>
      <c r="O604" t="s">
        <v>99</v>
      </c>
      <c r="P604" t="s">
        <v>99</v>
      </c>
      <c r="Q604" t="s">
        <v>191</v>
      </c>
      <c r="R604" t="s">
        <v>283</v>
      </c>
      <c r="S604" t="s">
        <v>185</v>
      </c>
      <c r="T604" t="s">
        <v>198</v>
      </c>
      <c r="U604" t="s">
        <v>163</v>
      </c>
      <c r="V604" t="s">
        <v>164</v>
      </c>
      <c r="W604" t="s">
        <v>116</v>
      </c>
      <c r="X604" t="s">
        <v>44</v>
      </c>
      <c r="Y604" t="s">
        <v>99</v>
      </c>
      <c r="Z604" t="s">
        <v>421</v>
      </c>
      <c r="AC604" t="str">
        <f>IF(AA604="",M604,AA604)</f>
        <v>sim</v>
      </c>
      <c r="AD604" t="str">
        <f>IF(AB604="",X604,AB604)</f>
        <v>sim</v>
      </c>
      <c r="AE604" t="str">
        <f>IF(OR(Configuracao!B9="",Configuracao!B10=""),"aguardando limiar",IF(AND(K604&gt;=Configuracao!B9,K604/MAX(Reconciliacao!C2,1)&gt;=Configuracao!B10/100),"sim","não"))</f>
        <v>aguardando limiar</v>
      </c>
    </row>
    <row r="605" spans="1:31" x14ac:dyDescent="0.25">
      <c r="A605">
        <v>12691</v>
      </c>
      <c r="C605" t="s">
        <v>652</v>
      </c>
      <c r="D605" t="s">
        <v>450</v>
      </c>
      <c r="E605" t="s">
        <v>451</v>
      </c>
      <c r="F605" t="s">
        <v>307</v>
      </c>
      <c r="G605" t="s">
        <v>306</v>
      </c>
      <c r="H605" t="s">
        <v>305</v>
      </c>
      <c r="I605" t="s">
        <v>32</v>
      </c>
      <c r="J605" t="s">
        <v>424</v>
      </c>
      <c r="K605" s="4">
        <v>86.57</v>
      </c>
      <c r="L605" s="4">
        <v>86.57</v>
      </c>
      <c r="M605" t="s">
        <v>44</v>
      </c>
      <c r="N605" t="s">
        <v>77</v>
      </c>
      <c r="O605" t="s">
        <v>99</v>
      </c>
      <c r="P605" t="s">
        <v>99</v>
      </c>
      <c r="Q605" t="s">
        <v>191</v>
      </c>
      <c r="R605" t="s">
        <v>283</v>
      </c>
      <c r="S605" t="s">
        <v>185</v>
      </c>
      <c r="T605" t="s">
        <v>198</v>
      </c>
      <c r="U605" t="s">
        <v>163</v>
      </c>
      <c r="V605" t="s">
        <v>164</v>
      </c>
      <c r="W605" t="s">
        <v>116</v>
      </c>
      <c r="X605" t="s">
        <v>44</v>
      </c>
      <c r="Y605" t="s">
        <v>99</v>
      </c>
      <c r="Z605" t="s">
        <v>421</v>
      </c>
      <c r="AC605" t="str">
        <f>IF(AA605="",M605,AA605)</f>
        <v>sim</v>
      </c>
      <c r="AD605" t="str">
        <f>IF(AB605="",X605,AB605)</f>
        <v>sim</v>
      </c>
      <c r="AE605" t="str">
        <f>IF(OR(Configuracao!B9="",Configuracao!B10=""),"aguardando limiar",IF(AND(K605&gt;=Configuracao!B9,K605/MAX(Reconciliacao!C2,1)&gt;=Configuracao!B10/100),"sim","não"))</f>
        <v>aguardando limiar</v>
      </c>
    </row>
    <row r="606" spans="1:31" x14ac:dyDescent="0.25">
      <c r="A606">
        <v>12666</v>
      </c>
      <c r="D606" t="s">
        <v>669</v>
      </c>
      <c r="E606" t="s">
        <v>451</v>
      </c>
      <c r="F606" t="s">
        <v>307</v>
      </c>
      <c r="G606" t="s">
        <v>306</v>
      </c>
      <c r="H606" t="s">
        <v>305</v>
      </c>
      <c r="I606" t="s">
        <v>420</v>
      </c>
      <c r="J606" t="s">
        <v>454</v>
      </c>
      <c r="K606" s="4">
        <v>98.72</v>
      </c>
      <c r="L606" s="4">
        <v>98.72</v>
      </c>
      <c r="M606" t="s">
        <v>44</v>
      </c>
      <c r="N606" t="s">
        <v>77</v>
      </c>
      <c r="O606" t="s">
        <v>99</v>
      </c>
      <c r="P606" t="s">
        <v>99</v>
      </c>
      <c r="Q606" t="s">
        <v>191</v>
      </c>
      <c r="R606" t="s">
        <v>283</v>
      </c>
      <c r="S606" t="s">
        <v>185</v>
      </c>
      <c r="T606" t="s">
        <v>198</v>
      </c>
      <c r="U606" t="s">
        <v>163</v>
      </c>
      <c r="V606" t="s">
        <v>164</v>
      </c>
      <c r="W606" t="s">
        <v>116</v>
      </c>
      <c r="X606" t="s">
        <v>44</v>
      </c>
      <c r="Y606" t="s">
        <v>99</v>
      </c>
      <c r="Z606" t="s">
        <v>421</v>
      </c>
      <c r="AC606" t="str">
        <f>IF(AA606="",M606,AA606)</f>
        <v>sim</v>
      </c>
      <c r="AD606" t="str">
        <f>IF(AB606="",X606,AB606)</f>
        <v>sim</v>
      </c>
      <c r="AE606" t="str">
        <f>IF(OR(Configuracao!B9="",Configuracao!B10=""),"aguardando limiar",IF(AND(K606&gt;=Configuracao!B9,K606/MAX(Reconciliacao!C2,1)&gt;=Configuracao!B10/100),"sim","não"))</f>
        <v>aguardando limiar</v>
      </c>
    </row>
    <row r="607" spans="1:31" x14ac:dyDescent="0.25">
      <c r="A607">
        <v>15841</v>
      </c>
      <c r="C607" t="s">
        <v>652</v>
      </c>
      <c r="D607" t="s">
        <v>663</v>
      </c>
      <c r="E607" t="s">
        <v>451</v>
      </c>
      <c r="F607" t="s">
        <v>307</v>
      </c>
      <c r="G607" t="s">
        <v>306</v>
      </c>
      <c r="H607" t="s">
        <v>305</v>
      </c>
      <c r="I607" t="s">
        <v>461</v>
      </c>
      <c r="J607" t="s">
        <v>442</v>
      </c>
      <c r="K607" s="4">
        <v>101.15</v>
      </c>
      <c r="L607" s="4">
        <v>101.15</v>
      </c>
      <c r="M607" t="s">
        <v>44</v>
      </c>
      <c r="N607" t="s">
        <v>77</v>
      </c>
      <c r="O607" t="s">
        <v>99</v>
      </c>
      <c r="P607" t="s">
        <v>99</v>
      </c>
      <c r="Q607" t="s">
        <v>191</v>
      </c>
      <c r="R607" t="s">
        <v>283</v>
      </c>
      <c r="S607" t="s">
        <v>185</v>
      </c>
      <c r="T607" t="s">
        <v>198</v>
      </c>
      <c r="U607" t="s">
        <v>163</v>
      </c>
      <c r="V607" t="s">
        <v>164</v>
      </c>
      <c r="W607" t="s">
        <v>116</v>
      </c>
      <c r="X607" t="s">
        <v>44</v>
      </c>
      <c r="Y607" t="s">
        <v>99</v>
      </c>
      <c r="Z607" t="s">
        <v>421</v>
      </c>
      <c r="AC607" t="str">
        <f>IF(AA607="",M607,AA607)</f>
        <v>sim</v>
      </c>
      <c r="AD607" t="str">
        <f>IF(AB607="",X607,AB607)</f>
        <v>sim</v>
      </c>
      <c r="AE607" t="str">
        <f>IF(OR(Configuracao!B9="",Configuracao!B10=""),"aguardando limiar",IF(AND(K607&gt;=Configuracao!B9,K607/MAX(Reconciliacao!C2,1)&gt;=Configuracao!B10/100),"sim","não"))</f>
        <v>aguardando limiar</v>
      </c>
    </row>
    <row r="608" spans="1:31" x14ac:dyDescent="0.25">
      <c r="A608">
        <v>17152</v>
      </c>
      <c r="C608" t="s">
        <v>652</v>
      </c>
      <c r="D608" t="s">
        <v>450</v>
      </c>
      <c r="E608" t="s">
        <v>451</v>
      </c>
      <c r="F608" t="s">
        <v>307</v>
      </c>
      <c r="G608" t="s">
        <v>306</v>
      </c>
      <c r="H608" t="s">
        <v>305</v>
      </c>
      <c r="I608" t="s">
        <v>442</v>
      </c>
      <c r="J608" t="s">
        <v>442</v>
      </c>
      <c r="K608" s="4">
        <v>110.51</v>
      </c>
      <c r="L608" s="4">
        <v>110.51</v>
      </c>
      <c r="M608" t="s">
        <v>44</v>
      </c>
      <c r="N608" t="s">
        <v>77</v>
      </c>
      <c r="O608" t="s">
        <v>99</v>
      </c>
      <c r="P608" t="s">
        <v>99</v>
      </c>
      <c r="Q608" t="s">
        <v>191</v>
      </c>
      <c r="R608" t="s">
        <v>283</v>
      </c>
      <c r="S608" t="s">
        <v>185</v>
      </c>
      <c r="T608" t="s">
        <v>198</v>
      </c>
      <c r="U608" t="s">
        <v>163</v>
      </c>
      <c r="V608" t="s">
        <v>164</v>
      </c>
      <c r="W608" t="s">
        <v>116</v>
      </c>
      <c r="X608" t="s">
        <v>44</v>
      </c>
      <c r="Y608" t="s">
        <v>99</v>
      </c>
      <c r="Z608" t="s">
        <v>421</v>
      </c>
      <c r="AC608" t="str">
        <f>IF(AA608="",M608,AA608)</f>
        <v>sim</v>
      </c>
      <c r="AD608" t="str">
        <f>IF(AB608="",X608,AB608)</f>
        <v>sim</v>
      </c>
      <c r="AE608" t="str">
        <f>IF(OR(Configuracao!B9="",Configuracao!B10=""),"aguardando limiar",IF(AND(K608&gt;=Configuracao!B9,K608/MAX(Reconciliacao!C2,1)&gt;=Configuracao!B10/100),"sim","não"))</f>
        <v>aguardando limiar</v>
      </c>
    </row>
    <row r="609" spans="1:31" x14ac:dyDescent="0.25">
      <c r="A609">
        <v>17827</v>
      </c>
      <c r="C609" t="s">
        <v>652</v>
      </c>
      <c r="D609" t="s">
        <v>450</v>
      </c>
      <c r="E609" t="s">
        <v>451</v>
      </c>
      <c r="F609" t="s">
        <v>307</v>
      </c>
      <c r="G609" t="s">
        <v>306</v>
      </c>
      <c r="H609" t="s">
        <v>305</v>
      </c>
      <c r="I609" t="s">
        <v>439</v>
      </c>
      <c r="J609" t="s">
        <v>439</v>
      </c>
      <c r="K609" s="4">
        <v>122.08</v>
      </c>
      <c r="L609" s="4">
        <v>122.08</v>
      </c>
      <c r="M609" t="s">
        <v>44</v>
      </c>
      <c r="N609" t="s">
        <v>77</v>
      </c>
      <c r="O609" t="s">
        <v>99</v>
      </c>
      <c r="P609" t="s">
        <v>99</v>
      </c>
      <c r="Q609" t="s">
        <v>191</v>
      </c>
      <c r="R609" t="s">
        <v>283</v>
      </c>
      <c r="S609" t="s">
        <v>185</v>
      </c>
      <c r="T609" t="s">
        <v>198</v>
      </c>
      <c r="U609" t="s">
        <v>163</v>
      </c>
      <c r="V609" t="s">
        <v>164</v>
      </c>
      <c r="W609" t="s">
        <v>116</v>
      </c>
      <c r="X609" t="s">
        <v>44</v>
      </c>
      <c r="Y609" t="s">
        <v>99</v>
      </c>
      <c r="Z609" t="s">
        <v>421</v>
      </c>
      <c r="AC609" t="str">
        <f>IF(AA609="",M609,AA609)</f>
        <v>sim</v>
      </c>
      <c r="AD609" t="str">
        <f>IF(AB609="",X609,AB609)</f>
        <v>sim</v>
      </c>
      <c r="AE609" t="str">
        <f>IF(OR(Configuracao!B9="",Configuracao!B10=""),"aguardando limiar",IF(AND(K609&gt;=Configuracao!B9,K609/MAX(Reconciliacao!C2,1)&gt;=Configuracao!B10/100),"sim","não"))</f>
        <v>aguardando limiar</v>
      </c>
    </row>
    <row r="610" spans="1:31" x14ac:dyDescent="0.25">
      <c r="A610">
        <v>12689</v>
      </c>
      <c r="C610" t="s">
        <v>652</v>
      </c>
      <c r="D610" t="s">
        <v>450</v>
      </c>
      <c r="E610" t="s">
        <v>451</v>
      </c>
      <c r="F610" t="s">
        <v>307</v>
      </c>
      <c r="G610" t="s">
        <v>306</v>
      </c>
      <c r="H610" t="s">
        <v>305</v>
      </c>
      <c r="I610" t="s">
        <v>420</v>
      </c>
      <c r="J610" t="s">
        <v>420</v>
      </c>
      <c r="K610" s="4">
        <v>147.51</v>
      </c>
      <c r="L610" s="4">
        <v>147.51</v>
      </c>
      <c r="M610" t="s">
        <v>44</v>
      </c>
      <c r="N610" t="s">
        <v>77</v>
      </c>
      <c r="O610" t="s">
        <v>99</v>
      </c>
      <c r="P610" t="s">
        <v>99</v>
      </c>
      <c r="Q610" t="s">
        <v>191</v>
      </c>
      <c r="R610" t="s">
        <v>283</v>
      </c>
      <c r="S610" t="s">
        <v>185</v>
      </c>
      <c r="T610" t="s">
        <v>198</v>
      </c>
      <c r="U610" t="s">
        <v>163</v>
      </c>
      <c r="V610" t="s">
        <v>164</v>
      </c>
      <c r="W610" t="s">
        <v>116</v>
      </c>
      <c r="X610" t="s">
        <v>44</v>
      </c>
      <c r="Y610" t="s">
        <v>99</v>
      </c>
      <c r="Z610" t="s">
        <v>421</v>
      </c>
      <c r="AC610" t="str">
        <f>IF(AA610="",M610,AA610)</f>
        <v>sim</v>
      </c>
      <c r="AD610" t="str">
        <f>IF(AB610="",X610,AB610)</f>
        <v>sim</v>
      </c>
      <c r="AE610" t="str">
        <f>IF(OR(Configuracao!B9="",Configuracao!B10=""),"aguardando limiar",IF(AND(K610&gt;=Configuracao!B9,K610/MAX(Reconciliacao!C2,1)&gt;=Configuracao!B10/100),"sim","não"))</f>
        <v>aguardando limiar</v>
      </c>
    </row>
    <row r="611" spans="1:31" x14ac:dyDescent="0.25">
      <c r="A611">
        <v>12048</v>
      </c>
      <c r="C611" t="s">
        <v>652</v>
      </c>
      <c r="D611" t="s">
        <v>450</v>
      </c>
      <c r="E611" t="s">
        <v>451</v>
      </c>
      <c r="F611" t="s">
        <v>307</v>
      </c>
      <c r="G611" t="s">
        <v>306</v>
      </c>
      <c r="H611" t="s">
        <v>305</v>
      </c>
      <c r="I611" t="s">
        <v>424</v>
      </c>
      <c r="J611" t="s">
        <v>424</v>
      </c>
      <c r="K611" s="4">
        <v>148.71</v>
      </c>
      <c r="L611" s="4">
        <v>148.71</v>
      </c>
      <c r="M611" t="s">
        <v>44</v>
      </c>
      <c r="N611" t="s">
        <v>77</v>
      </c>
      <c r="O611" t="s">
        <v>99</v>
      </c>
      <c r="P611" t="s">
        <v>99</v>
      </c>
      <c r="Q611" t="s">
        <v>191</v>
      </c>
      <c r="R611" t="s">
        <v>283</v>
      </c>
      <c r="S611" t="s">
        <v>185</v>
      </c>
      <c r="T611" t="s">
        <v>198</v>
      </c>
      <c r="U611" t="s">
        <v>163</v>
      </c>
      <c r="V611" t="s">
        <v>164</v>
      </c>
      <c r="W611" t="s">
        <v>116</v>
      </c>
      <c r="X611" t="s">
        <v>44</v>
      </c>
      <c r="Y611" t="s">
        <v>99</v>
      </c>
      <c r="Z611" t="s">
        <v>421</v>
      </c>
      <c r="AC611" t="str">
        <f>IF(AA611="",M611,AA611)</f>
        <v>sim</v>
      </c>
      <c r="AD611" t="str">
        <f>IF(AB611="",X611,AB611)</f>
        <v>sim</v>
      </c>
      <c r="AE611" t="str">
        <f>IF(OR(Configuracao!B9="",Configuracao!B10=""),"aguardando limiar",IF(AND(K611&gt;=Configuracao!B9,K611/MAX(Reconciliacao!C2,1)&gt;=Configuracao!B10/100),"sim","não"))</f>
        <v>aguardando limiar</v>
      </c>
    </row>
    <row r="612" spans="1:31" x14ac:dyDescent="0.25">
      <c r="A612">
        <v>13445</v>
      </c>
      <c r="C612" t="s">
        <v>652</v>
      </c>
      <c r="D612" t="s">
        <v>450</v>
      </c>
      <c r="E612" t="s">
        <v>451</v>
      </c>
      <c r="F612" t="s">
        <v>307</v>
      </c>
      <c r="G612" t="s">
        <v>306</v>
      </c>
      <c r="H612" t="s">
        <v>305</v>
      </c>
      <c r="I612" t="s">
        <v>454</v>
      </c>
      <c r="J612" t="s">
        <v>454</v>
      </c>
      <c r="K612" s="4">
        <v>155.06</v>
      </c>
      <c r="L612" s="4">
        <v>155.06</v>
      </c>
      <c r="M612" t="s">
        <v>44</v>
      </c>
      <c r="N612" t="s">
        <v>77</v>
      </c>
      <c r="O612" t="s">
        <v>99</v>
      </c>
      <c r="P612" t="s">
        <v>99</v>
      </c>
      <c r="Q612" t="s">
        <v>191</v>
      </c>
      <c r="R612" t="s">
        <v>283</v>
      </c>
      <c r="S612" t="s">
        <v>185</v>
      </c>
      <c r="T612" t="s">
        <v>198</v>
      </c>
      <c r="U612" t="s">
        <v>163</v>
      </c>
      <c r="V612" t="s">
        <v>164</v>
      </c>
      <c r="W612" t="s">
        <v>116</v>
      </c>
      <c r="X612" t="s">
        <v>44</v>
      </c>
      <c r="Y612" t="s">
        <v>99</v>
      </c>
      <c r="Z612" t="s">
        <v>421</v>
      </c>
      <c r="AC612" t="str">
        <f>IF(AA612="",M612,AA612)</f>
        <v>sim</v>
      </c>
      <c r="AD612" t="str">
        <f>IF(AB612="",X612,AB612)</f>
        <v>sim</v>
      </c>
      <c r="AE612" t="str">
        <f>IF(OR(Configuracao!B9="",Configuracao!B10=""),"aguardando limiar",IF(AND(K612&gt;=Configuracao!B9,K612/MAX(Reconciliacao!C2,1)&gt;=Configuracao!B10/100),"sim","não"))</f>
        <v>aguardando limiar</v>
      </c>
    </row>
    <row r="613" spans="1:31" x14ac:dyDescent="0.25">
      <c r="A613">
        <v>18770</v>
      </c>
      <c r="C613" t="s">
        <v>652</v>
      </c>
      <c r="D613" t="s">
        <v>450</v>
      </c>
      <c r="E613" t="s">
        <v>451</v>
      </c>
      <c r="F613" t="s">
        <v>307</v>
      </c>
      <c r="G613" t="s">
        <v>306</v>
      </c>
      <c r="H613" t="s">
        <v>305</v>
      </c>
      <c r="I613" t="s">
        <v>35</v>
      </c>
      <c r="J613" t="s">
        <v>35</v>
      </c>
      <c r="K613" s="4">
        <v>158.85</v>
      </c>
      <c r="L613" s="4">
        <v>158.85</v>
      </c>
      <c r="M613" t="s">
        <v>44</v>
      </c>
      <c r="N613" t="s">
        <v>77</v>
      </c>
      <c r="O613" t="s">
        <v>99</v>
      </c>
      <c r="P613" t="s">
        <v>99</v>
      </c>
      <c r="Q613" t="s">
        <v>191</v>
      </c>
      <c r="R613" t="s">
        <v>283</v>
      </c>
      <c r="S613" t="s">
        <v>185</v>
      </c>
      <c r="T613" t="s">
        <v>198</v>
      </c>
      <c r="U613" t="s">
        <v>163</v>
      </c>
      <c r="V613" t="s">
        <v>164</v>
      </c>
      <c r="W613" t="s">
        <v>116</v>
      </c>
      <c r="X613" t="s">
        <v>44</v>
      </c>
      <c r="Y613" t="s">
        <v>99</v>
      </c>
      <c r="Z613" t="s">
        <v>421</v>
      </c>
      <c r="AC613" t="str">
        <f>IF(AA613="",M613,AA613)</f>
        <v>sim</v>
      </c>
      <c r="AD613" t="str">
        <f>IF(AB613="",X613,AB613)</f>
        <v>sim</v>
      </c>
      <c r="AE613" t="str">
        <f>IF(OR(Configuracao!B9="",Configuracao!B10=""),"aguardando limiar",IF(AND(K613&gt;=Configuracao!B9,K613/MAX(Reconciliacao!C2,1)&gt;=Configuracao!B10/100),"sim","não"))</f>
        <v>aguardando limiar</v>
      </c>
    </row>
    <row r="614" spans="1:31" x14ac:dyDescent="0.25">
      <c r="A614">
        <v>12494</v>
      </c>
      <c r="C614" t="s">
        <v>725</v>
      </c>
      <c r="D614" t="s">
        <v>726</v>
      </c>
      <c r="E614" t="s">
        <v>451</v>
      </c>
      <c r="F614" t="s">
        <v>307</v>
      </c>
      <c r="G614" t="s">
        <v>306</v>
      </c>
      <c r="H614" t="s">
        <v>305</v>
      </c>
      <c r="I614" t="s">
        <v>424</v>
      </c>
      <c r="J614" t="s">
        <v>420</v>
      </c>
      <c r="K614" s="4">
        <v>218.57</v>
      </c>
      <c r="L614" s="4">
        <v>218.57</v>
      </c>
      <c r="M614" t="s">
        <v>44</v>
      </c>
      <c r="N614" t="s">
        <v>77</v>
      </c>
      <c r="O614" t="s">
        <v>99</v>
      </c>
      <c r="P614" t="s">
        <v>99</v>
      </c>
      <c r="Q614" t="s">
        <v>191</v>
      </c>
      <c r="R614" t="s">
        <v>283</v>
      </c>
      <c r="S614" t="s">
        <v>185</v>
      </c>
      <c r="T614" t="s">
        <v>198</v>
      </c>
      <c r="U614" t="s">
        <v>163</v>
      </c>
      <c r="V614" t="s">
        <v>164</v>
      </c>
      <c r="W614" t="s">
        <v>116</v>
      </c>
      <c r="X614" t="s">
        <v>44</v>
      </c>
      <c r="Y614" t="s">
        <v>99</v>
      </c>
      <c r="Z614" t="s">
        <v>421</v>
      </c>
      <c r="AC614" t="str">
        <f>IF(AA614="",M614,AA614)</f>
        <v>sim</v>
      </c>
      <c r="AD614" t="str">
        <f>IF(AB614="",X614,AB614)</f>
        <v>sim</v>
      </c>
      <c r="AE614" t="str">
        <f>IF(OR(Configuracao!B9="",Configuracao!B10=""),"aguardando limiar",IF(AND(K614&gt;=Configuracao!B9,K614/MAX(Reconciliacao!C2,1)&gt;=Configuracao!B10/100),"sim","não"))</f>
        <v>aguardando limiar</v>
      </c>
    </row>
    <row r="615" spans="1:31" x14ac:dyDescent="0.25">
      <c r="A615">
        <v>11868</v>
      </c>
      <c r="C615" t="s">
        <v>725</v>
      </c>
      <c r="D615" t="s">
        <v>726</v>
      </c>
      <c r="E615" t="s">
        <v>451</v>
      </c>
      <c r="F615" t="s">
        <v>307</v>
      </c>
      <c r="G615" t="s">
        <v>306</v>
      </c>
      <c r="H615" t="s">
        <v>305</v>
      </c>
      <c r="I615" t="s">
        <v>32</v>
      </c>
      <c r="J615" t="s">
        <v>32</v>
      </c>
      <c r="K615" s="4">
        <v>221.76</v>
      </c>
      <c r="L615" s="4">
        <v>221.76</v>
      </c>
      <c r="M615" t="s">
        <v>44</v>
      </c>
      <c r="N615" t="s">
        <v>77</v>
      </c>
      <c r="O615" t="s">
        <v>99</v>
      </c>
      <c r="P615" t="s">
        <v>99</v>
      </c>
      <c r="Q615" t="s">
        <v>191</v>
      </c>
      <c r="R615" t="s">
        <v>283</v>
      </c>
      <c r="S615" t="s">
        <v>185</v>
      </c>
      <c r="T615" t="s">
        <v>198</v>
      </c>
      <c r="U615" t="s">
        <v>163</v>
      </c>
      <c r="V615" t="s">
        <v>164</v>
      </c>
      <c r="W615" t="s">
        <v>116</v>
      </c>
      <c r="X615" t="s">
        <v>44</v>
      </c>
      <c r="Y615" t="s">
        <v>99</v>
      </c>
      <c r="Z615" t="s">
        <v>421</v>
      </c>
      <c r="AC615" t="str">
        <f>IF(AA615="",M615,AA615)</f>
        <v>sim</v>
      </c>
      <c r="AD615" t="str">
        <f>IF(AB615="",X615,AB615)</f>
        <v>sim</v>
      </c>
      <c r="AE615" t="str">
        <f>IF(OR(Configuracao!B9="",Configuracao!B10=""),"aguardando limiar",IF(AND(K615&gt;=Configuracao!B9,K615/MAX(Reconciliacao!C2,1)&gt;=Configuracao!B10/100),"sim","não"))</f>
        <v>aguardando limiar</v>
      </c>
    </row>
    <row r="616" spans="1:31" x14ac:dyDescent="0.25">
      <c r="A616">
        <v>12992</v>
      </c>
      <c r="C616" t="s">
        <v>725</v>
      </c>
      <c r="D616" t="s">
        <v>726</v>
      </c>
      <c r="E616" t="s">
        <v>451</v>
      </c>
      <c r="F616" t="s">
        <v>307</v>
      </c>
      <c r="G616" t="s">
        <v>306</v>
      </c>
      <c r="H616" t="s">
        <v>305</v>
      </c>
      <c r="I616" t="s">
        <v>420</v>
      </c>
      <c r="J616" t="s">
        <v>420</v>
      </c>
      <c r="K616" s="4">
        <v>235.16</v>
      </c>
      <c r="L616" s="4">
        <v>235.16</v>
      </c>
      <c r="M616" t="s">
        <v>44</v>
      </c>
      <c r="N616" t="s">
        <v>77</v>
      </c>
      <c r="O616" t="s">
        <v>99</v>
      </c>
      <c r="P616" t="s">
        <v>99</v>
      </c>
      <c r="Q616" t="s">
        <v>191</v>
      </c>
      <c r="R616" t="s">
        <v>283</v>
      </c>
      <c r="S616" t="s">
        <v>185</v>
      </c>
      <c r="T616" t="s">
        <v>198</v>
      </c>
      <c r="U616" t="s">
        <v>163</v>
      </c>
      <c r="V616" t="s">
        <v>164</v>
      </c>
      <c r="W616" t="s">
        <v>116</v>
      </c>
      <c r="X616" t="s">
        <v>44</v>
      </c>
      <c r="Y616" t="s">
        <v>99</v>
      </c>
      <c r="Z616" t="s">
        <v>421</v>
      </c>
      <c r="AC616" t="str">
        <f>IF(AA616="",M616,AA616)</f>
        <v>sim</v>
      </c>
      <c r="AD616" t="str">
        <f>IF(AB616="",X616,AB616)</f>
        <v>sim</v>
      </c>
      <c r="AE616" t="str">
        <f>IF(OR(Configuracao!B9="",Configuracao!B10=""),"aguardando limiar",IF(AND(K616&gt;=Configuracao!B9,K616/MAX(Reconciliacao!C2,1)&gt;=Configuracao!B10/100),"sim","não"))</f>
        <v>aguardando limiar</v>
      </c>
    </row>
    <row r="617" spans="1:31" x14ac:dyDescent="0.25">
      <c r="A617">
        <v>15839</v>
      </c>
      <c r="C617" t="s">
        <v>652</v>
      </c>
      <c r="D617" t="s">
        <v>653</v>
      </c>
      <c r="E617" t="s">
        <v>451</v>
      </c>
      <c r="F617" t="s">
        <v>307</v>
      </c>
      <c r="G617" t="s">
        <v>306</v>
      </c>
      <c r="H617" t="s">
        <v>305</v>
      </c>
      <c r="I617" t="s">
        <v>461</v>
      </c>
      <c r="J617" t="s">
        <v>461</v>
      </c>
      <c r="K617" s="4">
        <v>287.1</v>
      </c>
      <c r="L617" s="4">
        <v>287.1</v>
      </c>
      <c r="M617" t="s">
        <v>44</v>
      </c>
      <c r="N617" t="s">
        <v>77</v>
      </c>
      <c r="O617" t="s">
        <v>99</v>
      </c>
      <c r="P617" t="s">
        <v>99</v>
      </c>
      <c r="Q617" t="s">
        <v>191</v>
      </c>
      <c r="R617" t="s">
        <v>283</v>
      </c>
      <c r="S617" t="s">
        <v>185</v>
      </c>
      <c r="T617" t="s">
        <v>198</v>
      </c>
      <c r="U617" t="s">
        <v>163</v>
      </c>
      <c r="V617" t="s">
        <v>164</v>
      </c>
      <c r="W617" t="s">
        <v>116</v>
      </c>
      <c r="X617" t="s">
        <v>44</v>
      </c>
      <c r="Y617" t="s">
        <v>99</v>
      </c>
      <c r="Z617" t="s">
        <v>421</v>
      </c>
      <c r="AC617" t="str">
        <f>IF(AA617="",M617,AA617)</f>
        <v>sim</v>
      </c>
      <c r="AD617" t="str">
        <f>IF(AB617="",X617,AB617)</f>
        <v>sim</v>
      </c>
      <c r="AE617" t="str">
        <f>IF(OR(Configuracao!B9="",Configuracao!B10=""),"aguardando limiar",IF(AND(K617&gt;=Configuracao!B9,K617/MAX(Reconciliacao!C2,1)&gt;=Configuracao!B10/100),"sim","não"))</f>
        <v>aguardando limiar</v>
      </c>
    </row>
    <row r="618" spans="1:31" x14ac:dyDescent="0.25">
      <c r="A618">
        <v>18630</v>
      </c>
      <c r="C618" t="s">
        <v>727</v>
      </c>
      <c r="D618" t="s">
        <v>728</v>
      </c>
      <c r="E618" t="s">
        <v>451</v>
      </c>
      <c r="F618" t="s">
        <v>307</v>
      </c>
      <c r="G618" t="s">
        <v>306</v>
      </c>
      <c r="H618" t="s">
        <v>305</v>
      </c>
      <c r="I618" t="s">
        <v>35</v>
      </c>
      <c r="J618" t="s">
        <v>35</v>
      </c>
      <c r="K618" s="4">
        <v>295.5</v>
      </c>
      <c r="L618" s="4">
        <v>295.5</v>
      </c>
      <c r="M618" t="s">
        <v>44</v>
      </c>
      <c r="N618" t="s">
        <v>77</v>
      </c>
      <c r="O618" t="s">
        <v>99</v>
      </c>
      <c r="P618" t="s">
        <v>99</v>
      </c>
      <c r="Q618" t="s">
        <v>191</v>
      </c>
      <c r="R618" t="s">
        <v>283</v>
      </c>
      <c r="S618" t="s">
        <v>185</v>
      </c>
      <c r="T618" t="s">
        <v>198</v>
      </c>
      <c r="U618" t="s">
        <v>163</v>
      </c>
      <c r="V618" t="s">
        <v>164</v>
      </c>
      <c r="W618" t="s">
        <v>116</v>
      </c>
      <c r="X618" t="s">
        <v>44</v>
      </c>
      <c r="Y618" t="s">
        <v>99</v>
      </c>
      <c r="Z618" t="s">
        <v>421</v>
      </c>
      <c r="AC618" t="str">
        <f>IF(AA618="",M618,AA618)</f>
        <v>sim</v>
      </c>
      <c r="AD618" t="str">
        <f>IF(AB618="",X618,AB618)</f>
        <v>sim</v>
      </c>
      <c r="AE618" t="str">
        <f>IF(OR(Configuracao!B9="",Configuracao!B10=""),"aguardando limiar",IF(AND(K618&gt;=Configuracao!B9,K618/MAX(Reconciliacao!C2,1)&gt;=Configuracao!B10/100),"sim","não"))</f>
        <v>aguardando limiar</v>
      </c>
    </row>
    <row r="619" spans="1:31" x14ac:dyDescent="0.25">
      <c r="A619">
        <v>17832</v>
      </c>
      <c r="C619" t="s">
        <v>652</v>
      </c>
      <c r="D619" t="s">
        <v>663</v>
      </c>
      <c r="E619" t="s">
        <v>451</v>
      </c>
      <c r="F619" t="s">
        <v>307</v>
      </c>
      <c r="G619" t="s">
        <v>306</v>
      </c>
      <c r="H619" t="s">
        <v>305</v>
      </c>
      <c r="I619" t="s">
        <v>439</v>
      </c>
      <c r="J619" t="s">
        <v>439</v>
      </c>
      <c r="K619" s="4">
        <v>325.69</v>
      </c>
      <c r="L619" s="4">
        <v>325.69</v>
      </c>
      <c r="M619" t="s">
        <v>44</v>
      </c>
      <c r="N619" t="s">
        <v>77</v>
      </c>
      <c r="O619" t="s">
        <v>99</v>
      </c>
      <c r="P619" t="s">
        <v>99</v>
      </c>
      <c r="Q619" t="s">
        <v>191</v>
      </c>
      <c r="R619" t="s">
        <v>283</v>
      </c>
      <c r="S619" t="s">
        <v>185</v>
      </c>
      <c r="T619" t="s">
        <v>198</v>
      </c>
      <c r="U619" t="s">
        <v>163</v>
      </c>
      <c r="V619" t="s">
        <v>164</v>
      </c>
      <c r="W619" t="s">
        <v>116</v>
      </c>
      <c r="X619" t="s">
        <v>44</v>
      </c>
      <c r="Y619" t="s">
        <v>99</v>
      </c>
      <c r="Z619" t="s">
        <v>421</v>
      </c>
      <c r="AC619" t="str">
        <f>IF(AA619="",M619,AA619)</f>
        <v>sim</v>
      </c>
      <c r="AD619" t="str">
        <f>IF(AB619="",X619,AB619)</f>
        <v>sim</v>
      </c>
      <c r="AE619" t="str">
        <f>IF(OR(Configuracao!B9="",Configuracao!B10=""),"aguardando limiar",IF(AND(K619&gt;=Configuracao!B9,K619/MAX(Reconciliacao!C2,1)&gt;=Configuracao!B10/100),"sim","não"))</f>
        <v>aguardando limiar</v>
      </c>
    </row>
    <row r="620" spans="1:31" x14ac:dyDescent="0.25">
      <c r="A620">
        <v>12758</v>
      </c>
      <c r="C620" t="s">
        <v>652</v>
      </c>
      <c r="D620" t="s">
        <v>663</v>
      </c>
      <c r="E620" t="s">
        <v>451</v>
      </c>
      <c r="F620" t="s">
        <v>307</v>
      </c>
      <c r="G620" t="s">
        <v>306</v>
      </c>
      <c r="H620" t="s">
        <v>305</v>
      </c>
      <c r="I620" t="s">
        <v>420</v>
      </c>
      <c r="J620" t="s">
        <v>454</v>
      </c>
      <c r="K620" s="4">
        <v>379.7</v>
      </c>
      <c r="L620" s="4">
        <v>379.7</v>
      </c>
      <c r="M620" t="s">
        <v>44</v>
      </c>
      <c r="N620" t="s">
        <v>77</v>
      </c>
      <c r="O620" t="s">
        <v>99</v>
      </c>
      <c r="P620" t="s">
        <v>99</v>
      </c>
      <c r="Q620" t="s">
        <v>191</v>
      </c>
      <c r="R620" t="s">
        <v>283</v>
      </c>
      <c r="S620" t="s">
        <v>185</v>
      </c>
      <c r="T620" t="s">
        <v>198</v>
      </c>
      <c r="U620" t="s">
        <v>163</v>
      </c>
      <c r="V620" t="s">
        <v>164</v>
      </c>
      <c r="W620" t="s">
        <v>116</v>
      </c>
      <c r="X620" t="s">
        <v>44</v>
      </c>
      <c r="Y620" t="s">
        <v>99</v>
      </c>
      <c r="Z620" t="s">
        <v>421</v>
      </c>
      <c r="AC620" t="str">
        <f>IF(AA620="",M620,AA620)</f>
        <v>sim</v>
      </c>
      <c r="AD620" t="str">
        <f>IF(AB620="",X620,AB620)</f>
        <v>sim</v>
      </c>
      <c r="AE620" t="str">
        <f>IF(OR(Configuracao!B9="",Configuracao!B10=""),"aguardando limiar",IF(AND(K620&gt;=Configuracao!B9,K620/MAX(Reconciliacao!C2,1)&gt;=Configuracao!B10/100),"sim","não"))</f>
        <v>aguardando limiar</v>
      </c>
    </row>
    <row r="621" spans="1:31" x14ac:dyDescent="0.25">
      <c r="A621">
        <v>12755</v>
      </c>
      <c r="C621" t="s">
        <v>652</v>
      </c>
      <c r="D621" t="s">
        <v>663</v>
      </c>
      <c r="E621" t="s">
        <v>451</v>
      </c>
      <c r="F621" t="s">
        <v>307</v>
      </c>
      <c r="G621" t="s">
        <v>306</v>
      </c>
      <c r="H621" t="s">
        <v>305</v>
      </c>
      <c r="I621" t="s">
        <v>424</v>
      </c>
      <c r="J621" t="s">
        <v>420</v>
      </c>
      <c r="K621" s="4">
        <v>385.91</v>
      </c>
      <c r="L621" s="4">
        <v>385.91</v>
      </c>
      <c r="M621" t="s">
        <v>44</v>
      </c>
      <c r="N621" t="s">
        <v>77</v>
      </c>
      <c r="O621" t="s">
        <v>99</v>
      </c>
      <c r="P621" t="s">
        <v>99</v>
      </c>
      <c r="Q621" t="s">
        <v>191</v>
      </c>
      <c r="R621" t="s">
        <v>283</v>
      </c>
      <c r="S621" t="s">
        <v>185</v>
      </c>
      <c r="T621" t="s">
        <v>198</v>
      </c>
      <c r="U621" t="s">
        <v>163</v>
      </c>
      <c r="V621" t="s">
        <v>164</v>
      </c>
      <c r="W621" t="s">
        <v>116</v>
      </c>
      <c r="X621" t="s">
        <v>44</v>
      </c>
      <c r="Y621" t="s">
        <v>99</v>
      </c>
      <c r="Z621" t="s">
        <v>421</v>
      </c>
      <c r="AC621" t="str">
        <f>IF(AA621="",M621,AA621)</f>
        <v>sim</v>
      </c>
      <c r="AD621" t="str">
        <f>IF(AB621="",X621,AB621)</f>
        <v>sim</v>
      </c>
      <c r="AE621" t="str">
        <f>IF(OR(Configuracao!B9="",Configuracao!B10=""),"aguardando limiar",IF(AND(K621&gt;=Configuracao!B9,K621/MAX(Reconciliacao!C2,1)&gt;=Configuracao!B10/100),"sim","não"))</f>
        <v>aguardando limiar</v>
      </c>
    </row>
    <row r="622" spans="1:31" x14ac:dyDescent="0.25">
      <c r="A622">
        <v>13443</v>
      </c>
      <c r="C622" t="s">
        <v>652</v>
      </c>
      <c r="D622" t="s">
        <v>663</v>
      </c>
      <c r="E622" t="s">
        <v>451</v>
      </c>
      <c r="F622" t="s">
        <v>307</v>
      </c>
      <c r="G622" t="s">
        <v>306</v>
      </c>
      <c r="H622" t="s">
        <v>305</v>
      </c>
      <c r="I622" t="s">
        <v>454</v>
      </c>
      <c r="J622" t="s">
        <v>461</v>
      </c>
      <c r="K622" s="4">
        <v>477.83</v>
      </c>
      <c r="L622" s="4">
        <v>477.83</v>
      </c>
      <c r="M622" t="s">
        <v>44</v>
      </c>
      <c r="N622" t="s">
        <v>77</v>
      </c>
      <c r="O622" t="s">
        <v>99</v>
      </c>
      <c r="P622" t="s">
        <v>99</v>
      </c>
      <c r="Q622" t="s">
        <v>191</v>
      </c>
      <c r="R622" t="s">
        <v>283</v>
      </c>
      <c r="S622" t="s">
        <v>185</v>
      </c>
      <c r="T622" t="s">
        <v>198</v>
      </c>
      <c r="U622" t="s">
        <v>163</v>
      </c>
      <c r="V622" t="s">
        <v>164</v>
      </c>
      <c r="W622" t="s">
        <v>116</v>
      </c>
      <c r="X622" t="s">
        <v>44</v>
      </c>
      <c r="Y622" t="s">
        <v>99</v>
      </c>
      <c r="Z622" t="s">
        <v>421</v>
      </c>
      <c r="AC622" t="str">
        <f>IF(AA622="",M622,AA622)</f>
        <v>sim</v>
      </c>
      <c r="AD622" t="str">
        <f>IF(AB622="",X622,AB622)</f>
        <v>sim</v>
      </c>
      <c r="AE622" t="str">
        <f>IF(OR(Configuracao!B9="",Configuracao!B10=""),"aguardando limiar",IF(AND(K622&gt;=Configuracao!B9,K622/MAX(Reconciliacao!C2,1)&gt;=Configuracao!B10/100),"sim","não"))</f>
        <v>aguardando limiar</v>
      </c>
    </row>
    <row r="623" spans="1:31" x14ac:dyDescent="0.25">
      <c r="A623">
        <v>18710</v>
      </c>
      <c r="C623" t="s">
        <v>652</v>
      </c>
      <c r="D623" t="s">
        <v>653</v>
      </c>
      <c r="E623" t="s">
        <v>451</v>
      </c>
      <c r="F623" t="s">
        <v>307</v>
      </c>
      <c r="G623" t="s">
        <v>306</v>
      </c>
      <c r="H623" t="s">
        <v>305</v>
      </c>
      <c r="I623" t="s">
        <v>35</v>
      </c>
      <c r="J623" t="s">
        <v>459</v>
      </c>
      <c r="K623" s="4">
        <v>478.4</v>
      </c>
      <c r="L623" s="4">
        <v>0</v>
      </c>
      <c r="M623" t="s">
        <v>44</v>
      </c>
      <c r="N623" t="s">
        <v>77</v>
      </c>
      <c r="O623" t="s">
        <v>99</v>
      </c>
      <c r="P623" t="s">
        <v>99</v>
      </c>
      <c r="Q623" t="s">
        <v>191</v>
      </c>
      <c r="R623" t="s">
        <v>283</v>
      </c>
      <c r="S623" t="s">
        <v>185</v>
      </c>
      <c r="T623" t="s">
        <v>198</v>
      </c>
      <c r="U623" t="s">
        <v>163</v>
      </c>
      <c r="V623" t="s">
        <v>164</v>
      </c>
      <c r="W623" t="s">
        <v>116</v>
      </c>
      <c r="X623" t="s">
        <v>44</v>
      </c>
      <c r="Y623" t="s">
        <v>99</v>
      </c>
      <c r="Z623" t="s">
        <v>421</v>
      </c>
      <c r="AC623" t="str">
        <f>IF(AA623="",M623,AA623)</f>
        <v>sim</v>
      </c>
      <c r="AD623" t="str">
        <f>IF(AB623="",X623,AB623)</f>
        <v>sim</v>
      </c>
      <c r="AE623" t="str">
        <f>IF(OR(Configuracao!B9="",Configuracao!B10=""),"aguardando limiar",IF(AND(K623&gt;=Configuracao!B9,K623/MAX(Reconciliacao!C2,1)&gt;=Configuracao!B10/100),"sim","não"))</f>
        <v>aguardando limiar</v>
      </c>
    </row>
    <row r="624" spans="1:31" x14ac:dyDescent="0.25">
      <c r="A624">
        <v>11648</v>
      </c>
      <c r="C624" t="s">
        <v>729</v>
      </c>
      <c r="D624" t="s">
        <v>730</v>
      </c>
      <c r="E624" t="s">
        <v>451</v>
      </c>
      <c r="F624" t="s">
        <v>307</v>
      </c>
      <c r="G624" t="s">
        <v>306</v>
      </c>
      <c r="H624" t="s">
        <v>305</v>
      </c>
      <c r="I624" t="s">
        <v>32</v>
      </c>
      <c r="J624" t="s">
        <v>424</v>
      </c>
      <c r="K624" s="4">
        <v>581.6</v>
      </c>
      <c r="L624" s="4">
        <v>581.6</v>
      </c>
      <c r="M624" t="s">
        <v>44</v>
      </c>
      <c r="N624" t="s">
        <v>77</v>
      </c>
      <c r="O624" t="s">
        <v>99</v>
      </c>
      <c r="P624" t="s">
        <v>99</v>
      </c>
      <c r="Q624" t="s">
        <v>191</v>
      </c>
      <c r="R624" t="s">
        <v>283</v>
      </c>
      <c r="S624" t="s">
        <v>185</v>
      </c>
      <c r="T624" t="s">
        <v>198</v>
      </c>
      <c r="U624" t="s">
        <v>163</v>
      </c>
      <c r="V624" t="s">
        <v>164</v>
      </c>
      <c r="W624" t="s">
        <v>116</v>
      </c>
      <c r="X624" t="s">
        <v>44</v>
      </c>
      <c r="Y624" t="s">
        <v>99</v>
      </c>
      <c r="Z624" t="s">
        <v>421</v>
      </c>
      <c r="AC624" t="str">
        <f>IF(AA624="",M624,AA624)</f>
        <v>sim</v>
      </c>
      <c r="AD624" t="str">
        <f>IF(AB624="",X624,AB624)</f>
        <v>sim</v>
      </c>
      <c r="AE624" t="str">
        <f>IF(OR(Configuracao!B9="",Configuracao!B10=""),"aguardando limiar",IF(AND(K624&gt;=Configuracao!B9,K624/MAX(Reconciliacao!C2,1)&gt;=Configuracao!B10/100),"sim","não"))</f>
        <v>aguardando limiar</v>
      </c>
    </row>
    <row r="625" spans="1:31" x14ac:dyDescent="0.25">
      <c r="A625">
        <v>12521</v>
      </c>
      <c r="C625" t="s">
        <v>731</v>
      </c>
      <c r="D625" t="s">
        <v>453</v>
      </c>
      <c r="E625" t="s">
        <v>451</v>
      </c>
      <c r="F625" t="s">
        <v>307</v>
      </c>
      <c r="G625" t="s">
        <v>306</v>
      </c>
      <c r="H625" t="s">
        <v>305</v>
      </c>
      <c r="I625" t="s">
        <v>420</v>
      </c>
      <c r="J625" t="s">
        <v>420</v>
      </c>
      <c r="K625" s="4">
        <v>620</v>
      </c>
      <c r="L625" s="4">
        <v>620</v>
      </c>
      <c r="M625" t="s">
        <v>44</v>
      </c>
      <c r="N625" t="s">
        <v>77</v>
      </c>
      <c r="O625" t="s">
        <v>99</v>
      </c>
      <c r="P625" t="s">
        <v>99</v>
      </c>
      <c r="Q625" t="s">
        <v>191</v>
      </c>
      <c r="R625" t="s">
        <v>283</v>
      </c>
      <c r="S625" t="s">
        <v>185</v>
      </c>
      <c r="T625" t="s">
        <v>198</v>
      </c>
      <c r="U625" t="s">
        <v>163</v>
      </c>
      <c r="V625" t="s">
        <v>164</v>
      </c>
      <c r="W625" t="s">
        <v>116</v>
      </c>
      <c r="X625" t="s">
        <v>44</v>
      </c>
      <c r="Y625" t="s">
        <v>99</v>
      </c>
      <c r="Z625" t="s">
        <v>421</v>
      </c>
      <c r="AC625" t="str">
        <f>IF(AA625="",M625,AA625)</f>
        <v>sim</v>
      </c>
      <c r="AD625" t="str">
        <f>IF(AB625="",X625,AB625)</f>
        <v>sim</v>
      </c>
      <c r="AE625" t="str">
        <f>IF(OR(Configuracao!B9="",Configuracao!B10=""),"aguardando limiar",IF(AND(K625&gt;=Configuracao!B9,K625/MAX(Reconciliacao!C2,1)&gt;=Configuracao!B10/100),"sim","não"))</f>
        <v>aguardando limiar</v>
      </c>
    </row>
    <row r="626" spans="1:31" x14ac:dyDescent="0.25">
      <c r="A626">
        <v>12754</v>
      </c>
      <c r="C626" t="s">
        <v>652</v>
      </c>
      <c r="D626" t="s">
        <v>663</v>
      </c>
      <c r="E626" t="s">
        <v>451</v>
      </c>
      <c r="F626" t="s">
        <v>307</v>
      </c>
      <c r="G626" t="s">
        <v>306</v>
      </c>
      <c r="H626" t="s">
        <v>305</v>
      </c>
      <c r="I626" t="s">
        <v>32</v>
      </c>
      <c r="J626" t="s">
        <v>424</v>
      </c>
      <c r="K626" s="4">
        <v>661.12</v>
      </c>
      <c r="L626" s="4">
        <v>661.12</v>
      </c>
      <c r="M626" t="s">
        <v>44</v>
      </c>
      <c r="N626" t="s">
        <v>77</v>
      </c>
      <c r="O626" t="s">
        <v>99</v>
      </c>
      <c r="P626" t="s">
        <v>99</v>
      </c>
      <c r="Q626" t="s">
        <v>191</v>
      </c>
      <c r="R626" t="s">
        <v>283</v>
      </c>
      <c r="S626" t="s">
        <v>185</v>
      </c>
      <c r="T626" t="s">
        <v>198</v>
      </c>
      <c r="U626" t="s">
        <v>163</v>
      </c>
      <c r="V626" t="s">
        <v>164</v>
      </c>
      <c r="W626" t="s">
        <v>116</v>
      </c>
      <c r="X626" t="s">
        <v>44</v>
      </c>
      <c r="Y626" t="s">
        <v>99</v>
      </c>
      <c r="Z626" t="s">
        <v>421</v>
      </c>
      <c r="AC626" t="str">
        <f>IF(AA626="",M626,AA626)</f>
        <v>sim</v>
      </c>
      <c r="AD626" t="str">
        <f>IF(AB626="",X626,AB626)</f>
        <v>sim</v>
      </c>
      <c r="AE626" t="str">
        <f>IF(OR(Configuracao!B9="",Configuracao!B10=""),"aguardando limiar",IF(AND(K626&gt;=Configuracao!B9,K626/MAX(Reconciliacao!C2,1)&gt;=Configuracao!B10/100),"sim","não"))</f>
        <v>aguardando limiar</v>
      </c>
    </row>
    <row r="627" spans="1:31" x14ac:dyDescent="0.25">
      <c r="A627">
        <v>11524</v>
      </c>
      <c r="C627" t="s">
        <v>731</v>
      </c>
      <c r="D627" t="s">
        <v>732</v>
      </c>
      <c r="E627" t="s">
        <v>451</v>
      </c>
      <c r="F627" t="s">
        <v>307</v>
      </c>
      <c r="G627" t="s">
        <v>306</v>
      </c>
      <c r="H627" t="s">
        <v>305</v>
      </c>
      <c r="I627" t="s">
        <v>32</v>
      </c>
      <c r="J627" t="s">
        <v>32</v>
      </c>
      <c r="K627" s="4">
        <v>680</v>
      </c>
      <c r="L627" s="4">
        <v>680</v>
      </c>
      <c r="M627" t="s">
        <v>44</v>
      </c>
      <c r="N627" t="s">
        <v>77</v>
      </c>
      <c r="O627" t="s">
        <v>99</v>
      </c>
      <c r="P627" t="s">
        <v>99</v>
      </c>
      <c r="Q627" t="s">
        <v>191</v>
      </c>
      <c r="R627" t="s">
        <v>283</v>
      </c>
      <c r="S627" t="s">
        <v>185</v>
      </c>
      <c r="T627" t="s">
        <v>198</v>
      </c>
      <c r="U627" t="s">
        <v>163</v>
      </c>
      <c r="V627" t="s">
        <v>164</v>
      </c>
      <c r="W627" t="s">
        <v>116</v>
      </c>
      <c r="X627" t="s">
        <v>44</v>
      </c>
      <c r="Y627" t="s">
        <v>99</v>
      </c>
      <c r="Z627" t="s">
        <v>421</v>
      </c>
      <c r="AC627" t="str">
        <f>IF(AA627="",M627,AA627)</f>
        <v>sim</v>
      </c>
      <c r="AD627" t="str">
        <f>IF(AB627="",X627,AB627)</f>
        <v>sim</v>
      </c>
      <c r="AE627" t="str">
        <f>IF(OR(Configuracao!B9="",Configuracao!B10=""),"aguardando limiar",IF(AND(K627&gt;=Configuracao!B9,K627/MAX(Reconciliacao!C2,1)&gt;=Configuracao!B10/100),"sim","não"))</f>
        <v>aguardando limiar</v>
      </c>
    </row>
    <row r="628" spans="1:31" x14ac:dyDescent="0.25">
      <c r="A628">
        <v>15733</v>
      </c>
      <c r="C628" t="s">
        <v>731</v>
      </c>
      <c r="D628" t="s">
        <v>453</v>
      </c>
      <c r="E628" t="s">
        <v>451</v>
      </c>
      <c r="F628" t="s">
        <v>307</v>
      </c>
      <c r="G628" t="s">
        <v>306</v>
      </c>
      <c r="H628" t="s">
        <v>305</v>
      </c>
      <c r="I628" t="s">
        <v>454</v>
      </c>
      <c r="J628" t="s">
        <v>454</v>
      </c>
      <c r="K628" s="4">
        <v>740</v>
      </c>
      <c r="L628" s="4">
        <v>740</v>
      </c>
      <c r="M628" t="s">
        <v>44</v>
      </c>
      <c r="N628" t="s">
        <v>77</v>
      </c>
      <c r="O628" t="s">
        <v>99</v>
      </c>
      <c r="P628" t="s">
        <v>99</v>
      </c>
      <c r="Q628" t="s">
        <v>191</v>
      </c>
      <c r="R628" t="s">
        <v>283</v>
      </c>
      <c r="S628" t="s">
        <v>185</v>
      </c>
      <c r="T628" t="s">
        <v>198</v>
      </c>
      <c r="U628" t="s">
        <v>163</v>
      </c>
      <c r="V628" t="s">
        <v>164</v>
      </c>
      <c r="W628" t="s">
        <v>116</v>
      </c>
      <c r="X628" t="s">
        <v>44</v>
      </c>
      <c r="Y628" t="s">
        <v>99</v>
      </c>
      <c r="Z628" t="s">
        <v>421</v>
      </c>
      <c r="AC628" t="str">
        <f>IF(AA628="",M628,AA628)</f>
        <v>sim</v>
      </c>
      <c r="AD628" t="str">
        <f>IF(AB628="",X628,AB628)</f>
        <v>sim</v>
      </c>
      <c r="AE628" t="str">
        <f>IF(OR(Configuracao!B9="",Configuracao!B10=""),"aguardando limiar",IF(AND(K628&gt;=Configuracao!B9,K628/MAX(Reconciliacao!C2,1)&gt;=Configuracao!B10/100),"sim","não"))</f>
        <v>aguardando limiar</v>
      </c>
    </row>
    <row r="629" spans="1:31" x14ac:dyDescent="0.25">
      <c r="A629">
        <v>17080</v>
      </c>
      <c r="C629" t="s">
        <v>731</v>
      </c>
      <c r="D629" t="s">
        <v>453</v>
      </c>
      <c r="E629" t="s">
        <v>451</v>
      </c>
      <c r="F629" t="s">
        <v>307</v>
      </c>
      <c r="G629" t="s">
        <v>306</v>
      </c>
      <c r="H629" t="s">
        <v>305</v>
      </c>
      <c r="I629" t="s">
        <v>442</v>
      </c>
      <c r="J629" t="s">
        <v>442</v>
      </c>
      <c r="K629" s="4">
        <v>740</v>
      </c>
      <c r="L629" s="4">
        <v>740</v>
      </c>
      <c r="M629" t="s">
        <v>44</v>
      </c>
      <c r="N629" t="s">
        <v>77</v>
      </c>
      <c r="O629" t="s">
        <v>99</v>
      </c>
      <c r="P629" t="s">
        <v>99</v>
      </c>
      <c r="Q629" t="s">
        <v>191</v>
      </c>
      <c r="R629" t="s">
        <v>283</v>
      </c>
      <c r="S629" t="s">
        <v>185</v>
      </c>
      <c r="T629" t="s">
        <v>198</v>
      </c>
      <c r="U629" t="s">
        <v>163</v>
      </c>
      <c r="V629" t="s">
        <v>164</v>
      </c>
      <c r="W629" t="s">
        <v>116</v>
      </c>
      <c r="X629" t="s">
        <v>44</v>
      </c>
      <c r="Y629" t="s">
        <v>99</v>
      </c>
      <c r="Z629" t="s">
        <v>421</v>
      </c>
      <c r="AC629" t="str">
        <f>IF(AA629="",M629,AA629)</f>
        <v>sim</v>
      </c>
      <c r="AD629" t="str">
        <f>IF(AB629="",X629,AB629)</f>
        <v>sim</v>
      </c>
      <c r="AE629" t="str">
        <f>IF(OR(Configuracao!B9="",Configuracao!B10=""),"aguardando limiar",IF(AND(K629&gt;=Configuracao!B9,K629/MAX(Reconciliacao!C2,1)&gt;=Configuracao!B10/100),"sim","não"))</f>
        <v>aguardando limiar</v>
      </c>
    </row>
    <row r="630" spans="1:31" x14ac:dyDescent="0.25">
      <c r="A630">
        <v>18472</v>
      </c>
      <c r="C630" t="s">
        <v>731</v>
      </c>
      <c r="D630" t="s">
        <v>453</v>
      </c>
      <c r="E630" t="s">
        <v>451</v>
      </c>
      <c r="F630" t="s">
        <v>307</v>
      </c>
      <c r="G630" t="s">
        <v>306</v>
      </c>
      <c r="H630" t="s">
        <v>305</v>
      </c>
      <c r="I630" t="s">
        <v>439</v>
      </c>
      <c r="J630" t="s">
        <v>439</v>
      </c>
      <c r="K630" s="4">
        <v>740</v>
      </c>
      <c r="L630" s="4">
        <v>740</v>
      </c>
      <c r="M630" t="s">
        <v>44</v>
      </c>
      <c r="N630" t="s">
        <v>77</v>
      </c>
      <c r="O630" t="s">
        <v>99</v>
      </c>
      <c r="P630" t="s">
        <v>99</v>
      </c>
      <c r="Q630" t="s">
        <v>191</v>
      </c>
      <c r="R630" t="s">
        <v>283</v>
      </c>
      <c r="S630" t="s">
        <v>185</v>
      </c>
      <c r="T630" t="s">
        <v>198</v>
      </c>
      <c r="U630" t="s">
        <v>163</v>
      </c>
      <c r="V630" t="s">
        <v>164</v>
      </c>
      <c r="W630" t="s">
        <v>116</v>
      </c>
      <c r="X630" t="s">
        <v>44</v>
      </c>
      <c r="Y630" t="s">
        <v>99</v>
      </c>
      <c r="Z630" t="s">
        <v>421</v>
      </c>
      <c r="AC630" t="str">
        <f>IF(AA630="",M630,AA630)</f>
        <v>sim</v>
      </c>
      <c r="AD630" t="str">
        <f>IF(AB630="",X630,AB630)</f>
        <v>sim</v>
      </c>
      <c r="AE630" t="str">
        <f>IF(OR(Configuracao!B9="",Configuracao!B10=""),"aguardando limiar",IF(AND(K630&gt;=Configuracao!B9,K630/MAX(Reconciliacao!C2,1)&gt;=Configuracao!B10/100),"sim","não"))</f>
        <v>aguardando limiar</v>
      </c>
    </row>
    <row r="631" spans="1:31" x14ac:dyDescent="0.25">
      <c r="A631">
        <v>17143</v>
      </c>
      <c r="C631" t="s">
        <v>652</v>
      </c>
      <c r="D631" t="s">
        <v>653</v>
      </c>
      <c r="E631" t="s">
        <v>451</v>
      </c>
      <c r="F631" t="s">
        <v>307</v>
      </c>
      <c r="G631" t="s">
        <v>306</v>
      </c>
      <c r="H631" t="s">
        <v>305</v>
      </c>
      <c r="I631" t="s">
        <v>442</v>
      </c>
      <c r="J631" t="s">
        <v>442</v>
      </c>
      <c r="K631" s="4">
        <v>749.34</v>
      </c>
      <c r="L631" s="4">
        <v>749.34</v>
      </c>
      <c r="M631" t="s">
        <v>44</v>
      </c>
      <c r="N631" t="s">
        <v>77</v>
      </c>
      <c r="O631" t="s">
        <v>99</v>
      </c>
      <c r="P631" t="s">
        <v>99</v>
      </c>
      <c r="Q631" t="s">
        <v>191</v>
      </c>
      <c r="R631" t="s">
        <v>283</v>
      </c>
      <c r="S631" t="s">
        <v>185</v>
      </c>
      <c r="T631" t="s">
        <v>198</v>
      </c>
      <c r="U631" t="s">
        <v>163</v>
      </c>
      <c r="V631" t="s">
        <v>164</v>
      </c>
      <c r="W631" t="s">
        <v>116</v>
      </c>
      <c r="X631" t="s">
        <v>44</v>
      </c>
      <c r="Y631" t="s">
        <v>99</v>
      </c>
      <c r="Z631" t="s">
        <v>421</v>
      </c>
      <c r="AC631" t="str">
        <f>IF(AA631="",M631,AA631)</f>
        <v>sim</v>
      </c>
      <c r="AD631" t="str">
        <f>IF(AB631="",X631,AB631)</f>
        <v>sim</v>
      </c>
      <c r="AE631" t="str">
        <f>IF(OR(Configuracao!B9="",Configuracao!B10=""),"aguardando limiar",IF(AND(K631&gt;=Configuracao!B9,K631/MAX(Reconciliacao!C2,1)&gt;=Configuracao!B10/100),"sim","não"))</f>
        <v>aguardando limiar</v>
      </c>
    </row>
    <row r="632" spans="1:31" x14ac:dyDescent="0.25">
      <c r="A632">
        <v>6691</v>
      </c>
      <c r="D632" t="s">
        <v>733</v>
      </c>
      <c r="E632" t="s">
        <v>451</v>
      </c>
      <c r="F632" t="s">
        <v>290</v>
      </c>
      <c r="G632" t="s">
        <v>309</v>
      </c>
      <c r="H632" t="s">
        <v>308</v>
      </c>
      <c r="I632" t="s">
        <v>424</v>
      </c>
      <c r="J632" t="s">
        <v>424</v>
      </c>
      <c r="K632" s="4">
        <v>624.99</v>
      </c>
      <c r="L632" s="4">
        <v>624.99</v>
      </c>
      <c r="M632" t="s">
        <v>44</v>
      </c>
      <c r="N632" t="s">
        <v>77</v>
      </c>
      <c r="O632" t="s">
        <v>99</v>
      </c>
      <c r="P632" t="s">
        <v>99</v>
      </c>
      <c r="Q632" t="s">
        <v>191</v>
      </c>
      <c r="R632" t="s">
        <v>291</v>
      </c>
      <c r="S632" t="s">
        <v>161</v>
      </c>
      <c r="T632" t="s">
        <v>162</v>
      </c>
      <c r="U632" t="s">
        <v>163</v>
      </c>
      <c r="V632" t="s">
        <v>193</v>
      </c>
      <c r="W632" t="s">
        <v>116</v>
      </c>
      <c r="X632" t="s">
        <v>44</v>
      </c>
      <c r="Y632" t="s">
        <v>99</v>
      </c>
      <c r="Z632" t="s">
        <v>421</v>
      </c>
      <c r="AC632" t="str">
        <f>IF(AA632="",M632,AA632)</f>
        <v>sim</v>
      </c>
      <c r="AD632" t="str">
        <f>IF(AB632="",X632,AB632)</f>
        <v>sim</v>
      </c>
      <c r="AE632" t="str">
        <f>IF(OR(Configuracao!B9="",Configuracao!B10=""),"aguardando limiar",IF(AND(K632&gt;=Configuracao!B9,K632/MAX(Reconciliacao!C2,1)&gt;=Configuracao!B10/100),"sim","não"))</f>
        <v>aguardando limiar</v>
      </c>
    </row>
    <row r="633" spans="1:31" x14ac:dyDescent="0.25">
      <c r="A633">
        <v>6690</v>
      </c>
      <c r="D633" t="s">
        <v>733</v>
      </c>
      <c r="E633" t="s">
        <v>451</v>
      </c>
      <c r="F633" t="s">
        <v>290</v>
      </c>
      <c r="G633" t="s">
        <v>309</v>
      </c>
      <c r="H633" t="s">
        <v>308</v>
      </c>
      <c r="I633" t="s">
        <v>32</v>
      </c>
      <c r="J633" t="s">
        <v>32</v>
      </c>
      <c r="K633" s="4">
        <v>936.09</v>
      </c>
      <c r="L633" s="4">
        <v>936.09</v>
      </c>
      <c r="M633" t="s">
        <v>44</v>
      </c>
      <c r="N633" t="s">
        <v>77</v>
      </c>
      <c r="O633" t="s">
        <v>99</v>
      </c>
      <c r="P633" t="s">
        <v>99</v>
      </c>
      <c r="Q633" t="s">
        <v>191</v>
      </c>
      <c r="R633" t="s">
        <v>291</v>
      </c>
      <c r="S633" t="s">
        <v>161</v>
      </c>
      <c r="T633" t="s">
        <v>162</v>
      </c>
      <c r="U633" t="s">
        <v>163</v>
      </c>
      <c r="V633" t="s">
        <v>193</v>
      </c>
      <c r="W633" t="s">
        <v>116</v>
      </c>
      <c r="X633" t="s">
        <v>44</v>
      </c>
      <c r="Y633" t="s">
        <v>99</v>
      </c>
      <c r="Z633" t="s">
        <v>421</v>
      </c>
      <c r="AC633" t="str">
        <f>IF(AA633="",M633,AA633)</f>
        <v>sim</v>
      </c>
      <c r="AD633" t="str">
        <f>IF(AB633="",X633,AB633)</f>
        <v>sim</v>
      </c>
      <c r="AE633" t="str">
        <f>IF(OR(Configuracao!B9="",Configuracao!B10=""),"aguardando limiar",IF(AND(K633&gt;=Configuracao!B9,K633/MAX(Reconciliacao!C2,1)&gt;=Configuracao!B10/100),"sim","não"))</f>
        <v>aguardando limiar</v>
      </c>
    </row>
    <row r="634" spans="1:31" x14ac:dyDescent="0.25">
      <c r="A634">
        <v>6695</v>
      </c>
      <c r="D634" t="s">
        <v>733</v>
      </c>
      <c r="E634" t="s">
        <v>451</v>
      </c>
      <c r="F634" t="s">
        <v>290</v>
      </c>
      <c r="G634" t="s">
        <v>309</v>
      </c>
      <c r="H634" t="s">
        <v>308</v>
      </c>
      <c r="I634" t="s">
        <v>442</v>
      </c>
      <c r="J634" t="s">
        <v>442</v>
      </c>
      <c r="K634" s="4">
        <v>1180.73</v>
      </c>
      <c r="L634" s="4">
        <v>1180.73</v>
      </c>
      <c r="M634" t="s">
        <v>44</v>
      </c>
      <c r="N634" t="s">
        <v>77</v>
      </c>
      <c r="O634" t="s">
        <v>99</v>
      </c>
      <c r="P634" t="s">
        <v>99</v>
      </c>
      <c r="Q634" t="s">
        <v>191</v>
      </c>
      <c r="R634" t="s">
        <v>291</v>
      </c>
      <c r="S634" t="s">
        <v>161</v>
      </c>
      <c r="T634" t="s">
        <v>162</v>
      </c>
      <c r="U634" t="s">
        <v>163</v>
      </c>
      <c r="V634" t="s">
        <v>193</v>
      </c>
      <c r="W634" t="s">
        <v>116</v>
      </c>
      <c r="X634" t="s">
        <v>44</v>
      </c>
      <c r="Y634" t="s">
        <v>99</v>
      </c>
      <c r="Z634" t="s">
        <v>421</v>
      </c>
      <c r="AC634" t="str">
        <f>IF(AA634="",M634,AA634)</f>
        <v>sim</v>
      </c>
      <c r="AD634" t="str">
        <f>IF(AB634="",X634,AB634)</f>
        <v>sim</v>
      </c>
      <c r="AE634" t="str">
        <f>IF(OR(Configuracao!B9="",Configuracao!B10=""),"aguardando limiar",IF(AND(K634&gt;=Configuracao!B9,K634/MAX(Reconciliacao!C2,1)&gt;=Configuracao!B10/100),"sim","não"))</f>
        <v>aguardando limiar</v>
      </c>
    </row>
    <row r="635" spans="1:31" x14ac:dyDescent="0.25">
      <c r="A635">
        <v>6697</v>
      </c>
      <c r="D635" t="s">
        <v>733</v>
      </c>
      <c r="E635" t="s">
        <v>451</v>
      </c>
      <c r="F635" t="s">
        <v>290</v>
      </c>
      <c r="G635" t="s">
        <v>309</v>
      </c>
      <c r="H635" t="s">
        <v>308</v>
      </c>
      <c r="I635" t="s">
        <v>35</v>
      </c>
      <c r="J635" t="s">
        <v>35</v>
      </c>
      <c r="K635" s="4">
        <v>1246.16</v>
      </c>
      <c r="L635" s="4">
        <v>1246.16</v>
      </c>
      <c r="M635" t="s">
        <v>44</v>
      </c>
      <c r="N635" t="s">
        <v>77</v>
      </c>
      <c r="O635" t="s">
        <v>99</v>
      </c>
      <c r="P635" t="s">
        <v>99</v>
      </c>
      <c r="Q635" t="s">
        <v>191</v>
      </c>
      <c r="R635" t="s">
        <v>291</v>
      </c>
      <c r="S635" t="s">
        <v>161</v>
      </c>
      <c r="T635" t="s">
        <v>162</v>
      </c>
      <c r="U635" t="s">
        <v>163</v>
      </c>
      <c r="V635" t="s">
        <v>193</v>
      </c>
      <c r="W635" t="s">
        <v>116</v>
      </c>
      <c r="X635" t="s">
        <v>44</v>
      </c>
      <c r="Y635" t="s">
        <v>99</v>
      </c>
      <c r="Z635" t="s">
        <v>421</v>
      </c>
      <c r="AC635" t="str">
        <f>IF(AA635="",M635,AA635)</f>
        <v>sim</v>
      </c>
      <c r="AD635" t="str">
        <f>IF(AB635="",X635,AB635)</f>
        <v>sim</v>
      </c>
      <c r="AE635" t="str">
        <f>IF(OR(Configuracao!B9="",Configuracao!B10=""),"aguardando limiar",IF(AND(K635&gt;=Configuracao!B9,K635/MAX(Reconciliacao!C2,1)&gt;=Configuracao!B10/100),"sim","não"))</f>
        <v>aguardando limiar</v>
      </c>
    </row>
    <row r="636" spans="1:31" x14ac:dyDescent="0.25">
      <c r="A636">
        <v>6692</v>
      </c>
      <c r="D636" t="s">
        <v>733</v>
      </c>
      <c r="E636" t="s">
        <v>451</v>
      </c>
      <c r="F636" t="s">
        <v>290</v>
      </c>
      <c r="G636" t="s">
        <v>309</v>
      </c>
      <c r="H636" t="s">
        <v>308</v>
      </c>
      <c r="I636" t="s">
        <v>420</v>
      </c>
      <c r="J636" t="s">
        <v>420</v>
      </c>
      <c r="K636" s="4">
        <v>1311.59</v>
      </c>
      <c r="L636" s="4">
        <v>1311.59</v>
      </c>
      <c r="M636" t="s">
        <v>44</v>
      </c>
      <c r="N636" t="s">
        <v>77</v>
      </c>
      <c r="O636" t="s">
        <v>99</v>
      </c>
      <c r="P636" t="s">
        <v>99</v>
      </c>
      <c r="Q636" t="s">
        <v>191</v>
      </c>
      <c r="R636" t="s">
        <v>291</v>
      </c>
      <c r="S636" t="s">
        <v>161</v>
      </c>
      <c r="T636" t="s">
        <v>162</v>
      </c>
      <c r="U636" t="s">
        <v>163</v>
      </c>
      <c r="V636" t="s">
        <v>193</v>
      </c>
      <c r="W636" t="s">
        <v>116</v>
      </c>
      <c r="X636" t="s">
        <v>44</v>
      </c>
      <c r="Y636" t="s">
        <v>99</v>
      </c>
      <c r="Z636" t="s">
        <v>421</v>
      </c>
      <c r="AC636" t="str">
        <f>IF(AA636="",M636,AA636)</f>
        <v>sim</v>
      </c>
      <c r="AD636" t="str">
        <f>IF(AB636="",X636,AB636)</f>
        <v>sim</v>
      </c>
      <c r="AE636" t="str">
        <f>IF(OR(Configuracao!B9="",Configuracao!B10=""),"aguardando limiar",IF(AND(K636&gt;=Configuracao!B9,K636/MAX(Reconciliacao!C2,1)&gt;=Configuracao!B10/100),"sim","não"))</f>
        <v>aguardando limiar</v>
      </c>
    </row>
    <row r="637" spans="1:31" x14ac:dyDescent="0.25">
      <c r="A637">
        <v>6694</v>
      </c>
      <c r="D637" t="s">
        <v>733</v>
      </c>
      <c r="E637" t="s">
        <v>451</v>
      </c>
      <c r="F637" t="s">
        <v>290</v>
      </c>
      <c r="G637" t="s">
        <v>309</v>
      </c>
      <c r="H637" t="s">
        <v>308</v>
      </c>
      <c r="I637" t="s">
        <v>461</v>
      </c>
      <c r="J637" t="s">
        <v>461</v>
      </c>
      <c r="K637" s="4">
        <v>1311.59</v>
      </c>
      <c r="L637" s="4">
        <v>1311.59</v>
      </c>
      <c r="M637" t="s">
        <v>44</v>
      </c>
      <c r="N637" t="s">
        <v>77</v>
      </c>
      <c r="O637" t="s">
        <v>99</v>
      </c>
      <c r="P637" t="s">
        <v>99</v>
      </c>
      <c r="Q637" t="s">
        <v>191</v>
      </c>
      <c r="R637" t="s">
        <v>291</v>
      </c>
      <c r="S637" t="s">
        <v>161</v>
      </c>
      <c r="T637" t="s">
        <v>162</v>
      </c>
      <c r="U637" t="s">
        <v>163</v>
      </c>
      <c r="V637" t="s">
        <v>193</v>
      </c>
      <c r="W637" t="s">
        <v>116</v>
      </c>
      <c r="X637" t="s">
        <v>44</v>
      </c>
      <c r="Y637" t="s">
        <v>99</v>
      </c>
      <c r="Z637" t="s">
        <v>421</v>
      </c>
      <c r="AC637" t="str">
        <f>IF(AA637="",M637,AA637)</f>
        <v>sim</v>
      </c>
      <c r="AD637" t="str">
        <f>IF(AB637="",X637,AB637)</f>
        <v>sim</v>
      </c>
      <c r="AE637" t="str">
        <f>IF(OR(Configuracao!B9="",Configuracao!B10=""),"aguardando limiar",IF(AND(K637&gt;=Configuracao!B9,K637/MAX(Reconciliacao!C2,1)&gt;=Configuracao!B10/100),"sim","não"))</f>
        <v>aguardando limiar</v>
      </c>
    </row>
    <row r="638" spans="1:31" x14ac:dyDescent="0.25">
      <c r="A638">
        <v>6696</v>
      </c>
      <c r="D638" t="s">
        <v>733</v>
      </c>
      <c r="E638" t="s">
        <v>451</v>
      </c>
      <c r="F638" t="s">
        <v>290</v>
      </c>
      <c r="G638" t="s">
        <v>309</v>
      </c>
      <c r="H638" t="s">
        <v>308</v>
      </c>
      <c r="I638" t="s">
        <v>439</v>
      </c>
      <c r="J638" t="s">
        <v>439</v>
      </c>
      <c r="K638" s="4">
        <v>1388.53</v>
      </c>
      <c r="L638" s="4">
        <v>1388.53</v>
      </c>
      <c r="M638" t="s">
        <v>44</v>
      </c>
      <c r="N638" t="s">
        <v>77</v>
      </c>
      <c r="O638" t="s">
        <v>99</v>
      </c>
      <c r="P638" t="s">
        <v>99</v>
      </c>
      <c r="Q638" t="s">
        <v>191</v>
      </c>
      <c r="R638" t="s">
        <v>291</v>
      </c>
      <c r="S638" t="s">
        <v>161</v>
      </c>
      <c r="T638" t="s">
        <v>162</v>
      </c>
      <c r="U638" t="s">
        <v>163</v>
      </c>
      <c r="V638" t="s">
        <v>193</v>
      </c>
      <c r="W638" t="s">
        <v>116</v>
      </c>
      <c r="X638" t="s">
        <v>44</v>
      </c>
      <c r="Y638" t="s">
        <v>99</v>
      </c>
      <c r="Z638" t="s">
        <v>421</v>
      </c>
      <c r="AC638" t="str">
        <f>IF(AA638="",M638,AA638)</f>
        <v>sim</v>
      </c>
      <c r="AD638" t="str">
        <f>IF(AB638="",X638,AB638)</f>
        <v>sim</v>
      </c>
      <c r="AE638" t="str">
        <f>IF(OR(Configuracao!B9="",Configuracao!B10=""),"aguardando limiar",IF(AND(K638&gt;=Configuracao!B9,K638/MAX(Reconciliacao!C2,1)&gt;=Configuracao!B10/100),"sim","não"))</f>
        <v>aguardando limiar</v>
      </c>
    </row>
    <row r="639" spans="1:31" x14ac:dyDescent="0.25">
      <c r="A639">
        <v>6693</v>
      </c>
      <c r="D639" t="s">
        <v>733</v>
      </c>
      <c r="E639" t="s">
        <v>451</v>
      </c>
      <c r="F639" t="s">
        <v>290</v>
      </c>
      <c r="G639" t="s">
        <v>309</v>
      </c>
      <c r="H639" t="s">
        <v>308</v>
      </c>
      <c r="I639" t="s">
        <v>454</v>
      </c>
      <c r="J639" t="s">
        <v>454</v>
      </c>
      <c r="K639" s="4">
        <v>1619.35</v>
      </c>
      <c r="L639" s="4">
        <v>1619.35</v>
      </c>
      <c r="M639" t="s">
        <v>44</v>
      </c>
      <c r="N639" t="s">
        <v>77</v>
      </c>
      <c r="O639" t="s">
        <v>99</v>
      </c>
      <c r="P639" t="s">
        <v>99</v>
      </c>
      <c r="Q639" t="s">
        <v>191</v>
      </c>
      <c r="R639" t="s">
        <v>291</v>
      </c>
      <c r="S639" t="s">
        <v>161</v>
      </c>
      <c r="T639" t="s">
        <v>162</v>
      </c>
      <c r="U639" t="s">
        <v>163</v>
      </c>
      <c r="V639" t="s">
        <v>193</v>
      </c>
      <c r="W639" t="s">
        <v>116</v>
      </c>
      <c r="X639" t="s">
        <v>44</v>
      </c>
      <c r="Y639" t="s">
        <v>99</v>
      </c>
      <c r="Z639" t="s">
        <v>421</v>
      </c>
      <c r="AC639" t="str">
        <f>IF(AA639="",M639,AA639)</f>
        <v>sim</v>
      </c>
      <c r="AD639" t="str">
        <f>IF(AB639="",X639,AB639)</f>
        <v>sim</v>
      </c>
      <c r="AE639" t="str">
        <f>IF(OR(Configuracao!B9="",Configuracao!B10=""),"aguardando limiar",IF(AND(K639&gt;=Configuracao!B9,K639/MAX(Reconciliacao!C2,1)&gt;=Configuracao!B10/100),"sim","não"))</f>
        <v>aguardando limiar</v>
      </c>
    </row>
    <row r="640" spans="1:31" x14ac:dyDescent="0.25">
      <c r="A640">
        <v>7747</v>
      </c>
      <c r="D640" t="s">
        <v>734</v>
      </c>
      <c r="E640" t="s">
        <v>451</v>
      </c>
      <c r="F640" t="s">
        <v>290</v>
      </c>
      <c r="G640" t="s">
        <v>289</v>
      </c>
      <c r="H640" t="s">
        <v>288</v>
      </c>
      <c r="I640" t="s">
        <v>32</v>
      </c>
      <c r="J640" t="s">
        <v>32</v>
      </c>
      <c r="K640" s="4">
        <v>1097.13</v>
      </c>
      <c r="L640" s="4">
        <v>1097.13</v>
      </c>
      <c r="M640" t="s">
        <v>44</v>
      </c>
      <c r="N640" t="s">
        <v>77</v>
      </c>
      <c r="O640" t="s">
        <v>99</v>
      </c>
      <c r="P640" t="s">
        <v>99</v>
      </c>
      <c r="Q640" t="s">
        <v>191</v>
      </c>
      <c r="R640" t="s">
        <v>291</v>
      </c>
      <c r="S640" t="s">
        <v>161</v>
      </c>
      <c r="T640" t="s">
        <v>162</v>
      </c>
      <c r="U640" t="s">
        <v>163</v>
      </c>
      <c r="V640" t="s">
        <v>193</v>
      </c>
      <c r="W640" t="s">
        <v>116</v>
      </c>
      <c r="X640" t="s">
        <v>44</v>
      </c>
      <c r="Y640" t="s">
        <v>99</v>
      </c>
      <c r="Z640" t="s">
        <v>421</v>
      </c>
      <c r="AC640" t="str">
        <f>IF(AA640="",M640,AA640)</f>
        <v>sim</v>
      </c>
      <c r="AD640" t="str">
        <f>IF(AB640="",X640,AB640)</f>
        <v>sim</v>
      </c>
      <c r="AE640" t="str">
        <f>IF(OR(Configuracao!B9="",Configuracao!B10=""),"aguardando limiar",IF(AND(K640&gt;=Configuracao!B9,K640/MAX(Reconciliacao!C2,1)&gt;=Configuracao!B10/100),"sim","não"))</f>
        <v>aguardando limiar</v>
      </c>
    </row>
    <row r="641" spans="1:31" x14ac:dyDescent="0.25">
      <c r="A641">
        <v>7753</v>
      </c>
      <c r="D641" t="s">
        <v>734</v>
      </c>
      <c r="E641" t="s">
        <v>451</v>
      </c>
      <c r="F641" t="s">
        <v>290</v>
      </c>
      <c r="G641" t="s">
        <v>289</v>
      </c>
      <c r="H641" t="s">
        <v>288</v>
      </c>
      <c r="I641" t="s">
        <v>439</v>
      </c>
      <c r="J641" t="s">
        <v>439</v>
      </c>
      <c r="K641" s="4">
        <v>1211.85</v>
      </c>
      <c r="L641" s="4">
        <v>1211.85</v>
      </c>
      <c r="M641" t="s">
        <v>44</v>
      </c>
      <c r="N641" t="s">
        <v>77</v>
      </c>
      <c r="O641" t="s">
        <v>99</v>
      </c>
      <c r="P641" t="s">
        <v>99</v>
      </c>
      <c r="Q641" t="s">
        <v>191</v>
      </c>
      <c r="R641" t="s">
        <v>291</v>
      </c>
      <c r="S641" t="s">
        <v>161</v>
      </c>
      <c r="T641" t="s">
        <v>162</v>
      </c>
      <c r="U641" t="s">
        <v>163</v>
      </c>
      <c r="V641" t="s">
        <v>193</v>
      </c>
      <c r="W641" t="s">
        <v>116</v>
      </c>
      <c r="X641" t="s">
        <v>44</v>
      </c>
      <c r="Y641" t="s">
        <v>99</v>
      </c>
      <c r="Z641" t="s">
        <v>421</v>
      </c>
      <c r="AC641" t="str">
        <f>IF(AA641="",M641,AA641)</f>
        <v>sim</v>
      </c>
      <c r="AD641" t="str">
        <f>IF(AB641="",X641,AB641)</f>
        <v>sim</v>
      </c>
      <c r="AE641" t="str">
        <f>IF(OR(Configuracao!B9="",Configuracao!B10=""),"aguardando limiar",IF(AND(K641&gt;=Configuracao!B9,K641/MAX(Reconciliacao!C2,1)&gt;=Configuracao!B10/100),"sim","não"))</f>
        <v>aguardando limiar</v>
      </c>
    </row>
    <row r="642" spans="1:31" x14ac:dyDescent="0.25">
      <c r="A642">
        <v>7754</v>
      </c>
      <c r="D642" t="s">
        <v>734</v>
      </c>
      <c r="E642" t="s">
        <v>451</v>
      </c>
      <c r="F642" t="s">
        <v>290</v>
      </c>
      <c r="G642" t="s">
        <v>289</v>
      </c>
      <c r="H642" t="s">
        <v>288</v>
      </c>
      <c r="I642" t="s">
        <v>35</v>
      </c>
      <c r="J642" t="s">
        <v>35</v>
      </c>
      <c r="K642" s="4">
        <v>1394.29</v>
      </c>
      <c r="L642" s="4">
        <v>1394.29</v>
      </c>
      <c r="M642" t="s">
        <v>44</v>
      </c>
      <c r="N642" t="s">
        <v>77</v>
      </c>
      <c r="O642" t="s">
        <v>99</v>
      </c>
      <c r="P642" t="s">
        <v>99</v>
      </c>
      <c r="Q642" t="s">
        <v>191</v>
      </c>
      <c r="R642" t="s">
        <v>291</v>
      </c>
      <c r="S642" t="s">
        <v>161</v>
      </c>
      <c r="T642" t="s">
        <v>162</v>
      </c>
      <c r="U642" t="s">
        <v>163</v>
      </c>
      <c r="V642" t="s">
        <v>193</v>
      </c>
      <c r="W642" t="s">
        <v>116</v>
      </c>
      <c r="X642" t="s">
        <v>44</v>
      </c>
      <c r="Y642" t="s">
        <v>99</v>
      </c>
      <c r="Z642" t="s">
        <v>421</v>
      </c>
      <c r="AC642" t="str">
        <f>IF(AA642="",M642,AA642)</f>
        <v>sim</v>
      </c>
      <c r="AD642" t="str">
        <f>IF(AB642="",X642,AB642)</f>
        <v>sim</v>
      </c>
      <c r="AE642" t="str">
        <f>IF(OR(Configuracao!B9="",Configuracao!B10=""),"aguardando limiar",IF(AND(K642&gt;=Configuracao!B9,K642/MAX(Reconciliacao!C2,1)&gt;=Configuracao!B10/100),"sim","não"))</f>
        <v>aguardando limiar</v>
      </c>
    </row>
    <row r="643" spans="1:31" x14ac:dyDescent="0.25">
      <c r="A643">
        <v>7752</v>
      </c>
      <c r="D643" t="s">
        <v>734</v>
      </c>
      <c r="E643" t="s">
        <v>451</v>
      </c>
      <c r="F643" t="s">
        <v>290</v>
      </c>
      <c r="G643" t="s">
        <v>289</v>
      </c>
      <c r="H643" t="s">
        <v>288</v>
      </c>
      <c r="I643" t="s">
        <v>442</v>
      </c>
      <c r="J643" t="s">
        <v>442</v>
      </c>
      <c r="K643" s="4">
        <v>1569.02</v>
      </c>
      <c r="L643" s="4">
        <v>1569.02</v>
      </c>
      <c r="M643" t="s">
        <v>44</v>
      </c>
      <c r="N643" t="s">
        <v>77</v>
      </c>
      <c r="O643" t="s">
        <v>99</v>
      </c>
      <c r="P643" t="s">
        <v>99</v>
      </c>
      <c r="Q643" t="s">
        <v>191</v>
      </c>
      <c r="R643" t="s">
        <v>291</v>
      </c>
      <c r="S643" t="s">
        <v>161</v>
      </c>
      <c r="T643" t="s">
        <v>162</v>
      </c>
      <c r="U643" t="s">
        <v>163</v>
      </c>
      <c r="V643" t="s">
        <v>193</v>
      </c>
      <c r="W643" t="s">
        <v>116</v>
      </c>
      <c r="X643" t="s">
        <v>44</v>
      </c>
      <c r="Y643" t="s">
        <v>99</v>
      </c>
      <c r="Z643" t="s">
        <v>421</v>
      </c>
      <c r="AC643" t="str">
        <f>IF(AA643="",M643,AA643)</f>
        <v>sim</v>
      </c>
      <c r="AD643" t="str">
        <f>IF(AB643="",X643,AB643)</f>
        <v>sim</v>
      </c>
      <c r="AE643" t="str">
        <f>IF(OR(Configuracao!B9="",Configuracao!B10=""),"aguardando limiar",IF(AND(K643&gt;=Configuracao!B9,K643/MAX(Reconciliacao!C2,1)&gt;=Configuracao!B10/100),"sim","não"))</f>
        <v>aguardando limiar</v>
      </c>
    </row>
    <row r="644" spans="1:31" x14ac:dyDescent="0.25">
      <c r="A644">
        <v>7749</v>
      </c>
      <c r="D644" t="s">
        <v>734</v>
      </c>
      <c r="E644" t="s">
        <v>451</v>
      </c>
      <c r="F644" t="s">
        <v>290</v>
      </c>
      <c r="G644" t="s">
        <v>289</v>
      </c>
      <c r="H644" t="s">
        <v>288</v>
      </c>
      <c r="I644" t="s">
        <v>420</v>
      </c>
      <c r="J644" t="s">
        <v>420</v>
      </c>
      <c r="K644" s="4">
        <v>2011.41</v>
      </c>
      <c r="L644" s="4">
        <v>2011.41</v>
      </c>
      <c r="M644" t="s">
        <v>44</v>
      </c>
      <c r="N644" t="s">
        <v>77</v>
      </c>
      <c r="O644" t="s">
        <v>99</v>
      </c>
      <c r="P644" t="s">
        <v>99</v>
      </c>
      <c r="Q644" t="s">
        <v>191</v>
      </c>
      <c r="R644" t="s">
        <v>291</v>
      </c>
      <c r="S644" t="s">
        <v>161</v>
      </c>
      <c r="T644" t="s">
        <v>162</v>
      </c>
      <c r="U644" t="s">
        <v>163</v>
      </c>
      <c r="V644" t="s">
        <v>193</v>
      </c>
      <c r="W644" t="s">
        <v>116</v>
      </c>
      <c r="X644" t="s">
        <v>44</v>
      </c>
      <c r="Y644" t="s">
        <v>99</v>
      </c>
      <c r="Z644" t="s">
        <v>421</v>
      </c>
      <c r="AC644" t="str">
        <f>IF(AA644="",M644,AA644)</f>
        <v>sim</v>
      </c>
      <c r="AD644" t="str">
        <f>IF(AB644="",X644,AB644)</f>
        <v>sim</v>
      </c>
      <c r="AE644" t="str">
        <f>IF(OR(Configuracao!B9="",Configuracao!B10=""),"aguardando limiar",IF(AND(K644&gt;=Configuracao!B9,K644/MAX(Reconciliacao!C2,1)&gt;=Configuracao!B10/100),"sim","não"))</f>
        <v>aguardando limiar</v>
      </c>
    </row>
    <row r="645" spans="1:31" x14ac:dyDescent="0.25">
      <c r="A645">
        <v>7748</v>
      </c>
      <c r="D645" t="s">
        <v>734</v>
      </c>
      <c r="E645" t="s">
        <v>451</v>
      </c>
      <c r="F645" t="s">
        <v>290</v>
      </c>
      <c r="G645" t="s">
        <v>289</v>
      </c>
      <c r="H645" t="s">
        <v>288</v>
      </c>
      <c r="I645" t="s">
        <v>424</v>
      </c>
      <c r="J645" t="s">
        <v>424</v>
      </c>
      <c r="K645" s="4">
        <v>2047.34</v>
      </c>
      <c r="L645" s="4">
        <v>2047.34</v>
      </c>
      <c r="M645" t="s">
        <v>44</v>
      </c>
      <c r="N645" t="s">
        <v>77</v>
      </c>
      <c r="O645" t="s">
        <v>99</v>
      </c>
      <c r="P645" t="s">
        <v>99</v>
      </c>
      <c r="Q645" t="s">
        <v>191</v>
      </c>
      <c r="R645" t="s">
        <v>291</v>
      </c>
      <c r="S645" t="s">
        <v>161</v>
      </c>
      <c r="T645" t="s">
        <v>162</v>
      </c>
      <c r="U645" t="s">
        <v>163</v>
      </c>
      <c r="V645" t="s">
        <v>193</v>
      </c>
      <c r="W645" t="s">
        <v>116</v>
      </c>
      <c r="X645" t="s">
        <v>44</v>
      </c>
      <c r="Y645" t="s">
        <v>99</v>
      </c>
      <c r="Z645" t="s">
        <v>421</v>
      </c>
      <c r="AC645" t="str">
        <f>IF(AA645="",M645,AA645)</f>
        <v>sim</v>
      </c>
      <c r="AD645" t="str">
        <f>IF(AB645="",X645,AB645)</f>
        <v>sim</v>
      </c>
      <c r="AE645" t="str">
        <f>IF(OR(Configuracao!B9="",Configuracao!B10=""),"aguardando limiar",IF(AND(K645&gt;=Configuracao!B9,K645/MAX(Reconciliacao!C2,1)&gt;=Configuracao!B10/100),"sim","não"))</f>
        <v>aguardando limiar</v>
      </c>
    </row>
    <row r="646" spans="1:31" x14ac:dyDescent="0.25">
      <c r="A646">
        <v>7750</v>
      </c>
      <c r="D646" t="s">
        <v>734</v>
      </c>
      <c r="E646" t="s">
        <v>451</v>
      </c>
      <c r="F646" t="s">
        <v>290</v>
      </c>
      <c r="G646" t="s">
        <v>289</v>
      </c>
      <c r="H646" t="s">
        <v>288</v>
      </c>
      <c r="I646" t="s">
        <v>454</v>
      </c>
      <c r="J646" t="s">
        <v>454</v>
      </c>
      <c r="K646" s="4">
        <v>2054.12</v>
      </c>
      <c r="L646" s="4">
        <v>2054.12</v>
      </c>
      <c r="M646" t="s">
        <v>44</v>
      </c>
      <c r="N646" t="s">
        <v>77</v>
      </c>
      <c r="O646" t="s">
        <v>99</v>
      </c>
      <c r="P646" t="s">
        <v>99</v>
      </c>
      <c r="Q646" t="s">
        <v>191</v>
      </c>
      <c r="R646" t="s">
        <v>291</v>
      </c>
      <c r="S646" t="s">
        <v>161</v>
      </c>
      <c r="T646" t="s">
        <v>162</v>
      </c>
      <c r="U646" t="s">
        <v>163</v>
      </c>
      <c r="V646" t="s">
        <v>193</v>
      </c>
      <c r="W646" t="s">
        <v>116</v>
      </c>
      <c r="X646" t="s">
        <v>44</v>
      </c>
      <c r="Y646" t="s">
        <v>99</v>
      </c>
      <c r="Z646" t="s">
        <v>421</v>
      </c>
      <c r="AC646" t="str">
        <f>IF(AA646="",M646,AA646)</f>
        <v>sim</v>
      </c>
      <c r="AD646" t="str">
        <f>IF(AB646="",X646,AB646)</f>
        <v>sim</v>
      </c>
      <c r="AE646" t="str">
        <f>IF(OR(Configuracao!B9="",Configuracao!B10=""),"aguardando limiar",IF(AND(K646&gt;=Configuracao!B9,K646/MAX(Reconciliacao!C2,1)&gt;=Configuracao!B10/100),"sim","não"))</f>
        <v>aguardando limiar</v>
      </c>
    </row>
    <row r="647" spans="1:31" x14ac:dyDescent="0.25">
      <c r="A647">
        <v>7751</v>
      </c>
      <c r="D647" t="s">
        <v>734</v>
      </c>
      <c r="E647" t="s">
        <v>451</v>
      </c>
      <c r="F647" t="s">
        <v>290</v>
      </c>
      <c r="G647" t="s">
        <v>289</v>
      </c>
      <c r="H647" t="s">
        <v>288</v>
      </c>
      <c r="I647" t="s">
        <v>461</v>
      </c>
      <c r="J647" t="s">
        <v>461</v>
      </c>
      <c r="K647" s="4">
        <v>2146.33</v>
      </c>
      <c r="L647" s="4">
        <v>2146.33</v>
      </c>
      <c r="M647" t="s">
        <v>44</v>
      </c>
      <c r="N647" t="s">
        <v>77</v>
      </c>
      <c r="O647" t="s">
        <v>99</v>
      </c>
      <c r="P647" t="s">
        <v>99</v>
      </c>
      <c r="Q647" t="s">
        <v>191</v>
      </c>
      <c r="R647" t="s">
        <v>291</v>
      </c>
      <c r="S647" t="s">
        <v>161</v>
      </c>
      <c r="T647" t="s">
        <v>162</v>
      </c>
      <c r="U647" t="s">
        <v>163</v>
      </c>
      <c r="V647" t="s">
        <v>193</v>
      </c>
      <c r="W647" t="s">
        <v>116</v>
      </c>
      <c r="X647" t="s">
        <v>44</v>
      </c>
      <c r="Y647" t="s">
        <v>99</v>
      </c>
      <c r="Z647" t="s">
        <v>421</v>
      </c>
      <c r="AC647" t="str">
        <f>IF(AA647="",M647,AA647)</f>
        <v>sim</v>
      </c>
      <c r="AD647" t="str">
        <f>IF(AB647="",X647,AB647)</f>
        <v>sim</v>
      </c>
      <c r="AE647" t="str">
        <f>IF(OR(Configuracao!B9="",Configuracao!B10=""),"aguardando limiar",IF(AND(K647&gt;=Configuracao!B9,K647/MAX(Reconciliacao!C2,1)&gt;=Configuracao!B10/100),"sim","não"))</f>
        <v>aguardando limiar</v>
      </c>
    </row>
    <row r="648" spans="1:31" x14ac:dyDescent="0.25">
      <c r="A648">
        <v>7878</v>
      </c>
      <c r="C648" t="s">
        <v>735</v>
      </c>
      <c r="D648" t="s">
        <v>736</v>
      </c>
      <c r="E648" t="s">
        <v>451</v>
      </c>
      <c r="F648" t="s">
        <v>290</v>
      </c>
      <c r="G648" t="s">
        <v>297</v>
      </c>
      <c r="H648" t="s">
        <v>296</v>
      </c>
      <c r="I648" t="s">
        <v>737</v>
      </c>
      <c r="J648" t="s">
        <v>32</v>
      </c>
      <c r="K648" s="4">
        <v>0</v>
      </c>
      <c r="L648" s="4">
        <v>37.73</v>
      </c>
      <c r="M648" t="s">
        <v>44</v>
      </c>
      <c r="N648" t="s">
        <v>77</v>
      </c>
      <c r="O648" t="s">
        <v>99</v>
      </c>
      <c r="P648" t="s">
        <v>99</v>
      </c>
      <c r="Q648" t="s">
        <v>191</v>
      </c>
      <c r="R648" t="s">
        <v>291</v>
      </c>
      <c r="S648" t="s">
        <v>161</v>
      </c>
      <c r="T648" t="s">
        <v>162</v>
      </c>
      <c r="U648" t="s">
        <v>163</v>
      </c>
      <c r="V648" t="s">
        <v>193</v>
      </c>
      <c r="W648" t="s">
        <v>116</v>
      </c>
      <c r="X648" t="s">
        <v>44</v>
      </c>
      <c r="Y648" t="s">
        <v>99</v>
      </c>
      <c r="Z648" t="s">
        <v>421</v>
      </c>
      <c r="AC648" t="str">
        <f>IF(AA648="",M648,AA648)</f>
        <v>sim</v>
      </c>
      <c r="AD648" t="str">
        <f>IF(AB648="",X648,AB648)</f>
        <v>sim</v>
      </c>
      <c r="AE648" t="str">
        <f>IF(OR(Configuracao!B9="",Configuracao!B10=""),"aguardando limiar",IF(AND(K648&gt;=Configuracao!B9,K648/MAX(Reconciliacao!C2,1)&gt;=Configuracao!B10/100),"sim","não"))</f>
        <v>aguardando limiar</v>
      </c>
    </row>
    <row r="649" spans="1:31" x14ac:dyDescent="0.25">
      <c r="A649">
        <v>7896</v>
      </c>
      <c r="C649" t="s">
        <v>738</v>
      </c>
      <c r="D649" t="s">
        <v>736</v>
      </c>
      <c r="E649" t="s">
        <v>451</v>
      </c>
      <c r="F649" t="s">
        <v>290</v>
      </c>
      <c r="G649" t="s">
        <v>297</v>
      </c>
      <c r="H649" t="s">
        <v>296</v>
      </c>
      <c r="I649" t="s">
        <v>737</v>
      </c>
      <c r="J649" t="s">
        <v>32</v>
      </c>
      <c r="K649" s="4">
        <v>0</v>
      </c>
      <c r="L649" s="4">
        <v>568.58</v>
      </c>
      <c r="M649" t="s">
        <v>44</v>
      </c>
      <c r="N649" t="s">
        <v>77</v>
      </c>
      <c r="O649" t="s">
        <v>99</v>
      </c>
      <c r="P649" t="s">
        <v>99</v>
      </c>
      <c r="Q649" t="s">
        <v>191</v>
      </c>
      <c r="R649" t="s">
        <v>291</v>
      </c>
      <c r="S649" t="s">
        <v>161</v>
      </c>
      <c r="T649" t="s">
        <v>162</v>
      </c>
      <c r="U649" t="s">
        <v>163</v>
      </c>
      <c r="V649" t="s">
        <v>193</v>
      </c>
      <c r="W649" t="s">
        <v>116</v>
      </c>
      <c r="X649" t="s">
        <v>44</v>
      </c>
      <c r="Y649" t="s">
        <v>99</v>
      </c>
      <c r="Z649" t="s">
        <v>421</v>
      </c>
      <c r="AC649" t="str">
        <f>IF(AA649="",M649,AA649)</f>
        <v>sim</v>
      </c>
      <c r="AD649" t="str">
        <f>IF(AB649="",X649,AB649)</f>
        <v>sim</v>
      </c>
      <c r="AE649" t="str">
        <f>IF(OR(Configuracao!B9="",Configuracao!B10=""),"aguardando limiar",IF(AND(K649&gt;=Configuracao!B9,K649/MAX(Reconciliacao!C2,1)&gt;=Configuracao!B10/100),"sim","não"))</f>
        <v>aguardando limiar</v>
      </c>
    </row>
    <row r="650" spans="1:31" x14ac:dyDescent="0.25">
      <c r="A650">
        <v>8364</v>
      </c>
      <c r="C650" t="s">
        <v>297</v>
      </c>
      <c r="D650" t="s">
        <v>739</v>
      </c>
      <c r="E650" t="s">
        <v>451</v>
      </c>
      <c r="F650" t="s">
        <v>290</v>
      </c>
      <c r="G650" t="s">
        <v>297</v>
      </c>
      <c r="H650" t="s">
        <v>296</v>
      </c>
      <c r="I650" t="s">
        <v>454</v>
      </c>
      <c r="J650" t="s">
        <v>454</v>
      </c>
      <c r="K650" s="4">
        <v>164.81</v>
      </c>
      <c r="L650" s="4">
        <v>164.81</v>
      </c>
      <c r="M650" t="s">
        <v>44</v>
      </c>
      <c r="N650" t="s">
        <v>77</v>
      </c>
      <c r="O650" t="s">
        <v>99</v>
      </c>
      <c r="P650" t="s">
        <v>99</v>
      </c>
      <c r="Q650" t="s">
        <v>191</v>
      </c>
      <c r="R650" t="s">
        <v>291</v>
      </c>
      <c r="S650" t="s">
        <v>161</v>
      </c>
      <c r="T650" t="s">
        <v>162</v>
      </c>
      <c r="U650" t="s">
        <v>163</v>
      </c>
      <c r="V650" t="s">
        <v>193</v>
      </c>
      <c r="W650" t="s">
        <v>116</v>
      </c>
      <c r="X650" t="s">
        <v>44</v>
      </c>
      <c r="Y650" t="s">
        <v>99</v>
      </c>
      <c r="Z650" t="s">
        <v>421</v>
      </c>
      <c r="AC650" t="str">
        <f>IF(AA650="",M650,AA650)</f>
        <v>sim</v>
      </c>
      <c r="AD650" t="str">
        <f>IF(AB650="",X650,AB650)</f>
        <v>sim</v>
      </c>
      <c r="AE650" t="str">
        <f>IF(OR(Configuracao!B9="",Configuracao!B10=""),"aguardando limiar",IF(AND(K650&gt;=Configuracao!B9,K650/MAX(Reconciliacao!C2,1)&gt;=Configuracao!B10/100),"sim","não"))</f>
        <v>aguardando limiar</v>
      </c>
    </row>
    <row r="651" spans="1:31" x14ac:dyDescent="0.25">
      <c r="A651">
        <v>8361</v>
      </c>
      <c r="C651" t="s">
        <v>297</v>
      </c>
      <c r="D651" t="s">
        <v>739</v>
      </c>
      <c r="E651" t="s">
        <v>451</v>
      </c>
      <c r="F651" t="s">
        <v>290</v>
      </c>
      <c r="G651" t="s">
        <v>297</v>
      </c>
      <c r="H651" t="s">
        <v>296</v>
      </c>
      <c r="I651" t="s">
        <v>32</v>
      </c>
      <c r="J651" t="s">
        <v>32</v>
      </c>
      <c r="K651" s="4">
        <v>165</v>
      </c>
      <c r="L651" s="4">
        <v>165</v>
      </c>
      <c r="M651" t="s">
        <v>44</v>
      </c>
      <c r="N651" t="s">
        <v>77</v>
      </c>
      <c r="O651" t="s">
        <v>99</v>
      </c>
      <c r="P651" t="s">
        <v>99</v>
      </c>
      <c r="Q651" t="s">
        <v>191</v>
      </c>
      <c r="R651" t="s">
        <v>291</v>
      </c>
      <c r="S651" t="s">
        <v>161</v>
      </c>
      <c r="T651" t="s">
        <v>162</v>
      </c>
      <c r="U651" t="s">
        <v>163</v>
      </c>
      <c r="V651" t="s">
        <v>193</v>
      </c>
      <c r="W651" t="s">
        <v>116</v>
      </c>
      <c r="X651" t="s">
        <v>44</v>
      </c>
      <c r="Y651" t="s">
        <v>99</v>
      </c>
      <c r="Z651" t="s">
        <v>421</v>
      </c>
      <c r="AC651" t="str">
        <f>IF(AA651="",M651,AA651)</f>
        <v>sim</v>
      </c>
      <c r="AD651" t="str">
        <f>IF(AB651="",X651,AB651)</f>
        <v>sim</v>
      </c>
      <c r="AE651" t="str">
        <f>IF(OR(Configuracao!B9="",Configuracao!B10=""),"aguardando limiar",IF(AND(K651&gt;=Configuracao!B9,K651/MAX(Reconciliacao!C2,1)&gt;=Configuracao!B10/100),"sim","não"))</f>
        <v>aguardando limiar</v>
      </c>
    </row>
    <row r="652" spans="1:31" x14ac:dyDescent="0.25">
      <c r="A652">
        <v>8362</v>
      </c>
      <c r="C652" t="s">
        <v>297</v>
      </c>
      <c r="D652" t="s">
        <v>739</v>
      </c>
      <c r="E652" t="s">
        <v>451</v>
      </c>
      <c r="F652" t="s">
        <v>290</v>
      </c>
      <c r="G652" t="s">
        <v>297</v>
      </c>
      <c r="H652" t="s">
        <v>296</v>
      </c>
      <c r="I652" t="s">
        <v>424</v>
      </c>
      <c r="J652" t="s">
        <v>424</v>
      </c>
      <c r="K652" s="4">
        <v>165</v>
      </c>
      <c r="L652" s="4">
        <v>165</v>
      </c>
      <c r="M652" t="s">
        <v>44</v>
      </c>
      <c r="N652" t="s">
        <v>77</v>
      </c>
      <c r="O652" t="s">
        <v>99</v>
      </c>
      <c r="P652" t="s">
        <v>99</v>
      </c>
      <c r="Q652" t="s">
        <v>191</v>
      </c>
      <c r="R652" t="s">
        <v>291</v>
      </c>
      <c r="S652" t="s">
        <v>161</v>
      </c>
      <c r="T652" t="s">
        <v>162</v>
      </c>
      <c r="U652" t="s">
        <v>163</v>
      </c>
      <c r="V652" t="s">
        <v>193</v>
      </c>
      <c r="W652" t="s">
        <v>116</v>
      </c>
      <c r="X652" t="s">
        <v>44</v>
      </c>
      <c r="Y652" t="s">
        <v>99</v>
      </c>
      <c r="Z652" t="s">
        <v>421</v>
      </c>
      <c r="AC652" t="str">
        <f>IF(AA652="",M652,AA652)</f>
        <v>sim</v>
      </c>
      <c r="AD652" t="str">
        <f>IF(AB652="",X652,AB652)</f>
        <v>sim</v>
      </c>
      <c r="AE652" t="str">
        <f>IF(OR(Configuracao!B9="",Configuracao!B10=""),"aguardando limiar",IF(AND(K652&gt;=Configuracao!B9,K652/MAX(Reconciliacao!C2,1)&gt;=Configuracao!B10/100),"sim","não"))</f>
        <v>aguardando limiar</v>
      </c>
    </row>
    <row r="653" spans="1:31" x14ac:dyDescent="0.25">
      <c r="A653">
        <v>8363</v>
      </c>
      <c r="C653" t="s">
        <v>297</v>
      </c>
      <c r="D653" t="s">
        <v>739</v>
      </c>
      <c r="E653" t="s">
        <v>451</v>
      </c>
      <c r="F653" t="s">
        <v>290</v>
      </c>
      <c r="G653" t="s">
        <v>297</v>
      </c>
      <c r="H653" t="s">
        <v>296</v>
      </c>
      <c r="I653" t="s">
        <v>420</v>
      </c>
      <c r="J653" t="s">
        <v>420</v>
      </c>
      <c r="K653" s="4">
        <v>165</v>
      </c>
      <c r="L653" s="4">
        <v>165</v>
      </c>
      <c r="M653" t="s">
        <v>44</v>
      </c>
      <c r="N653" t="s">
        <v>77</v>
      </c>
      <c r="O653" t="s">
        <v>99</v>
      </c>
      <c r="P653" t="s">
        <v>99</v>
      </c>
      <c r="Q653" t="s">
        <v>191</v>
      </c>
      <c r="R653" t="s">
        <v>291</v>
      </c>
      <c r="S653" t="s">
        <v>161</v>
      </c>
      <c r="T653" t="s">
        <v>162</v>
      </c>
      <c r="U653" t="s">
        <v>163</v>
      </c>
      <c r="V653" t="s">
        <v>193</v>
      </c>
      <c r="W653" t="s">
        <v>116</v>
      </c>
      <c r="X653" t="s">
        <v>44</v>
      </c>
      <c r="Y653" t="s">
        <v>99</v>
      </c>
      <c r="Z653" t="s">
        <v>421</v>
      </c>
      <c r="AC653" t="str">
        <f>IF(AA653="",M653,AA653)</f>
        <v>sim</v>
      </c>
      <c r="AD653" t="str">
        <f>IF(AB653="",X653,AB653)</f>
        <v>sim</v>
      </c>
      <c r="AE653" t="str">
        <f>IF(OR(Configuracao!B9="",Configuracao!B10=""),"aguardando limiar",IF(AND(K653&gt;=Configuracao!B9,K653/MAX(Reconciliacao!C2,1)&gt;=Configuracao!B10/100),"sim","não"))</f>
        <v>aguardando limiar</v>
      </c>
    </row>
    <row r="654" spans="1:31" x14ac:dyDescent="0.25">
      <c r="A654">
        <v>8365</v>
      </c>
      <c r="C654" t="s">
        <v>297</v>
      </c>
      <c r="D654" t="s">
        <v>739</v>
      </c>
      <c r="E654" t="s">
        <v>451</v>
      </c>
      <c r="F654" t="s">
        <v>290</v>
      </c>
      <c r="G654" t="s">
        <v>297</v>
      </c>
      <c r="H654" t="s">
        <v>296</v>
      </c>
      <c r="I654" t="s">
        <v>461</v>
      </c>
      <c r="J654" t="s">
        <v>461</v>
      </c>
      <c r="K654" s="4">
        <v>165</v>
      </c>
      <c r="L654" s="4">
        <v>165</v>
      </c>
      <c r="M654" t="s">
        <v>44</v>
      </c>
      <c r="N654" t="s">
        <v>77</v>
      </c>
      <c r="O654" t="s">
        <v>99</v>
      </c>
      <c r="P654" t="s">
        <v>99</v>
      </c>
      <c r="Q654" t="s">
        <v>191</v>
      </c>
      <c r="R654" t="s">
        <v>291</v>
      </c>
      <c r="S654" t="s">
        <v>161</v>
      </c>
      <c r="T654" t="s">
        <v>162</v>
      </c>
      <c r="U654" t="s">
        <v>163</v>
      </c>
      <c r="V654" t="s">
        <v>193</v>
      </c>
      <c r="W654" t="s">
        <v>116</v>
      </c>
      <c r="X654" t="s">
        <v>44</v>
      </c>
      <c r="Y654" t="s">
        <v>99</v>
      </c>
      <c r="Z654" t="s">
        <v>421</v>
      </c>
      <c r="AC654" t="str">
        <f>IF(AA654="",M654,AA654)</f>
        <v>sim</v>
      </c>
      <c r="AD654" t="str">
        <f>IF(AB654="",X654,AB654)</f>
        <v>sim</v>
      </c>
      <c r="AE654" t="str">
        <f>IF(OR(Configuracao!B9="",Configuracao!B10=""),"aguardando limiar",IF(AND(K654&gt;=Configuracao!B9,K654/MAX(Reconciliacao!C2,1)&gt;=Configuracao!B10/100),"sim","não"))</f>
        <v>aguardando limiar</v>
      </c>
    </row>
    <row r="655" spans="1:31" x14ac:dyDescent="0.25">
      <c r="A655">
        <v>8366</v>
      </c>
      <c r="C655" t="s">
        <v>297</v>
      </c>
      <c r="D655" t="s">
        <v>739</v>
      </c>
      <c r="E655" t="s">
        <v>451</v>
      </c>
      <c r="F655" t="s">
        <v>290</v>
      </c>
      <c r="G655" t="s">
        <v>297</v>
      </c>
      <c r="H655" t="s">
        <v>296</v>
      </c>
      <c r="I655" t="s">
        <v>442</v>
      </c>
      <c r="J655" t="s">
        <v>442</v>
      </c>
      <c r="K655" s="4">
        <v>165</v>
      </c>
      <c r="L655" s="4">
        <v>165</v>
      </c>
      <c r="M655" t="s">
        <v>44</v>
      </c>
      <c r="N655" t="s">
        <v>77</v>
      </c>
      <c r="O655" t="s">
        <v>99</v>
      </c>
      <c r="P655" t="s">
        <v>99</v>
      </c>
      <c r="Q655" t="s">
        <v>191</v>
      </c>
      <c r="R655" t="s">
        <v>291</v>
      </c>
      <c r="S655" t="s">
        <v>161</v>
      </c>
      <c r="T655" t="s">
        <v>162</v>
      </c>
      <c r="U655" t="s">
        <v>163</v>
      </c>
      <c r="V655" t="s">
        <v>193</v>
      </c>
      <c r="W655" t="s">
        <v>116</v>
      </c>
      <c r="X655" t="s">
        <v>44</v>
      </c>
      <c r="Y655" t="s">
        <v>99</v>
      </c>
      <c r="Z655" t="s">
        <v>421</v>
      </c>
      <c r="AC655" t="str">
        <f>IF(AA655="",M655,AA655)</f>
        <v>sim</v>
      </c>
      <c r="AD655" t="str">
        <f>IF(AB655="",X655,AB655)</f>
        <v>sim</v>
      </c>
      <c r="AE655" t="str">
        <f>IF(OR(Configuracao!B9="",Configuracao!B10=""),"aguardando limiar",IF(AND(K655&gt;=Configuracao!B9,K655/MAX(Reconciliacao!C2,1)&gt;=Configuracao!B10/100),"sim","não"))</f>
        <v>aguardando limiar</v>
      </c>
    </row>
    <row r="656" spans="1:31" x14ac:dyDescent="0.25">
      <c r="A656">
        <v>8367</v>
      </c>
      <c r="C656" t="s">
        <v>297</v>
      </c>
      <c r="D656" t="s">
        <v>739</v>
      </c>
      <c r="E656" t="s">
        <v>451</v>
      </c>
      <c r="F656" t="s">
        <v>290</v>
      </c>
      <c r="G656" t="s">
        <v>297</v>
      </c>
      <c r="H656" t="s">
        <v>296</v>
      </c>
      <c r="I656" t="s">
        <v>439</v>
      </c>
      <c r="J656" t="s">
        <v>439</v>
      </c>
      <c r="K656" s="4">
        <v>165</v>
      </c>
      <c r="L656" s="4">
        <v>165</v>
      </c>
      <c r="M656" t="s">
        <v>44</v>
      </c>
      <c r="N656" t="s">
        <v>77</v>
      </c>
      <c r="O656" t="s">
        <v>99</v>
      </c>
      <c r="P656" t="s">
        <v>99</v>
      </c>
      <c r="Q656" t="s">
        <v>191</v>
      </c>
      <c r="R656" t="s">
        <v>291</v>
      </c>
      <c r="S656" t="s">
        <v>161</v>
      </c>
      <c r="T656" t="s">
        <v>162</v>
      </c>
      <c r="U656" t="s">
        <v>163</v>
      </c>
      <c r="V656" t="s">
        <v>193</v>
      </c>
      <c r="W656" t="s">
        <v>116</v>
      </c>
      <c r="X656" t="s">
        <v>44</v>
      </c>
      <c r="Y656" t="s">
        <v>99</v>
      </c>
      <c r="Z656" t="s">
        <v>421</v>
      </c>
      <c r="AC656" t="str">
        <f>IF(AA656="",M656,AA656)</f>
        <v>sim</v>
      </c>
      <c r="AD656" t="str">
        <f>IF(AB656="",X656,AB656)</f>
        <v>sim</v>
      </c>
      <c r="AE656" t="str">
        <f>IF(OR(Configuracao!B9="",Configuracao!B10=""),"aguardando limiar",IF(AND(K656&gt;=Configuracao!B9,K656/MAX(Reconciliacao!C2,1)&gt;=Configuracao!B10/100),"sim","não"))</f>
        <v>aguardando limiar</v>
      </c>
    </row>
    <row r="657" spans="1:31" x14ac:dyDescent="0.25">
      <c r="A657">
        <v>8368</v>
      </c>
      <c r="C657" t="s">
        <v>297</v>
      </c>
      <c r="D657" t="s">
        <v>739</v>
      </c>
      <c r="E657" t="s">
        <v>451</v>
      </c>
      <c r="F657" t="s">
        <v>290</v>
      </c>
      <c r="G657" t="s">
        <v>297</v>
      </c>
      <c r="H657" t="s">
        <v>296</v>
      </c>
      <c r="I657" t="s">
        <v>35</v>
      </c>
      <c r="J657" t="s">
        <v>35</v>
      </c>
      <c r="K657" s="4">
        <v>165</v>
      </c>
      <c r="L657" s="4">
        <v>165</v>
      </c>
      <c r="M657" t="s">
        <v>44</v>
      </c>
      <c r="N657" t="s">
        <v>77</v>
      </c>
      <c r="O657" t="s">
        <v>99</v>
      </c>
      <c r="P657" t="s">
        <v>99</v>
      </c>
      <c r="Q657" t="s">
        <v>191</v>
      </c>
      <c r="R657" t="s">
        <v>291</v>
      </c>
      <c r="S657" t="s">
        <v>161</v>
      </c>
      <c r="T657" t="s">
        <v>162</v>
      </c>
      <c r="U657" t="s">
        <v>163</v>
      </c>
      <c r="V657" t="s">
        <v>193</v>
      </c>
      <c r="W657" t="s">
        <v>116</v>
      </c>
      <c r="X657" t="s">
        <v>44</v>
      </c>
      <c r="Y657" t="s">
        <v>99</v>
      </c>
      <c r="Z657" t="s">
        <v>421</v>
      </c>
      <c r="AC657" t="str">
        <f>IF(AA657="",M657,AA657)</f>
        <v>sim</v>
      </c>
      <c r="AD657" t="str">
        <f>IF(AB657="",X657,AB657)</f>
        <v>sim</v>
      </c>
      <c r="AE657" t="str">
        <f>IF(OR(Configuracao!B9="",Configuracao!B10=""),"aguardando limiar",IF(AND(K657&gt;=Configuracao!B9,K657/MAX(Reconciliacao!C2,1)&gt;=Configuracao!B10/100),"sim","não"))</f>
        <v>aguardando limiar</v>
      </c>
    </row>
    <row r="658" spans="1:31" x14ac:dyDescent="0.25">
      <c r="A658">
        <v>12258</v>
      </c>
      <c r="C658" t="s">
        <v>740</v>
      </c>
      <c r="D658" t="s">
        <v>736</v>
      </c>
      <c r="E658" t="s">
        <v>451</v>
      </c>
      <c r="F658" t="s">
        <v>290</v>
      </c>
      <c r="G658" t="s">
        <v>297</v>
      </c>
      <c r="H658" t="s">
        <v>296</v>
      </c>
      <c r="I658" t="s">
        <v>420</v>
      </c>
      <c r="J658" t="s">
        <v>420</v>
      </c>
      <c r="K658" s="4">
        <v>309.95</v>
      </c>
      <c r="L658" s="4">
        <v>309.95</v>
      </c>
      <c r="M658" t="s">
        <v>44</v>
      </c>
      <c r="N658" t="s">
        <v>77</v>
      </c>
      <c r="O658" t="s">
        <v>99</v>
      </c>
      <c r="P658" t="s">
        <v>99</v>
      </c>
      <c r="Q658" t="s">
        <v>191</v>
      </c>
      <c r="R658" t="s">
        <v>291</v>
      </c>
      <c r="S658" t="s">
        <v>161</v>
      </c>
      <c r="T658" t="s">
        <v>162</v>
      </c>
      <c r="U658" t="s">
        <v>163</v>
      </c>
      <c r="V658" t="s">
        <v>193</v>
      </c>
      <c r="W658" t="s">
        <v>116</v>
      </c>
      <c r="X658" t="s">
        <v>166</v>
      </c>
      <c r="Y658" t="s">
        <v>741</v>
      </c>
      <c r="Z658" t="s">
        <v>434</v>
      </c>
      <c r="AC658" t="str">
        <f>IF(AA658="",M658,AA658)</f>
        <v>sim</v>
      </c>
      <c r="AD658" t="str">
        <f>IF(AB658="",X658,AB658)</f>
        <v>não</v>
      </c>
      <c r="AE658" t="str">
        <f>IF(OR(Configuracao!B9="",Configuracao!B10=""),"aguardando limiar",IF(AND(K658&gt;=Configuracao!B9,K658/MAX(Reconciliacao!C2,1)&gt;=Configuracao!B10/100),"sim","não"))</f>
        <v>aguardando limiar</v>
      </c>
    </row>
    <row r="659" spans="1:31" x14ac:dyDescent="0.25">
      <c r="A659">
        <v>6704</v>
      </c>
      <c r="C659" t="s">
        <v>742</v>
      </c>
      <c r="D659" t="s">
        <v>743</v>
      </c>
      <c r="E659" t="s">
        <v>451</v>
      </c>
      <c r="F659" t="s">
        <v>290</v>
      </c>
      <c r="G659" t="s">
        <v>297</v>
      </c>
      <c r="H659" t="s">
        <v>296</v>
      </c>
      <c r="I659" t="s">
        <v>32</v>
      </c>
      <c r="J659" t="s">
        <v>32</v>
      </c>
      <c r="K659" s="4">
        <v>709.99</v>
      </c>
      <c r="L659" s="4">
        <v>709.99</v>
      </c>
      <c r="M659" t="s">
        <v>44</v>
      </c>
      <c r="N659" t="s">
        <v>77</v>
      </c>
      <c r="O659" t="s">
        <v>99</v>
      </c>
      <c r="P659" t="s">
        <v>99</v>
      </c>
      <c r="Q659" t="s">
        <v>191</v>
      </c>
      <c r="R659" t="s">
        <v>291</v>
      </c>
      <c r="S659" t="s">
        <v>161</v>
      </c>
      <c r="T659" t="s">
        <v>162</v>
      </c>
      <c r="U659" t="s">
        <v>163</v>
      </c>
      <c r="V659" t="s">
        <v>193</v>
      </c>
      <c r="W659" t="s">
        <v>116</v>
      </c>
      <c r="X659" t="s">
        <v>44</v>
      </c>
      <c r="Y659" t="s">
        <v>99</v>
      </c>
      <c r="Z659" t="s">
        <v>421</v>
      </c>
      <c r="AC659" t="str">
        <f>IF(AA659="",M659,AA659)</f>
        <v>sim</v>
      </c>
      <c r="AD659" t="str">
        <f>IF(AB659="",X659,AB659)</f>
        <v>sim</v>
      </c>
      <c r="AE659" t="str">
        <f>IF(OR(Configuracao!B9="",Configuracao!B10=""),"aguardando limiar",IF(AND(K659&gt;=Configuracao!B9,K659/MAX(Reconciliacao!C2,1)&gt;=Configuracao!B10/100),"sim","não"))</f>
        <v>aguardando limiar</v>
      </c>
    </row>
    <row r="660" spans="1:31" x14ac:dyDescent="0.25">
      <c r="A660">
        <v>6705</v>
      </c>
      <c r="C660" t="s">
        <v>742</v>
      </c>
      <c r="D660" t="s">
        <v>743</v>
      </c>
      <c r="E660" t="s">
        <v>451</v>
      </c>
      <c r="F660" t="s">
        <v>290</v>
      </c>
      <c r="G660" t="s">
        <v>297</v>
      </c>
      <c r="H660" t="s">
        <v>296</v>
      </c>
      <c r="I660" t="s">
        <v>424</v>
      </c>
      <c r="J660" t="s">
        <v>424</v>
      </c>
      <c r="K660" s="4">
        <v>709.99</v>
      </c>
      <c r="L660" s="4">
        <v>709.99</v>
      </c>
      <c r="M660" t="s">
        <v>44</v>
      </c>
      <c r="N660" t="s">
        <v>77</v>
      </c>
      <c r="O660" t="s">
        <v>99</v>
      </c>
      <c r="P660" t="s">
        <v>99</v>
      </c>
      <c r="Q660" t="s">
        <v>191</v>
      </c>
      <c r="R660" t="s">
        <v>291</v>
      </c>
      <c r="S660" t="s">
        <v>161</v>
      </c>
      <c r="T660" t="s">
        <v>162</v>
      </c>
      <c r="U660" t="s">
        <v>163</v>
      </c>
      <c r="V660" t="s">
        <v>193</v>
      </c>
      <c r="W660" t="s">
        <v>116</v>
      </c>
      <c r="X660" t="s">
        <v>44</v>
      </c>
      <c r="Y660" t="s">
        <v>99</v>
      </c>
      <c r="Z660" t="s">
        <v>421</v>
      </c>
      <c r="AC660" t="str">
        <f>IF(AA660="",M660,AA660)</f>
        <v>sim</v>
      </c>
      <c r="AD660" t="str">
        <f>IF(AB660="",X660,AB660)</f>
        <v>sim</v>
      </c>
      <c r="AE660" t="str">
        <f>IF(OR(Configuracao!B9="",Configuracao!B10=""),"aguardando limiar",IF(AND(K660&gt;=Configuracao!B9,K660/MAX(Reconciliacao!C2,1)&gt;=Configuracao!B10/100),"sim","não"))</f>
        <v>aguardando limiar</v>
      </c>
    </row>
    <row r="661" spans="1:31" x14ac:dyDescent="0.25">
      <c r="A661">
        <v>6706</v>
      </c>
      <c r="C661" t="s">
        <v>742</v>
      </c>
      <c r="D661" t="s">
        <v>743</v>
      </c>
      <c r="E661" t="s">
        <v>451</v>
      </c>
      <c r="F661" t="s">
        <v>290</v>
      </c>
      <c r="G661" t="s">
        <v>297</v>
      </c>
      <c r="H661" t="s">
        <v>296</v>
      </c>
      <c r="I661" t="s">
        <v>420</v>
      </c>
      <c r="J661" t="s">
        <v>420</v>
      </c>
      <c r="K661" s="4">
        <v>709.99</v>
      </c>
      <c r="L661" s="4">
        <v>709.99</v>
      </c>
      <c r="M661" t="s">
        <v>44</v>
      </c>
      <c r="N661" t="s">
        <v>77</v>
      </c>
      <c r="O661" t="s">
        <v>99</v>
      </c>
      <c r="P661" t="s">
        <v>99</v>
      </c>
      <c r="Q661" t="s">
        <v>191</v>
      </c>
      <c r="R661" t="s">
        <v>291</v>
      </c>
      <c r="S661" t="s">
        <v>161</v>
      </c>
      <c r="T661" t="s">
        <v>162</v>
      </c>
      <c r="U661" t="s">
        <v>163</v>
      </c>
      <c r="V661" t="s">
        <v>193</v>
      </c>
      <c r="W661" t="s">
        <v>116</v>
      </c>
      <c r="X661" t="s">
        <v>44</v>
      </c>
      <c r="Y661" t="s">
        <v>99</v>
      </c>
      <c r="Z661" t="s">
        <v>421</v>
      </c>
      <c r="AC661" t="str">
        <f>IF(AA661="",M661,AA661)</f>
        <v>sim</v>
      </c>
      <c r="AD661" t="str">
        <f>IF(AB661="",X661,AB661)</f>
        <v>sim</v>
      </c>
      <c r="AE661" t="str">
        <f>IF(OR(Configuracao!B9="",Configuracao!B10=""),"aguardando limiar",IF(AND(K661&gt;=Configuracao!B9,K661/MAX(Reconciliacao!C2,1)&gt;=Configuracao!B10/100),"sim","não"))</f>
        <v>aguardando limiar</v>
      </c>
    </row>
    <row r="662" spans="1:31" x14ac:dyDescent="0.25">
      <c r="A662">
        <v>6707</v>
      </c>
      <c r="C662" t="s">
        <v>742</v>
      </c>
      <c r="D662" t="s">
        <v>743</v>
      </c>
      <c r="E662" t="s">
        <v>451</v>
      </c>
      <c r="F662" t="s">
        <v>290</v>
      </c>
      <c r="G662" t="s">
        <v>297</v>
      </c>
      <c r="H662" t="s">
        <v>296</v>
      </c>
      <c r="I662" t="s">
        <v>454</v>
      </c>
      <c r="J662" t="s">
        <v>454</v>
      </c>
      <c r="K662" s="4">
        <v>709.99</v>
      </c>
      <c r="L662" s="4">
        <v>709.99</v>
      </c>
      <c r="M662" t="s">
        <v>44</v>
      </c>
      <c r="N662" t="s">
        <v>77</v>
      </c>
      <c r="O662" t="s">
        <v>99</v>
      </c>
      <c r="P662" t="s">
        <v>99</v>
      </c>
      <c r="Q662" t="s">
        <v>191</v>
      </c>
      <c r="R662" t="s">
        <v>291</v>
      </c>
      <c r="S662" t="s">
        <v>161</v>
      </c>
      <c r="T662" t="s">
        <v>162</v>
      </c>
      <c r="U662" t="s">
        <v>163</v>
      </c>
      <c r="V662" t="s">
        <v>193</v>
      </c>
      <c r="W662" t="s">
        <v>116</v>
      </c>
      <c r="X662" t="s">
        <v>44</v>
      </c>
      <c r="Y662" t="s">
        <v>99</v>
      </c>
      <c r="Z662" t="s">
        <v>421</v>
      </c>
      <c r="AC662" t="str">
        <f>IF(AA662="",M662,AA662)</f>
        <v>sim</v>
      </c>
      <c r="AD662" t="str">
        <f>IF(AB662="",X662,AB662)</f>
        <v>sim</v>
      </c>
      <c r="AE662" t="str">
        <f>IF(OR(Configuracao!B9="",Configuracao!B10=""),"aguardando limiar",IF(AND(K662&gt;=Configuracao!B9,K662/MAX(Reconciliacao!C2,1)&gt;=Configuracao!B10/100),"sim","não"))</f>
        <v>aguardando limiar</v>
      </c>
    </row>
    <row r="663" spans="1:31" x14ac:dyDescent="0.25">
      <c r="A663">
        <v>6708</v>
      </c>
      <c r="C663" t="s">
        <v>742</v>
      </c>
      <c r="D663" t="s">
        <v>743</v>
      </c>
      <c r="E663" t="s">
        <v>451</v>
      </c>
      <c r="F663" t="s">
        <v>290</v>
      </c>
      <c r="G663" t="s">
        <v>297</v>
      </c>
      <c r="H663" t="s">
        <v>296</v>
      </c>
      <c r="I663" t="s">
        <v>461</v>
      </c>
      <c r="J663" t="s">
        <v>461</v>
      </c>
      <c r="K663" s="4">
        <v>709.99</v>
      </c>
      <c r="L663" s="4">
        <v>709.99</v>
      </c>
      <c r="M663" t="s">
        <v>44</v>
      </c>
      <c r="N663" t="s">
        <v>77</v>
      </c>
      <c r="O663" t="s">
        <v>99</v>
      </c>
      <c r="P663" t="s">
        <v>99</v>
      </c>
      <c r="Q663" t="s">
        <v>191</v>
      </c>
      <c r="R663" t="s">
        <v>291</v>
      </c>
      <c r="S663" t="s">
        <v>161</v>
      </c>
      <c r="T663" t="s">
        <v>162</v>
      </c>
      <c r="U663" t="s">
        <v>163</v>
      </c>
      <c r="V663" t="s">
        <v>193</v>
      </c>
      <c r="W663" t="s">
        <v>116</v>
      </c>
      <c r="X663" t="s">
        <v>44</v>
      </c>
      <c r="Y663" t="s">
        <v>99</v>
      </c>
      <c r="Z663" t="s">
        <v>421</v>
      </c>
      <c r="AC663" t="str">
        <f>IF(AA663="",M663,AA663)</f>
        <v>sim</v>
      </c>
      <c r="AD663" t="str">
        <f>IF(AB663="",X663,AB663)</f>
        <v>sim</v>
      </c>
      <c r="AE663" t="str">
        <f>IF(OR(Configuracao!B9="",Configuracao!B10=""),"aguardando limiar",IF(AND(K663&gt;=Configuracao!B9,K663/MAX(Reconciliacao!C2,1)&gt;=Configuracao!B10/100),"sim","não"))</f>
        <v>aguardando limiar</v>
      </c>
    </row>
    <row r="664" spans="1:31" x14ac:dyDescent="0.25">
      <c r="A664">
        <v>6709</v>
      </c>
      <c r="C664" t="s">
        <v>742</v>
      </c>
      <c r="D664" t="s">
        <v>743</v>
      </c>
      <c r="E664" t="s">
        <v>451</v>
      </c>
      <c r="F664" t="s">
        <v>290</v>
      </c>
      <c r="G664" t="s">
        <v>297</v>
      </c>
      <c r="H664" t="s">
        <v>296</v>
      </c>
      <c r="I664" t="s">
        <v>442</v>
      </c>
      <c r="J664" t="s">
        <v>442</v>
      </c>
      <c r="K664" s="4">
        <v>709.99</v>
      </c>
      <c r="L664" s="4">
        <v>709.99</v>
      </c>
      <c r="M664" t="s">
        <v>44</v>
      </c>
      <c r="N664" t="s">
        <v>77</v>
      </c>
      <c r="O664" t="s">
        <v>99</v>
      </c>
      <c r="P664" t="s">
        <v>99</v>
      </c>
      <c r="Q664" t="s">
        <v>191</v>
      </c>
      <c r="R664" t="s">
        <v>291</v>
      </c>
      <c r="S664" t="s">
        <v>161</v>
      </c>
      <c r="T664" t="s">
        <v>162</v>
      </c>
      <c r="U664" t="s">
        <v>163</v>
      </c>
      <c r="V664" t="s">
        <v>193</v>
      </c>
      <c r="W664" t="s">
        <v>116</v>
      </c>
      <c r="X664" t="s">
        <v>44</v>
      </c>
      <c r="Y664" t="s">
        <v>99</v>
      </c>
      <c r="Z664" t="s">
        <v>421</v>
      </c>
      <c r="AC664" t="str">
        <f>IF(AA664="",M664,AA664)</f>
        <v>sim</v>
      </c>
      <c r="AD664" t="str">
        <f>IF(AB664="",X664,AB664)</f>
        <v>sim</v>
      </c>
      <c r="AE664" t="str">
        <f>IF(OR(Configuracao!B9="",Configuracao!B10=""),"aguardando limiar",IF(AND(K664&gt;=Configuracao!B9,K664/MAX(Reconciliacao!C2,1)&gt;=Configuracao!B10/100),"sim","não"))</f>
        <v>aguardando limiar</v>
      </c>
    </row>
    <row r="665" spans="1:31" x14ac:dyDescent="0.25">
      <c r="A665">
        <v>6710</v>
      </c>
      <c r="C665" t="s">
        <v>742</v>
      </c>
      <c r="D665" t="s">
        <v>743</v>
      </c>
      <c r="E665" t="s">
        <v>451</v>
      </c>
      <c r="F665" t="s">
        <v>290</v>
      </c>
      <c r="G665" t="s">
        <v>297</v>
      </c>
      <c r="H665" t="s">
        <v>296</v>
      </c>
      <c r="I665" t="s">
        <v>439</v>
      </c>
      <c r="J665" t="s">
        <v>439</v>
      </c>
      <c r="K665" s="4">
        <v>709.99</v>
      </c>
      <c r="L665" s="4">
        <v>709.99</v>
      </c>
      <c r="M665" t="s">
        <v>44</v>
      </c>
      <c r="N665" t="s">
        <v>77</v>
      </c>
      <c r="O665" t="s">
        <v>99</v>
      </c>
      <c r="P665" t="s">
        <v>99</v>
      </c>
      <c r="Q665" t="s">
        <v>191</v>
      </c>
      <c r="R665" t="s">
        <v>291</v>
      </c>
      <c r="S665" t="s">
        <v>161</v>
      </c>
      <c r="T665" t="s">
        <v>162</v>
      </c>
      <c r="U665" t="s">
        <v>163</v>
      </c>
      <c r="V665" t="s">
        <v>193</v>
      </c>
      <c r="W665" t="s">
        <v>116</v>
      </c>
      <c r="X665" t="s">
        <v>44</v>
      </c>
      <c r="Y665" t="s">
        <v>99</v>
      </c>
      <c r="Z665" t="s">
        <v>421</v>
      </c>
      <c r="AC665" t="str">
        <f>IF(AA665="",M665,AA665)</f>
        <v>sim</v>
      </c>
      <c r="AD665" t="str">
        <f>IF(AB665="",X665,AB665)</f>
        <v>sim</v>
      </c>
      <c r="AE665" t="str">
        <f>IF(OR(Configuracao!B9="",Configuracao!B10=""),"aguardando limiar",IF(AND(K665&gt;=Configuracao!B9,K665/MAX(Reconciliacao!C2,1)&gt;=Configuracao!B10/100),"sim","não"))</f>
        <v>aguardando limiar</v>
      </c>
    </row>
    <row r="666" spans="1:31" x14ac:dyDescent="0.25">
      <c r="A666">
        <v>6711</v>
      </c>
      <c r="C666" t="s">
        <v>742</v>
      </c>
      <c r="D666" t="s">
        <v>743</v>
      </c>
      <c r="E666" t="s">
        <v>451</v>
      </c>
      <c r="F666" t="s">
        <v>290</v>
      </c>
      <c r="G666" t="s">
        <v>297</v>
      </c>
      <c r="H666" t="s">
        <v>296</v>
      </c>
      <c r="I666" t="s">
        <v>35</v>
      </c>
      <c r="J666" t="s">
        <v>35</v>
      </c>
      <c r="K666" s="4">
        <v>709.99</v>
      </c>
      <c r="L666" s="4">
        <v>709.99</v>
      </c>
      <c r="M666" t="s">
        <v>44</v>
      </c>
      <c r="N666" t="s">
        <v>77</v>
      </c>
      <c r="O666" t="s">
        <v>99</v>
      </c>
      <c r="P666" t="s">
        <v>99</v>
      </c>
      <c r="Q666" t="s">
        <v>191</v>
      </c>
      <c r="R666" t="s">
        <v>291</v>
      </c>
      <c r="S666" t="s">
        <v>161</v>
      </c>
      <c r="T666" t="s">
        <v>162</v>
      </c>
      <c r="U666" t="s">
        <v>163</v>
      </c>
      <c r="V666" t="s">
        <v>193</v>
      </c>
      <c r="W666" t="s">
        <v>116</v>
      </c>
      <c r="X666" t="s">
        <v>44</v>
      </c>
      <c r="Y666" t="s">
        <v>99</v>
      </c>
      <c r="Z666" t="s">
        <v>421</v>
      </c>
      <c r="AC666" t="str">
        <f>IF(AA666="",M666,AA666)</f>
        <v>sim</v>
      </c>
      <c r="AD666" t="str">
        <f>IF(AB666="",X666,AB666)</f>
        <v>sim</v>
      </c>
      <c r="AE666" t="str">
        <f>IF(OR(Configuracao!B9="",Configuracao!B10=""),"aguardando limiar",IF(AND(K666&gt;=Configuracao!B9,K666/MAX(Reconciliacao!C2,1)&gt;=Configuracao!B10/100),"sim","não"))</f>
        <v>aguardando limiar</v>
      </c>
    </row>
    <row r="667" spans="1:31" x14ac:dyDescent="0.25">
      <c r="A667">
        <v>17598</v>
      </c>
      <c r="C667" t="s">
        <v>744</v>
      </c>
      <c r="D667" t="s">
        <v>745</v>
      </c>
      <c r="E667" t="s">
        <v>451</v>
      </c>
      <c r="F667" t="s">
        <v>290</v>
      </c>
      <c r="G667" t="s">
        <v>297</v>
      </c>
      <c r="H667" t="s">
        <v>296</v>
      </c>
      <c r="I667" t="s">
        <v>442</v>
      </c>
      <c r="J667" t="s">
        <v>439</v>
      </c>
      <c r="K667" s="4">
        <v>4665.78</v>
      </c>
      <c r="L667" s="4">
        <v>4665.78</v>
      </c>
      <c r="M667" t="s">
        <v>44</v>
      </c>
      <c r="N667" t="s">
        <v>77</v>
      </c>
      <c r="O667" t="s">
        <v>99</v>
      </c>
      <c r="P667" t="s">
        <v>99</v>
      </c>
      <c r="Q667" t="s">
        <v>191</v>
      </c>
      <c r="R667" t="s">
        <v>291</v>
      </c>
      <c r="S667" t="s">
        <v>161</v>
      </c>
      <c r="T667" t="s">
        <v>162</v>
      </c>
      <c r="U667" t="s">
        <v>163</v>
      </c>
      <c r="V667" t="s">
        <v>193</v>
      </c>
      <c r="W667" t="s">
        <v>116</v>
      </c>
      <c r="X667" t="s">
        <v>166</v>
      </c>
      <c r="Y667" t="s">
        <v>746</v>
      </c>
      <c r="Z667" t="s">
        <v>434</v>
      </c>
      <c r="AC667" t="str">
        <f>IF(AA667="",M667,AA667)</f>
        <v>sim</v>
      </c>
      <c r="AD667" t="str">
        <f>IF(AB667="",X667,AB667)</f>
        <v>não</v>
      </c>
      <c r="AE667" t="str">
        <f>IF(OR(Configuracao!B9="",Configuracao!B10=""),"aguardando limiar",IF(AND(K667&gt;=Configuracao!B9,K667/MAX(Reconciliacao!C2,1)&gt;=Configuracao!B10/100),"sim","não"))</f>
        <v>aguardando limiar</v>
      </c>
    </row>
    <row r="668" spans="1:31" x14ac:dyDescent="0.25">
      <c r="A668">
        <v>8254</v>
      </c>
      <c r="D668" t="s">
        <v>736</v>
      </c>
      <c r="E668" t="s">
        <v>451</v>
      </c>
      <c r="F668" t="s">
        <v>290</v>
      </c>
      <c r="G668" t="s">
        <v>373</v>
      </c>
      <c r="H668" t="s">
        <v>372</v>
      </c>
      <c r="I668" t="s">
        <v>737</v>
      </c>
      <c r="J668" t="s">
        <v>424</v>
      </c>
      <c r="K668" s="4">
        <v>0</v>
      </c>
      <c r="L668" s="4">
        <v>170.91</v>
      </c>
      <c r="M668" t="s">
        <v>44</v>
      </c>
      <c r="N668" t="s">
        <v>77</v>
      </c>
      <c r="O668" t="s">
        <v>99</v>
      </c>
      <c r="P668" t="s">
        <v>99</v>
      </c>
      <c r="Q668" t="s">
        <v>191</v>
      </c>
      <c r="R668" t="s">
        <v>291</v>
      </c>
      <c r="S668" t="s">
        <v>161</v>
      </c>
      <c r="T668" t="s">
        <v>162</v>
      </c>
      <c r="U668" t="s">
        <v>163</v>
      </c>
      <c r="V668" t="s">
        <v>193</v>
      </c>
      <c r="W668" t="s">
        <v>116</v>
      </c>
      <c r="X668" t="s">
        <v>44</v>
      </c>
      <c r="Y668" t="s">
        <v>99</v>
      </c>
      <c r="Z668" t="s">
        <v>421</v>
      </c>
      <c r="AC668" t="str">
        <f>IF(AA668="",M668,AA668)</f>
        <v>sim</v>
      </c>
      <c r="AD668" t="str">
        <f>IF(AB668="",X668,AB668)</f>
        <v>sim</v>
      </c>
      <c r="AE668" t="str">
        <f>IF(OR(Configuracao!B9="",Configuracao!B10=""),"aguardando limiar",IF(AND(K668&gt;=Configuracao!B9,K668/MAX(Reconciliacao!C2,1)&gt;=Configuracao!B10/100),"sim","não"))</f>
        <v>aguardando limiar</v>
      </c>
    </row>
    <row r="669" spans="1:31" x14ac:dyDescent="0.25">
      <c r="A669">
        <v>16209</v>
      </c>
      <c r="D669" t="s">
        <v>747</v>
      </c>
      <c r="E669" t="s">
        <v>451</v>
      </c>
      <c r="F669" t="s">
        <v>290</v>
      </c>
      <c r="G669" t="s">
        <v>373</v>
      </c>
      <c r="H669" t="s">
        <v>372</v>
      </c>
      <c r="I669" t="s">
        <v>461</v>
      </c>
      <c r="J669" t="s">
        <v>461</v>
      </c>
      <c r="K669" s="4">
        <v>4.85</v>
      </c>
      <c r="L669" s="4">
        <v>4.85</v>
      </c>
      <c r="M669" t="s">
        <v>44</v>
      </c>
      <c r="N669" t="s">
        <v>77</v>
      </c>
      <c r="O669" t="s">
        <v>99</v>
      </c>
      <c r="P669" t="s">
        <v>99</v>
      </c>
      <c r="Q669" t="s">
        <v>191</v>
      </c>
      <c r="R669" t="s">
        <v>291</v>
      </c>
      <c r="S669" t="s">
        <v>161</v>
      </c>
      <c r="T669" t="s">
        <v>162</v>
      </c>
      <c r="U669" t="s">
        <v>163</v>
      </c>
      <c r="V669" t="s">
        <v>193</v>
      </c>
      <c r="W669" t="s">
        <v>116</v>
      </c>
      <c r="X669" t="s">
        <v>44</v>
      </c>
      <c r="Y669" t="s">
        <v>99</v>
      </c>
      <c r="Z669" t="s">
        <v>421</v>
      </c>
      <c r="AC669" t="str">
        <f>IF(AA669="",M669,AA669)</f>
        <v>sim</v>
      </c>
      <c r="AD669" t="str">
        <f>IF(AB669="",X669,AB669)</f>
        <v>sim</v>
      </c>
      <c r="AE669" t="str">
        <f>IF(OR(Configuracao!B9="",Configuracao!B10=""),"aguardando limiar",IF(AND(K669&gt;=Configuracao!B9,K669/MAX(Reconciliacao!C2,1)&gt;=Configuracao!B10/100),"sim","não"))</f>
        <v>aguardando limiar</v>
      </c>
    </row>
    <row r="670" spans="1:31" x14ac:dyDescent="0.25">
      <c r="A670">
        <v>8257</v>
      </c>
      <c r="D670" t="s">
        <v>736</v>
      </c>
      <c r="E670" t="s">
        <v>451</v>
      </c>
      <c r="F670" t="s">
        <v>290</v>
      </c>
      <c r="G670" t="s">
        <v>373</v>
      </c>
      <c r="H670" t="s">
        <v>372</v>
      </c>
      <c r="I670" t="s">
        <v>420</v>
      </c>
      <c r="J670" t="s">
        <v>420</v>
      </c>
      <c r="K670" s="4">
        <v>20.94</v>
      </c>
      <c r="L670" s="4">
        <v>20.94</v>
      </c>
      <c r="M670" t="s">
        <v>44</v>
      </c>
      <c r="N670" t="s">
        <v>77</v>
      </c>
      <c r="O670" t="s">
        <v>99</v>
      </c>
      <c r="P670" t="s">
        <v>99</v>
      </c>
      <c r="Q670" t="s">
        <v>191</v>
      </c>
      <c r="R670" t="s">
        <v>291</v>
      </c>
      <c r="S670" t="s">
        <v>161</v>
      </c>
      <c r="T670" t="s">
        <v>162</v>
      </c>
      <c r="U670" t="s">
        <v>163</v>
      </c>
      <c r="V670" t="s">
        <v>193</v>
      </c>
      <c r="W670" t="s">
        <v>116</v>
      </c>
      <c r="X670" t="s">
        <v>44</v>
      </c>
      <c r="Y670" t="s">
        <v>99</v>
      </c>
      <c r="Z670" t="s">
        <v>421</v>
      </c>
      <c r="AC670" t="str">
        <f>IF(AA670="",M670,AA670)</f>
        <v>sim</v>
      </c>
      <c r="AD670" t="str">
        <f>IF(AB670="",X670,AB670)</f>
        <v>sim</v>
      </c>
      <c r="AE670" t="str">
        <f>IF(OR(Configuracao!B9="",Configuracao!B10=""),"aguardando limiar",IF(AND(K670&gt;=Configuracao!B9,K670/MAX(Reconciliacao!C2,1)&gt;=Configuracao!B10/100),"sim","não"))</f>
        <v>aguardando limiar</v>
      </c>
    </row>
    <row r="671" spans="1:31" x14ac:dyDescent="0.25">
      <c r="A671">
        <v>8255</v>
      </c>
      <c r="D671" t="s">
        <v>736</v>
      </c>
      <c r="E671" t="s">
        <v>451</v>
      </c>
      <c r="F671" t="s">
        <v>290</v>
      </c>
      <c r="G671" t="s">
        <v>373</v>
      </c>
      <c r="H671" t="s">
        <v>372</v>
      </c>
      <c r="I671" t="s">
        <v>32</v>
      </c>
      <c r="J671" t="s">
        <v>32</v>
      </c>
      <c r="K671" s="4">
        <v>170.91</v>
      </c>
      <c r="L671" s="4">
        <v>170.91</v>
      </c>
      <c r="M671" t="s">
        <v>44</v>
      </c>
      <c r="N671" t="s">
        <v>77</v>
      </c>
      <c r="O671" t="s">
        <v>99</v>
      </c>
      <c r="P671" t="s">
        <v>99</v>
      </c>
      <c r="Q671" t="s">
        <v>191</v>
      </c>
      <c r="R671" t="s">
        <v>291</v>
      </c>
      <c r="S671" t="s">
        <v>161</v>
      </c>
      <c r="T671" t="s">
        <v>162</v>
      </c>
      <c r="U671" t="s">
        <v>163</v>
      </c>
      <c r="V671" t="s">
        <v>193</v>
      </c>
      <c r="W671" t="s">
        <v>116</v>
      </c>
      <c r="X671" t="s">
        <v>44</v>
      </c>
      <c r="Y671" t="s">
        <v>99</v>
      </c>
      <c r="Z671" t="s">
        <v>421</v>
      </c>
      <c r="AC671" t="str">
        <f>IF(AA671="",M671,AA671)</f>
        <v>sim</v>
      </c>
      <c r="AD671" t="str">
        <f>IF(AB671="",X671,AB671)</f>
        <v>sim</v>
      </c>
      <c r="AE671" t="str">
        <f>IF(OR(Configuracao!B9="",Configuracao!B10=""),"aguardando limiar",IF(AND(K671&gt;=Configuracao!B9,K671/MAX(Reconciliacao!C2,1)&gt;=Configuracao!B10/100),"sim","não"))</f>
        <v>aguardando limiar</v>
      </c>
    </row>
    <row r="672" spans="1:31" x14ac:dyDescent="0.25">
      <c r="A672">
        <v>8256</v>
      </c>
      <c r="D672" t="s">
        <v>736</v>
      </c>
      <c r="E672" t="s">
        <v>451</v>
      </c>
      <c r="F672" t="s">
        <v>290</v>
      </c>
      <c r="G672" t="s">
        <v>373</v>
      </c>
      <c r="H672" t="s">
        <v>372</v>
      </c>
      <c r="I672" t="s">
        <v>424</v>
      </c>
      <c r="J672" t="s">
        <v>424</v>
      </c>
      <c r="K672" s="4">
        <v>170.91</v>
      </c>
      <c r="L672" s="4">
        <v>170.91</v>
      </c>
      <c r="M672" t="s">
        <v>44</v>
      </c>
      <c r="N672" t="s">
        <v>77</v>
      </c>
      <c r="O672" t="s">
        <v>99</v>
      </c>
      <c r="P672" t="s">
        <v>99</v>
      </c>
      <c r="Q672" t="s">
        <v>191</v>
      </c>
      <c r="R672" t="s">
        <v>291</v>
      </c>
      <c r="S672" t="s">
        <v>161</v>
      </c>
      <c r="T672" t="s">
        <v>162</v>
      </c>
      <c r="U672" t="s">
        <v>163</v>
      </c>
      <c r="V672" t="s">
        <v>193</v>
      </c>
      <c r="W672" t="s">
        <v>116</v>
      </c>
      <c r="X672" t="s">
        <v>44</v>
      </c>
      <c r="Y672" t="s">
        <v>99</v>
      </c>
      <c r="Z672" t="s">
        <v>421</v>
      </c>
      <c r="AC672" t="str">
        <f>IF(AA672="",M672,AA672)</f>
        <v>sim</v>
      </c>
      <c r="AD672" t="str">
        <f>IF(AB672="",X672,AB672)</f>
        <v>sim</v>
      </c>
      <c r="AE672" t="str">
        <f>IF(OR(Configuracao!B9="",Configuracao!B10=""),"aguardando limiar",IF(AND(K672&gt;=Configuracao!B9,K672/MAX(Reconciliacao!C2,1)&gt;=Configuracao!B10/100),"sim","não"))</f>
        <v>aguardando limiar</v>
      </c>
    </row>
    <row r="673" spans="1:31" x14ac:dyDescent="0.25">
      <c r="A673">
        <v>8258</v>
      </c>
      <c r="D673" t="s">
        <v>736</v>
      </c>
      <c r="E673" t="s">
        <v>451</v>
      </c>
      <c r="F673" t="s">
        <v>290</v>
      </c>
      <c r="G673" t="s">
        <v>373</v>
      </c>
      <c r="H673" t="s">
        <v>372</v>
      </c>
      <c r="I673" t="s">
        <v>454</v>
      </c>
      <c r="J673" t="s">
        <v>454</v>
      </c>
      <c r="K673" s="4">
        <v>170.91</v>
      </c>
      <c r="L673" s="4">
        <v>170.91</v>
      </c>
      <c r="M673" t="s">
        <v>44</v>
      </c>
      <c r="N673" t="s">
        <v>77</v>
      </c>
      <c r="O673" t="s">
        <v>99</v>
      </c>
      <c r="P673" t="s">
        <v>99</v>
      </c>
      <c r="Q673" t="s">
        <v>191</v>
      </c>
      <c r="R673" t="s">
        <v>291</v>
      </c>
      <c r="S673" t="s">
        <v>161</v>
      </c>
      <c r="T673" t="s">
        <v>162</v>
      </c>
      <c r="U673" t="s">
        <v>163</v>
      </c>
      <c r="V673" t="s">
        <v>193</v>
      </c>
      <c r="W673" t="s">
        <v>116</v>
      </c>
      <c r="X673" t="s">
        <v>44</v>
      </c>
      <c r="Y673" t="s">
        <v>99</v>
      </c>
      <c r="Z673" t="s">
        <v>421</v>
      </c>
      <c r="AC673" t="str">
        <f>IF(AA673="",M673,AA673)</f>
        <v>sim</v>
      </c>
      <c r="AD673" t="str">
        <f>IF(AB673="",X673,AB673)</f>
        <v>sim</v>
      </c>
      <c r="AE673" t="str">
        <f>IF(OR(Configuracao!B9="",Configuracao!B10=""),"aguardando limiar",IF(AND(K673&gt;=Configuracao!B9,K673/MAX(Reconciliacao!C2,1)&gt;=Configuracao!B10/100),"sim","não"))</f>
        <v>aguardando limiar</v>
      </c>
    </row>
    <row r="674" spans="1:31" x14ac:dyDescent="0.25">
      <c r="A674">
        <v>8259</v>
      </c>
      <c r="D674" t="s">
        <v>736</v>
      </c>
      <c r="E674" t="s">
        <v>451</v>
      </c>
      <c r="F674" t="s">
        <v>290</v>
      </c>
      <c r="G674" t="s">
        <v>373</v>
      </c>
      <c r="H674" t="s">
        <v>372</v>
      </c>
      <c r="I674" t="s">
        <v>461</v>
      </c>
      <c r="J674" t="s">
        <v>461</v>
      </c>
      <c r="K674" s="4">
        <v>170.91</v>
      </c>
      <c r="L674" s="4">
        <v>170.91</v>
      </c>
      <c r="M674" t="s">
        <v>44</v>
      </c>
      <c r="N674" t="s">
        <v>77</v>
      </c>
      <c r="O674" t="s">
        <v>99</v>
      </c>
      <c r="P674" t="s">
        <v>99</v>
      </c>
      <c r="Q674" t="s">
        <v>191</v>
      </c>
      <c r="R674" t="s">
        <v>291</v>
      </c>
      <c r="S674" t="s">
        <v>161</v>
      </c>
      <c r="T674" t="s">
        <v>162</v>
      </c>
      <c r="U674" t="s">
        <v>163</v>
      </c>
      <c r="V674" t="s">
        <v>193</v>
      </c>
      <c r="W674" t="s">
        <v>116</v>
      </c>
      <c r="X674" t="s">
        <v>44</v>
      </c>
      <c r="Y674" t="s">
        <v>99</v>
      </c>
      <c r="Z674" t="s">
        <v>421</v>
      </c>
      <c r="AC674" t="str">
        <f>IF(AA674="",M674,AA674)</f>
        <v>sim</v>
      </c>
      <c r="AD674" t="str">
        <f>IF(AB674="",X674,AB674)</f>
        <v>sim</v>
      </c>
      <c r="AE674" t="str">
        <f>IF(OR(Configuracao!B9="",Configuracao!B10=""),"aguardando limiar",IF(AND(K674&gt;=Configuracao!B9,K674/MAX(Reconciliacao!C2,1)&gt;=Configuracao!B10/100),"sim","não"))</f>
        <v>aguardando limiar</v>
      </c>
    </row>
    <row r="675" spans="1:31" x14ac:dyDescent="0.25">
      <c r="A675">
        <v>8260</v>
      </c>
      <c r="D675" t="s">
        <v>736</v>
      </c>
      <c r="E675" t="s">
        <v>451</v>
      </c>
      <c r="F675" t="s">
        <v>290</v>
      </c>
      <c r="G675" t="s">
        <v>373</v>
      </c>
      <c r="H675" t="s">
        <v>372</v>
      </c>
      <c r="I675" t="s">
        <v>442</v>
      </c>
      <c r="J675" t="s">
        <v>442</v>
      </c>
      <c r="K675" s="4">
        <v>170.91</v>
      </c>
      <c r="L675" s="4">
        <v>170.91</v>
      </c>
      <c r="M675" t="s">
        <v>44</v>
      </c>
      <c r="N675" t="s">
        <v>77</v>
      </c>
      <c r="O675" t="s">
        <v>99</v>
      </c>
      <c r="P675" t="s">
        <v>99</v>
      </c>
      <c r="Q675" t="s">
        <v>191</v>
      </c>
      <c r="R675" t="s">
        <v>291</v>
      </c>
      <c r="S675" t="s">
        <v>161</v>
      </c>
      <c r="T675" t="s">
        <v>162</v>
      </c>
      <c r="U675" t="s">
        <v>163</v>
      </c>
      <c r="V675" t="s">
        <v>193</v>
      </c>
      <c r="W675" t="s">
        <v>116</v>
      </c>
      <c r="X675" t="s">
        <v>44</v>
      </c>
      <c r="Y675" t="s">
        <v>99</v>
      </c>
      <c r="Z675" t="s">
        <v>421</v>
      </c>
      <c r="AC675" t="str">
        <f>IF(AA675="",M675,AA675)</f>
        <v>sim</v>
      </c>
      <c r="AD675" t="str">
        <f>IF(AB675="",X675,AB675)</f>
        <v>sim</v>
      </c>
      <c r="AE675" t="str">
        <f>IF(OR(Configuracao!B9="",Configuracao!B10=""),"aguardando limiar",IF(AND(K675&gt;=Configuracao!B9,K675/MAX(Reconciliacao!C2,1)&gt;=Configuracao!B10/100),"sim","não"))</f>
        <v>aguardando limiar</v>
      </c>
    </row>
    <row r="676" spans="1:31" x14ac:dyDescent="0.25">
      <c r="A676">
        <v>8261</v>
      </c>
      <c r="D676" t="s">
        <v>736</v>
      </c>
      <c r="E676" t="s">
        <v>451</v>
      </c>
      <c r="F676" t="s">
        <v>290</v>
      </c>
      <c r="G676" t="s">
        <v>373</v>
      </c>
      <c r="H676" t="s">
        <v>372</v>
      </c>
      <c r="I676" t="s">
        <v>439</v>
      </c>
      <c r="J676" t="s">
        <v>439</v>
      </c>
      <c r="K676" s="4">
        <v>170.91</v>
      </c>
      <c r="L676" s="4">
        <v>170.91</v>
      </c>
      <c r="M676" t="s">
        <v>44</v>
      </c>
      <c r="N676" t="s">
        <v>77</v>
      </c>
      <c r="O676" t="s">
        <v>99</v>
      </c>
      <c r="P676" t="s">
        <v>99</v>
      </c>
      <c r="Q676" t="s">
        <v>191</v>
      </c>
      <c r="R676" t="s">
        <v>291</v>
      </c>
      <c r="S676" t="s">
        <v>161</v>
      </c>
      <c r="T676" t="s">
        <v>162</v>
      </c>
      <c r="U676" t="s">
        <v>163</v>
      </c>
      <c r="V676" t="s">
        <v>193</v>
      </c>
      <c r="W676" t="s">
        <v>116</v>
      </c>
      <c r="X676" t="s">
        <v>44</v>
      </c>
      <c r="Y676" t="s">
        <v>99</v>
      </c>
      <c r="Z676" t="s">
        <v>421</v>
      </c>
      <c r="AC676" t="str">
        <f>IF(AA676="",M676,AA676)</f>
        <v>sim</v>
      </c>
      <c r="AD676" t="str">
        <f>IF(AB676="",X676,AB676)</f>
        <v>sim</v>
      </c>
      <c r="AE676" t="str">
        <f>IF(OR(Configuracao!B9="",Configuracao!B10=""),"aguardando limiar",IF(AND(K676&gt;=Configuracao!B9,K676/MAX(Reconciliacao!C2,1)&gt;=Configuracao!B10/100),"sim","não"))</f>
        <v>aguardando limiar</v>
      </c>
    </row>
    <row r="677" spans="1:31" x14ac:dyDescent="0.25">
      <c r="A677">
        <v>8262</v>
      </c>
      <c r="D677" t="s">
        <v>736</v>
      </c>
      <c r="E677" t="s">
        <v>451</v>
      </c>
      <c r="F677" t="s">
        <v>290</v>
      </c>
      <c r="G677" t="s">
        <v>373</v>
      </c>
      <c r="H677" t="s">
        <v>372</v>
      </c>
      <c r="I677" t="s">
        <v>35</v>
      </c>
      <c r="J677" t="s">
        <v>35</v>
      </c>
      <c r="K677" s="4">
        <v>170.91</v>
      </c>
      <c r="L677" s="4">
        <v>170.91</v>
      </c>
      <c r="M677" t="s">
        <v>44</v>
      </c>
      <c r="N677" t="s">
        <v>77</v>
      </c>
      <c r="O677" t="s">
        <v>99</v>
      </c>
      <c r="P677" t="s">
        <v>99</v>
      </c>
      <c r="Q677" t="s">
        <v>191</v>
      </c>
      <c r="R677" t="s">
        <v>291</v>
      </c>
      <c r="S677" t="s">
        <v>161</v>
      </c>
      <c r="T677" t="s">
        <v>162</v>
      </c>
      <c r="U677" t="s">
        <v>163</v>
      </c>
      <c r="V677" t="s">
        <v>193</v>
      </c>
      <c r="W677" t="s">
        <v>116</v>
      </c>
      <c r="X677" t="s">
        <v>44</v>
      </c>
      <c r="Y677" t="s">
        <v>99</v>
      </c>
      <c r="Z677" t="s">
        <v>421</v>
      </c>
      <c r="AC677" t="str">
        <f>IF(AA677="",M677,AA677)</f>
        <v>sim</v>
      </c>
      <c r="AD677" t="str">
        <f>IF(AB677="",X677,AB677)</f>
        <v>sim</v>
      </c>
      <c r="AE677" t="str">
        <f>IF(OR(Configuracao!B9="",Configuracao!B10=""),"aguardando limiar",IF(AND(K677&gt;=Configuracao!B9,K677/MAX(Reconciliacao!C2,1)&gt;=Configuracao!B10/100),"sim","não"))</f>
        <v>aguardando limiar</v>
      </c>
    </row>
    <row r="678" spans="1:31" x14ac:dyDescent="0.25">
      <c r="A678">
        <v>5932</v>
      </c>
      <c r="D678" t="s">
        <v>748</v>
      </c>
      <c r="E678" t="s">
        <v>451</v>
      </c>
      <c r="F678" t="s">
        <v>290</v>
      </c>
      <c r="G678" t="s">
        <v>365</v>
      </c>
      <c r="H678" t="s">
        <v>364</v>
      </c>
      <c r="I678" t="s">
        <v>32</v>
      </c>
      <c r="J678" t="s">
        <v>32</v>
      </c>
      <c r="K678" s="4">
        <v>217.74</v>
      </c>
      <c r="L678" s="4">
        <v>217.74</v>
      </c>
      <c r="M678" t="s">
        <v>44</v>
      </c>
      <c r="N678" t="s">
        <v>77</v>
      </c>
      <c r="O678" t="s">
        <v>99</v>
      </c>
      <c r="P678" t="s">
        <v>99</v>
      </c>
      <c r="Q678" t="s">
        <v>191</v>
      </c>
      <c r="R678" t="s">
        <v>291</v>
      </c>
      <c r="S678" t="s">
        <v>161</v>
      </c>
      <c r="T678" t="s">
        <v>162</v>
      </c>
      <c r="U678" t="s">
        <v>163</v>
      </c>
      <c r="V678" t="s">
        <v>193</v>
      </c>
      <c r="W678" t="s">
        <v>116</v>
      </c>
      <c r="X678" t="s">
        <v>44</v>
      </c>
      <c r="Y678" t="s">
        <v>99</v>
      </c>
      <c r="Z678" t="s">
        <v>421</v>
      </c>
      <c r="AC678" t="str">
        <f>IF(AA678="",M678,AA678)</f>
        <v>sim</v>
      </c>
      <c r="AD678" t="str">
        <f>IF(AB678="",X678,AB678)</f>
        <v>sim</v>
      </c>
      <c r="AE678" t="str">
        <f>IF(OR(Configuracao!B9="",Configuracao!B10=""),"aguardando limiar",IF(AND(K678&gt;=Configuracao!B9,K678/MAX(Reconciliacao!C2,1)&gt;=Configuracao!B10/100),"sim","não"))</f>
        <v>aguardando limiar</v>
      </c>
    </row>
    <row r="679" spans="1:31" x14ac:dyDescent="0.25">
      <c r="A679">
        <v>5933</v>
      </c>
      <c r="D679" t="s">
        <v>748</v>
      </c>
      <c r="E679" t="s">
        <v>451</v>
      </c>
      <c r="F679" t="s">
        <v>290</v>
      </c>
      <c r="G679" t="s">
        <v>365</v>
      </c>
      <c r="H679" t="s">
        <v>364</v>
      </c>
      <c r="I679" t="s">
        <v>424</v>
      </c>
      <c r="J679" t="s">
        <v>424</v>
      </c>
      <c r="K679" s="4">
        <v>217.74</v>
      </c>
      <c r="L679" s="4">
        <v>217.74</v>
      </c>
      <c r="M679" t="s">
        <v>44</v>
      </c>
      <c r="N679" t="s">
        <v>77</v>
      </c>
      <c r="O679" t="s">
        <v>99</v>
      </c>
      <c r="P679" t="s">
        <v>99</v>
      </c>
      <c r="Q679" t="s">
        <v>191</v>
      </c>
      <c r="R679" t="s">
        <v>291</v>
      </c>
      <c r="S679" t="s">
        <v>161</v>
      </c>
      <c r="T679" t="s">
        <v>162</v>
      </c>
      <c r="U679" t="s">
        <v>163</v>
      </c>
      <c r="V679" t="s">
        <v>193</v>
      </c>
      <c r="W679" t="s">
        <v>116</v>
      </c>
      <c r="X679" t="s">
        <v>44</v>
      </c>
      <c r="Y679" t="s">
        <v>99</v>
      </c>
      <c r="Z679" t="s">
        <v>421</v>
      </c>
      <c r="AC679" t="str">
        <f>IF(AA679="",M679,AA679)</f>
        <v>sim</v>
      </c>
      <c r="AD679" t="str">
        <f>IF(AB679="",X679,AB679)</f>
        <v>sim</v>
      </c>
      <c r="AE679" t="str">
        <f>IF(OR(Configuracao!B9="",Configuracao!B10=""),"aguardando limiar",IF(AND(K679&gt;=Configuracao!B9,K679/MAX(Reconciliacao!C2,1)&gt;=Configuracao!B10/100),"sim","não"))</f>
        <v>aguardando limiar</v>
      </c>
    </row>
    <row r="680" spans="1:31" x14ac:dyDescent="0.25">
      <c r="A680">
        <v>5934</v>
      </c>
      <c r="D680" t="s">
        <v>748</v>
      </c>
      <c r="E680" t="s">
        <v>451</v>
      </c>
      <c r="F680" t="s">
        <v>290</v>
      </c>
      <c r="G680" t="s">
        <v>365</v>
      </c>
      <c r="H680" t="s">
        <v>364</v>
      </c>
      <c r="I680" t="s">
        <v>420</v>
      </c>
      <c r="J680" t="s">
        <v>420</v>
      </c>
      <c r="K680" s="4">
        <v>217.74</v>
      </c>
      <c r="L680" s="4">
        <v>217.74</v>
      </c>
      <c r="M680" t="s">
        <v>44</v>
      </c>
      <c r="N680" t="s">
        <v>77</v>
      </c>
      <c r="O680" t="s">
        <v>99</v>
      </c>
      <c r="P680" t="s">
        <v>99</v>
      </c>
      <c r="Q680" t="s">
        <v>191</v>
      </c>
      <c r="R680" t="s">
        <v>291</v>
      </c>
      <c r="S680" t="s">
        <v>161</v>
      </c>
      <c r="T680" t="s">
        <v>162</v>
      </c>
      <c r="U680" t="s">
        <v>163</v>
      </c>
      <c r="V680" t="s">
        <v>193</v>
      </c>
      <c r="W680" t="s">
        <v>116</v>
      </c>
      <c r="X680" t="s">
        <v>44</v>
      </c>
      <c r="Y680" t="s">
        <v>99</v>
      </c>
      <c r="Z680" t="s">
        <v>421</v>
      </c>
      <c r="AC680" t="str">
        <f>IF(AA680="",M680,AA680)</f>
        <v>sim</v>
      </c>
      <c r="AD680" t="str">
        <f>IF(AB680="",X680,AB680)</f>
        <v>sim</v>
      </c>
      <c r="AE680" t="str">
        <f>IF(OR(Configuracao!B9="",Configuracao!B10=""),"aguardando limiar",IF(AND(K680&gt;=Configuracao!B9,K680/MAX(Reconciliacao!C2,1)&gt;=Configuracao!B10/100),"sim","não"))</f>
        <v>aguardando limiar</v>
      </c>
    </row>
    <row r="681" spans="1:31" x14ac:dyDescent="0.25">
      <c r="A681">
        <v>5935</v>
      </c>
      <c r="D681" t="s">
        <v>748</v>
      </c>
      <c r="E681" t="s">
        <v>451</v>
      </c>
      <c r="F681" t="s">
        <v>290</v>
      </c>
      <c r="G681" t="s">
        <v>365</v>
      </c>
      <c r="H681" t="s">
        <v>364</v>
      </c>
      <c r="I681" t="s">
        <v>454</v>
      </c>
      <c r="J681" t="s">
        <v>454</v>
      </c>
      <c r="K681" s="4">
        <v>217.74</v>
      </c>
      <c r="L681" s="4">
        <v>217.74</v>
      </c>
      <c r="M681" t="s">
        <v>44</v>
      </c>
      <c r="N681" t="s">
        <v>77</v>
      </c>
      <c r="O681" t="s">
        <v>99</v>
      </c>
      <c r="P681" t="s">
        <v>99</v>
      </c>
      <c r="Q681" t="s">
        <v>191</v>
      </c>
      <c r="R681" t="s">
        <v>291</v>
      </c>
      <c r="S681" t="s">
        <v>161</v>
      </c>
      <c r="T681" t="s">
        <v>162</v>
      </c>
      <c r="U681" t="s">
        <v>163</v>
      </c>
      <c r="V681" t="s">
        <v>193</v>
      </c>
      <c r="W681" t="s">
        <v>116</v>
      </c>
      <c r="X681" t="s">
        <v>44</v>
      </c>
      <c r="Y681" t="s">
        <v>99</v>
      </c>
      <c r="Z681" t="s">
        <v>421</v>
      </c>
      <c r="AC681" t="str">
        <f>IF(AA681="",M681,AA681)</f>
        <v>sim</v>
      </c>
      <c r="AD681" t="str">
        <f>IF(AB681="",X681,AB681)</f>
        <v>sim</v>
      </c>
      <c r="AE681" t="str">
        <f>IF(OR(Configuracao!B9="",Configuracao!B10=""),"aguardando limiar",IF(AND(K681&gt;=Configuracao!B9,K681/MAX(Reconciliacao!C2,1)&gt;=Configuracao!B10/100),"sim","não"))</f>
        <v>aguardando limiar</v>
      </c>
    </row>
    <row r="682" spans="1:31" x14ac:dyDescent="0.25">
      <c r="A682">
        <v>5936</v>
      </c>
      <c r="D682" t="s">
        <v>748</v>
      </c>
      <c r="E682" t="s">
        <v>451</v>
      </c>
      <c r="F682" t="s">
        <v>290</v>
      </c>
      <c r="G682" t="s">
        <v>365</v>
      </c>
      <c r="H682" t="s">
        <v>364</v>
      </c>
      <c r="I682" t="s">
        <v>461</v>
      </c>
      <c r="J682" t="s">
        <v>461</v>
      </c>
      <c r="K682" s="4">
        <v>217.74</v>
      </c>
      <c r="L682" s="4">
        <v>217.74</v>
      </c>
      <c r="M682" t="s">
        <v>44</v>
      </c>
      <c r="N682" t="s">
        <v>77</v>
      </c>
      <c r="O682" t="s">
        <v>99</v>
      </c>
      <c r="P682" t="s">
        <v>99</v>
      </c>
      <c r="Q682" t="s">
        <v>191</v>
      </c>
      <c r="R682" t="s">
        <v>291</v>
      </c>
      <c r="S682" t="s">
        <v>161</v>
      </c>
      <c r="T682" t="s">
        <v>162</v>
      </c>
      <c r="U682" t="s">
        <v>163</v>
      </c>
      <c r="V682" t="s">
        <v>193</v>
      </c>
      <c r="W682" t="s">
        <v>116</v>
      </c>
      <c r="X682" t="s">
        <v>44</v>
      </c>
      <c r="Y682" t="s">
        <v>99</v>
      </c>
      <c r="Z682" t="s">
        <v>421</v>
      </c>
      <c r="AC682" t="str">
        <f>IF(AA682="",M682,AA682)</f>
        <v>sim</v>
      </c>
      <c r="AD682" t="str">
        <f>IF(AB682="",X682,AB682)</f>
        <v>sim</v>
      </c>
      <c r="AE682" t="str">
        <f>IF(OR(Configuracao!B9="",Configuracao!B10=""),"aguardando limiar",IF(AND(K682&gt;=Configuracao!B9,K682/MAX(Reconciliacao!C2,1)&gt;=Configuracao!B10/100),"sim","não"))</f>
        <v>aguardando limiar</v>
      </c>
    </row>
    <row r="683" spans="1:31" x14ac:dyDescent="0.25">
      <c r="A683">
        <v>5937</v>
      </c>
      <c r="D683" t="s">
        <v>748</v>
      </c>
      <c r="E683" t="s">
        <v>451</v>
      </c>
      <c r="F683" t="s">
        <v>290</v>
      </c>
      <c r="G683" t="s">
        <v>365</v>
      </c>
      <c r="H683" t="s">
        <v>364</v>
      </c>
      <c r="I683" t="s">
        <v>442</v>
      </c>
      <c r="J683" t="s">
        <v>442</v>
      </c>
      <c r="K683" s="4">
        <v>217.74</v>
      </c>
      <c r="L683" s="4">
        <v>217.74</v>
      </c>
      <c r="M683" t="s">
        <v>44</v>
      </c>
      <c r="N683" t="s">
        <v>77</v>
      </c>
      <c r="O683" t="s">
        <v>99</v>
      </c>
      <c r="P683" t="s">
        <v>99</v>
      </c>
      <c r="Q683" t="s">
        <v>191</v>
      </c>
      <c r="R683" t="s">
        <v>291</v>
      </c>
      <c r="S683" t="s">
        <v>161</v>
      </c>
      <c r="T683" t="s">
        <v>162</v>
      </c>
      <c r="U683" t="s">
        <v>163</v>
      </c>
      <c r="V683" t="s">
        <v>193</v>
      </c>
      <c r="W683" t="s">
        <v>116</v>
      </c>
      <c r="X683" t="s">
        <v>44</v>
      </c>
      <c r="Y683" t="s">
        <v>99</v>
      </c>
      <c r="Z683" t="s">
        <v>421</v>
      </c>
      <c r="AC683" t="str">
        <f>IF(AA683="",M683,AA683)</f>
        <v>sim</v>
      </c>
      <c r="AD683" t="str">
        <f>IF(AB683="",X683,AB683)</f>
        <v>sim</v>
      </c>
      <c r="AE683" t="str">
        <f>IF(OR(Configuracao!B9="",Configuracao!B10=""),"aguardando limiar",IF(AND(K683&gt;=Configuracao!B9,K683/MAX(Reconciliacao!C2,1)&gt;=Configuracao!B10/100),"sim","não"))</f>
        <v>aguardando limiar</v>
      </c>
    </row>
    <row r="684" spans="1:31" x14ac:dyDescent="0.25">
      <c r="A684">
        <v>5938</v>
      </c>
      <c r="D684" t="s">
        <v>748</v>
      </c>
      <c r="E684" t="s">
        <v>451</v>
      </c>
      <c r="F684" t="s">
        <v>290</v>
      </c>
      <c r="G684" t="s">
        <v>365</v>
      </c>
      <c r="H684" t="s">
        <v>364</v>
      </c>
      <c r="I684" t="s">
        <v>439</v>
      </c>
      <c r="J684" t="s">
        <v>439</v>
      </c>
      <c r="K684" s="4">
        <v>217.74</v>
      </c>
      <c r="L684" s="4">
        <v>217.74</v>
      </c>
      <c r="M684" t="s">
        <v>44</v>
      </c>
      <c r="N684" t="s">
        <v>77</v>
      </c>
      <c r="O684" t="s">
        <v>99</v>
      </c>
      <c r="P684" t="s">
        <v>99</v>
      </c>
      <c r="Q684" t="s">
        <v>191</v>
      </c>
      <c r="R684" t="s">
        <v>291</v>
      </c>
      <c r="S684" t="s">
        <v>161</v>
      </c>
      <c r="T684" t="s">
        <v>162</v>
      </c>
      <c r="U684" t="s">
        <v>163</v>
      </c>
      <c r="V684" t="s">
        <v>193</v>
      </c>
      <c r="W684" t="s">
        <v>116</v>
      </c>
      <c r="X684" t="s">
        <v>44</v>
      </c>
      <c r="Y684" t="s">
        <v>99</v>
      </c>
      <c r="Z684" t="s">
        <v>421</v>
      </c>
      <c r="AC684" t="str">
        <f>IF(AA684="",M684,AA684)</f>
        <v>sim</v>
      </c>
      <c r="AD684" t="str">
        <f>IF(AB684="",X684,AB684)</f>
        <v>sim</v>
      </c>
      <c r="AE684" t="str">
        <f>IF(OR(Configuracao!B9="",Configuracao!B10=""),"aguardando limiar",IF(AND(K684&gt;=Configuracao!B9,K684/MAX(Reconciliacao!C2,1)&gt;=Configuracao!B10/100),"sim","não"))</f>
        <v>aguardando limiar</v>
      </c>
    </row>
    <row r="685" spans="1:31" x14ac:dyDescent="0.25">
      <c r="A685">
        <v>5939</v>
      </c>
      <c r="D685" t="s">
        <v>748</v>
      </c>
      <c r="E685" t="s">
        <v>451</v>
      </c>
      <c r="F685" t="s">
        <v>290</v>
      </c>
      <c r="G685" t="s">
        <v>365</v>
      </c>
      <c r="H685" t="s">
        <v>364</v>
      </c>
      <c r="I685" t="s">
        <v>35</v>
      </c>
      <c r="J685" t="s">
        <v>35</v>
      </c>
      <c r="K685" s="4">
        <v>217.74</v>
      </c>
      <c r="L685" s="4">
        <v>217.74</v>
      </c>
      <c r="M685" t="s">
        <v>44</v>
      </c>
      <c r="N685" t="s">
        <v>77</v>
      </c>
      <c r="O685" t="s">
        <v>99</v>
      </c>
      <c r="P685" t="s">
        <v>99</v>
      </c>
      <c r="Q685" t="s">
        <v>191</v>
      </c>
      <c r="R685" t="s">
        <v>291</v>
      </c>
      <c r="S685" t="s">
        <v>161</v>
      </c>
      <c r="T685" t="s">
        <v>162</v>
      </c>
      <c r="U685" t="s">
        <v>163</v>
      </c>
      <c r="V685" t="s">
        <v>193</v>
      </c>
      <c r="W685" t="s">
        <v>116</v>
      </c>
      <c r="X685" t="s">
        <v>44</v>
      </c>
      <c r="Y685" t="s">
        <v>99</v>
      </c>
      <c r="Z685" t="s">
        <v>421</v>
      </c>
      <c r="AC685" t="str">
        <f>IF(AA685="",M685,AA685)</f>
        <v>sim</v>
      </c>
      <c r="AD685" t="str">
        <f>IF(AB685="",X685,AB685)</f>
        <v>sim</v>
      </c>
      <c r="AE685" t="str">
        <f>IF(OR(Configuracao!B9="",Configuracao!B10=""),"aguardando limiar",IF(AND(K685&gt;=Configuracao!B9,K685/MAX(Reconciliacao!C2,1)&gt;=Configuracao!B10/100),"sim","não"))</f>
        <v>aguardando limiar</v>
      </c>
    </row>
    <row r="686" spans="1:31" x14ac:dyDescent="0.25">
      <c r="A686">
        <v>7229</v>
      </c>
      <c r="D686" t="s">
        <v>739</v>
      </c>
      <c r="E686" t="s">
        <v>451</v>
      </c>
      <c r="F686" t="s">
        <v>290</v>
      </c>
      <c r="G686" t="s">
        <v>367</v>
      </c>
      <c r="H686" t="s">
        <v>366</v>
      </c>
      <c r="I686" t="s">
        <v>32</v>
      </c>
      <c r="J686" t="s">
        <v>32</v>
      </c>
      <c r="K686" s="4">
        <v>54.65</v>
      </c>
      <c r="L686" s="4">
        <v>54.65</v>
      </c>
      <c r="M686" t="s">
        <v>44</v>
      </c>
      <c r="N686" t="s">
        <v>77</v>
      </c>
      <c r="O686" t="s">
        <v>99</v>
      </c>
      <c r="P686" t="s">
        <v>99</v>
      </c>
      <c r="Q686" t="s">
        <v>191</v>
      </c>
      <c r="R686" t="s">
        <v>291</v>
      </c>
      <c r="S686" t="s">
        <v>161</v>
      </c>
      <c r="T686" t="s">
        <v>162</v>
      </c>
      <c r="U686" t="s">
        <v>163</v>
      </c>
      <c r="V686" t="s">
        <v>193</v>
      </c>
      <c r="W686" t="s">
        <v>116</v>
      </c>
      <c r="X686" t="s">
        <v>44</v>
      </c>
      <c r="Y686" t="s">
        <v>99</v>
      </c>
      <c r="Z686" t="s">
        <v>421</v>
      </c>
      <c r="AC686" t="str">
        <f>IF(AA686="",M686,AA686)</f>
        <v>sim</v>
      </c>
      <c r="AD686" t="str">
        <f>IF(AB686="",X686,AB686)</f>
        <v>sim</v>
      </c>
      <c r="AE686" t="str">
        <f>IF(OR(Configuracao!B9="",Configuracao!B10=""),"aguardando limiar",IF(AND(K686&gt;=Configuracao!B9,K686/MAX(Reconciliacao!C2,1)&gt;=Configuracao!B10/100),"sim","não"))</f>
        <v>aguardando limiar</v>
      </c>
    </row>
    <row r="687" spans="1:31" x14ac:dyDescent="0.25">
      <c r="A687">
        <v>7230</v>
      </c>
      <c r="D687" t="s">
        <v>739</v>
      </c>
      <c r="E687" t="s">
        <v>451</v>
      </c>
      <c r="F687" t="s">
        <v>290</v>
      </c>
      <c r="G687" t="s">
        <v>367</v>
      </c>
      <c r="H687" t="s">
        <v>366</v>
      </c>
      <c r="I687" t="s">
        <v>424</v>
      </c>
      <c r="J687" t="s">
        <v>424</v>
      </c>
      <c r="K687" s="4">
        <v>54.65</v>
      </c>
      <c r="L687" s="4">
        <v>54.65</v>
      </c>
      <c r="M687" t="s">
        <v>44</v>
      </c>
      <c r="N687" t="s">
        <v>77</v>
      </c>
      <c r="O687" t="s">
        <v>99</v>
      </c>
      <c r="P687" t="s">
        <v>99</v>
      </c>
      <c r="Q687" t="s">
        <v>191</v>
      </c>
      <c r="R687" t="s">
        <v>291</v>
      </c>
      <c r="S687" t="s">
        <v>161</v>
      </c>
      <c r="T687" t="s">
        <v>162</v>
      </c>
      <c r="U687" t="s">
        <v>163</v>
      </c>
      <c r="V687" t="s">
        <v>193</v>
      </c>
      <c r="W687" t="s">
        <v>116</v>
      </c>
      <c r="X687" t="s">
        <v>44</v>
      </c>
      <c r="Y687" t="s">
        <v>99</v>
      </c>
      <c r="Z687" t="s">
        <v>421</v>
      </c>
      <c r="AC687" t="str">
        <f>IF(AA687="",M687,AA687)</f>
        <v>sim</v>
      </c>
      <c r="AD687" t="str">
        <f>IF(AB687="",X687,AB687)</f>
        <v>sim</v>
      </c>
      <c r="AE687" t="str">
        <f>IF(OR(Configuracao!B9="",Configuracao!B10=""),"aguardando limiar",IF(AND(K687&gt;=Configuracao!B9,K687/MAX(Reconciliacao!C2,1)&gt;=Configuracao!B10/100),"sim","não"))</f>
        <v>aguardando limiar</v>
      </c>
    </row>
    <row r="688" spans="1:31" x14ac:dyDescent="0.25">
      <c r="A688">
        <v>7231</v>
      </c>
      <c r="D688" t="s">
        <v>739</v>
      </c>
      <c r="E688" t="s">
        <v>451</v>
      </c>
      <c r="F688" t="s">
        <v>290</v>
      </c>
      <c r="G688" t="s">
        <v>367</v>
      </c>
      <c r="H688" t="s">
        <v>366</v>
      </c>
      <c r="I688" t="s">
        <v>420</v>
      </c>
      <c r="J688" t="s">
        <v>420</v>
      </c>
      <c r="K688" s="4">
        <v>54.65</v>
      </c>
      <c r="L688" s="4">
        <v>54.65</v>
      </c>
      <c r="M688" t="s">
        <v>44</v>
      </c>
      <c r="N688" t="s">
        <v>77</v>
      </c>
      <c r="O688" t="s">
        <v>99</v>
      </c>
      <c r="P688" t="s">
        <v>99</v>
      </c>
      <c r="Q688" t="s">
        <v>191</v>
      </c>
      <c r="R688" t="s">
        <v>291</v>
      </c>
      <c r="S688" t="s">
        <v>161</v>
      </c>
      <c r="T688" t="s">
        <v>162</v>
      </c>
      <c r="U688" t="s">
        <v>163</v>
      </c>
      <c r="V688" t="s">
        <v>193</v>
      </c>
      <c r="W688" t="s">
        <v>116</v>
      </c>
      <c r="X688" t="s">
        <v>44</v>
      </c>
      <c r="Y688" t="s">
        <v>99</v>
      </c>
      <c r="Z688" t="s">
        <v>421</v>
      </c>
      <c r="AC688" t="str">
        <f>IF(AA688="",M688,AA688)</f>
        <v>sim</v>
      </c>
      <c r="AD688" t="str">
        <f>IF(AB688="",X688,AB688)</f>
        <v>sim</v>
      </c>
      <c r="AE688" t="str">
        <f>IF(OR(Configuracao!B9="",Configuracao!B10=""),"aguardando limiar",IF(AND(K688&gt;=Configuracao!B9,K688/MAX(Reconciliacao!C2,1)&gt;=Configuracao!B10/100),"sim","não"))</f>
        <v>aguardando limiar</v>
      </c>
    </row>
    <row r="689" spans="1:31" x14ac:dyDescent="0.25">
      <c r="A689">
        <v>7232</v>
      </c>
      <c r="D689" t="s">
        <v>739</v>
      </c>
      <c r="E689" t="s">
        <v>451</v>
      </c>
      <c r="F689" t="s">
        <v>290</v>
      </c>
      <c r="G689" t="s">
        <v>367</v>
      </c>
      <c r="H689" t="s">
        <v>366</v>
      </c>
      <c r="I689" t="s">
        <v>454</v>
      </c>
      <c r="J689" t="s">
        <v>454</v>
      </c>
      <c r="K689" s="4">
        <v>54.65</v>
      </c>
      <c r="L689" s="4">
        <v>54.65</v>
      </c>
      <c r="M689" t="s">
        <v>44</v>
      </c>
      <c r="N689" t="s">
        <v>77</v>
      </c>
      <c r="O689" t="s">
        <v>99</v>
      </c>
      <c r="P689" t="s">
        <v>99</v>
      </c>
      <c r="Q689" t="s">
        <v>191</v>
      </c>
      <c r="R689" t="s">
        <v>291</v>
      </c>
      <c r="S689" t="s">
        <v>161</v>
      </c>
      <c r="T689" t="s">
        <v>162</v>
      </c>
      <c r="U689" t="s">
        <v>163</v>
      </c>
      <c r="V689" t="s">
        <v>193</v>
      </c>
      <c r="W689" t="s">
        <v>116</v>
      </c>
      <c r="X689" t="s">
        <v>44</v>
      </c>
      <c r="Y689" t="s">
        <v>99</v>
      </c>
      <c r="Z689" t="s">
        <v>421</v>
      </c>
      <c r="AC689" t="str">
        <f>IF(AA689="",M689,AA689)</f>
        <v>sim</v>
      </c>
      <c r="AD689" t="str">
        <f>IF(AB689="",X689,AB689)</f>
        <v>sim</v>
      </c>
      <c r="AE689" t="str">
        <f>IF(OR(Configuracao!B9="",Configuracao!B10=""),"aguardando limiar",IF(AND(K689&gt;=Configuracao!B9,K689/MAX(Reconciliacao!C2,1)&gt;=Configuracao!B10/100),"sim","não"))</f>
        <v>aguardando limiar</v>
      </c>
    </row>
    <row r="690" spans="1:31" x14ac:dyDescent="0.25">
      <c r="A690">
        <v>7233</v>
      </c>
      <c r="D690" t="s">
        <v>739</v>
      </c>
      <c r="E690" t="s">
        <v>451</v>
      </c>
      <c r="F690" t="s">
        <v>290</v>
      </c>
      <c r="G690" t="s">
        <v>367</v>
      </c>
      <c r="H690" t="s">
        <v>366</v>
      </c>
      <c r="I690" t="s">
        <v>461</v>
      </c>
      <c r="J690" t="s">
        <v>461</v>
      </c>
      <c r="K690" s="4">
        <v>54.65</v>
      </c>
      <c r="L690" s="4">
        <v>54.65</v>
      </c>
      <c r="M690" t="s">
        <v>44</v>
      </c>
      <c r="N690" t="s">
        <v>77</v>
      </c>
      <c r="O690" t="s">
        <v>99</v>
      </c>
      <c r="P690" t="s">
        <v>99</v>
      </c>
      <c r="Q690" t="s">
        <v>191</v>
      </c>
      <c r="R690" t="s">
        <v>291</v>
      </c>
      <c r="S690" t="s">
        <v>161</v>
      </c>
      <c r="T690" t="s">
        <v>162</v>
      </c>
      <c r="U690" t="s">
        <v>163</v>
      </c>
      <c r="V690" t="s">
        <v>193</v>
      </c>
      <c r="W690" t="s">
        <v>116</v>
      </c>
      <c r="X690" t="s">
        <v>44</v>
      </c>
      <c r="Y690" t="s">
        <v>99</v>
      </c>
      <c r="Z690" t="s">
        <v>421</v>
      </c>
      <c r="AC690" t="str">
        <f>IF(AA690="",M690,AA690)</f>
        <v>sim</v>
      </c>
      <c r="AD690" t="str">
        <f>IF(AB690="",X690,AB690)</f>
        <v>sim</v>
      </c>
      <c r="AE690" t="str">
        <f>IF(OR(Configuracao!B9="",Configuracao!B10=""),"aguardando limiar",IF(AND(K690&gt;=Configuracao!B9,K690/MAX(Reconciliacao!C2,1)&gt;=Configuracao!B10/100),"sim","não"))</f>
        <v>aguardando limiar</v>
      </c>
    </row>
    <row r="691" spans="1:31" x14ac:dyDescent="0.25">
      <c r="A691">
        <v>7234</v>
      </c>
      <c r="D691" t="s">
        <v>739</v>
      </c>
      <c r="E691" t="s">
        <v>451</v>
      </c>
      <c r="F691" t="s">
        <v>290</v>
      </c>
      <c r="G691" t="s">
        <v>367</v>
      </c>
      <c r="H691" t="s">
        <v>366</v>
      </c>
      <c r="I691" t="s">
        <v>442</v>
      </c>
      <c r="J691" t="s">
        <v>442</v>
      </c>
      <c r="K691" s="4">
        <v>54.65</v>
      </c>
      <c r="L691" s="4">
        <v>54.65</v>
      </c>
      <c r="M691" t="s">
        <v>44</v>
      </c>
      <c r="N691" t="s">
        <v>77</v>
      </c>
      <c r="O691" t="s">
        <v>99</v>
      </c>
      <c r="P691" t="s">
        <v>99</v>
      </c>
      <c r="Q691" t="s">
        <v>191</v>
      </c>
      <c r="R691" t="s">
        <v>291</v>
      </c>
      <c r="S691" t="s">
        <v>161</v>
      </c>
      <c r="T691" t="s">
        <v>162</v>
      </c>
      <c r="U691" t="s">
        <v>163</v>
      </c>
      <c r="V691" t="s">
        <v>193</v>
      </c>
      <c r="W691" t="s">
        <v>116</v>
      </c>
      <c r="X691" t="s">
        <v>44</v>
      </c>
      <c r="Y691" t="s">
        <v>99</v>
      </c>
      <c r="Z691" t="s">
        <v>421</v>
      </c>
      <c r="AC691" t="str">
        <f>IF(AA691="",M691,AA691)</f>
        <v>sim</v>
      </c>
      <c r="AD691" t="str">
        <f>IF(AB691="",X691,AB691)</f>
        <v>sim</v>
      </c>
      <c r="AE691" t="str">
        <f>IF(OR(Configuracao!B9="",Configuracao!B10=""),"aguardando limiar",IF(AND(K691&gt;=Configuracao!B9,K691/MAX(Reconciliacao!C2,1)&gt;=Configuracao!B10/100),"sim","não"))</f>
        <v>aguardando limiar</v>
      </c>
    </row>
    <row r="692" spans="1:31" x14ac:dyDescent="0.25">
      <c r="A692">
        <v>7235</v>
      </c>
      <c r="D692" t="s">
        <v>739</v>
      </c>
      <c r="E692" t="s">
        <v>451</v>
      </c>
      <c r="F692" t="s">
        <v>290</v>
      </c>
      <c r="G692" t="s">
        <v>367</v>
      </c>
      <c r="H692" t="s">
        <v>366</v>
      </c>
      <c r="I692" t="s">
        <v>439</v>
      </c>
      <c r="J692" t="s">
        <v>439</v>
      </c>
      <c r="K692" s="4">
        <v>55.9</v>
      </c>
      <c r="L692" s="4">
        <v>55.9</v>
      </c>
      <c r="M692" t="s">
        <v>44</v>
      </c>
      <c r="N692" t="s">
        <v>77</v>
      </c>
      <c r="O692" t="s">
        <v>99</v>
      </c>
      <c r="P692" t="s">
        <v>99</v>
      </c>
      <c r="Q692" t="s">
        <v>191</v>
      </c>
      <c r="R692" t="s">
        <v>291</v>
      </c>
      <c r="S692" t="s">
        <v>161</v>
      </c>
      <c r="T692" t="s">
        <v>162</v>
      </c>
      <c r="U692" t="s">
        <v>163</v>
      </c>
      <c r="V692" t="s">
        <v>193</v>
      </c>
      <c r="W692" t="s">
        <v>116</v>
      </c>
      <c r="X692" t="s">
        <v>44</v>
      </c>
      <c r="Y692" t="s">
        <v>99</v>
      </c>
      <c r="Z692" t="s">
        <v>421</v>
      </c>
      <c r="AC692" t="str">
        <f>IF(AA692="",M692,AA692)</f>
        <v>sim</v>
      </c>
      <c r="AD692" t="str">
        <f>IF(AB692="",X692,AB692)</f>
        <v>sim</v>
      </c>
      <c r="AE692" t="str">
        <f>IF(OR(Configuracao!B9="",Configuracao!B10=""),"aguardando limiar",IF(AND(K692&gt;=Configuracao!B9,K692/MAX(Reconciliacao!C2,1)&gt;=Configuracao!B10/100),"sim","não"))</f>
        <v>aguardando limiar</v>
      </c>
    </row>
    <row r="693" spans="1:31" x14ac:dyDescent="0.25">
      <c r="A693">
        <v>7236</v>
      </c>
      <c r="D693" t="s">
        <v>739</v>
      </c>
      <c r="E693" t="s">
        <v>451</v>
      </c>
      <c r="F693" t="s">
        <v>290</v>
      </c>
      <c r="G693" t="s">
        <v>367</v>
      </c>
      <c r="H693" t="s">
        <v>366</v>
      </c>
      <c r="I693" t="s">
        <v>35</v>
      </c>
      <c r="J693" t="s">
        <v>35</v>
      </c>
      <c r="K693" s="4">
        <v>55.9</v>
      </c>
      <c r="L693" s="4">
        <v>55.9</v>
      </c>
      <c r="M693" t="s">
        <v>44</v>
      </c>
      <c r="N693" t="s">
        <v>77</v>
      </c>
      <c r="O693" t="s">
        <v>99</v>
      </c>
      <c r="P693" t="s">
        <v>99</v>
      </c>
      <c r="Q693" t="s">
        <v>191</v>
      </c>
      <c r="R693" t="s">
        <v>291</v>
      </c>
      <c r="S693" t="s">
        <v>161</v>
      </c>
      <c r="T693" t="s">
        <v>162</v>
      </c>
      <c r="U693" t="s">
        <v>163</v>
      </c>
      <c r="V693" t="s">
        <v>193</v>
      </c>
      <c r="W693" t="s">
        <v>116</v>
      </c>
      <c r="X693" t="s">
        <v>44</v>
      </c>
      <c r="Y693" t="s">
        <v>99</v>
      </c>
      <c r="Z693" t="s">
        <v>421</v>
      </c>
      <c r="AC693" t="str">
        <f>IF(AA693="",M693,AA693)</f>
        <v>sim</v>
      </c>
      <c r="AD693" t="str">
        <f>IF(AB693="",X693,AB693)</f>
        <v>sim</v>
      </c>
      <c r="AE693" t="str">
        <f>IF(OR(Configuracao!B9="",Configuracao!B10=""),"aguardando limiar",IF(AND(K693&gt;=Configuracao!B9,K693/MAX(Reconciliacao!C2,1)&gt;=Configuracao!B10/100),"sim","não"))</f>
        <v>aguardando limiar</v>
      </c>
    </row>
    <row r="694" spans="1:31" x14ac:dyDescent="0.25">
      <c r="A694">
        <v>7215</v>
      </c>
      <c r="D694" t="s">
        <v>739</v>
      </c>
      <c r="E694" t="s">
        <v>451</v>
      </c>
      <c r="F694" t="s">
        <v>290</v>
      </c>
      <c r="G694" t="s">
        <v>367</v>
      </c>
      <c r="H694" t="s">
        <v>366</v>
      </c>
      <c r="I694" t="s">
        <v>32</v>
      </c>
      <c r="J694" t="s">
        <v>32</v>
      </c>
      <c r="K694" s="4">
        <v>58.41</v>
      </c>
      <c r="L694" s="4">
        <v>58.41</v>
      </c>
      <c r="M694" t="s">
        <v>44</v>
      </c>
      <c r="N694" t="s">
        <v>77</v>
      </c>
      <c r="O694" t="s">
        <v>99</v>
      </c>
      <c r="P694" t="s">
        <v>99</v>
      </c>
      <c r="Q694" t="s">
        <v>191</v>
      </c>
      <c r="R694" t="s">
        <v>291</v>
      </c>
      <c r="S694" t="s">
        <v>161</v>
      </c>
      <c r="T694" t="s">
        <v>162</v>
      </c>
      <c r="U694" t="s">
        <v>163</v>
      </c>
      <c r="V694" t="s">
        <v>193</v>
      </c>
      <c r="W694" t="s">
        <v>116</v>
      </c>
      <c r="X694" t="s">
        <v>44</v>
      </c>
      <c r="Y694" t="s">
        <v>99</v>
      </c>
      <c r="Z694" t="s">
        <v>421</v>
      </c>
      <c r="AC694" t="str">
        <f>IF(AA694="",M694,AA694)</f>
        <v>sim</v>
      </c>
      <c r="AD694" t="str">
        <f>IF(AB694="",X694,AB694)</f>
        <v>sim</v>
      </c>
      <c r="AE694" t="str">
        <f>IF(OR(Configuracao!B9="",Configuracao!B10=""),"aguardando limiar",IF(AND(K694&gt;=Configuracao!B9,K694/MAX(Reconciliacao!C2,1)&gt;=Configuracao!B10/100),"sim","não"))</f>
        <v>aguardando limiar</v>
      </c>
    </row>
    <row r="695" spans="1:31" x14ac:dyDescent="0.25">
      <c r="A695">
        <v>7216</v>
      </c>
      <c r="D695" t="s">
        <v>739</v>
      </c>
      <c r="E695" t="s">
        <v>451</v>
      </c>
      <c r="F695" t="s">
        <v>290</v>
      </c>
      <c r="G695" t="s">
        <v>367</v>
      </c>
      <c r="H695" t="s">
        <v>366</v>
      </c>
      <c r="I695" t="s">
        <v>424</v>
      </c>
      <c r="J695" t="s">
        <v>424</v>
      </c>
      <c r="K695" s="4">
        <v>58.41</v>
      </c>
      <c r="L695" s="4">
        <v>58.41</v>
      </c>
      <c r="M695" t="s">
        <v>44</v>
      </c>
      <c r="N695" t="s">
        <v>77</v>
      </c>
      <c r="O695" t="s">
        <v>99</v>
      </c>
      <c r="P695" t="s">
        <v>99</v>
      </c>
      <c r="Q695" t="s">
        <v>191</v>
      </c>
      <c r="R695" t="s">
        <v>291</v>
      </c>
      <c r="S695" t="s">
        <v>161</v>
      </c>
      <c r="T695" t="s">
        <v>162</v>
      </c>
      <c r="U695" t="s">
        <v>163</v>
      </c>
      <c r="V695" t="s">
        <v>193</v>
      </c>
      <c r="W695" t="s">
        <v>116</v>
      </c>
      <c r="X695" t="s">
        <v>44</v>
      </c>
      <c r="Y695" t="s">
        <v>99</v>
      </c>
      <c r="Z695" t="s">
        <v>421</v>
      </c>
      <c r="AC695" t="str">
        <f>IF(AA695="",M695,AA695)</f>
        <v>sim</v>
      </c>
      <c r="AD695" t="str">
        <f>IF(AB695="",X695,AB695)</f>
        <v>sim</v>
      </c>
      <c r="AE695" t="str">
        <f>IF(OR(Configuracao!B9="",Configuracao!B10=""),"aguardando limiar",IF(AND(K695&gt;=Configuracao!B9,K695/MAX(Reconciliacao!C2,1)&gt;=Configuracao!B10/100),"sim","não"))</f>
        <v>aguardando limiar</v>
      </c>
    </row>
    <row r="696" spans="1:31" x14ac:dyDescent="0.25">
      <c r="A696">
        <v>7217</v>
      </c>
      <c r="D696" t="s">
        <v>739</v>
      </c>
      <c r="E696" t="s">
        <v>451</v>
      </c>
      <c r="F696" t="s">
        <v>290</v>
      </c>
      <c r="G696" t="s">
        <v>367</v>
      </c>
      <c r="H696" t="s">
        <v>366</v>
      </c>
      <c r="I696" t="s">
        <v>420</v>
      </c>
      <c r="J696" t="s">
        <v>420</v>
      </c>
      <c r="K696" s="4">
        <v>58.41</v>
      </c>
      <c r="L696" s="4">
        <v>58.41</v>
      </c>
      <c r="M696" t="s">
        <v>44</v>
      </c>
      <c r="N696" t="s">
        <v>77</v>
      </c>
      <c r="O696" t="s">
        <v>99</v>
      </c>
      <c r="P696" t="s">
        <v>99</v>
      </c>
      <c r="Q696" t="s">
        <v>191</v>
      </c>
      <c r="R696" t="s">
        <v>291</v>
      </c>
      <c r="S696" t="s">
        <v>161</v>
      </c>
      <c r="T696" t="s">
        <v>162</v>
      </c>
      <c r="U696" t="s">
        <v>163</v>
      </c>
      <c r="V696" t="s">
        <v>193</v>
      </c>
      <c r="W696" t="s">
        <v>116</v>
      </c>
      <c r="X696" t="s">
        <v>44</v>
      </c>
      <c r="Y696" t="s">
        <v>99</v>
      </c>
      <c r="Z696" t="s">
        <v>421</v>
      </c>
      <c r="AC696" t="str">
        <f>IF(AA696="",M696,AA696)</f>
        <v>sim</v>
      </c>
      <c r="AD696" t="str">
        <f>IF(AB696="",X696,AB696)</f>
        <v>sim</v>
      </c>
      <c r="AE696" t="str">
        <f>IF(OR(Configuracao!B9="",Configuracao!B10=""),"aguardando limiar",IF(AND(K696&gt;=Configuracao!B9,K696/MAX(Reconciliacao!C2,1)&gt;=Configuracao!B10/100),"sim","não"))</f>
        <v>aguardando limiar</v>
      </c>
    </row>
    <row r="697" spans="1:31" x14ac:dyDescent="0.25">
      <c r="A697">
        <v>7218</v>
      </c>
      <c r="D697" t="s">
        <v>739</v>
      </c>
      <c r="E697" t="s">
        <v>451</v>
      </c>
      <c r="F697" t="s">
        <v>290</v>
      </c>
      <c r="G697" t="s">
        <v>367</v>
      </c>
      <c r="H697" t="s">
        <v>366</v>
      </c>
      <c r="I697" t="s">
        <v>454</v>
      </c>
      <c r="J697" t="s">
        <v>454</v>
      </c>
      <c r="K697" s="4">
        <v>58.41</v>
      </c>
      <c r="L697" s="4">
        <v>58.41</v>
      </c>
      <c r="M697" t="s">
        <v>44</v>
      </c>
      <c r="N697" t="s">
        <v>77</v>
      </c>
      <c r="O697" t="s">
        <v>99</v>
      </c>
      <c r="P697" t="s">
        <v>99</v>
      </c>
      <c r="Q697" t="s">
        <v>191</v>
      </c>
      <c r="R697" t="s">
        <v>291</v>
      </c>
      <c r="S697" t="s">
        <v>161</v>
      </c>
      <c r="T697" t="s">
        <v>162</v>
      </c>
      <c r="U697" t="s">
        <v>163</v>
      </c>
      <c r="V697" t="s">
        <v>193</v>
      </c>
      <c r="W697" t="s">
        <v>116</v>
      </c>
      <c r="X697" t="s">
        <v>44</v>
      </c>
      <c r="Y697" t="s">
        <v>99</v>
      </c>
      <c r="Z697" t="s">
        <v>421</v>
      </c>
      <c r="AC697" t="str">
        <f>IF(AA697="",M697,AA697)</f>
        <v>sim</v>
      </c>
      <c r="AD697" t="str">
        <f>IF(AB697="",X697,AB697)</f>
        <v>sim</v>
      </c>
      <c r="AE697" t="str">
        <f>IF(OR(Configuracao!B9="",Configuracao!B10=""),"aguardando limiar",IF(AND(K697&gt;=Configuracao!B9,K697/MAX(Reconciliacao!C2,1)&gt;=Configuracao!B10/100),"sim","não"))</f>
        <v>aguardando limiar</v>
      </c>
    </row>
    <row r="698" spans="1:31" x14ac:dyDescent="0.25">
      <c r="A698">
        <v>7219</v>
      </c>
      <c r="D698" t="s">
        <v>739</v>
      </c>
      <c r="E698" t="s">
        <v>451</v>
      </c>
      <c r="F698" t="s">
        <v>290</v>
      </c>
      <c r="G698" t="s">
        <v>367</v>
      </c>
      <c r="H698" t="s">
        <v>366</v>
      </c>
      <c r="I698" t="s">
        <v>461</v>
      </c>
      <c r="J698" t="s">
        <v>461</v>
      </c>
      <c r="K698" s="4">
        <v>58.41</v>
      </c>
      <c r="L698" s="4">
        <v>58.41</v>
      </c>
      <c r="M698" t="s">
        <v>44</v>
      </c>
      <c r="N698" t="s">
        <v>77</v>
      </c>
      <c r="O698" t="s">
        <v>99</v>
      </c>
      <c r="P698" t="s">
        <v>99</v>
      </c>
      <c r="Q698" t="s">
        <v>191</v>
      </c>
      <c r="R698" t="s">
        <v>291</v>
      </c>
      <c r="S698" t="s">
        <v>161</v>
      </c>
      <c r="T698" t="s">
        <v>162</v>
      </c>
      <c r="U698" t="s">
        <v>163</v>
      </c>
      <c r="V698" t="s">
        <v>193</v>
      </c>
      <c r="W698" t="s">
        <v>116</v>
      </c>
      <c r="X698" t="s">
        <v>44</v>
      </c>
      <c r="Y698" t="s">
        <v>99</v>
      </c>
      <c r="Z698" t="s">
        <v>421</v>
      </c>
      <c r="AC698" t="str">
        <f>IF(AA698="",M698,AA698)</f>
        <v>sim</v>
      </c>
      <c r="AD698" t="str">
        <f>IF(AB698="",X698,AB698)</f>
        <v>sim</v>
      </c>
      <c r="AE698" t="str">
        <f>IF(OR(Configuracao!B9="",Configuracao!B10=""),"aguardando limiar",IF(AND(K698&gt;=Configuracao!B9,K698/MAX(Reconciliacao!C2,1)&gt;=Configuracao!B10/100),"sim","não"))</f>
        <v>aguardando limiar</v>
      </c>
    </row>
    <row r="699" spans="1:31" x14ac:dyDescent="0.25">
      <c r="A699">
        <v>7220</v>
      </c>
      <c r="D699" t="s">
        <v>739</v>
      </c>
      <c r="E699" t="s">
        <v>451</v>
      </c>
      <c r="F699" t="s">
        <v>290</v>
      </c>
      <c r="G699" t="s">
        <v>367</v>
      </c>
      <c r="H699" t="s">
        <v>366</v>
      </c>
      <c r="I699" t="s">
        <v>442</v>
      </c>
      <c r="J699" t="s">
        <v>442</v>
      </c>
      <c r="K699" s="4">
        <v>58.41</v>
      </c>
      <c r="L699" s="4">
        <v>58.41</v>
      </c>
      <c r="M699" t="s">
        <v>44</v>
      </c>
      <c r="N699" t="s">
        <v>77</v>
      </c>
      <c r="O699" t="s">
        <v>99</v>
      </c>
      <c r="P699" t="s">
        <v>99</v>
      </c>
      <c r="Q699" t="s">
        <v>191</v>
      </c>
      <c r="R699" t="s">
        <v>291</v>
      </c>
      <c r="S699" t="s">
        <v>161</v>
      </c>
      <c r="T699" t="s">
        <v>162</v>
      </c>
      <c r="U699" t="s">
        <v>163</v>
      </c>
      <c r="V699" t="s">
        <v>193</v>
      </c>
      <c r="W699" t="s">
        <v>116</v>
      </c>
      <c r="X699" t="s">
        <v>44</v>
      </c>
      <c r="Y699" t="s">
        <v>99</v>
      </c>
      <c r="Z699" t="s">
        <v>421</v>
      </c>
      <c r="AC699" t="str">
        <f>IF(AA699="",M699,AA699)</f>
        <v>sim</v>
      </c>
      <c r="AD699" t="str">
        <f>IF(AB699="",X699,AB699)</f>
        <v>sim</v>
      </c>
      <c r="AE699" t="str">
        <f>IF(OR(Configuracao!B9="",Configuracao!B10=""),"aguardando limiar",IF(AND(K699&gt;=Configuracao!B9,K699/MAX(Reconciliacao!C2,1)&gt;=Configuracao!B10/100),"sim","não"))</f>
        <v>aguardando limiar</v>
      </c>
    </row>
    <row r="700" spans="1:31" x14ac:dyDescent="0.25">
      <c r="A700">
        <v>7221</v>
      </c>
      <c r="D700" t="s">
        <v>739</v>
      </c>
      <c r="E700" t="s">
        <v>451</v>
      </c>
      <c r="F700" t="s">
        <v>290</v>
      </c>
      <c r="G700" t="s">
        <v>367</v>
      </c>
      <c r="H700" t="s">
        <v>366</v>
      </c>
      <c r="I700" t="s">
        <v>439</v>
      </c>
      <c r="J700" t="s">
        <v>439</v>
      </c>
      <c r="K700" s="4">
        <v>59.9</v>
      </c>
      <c r="L700" s="4">
        <v>59.9</v>
      </c>
      <c r="M700" t="s">
        <v>44</v>
      </c>
      <c r="N700" t="s">
        <v>77</v>
      </c>
      <c r="O700" t="s">
        <v>99</v>
      </c>
      <c r="P700" t="s">
        <v>99</v>
      </c>
      <c r="Q700" t="s">
        <v>191</v>
      </c>
      <c r="R700" t="s">
        <v>291</v>
      </c>
      <c r="S700" t="s">
        <v>161</v>
      </c>
      <c r="T700" t="s">
        <v>162</v>
      </c>
      <c r="U700" t="s">
        <v>163</v>
      </c>
      <c r="V700" t="s">
        <v>193</v>
      </c>
      <c r="W700" t="s">
        <v>116</v>
      </c>
      <c r="X700" t="s">
        <v>44</v>
      </c>
      <c r="Y700" t="s">
        <v>99</v>
      </c>
      <c r="Z700" t="s">
        <v>421</v>
      </c>
      <c r="AC700" t="str">
        <f>IF(AA700="",M700,AA700)</f>
        <v>sim</v>
      </c>
      <c r="AD700" t="str">
        <f>IF(AB700="",X700,AB700)</f>
        <v>sim</v>
      </c>
      <c r="AE700" t="str">
        <f>IF(OR(Configuracao!B9="",Configuracao!B10=""),"aguardando limiar",IF(AND(K700&gt;=Configuracao!B9,K700/MAX(Reconciliacao!C2,1)&gt;=Configuracao!B10/100),"sim","não"))</f>
        <v>aguardando limiar</v>
      </c>
    </row>
    <row r="701" spans="1:31" x14ac:dyDescent="0.25">
      <c r="A701">
        <v>7222</v>
      </c>
      <c r="D701" t="s">
        <v>739</v>
      </c>
      <c r="E701" t="s">
        <v>451</v>
      </c>
      <c r="F701" t="s">
        <v>290</v>
      </c>
      <c r="G701" t="s">
        <v>367</v>
      </c>
      <c r="H701" t="s">
        <v>366</v>
      </c>
      <c r="I701" t="s">
        <v>35</v>
      </c>
      <c r="J701" t="s">
        <v>35</v>
      </c>
      <c r="K701" s="4">
        <v>59.9</v>
      </c>
      <c r="L701" s="4">
        <v>59.9</v>
      </c>
      <c r="M701" t="s">
        <v>44</v>
      </c>
      <c r="N701" t="s">
        <v>77</v>
      </c>
      <c r="O701" t="s">
        <v>99</v>
      </c>
      <c r="P701" t="s">
        <v>99</v>
      </c>
      <c r="Q701" t="s">
        <v>191</v>
      </c>
      <c r="R701" t="s">
        <v>291</v>
      </c>
      <c r="S701" t="s">
        <v>161</v>
      </c>
      <c r="T701" t="s">
        <v>162</v>
      </c>
      <c r="U701" t="s">
        <v>163</v>
      </c>
      <c r="V701" t="s">
        <v>193</v>
      </c>
      <c r="W701" t="s">
        <v>116</v>
      </c>
      <c r="X701" t="s">
        <v>44</v>
      </c>
      <c r="Y701" t="s">
        <v>99</v>
      </c>
      <c r="Z701" t="s">
        <v>421</v>
      </c>
      <c r="AC701" t="str">
        <f>IF(AA701="",M701,AA701)</f>
        <v>sim</v>
      </c>
      <c r="AD701" t="str">
        <f>IF(AB701="",X701,AB701)</f>
        <v>sim</v>
      </c>
      <c r="AE701" t="str">
        <f>IF(OR(Configuracao!B9="",Configuracao!B10=""),"aguardando limiar",IF(AND(K701&gt;=Configuracao!B9,K701/MAX(Reconciliacao!C2,1)&gt;=Configuracao!B10/100),"sim","não"))</f>
        <v>aguardando limiar</v>
      </c>
    </row>
    <row r="702" spans="1:31" x14ac:dyDescent="0.25">
      <c r="A702">
        <v>7285</v>
      </c>
      <c r="D702" t="s">
        <v>739</v>
      </c>
      <c r="E702" t="s">
        <v>451</v>
      </c>
      <c r="F702" t="s">
        <v>290</v>
      </c>
      <c r="G702" t="s">
        <v>367</v>
      </c>
      <c r="H702" t="s">
        <v>366</v>
      </c>
      <c r="I702" t="s">
        <v>32</v>
      </c>
      <c r="J702" t="s">
        <v>32</v>
      </c>
      <c r="K702" s="4">
        <v>85.84</v>
      </c>
      <c r="L702" s="4">
        <v>85.84</v>
      </c>
      <c r="M702" t="s">
        <v>44</v>
      </c>
      <c r="N702" t="s">
        <v>77</v>
      </c>
      <c r="O702" t="s">
        <v>99</v>
      </c>
      <c r="P702" t="s">
        <v>99</v>
      </c>
      <c r="Q702" t="s">
        <v>191</v>
      </c>
      <c r="R702" t="s">
        <v>291</v>
      </c>
      <c r="S702" t="s">
        <v>161</v>
      </c>
      <c r="T702" t="s">
        <v>162</v>
      </c>
      <c r="U702" t="s">
        <v>163</v>
      </c>
      <c r="V702" t="s">
        <v>193</v>
      </c>
      <c r="W702" t="s">
        <v>116</v>
      </c>
      <c r="X702" t="s">
        <v>44</v>
      </c>
      <c r="Y702" t="s">
        <v>99</v>
      </c>
      <c r="Z702" t="s">
        <v>421</v>
      </c>
      <c r="AC702" t="str">
        <f>IF(AA702="",M702,AA702)</f>
        <v>sim</v>
      </c>
      <c r="AD702" t="str">
        <f>IF(AB702="",X702,AB702)</f>
        <v>sim</v>
      </c>
      <c r="AE702" t="str">
        <f>IF(OR(Configuracao!B9="",Configuracao!B10=""),"aguardando limiar",IF(AND(K702&gt;=Configuracao!B9,K702/MAX(Reconciliacao!C2,1)&gt;=Configuracao!B10/100),"sim","não"))</f>
        <v>aguardando limiar</v>
      </c>
    </row>
    <row r="703" spans="1:31" x14ac:dyDescent="0.25">
      <c r="A703">
        <v>7286</v>
      </c>
      <c r="D703" t="s">
        <v>739</v>
      </c>
      <c r="E703" t="s">
        <v>451</v>
      </c>
      <c r="F703" t="s">
        <v>290</v>
      </c>
      <c r="G703" t="s">
        <v>367</v>
      </c>
      <c r="H703" t="s">
        <v>366</v>
      </c>
      <c r="I703" t="s">
        <v>424</v>
      </c>
      <c r="J703" t="s">
        <v>424</v>
      </c>
      <c r="K703" s="4">
        <v>85.84</v>
      </c>
      <c r="L703" s="4">
        <v>85.84</v>
      </c>
      <c r="M703" t="s">
        <v>44</v>
      </c>
      <c r="N703" t="s">
        <v>77</v>
      </c>
      <c r="O703" t="s">
        <v>99</v>
      </c>
      <c r="P703" t="s">
        <v>99</v>
      </c>
      <c r="Q703" t="s">
        <v>191</v>
      </c>
      <c r="R703" t="s">
        <v>291</v>
      </c>
      <c r="S703" t="s">
        <v>161</v>
      </c>
      <c r="T703" t="s">
        <v>162</v>
      </c>
      <c r="U703" t="s">
        <v>163</v>
      </c>
      <c r="V703" t="s">
        <v>193</v>
      </c>
      <c r="W703" t="s">
        <v>116</v>
      </c>
      <c r="X703" t="s">
        <v>44</v>
      </c>
      <c r="Y703" t="s">
        <v>99</v>
      </c>
      <c r="Z703" t="s">
        <v>421</v>
      </c>
      <c r="AC703" t="str">
        <f>IF(AA703="",M703,AA703)</f>
        <v>sim</v>
      </c>
      <c r="AD703" t="str">
        <f>IF(AB703="",X703,AB703)</f>
        <v>sim</v>
      </c>
      <c r="AE703" t="str">
        <f>IF(OR(Configuracao!B9="",Configuracao!B10=""),"aguardando limiar",IF(AND(K703&gt;=Configuracao!B9,K703/MAX(Reconciliacao!C2,1)&gt;=Configuracao!B10/100),"sim","não"))</f>
        <v>aguardando limiar</v>
      </c>
    </row>
    <row r="704" spans="1:31" x14ac:dyDescent="0.25">
      <c r="A704">
        <v>7287</v>
      </c>
      <c r="D704" t="s">
        <v>739</v>
      </c>
      <c r="E704" t="s">
        <v>451</v>
      </c>
      <c r="F704" t="s">
        <v>290</v>
      </c>
      <c r="G704" t="s">
        <v>367</v>
      </c>
      <c r="H704" t="s">
        <v>366</v>
      </c>
      <c r="I704" t="s">
        <v>420</v>
      </c>
      <c r="J704" t="s">
        <v>420</v>
      </c>
      <c r="K704" s="4">
        <v>85.84</v>
      </c>
      <c r="L704" s="4">
        <v>85.84</v>
      </c>
      <c r="M704" t="s">
        <v>44</v>
      </c>
      <c r="N704" t="s">
        <v>77</v>
      </c>
      <c r="O704" t="s">
        <v>99</v>
      </c>
      <c r="P704" t="s">
        <v>99</v>
      </c>
      <c r="Q704" t="s">
        <v>191</v>
      </c>
      <c r="R704" t="s">
        <v>291</v>
      </c>
      <c r="S704" t="s">
        <v>161</v>
      </c>
      <c r="T704" t="s">
        <v>162</v>
      </c>
      <c r="U704" t="s">
        <v>163</v>
      </c>
      <c r="V704" t="s">
        <v>193</v>
      </c>
      <c r="W704" t="s">
        <v>116</v>
      </c>
      <c r="X704" t="s">
        <v>44</v>
      </c>
      <c r="Y704" t="s">
        <v>99</v>
      </c>
      <c r="Z704" t="s">
        <v>421</v>
      </c>
      <c r="AC704" t="str">
        <f>IF(AA704="",M704,AA704)</f>
        <v>sim</v>
      </c>
      <c r="AD704" t="str">
        <f>IF(AB704="",X704,AB704)</f>
        <v>sim</v>
      </c>
      <c r="AE704" t="str">
        <f>IF(OR(Configuracao!B9="",Configuracao!B10=""),"aguardando limiar",IF(AND(K704&gt;=Configuracao!B9,K704/MAX(Reconciliacao!C2,1)&gt;=Configuracao!B10/100),"sim","não"))</f>
        <v>aguardando limiar</v>
      </c>
    </row>
    <row r="705" spans="1:31" x14ac:dyDescent="0.25">
      <c r="A705">
        <v>7288</v>
      </c>
      <c r="D705" t="s">
        <v>739</v>
      </c>
      <c r="E705" t="s">
        <v>451</v>
      </c>
      <c r="F705" t="s">
        <v>290</v>
      </c>
      <c r="G705" t="s">
        <v>367</v>
      </c>
      <c r="H705" t="s">
        <v>366</v>
      </c>
      <c r="I705" t="s">
        <v>454</v>
      </c>
      <c r="J705" t="s">
        <v>454</v>
      </c>
      <c r="K705" s="4">
        <v>85.84</v>
      </c>
      <c r="L705" s="4">
        <v>85.84</v>
      </c>
      <c r="M705" t="s">
        <v>44</v>
      </c>
      <c r="N705" t="s">
        <v>77</v>
      </c>
      <c r="O705" t="s">
        <v>99</v>
      </c>
      <c r="P705" t="s">
        <v>99</v>
      </c>
      <c r="Q705" t="s">
        <v>191</v>
      </c>
      <c r="R705" t="s">
        <v>291</v>
      </c>
      <c r="S705" t="s">
        <v>161</v>
      </c>
      <c r="T705" t="s">
        <v>162</v>
      </c>
      <c r="U705" t="s">
        <v>163</v>
      </c>
      <c r="V705" t="s">
        <v>193</v>
      </c>
      <c r="W705" t="s">
        <v>116</v>
      </c>
      <c r="X705" t="s">
        <v>44</v>
      </c>
      <c r="Y705" t="s">
        <v>99</v>
      </c>
      <c r="Z705" t="s">
        <v>421</v>
      </c>
      <c r="AC705" t="str">
        <f>IF(AA705="",M705,AA705)</f>
        <v>sim</v>
      </c>
      <c r="AD705" t="str">
        <f>IF(AB705="",X705,AB705)</f>
        <v>sim</v>
      </c>
      <c r="AE705" t="str">
        <f>IF(OR(Configuracao!B9="",Configuracao!B10=""),"aguardando limiar",IF(AND(K705&gt;=Configuracao!B9,K705/MAX(Reconciliacao!C2,1)&gt;=Configuracao!B10/100),"sim","não"))</f>
        <v>aguardando limiar</v>
      </c>
    </row>
    <row r="706" spans="1:31" x14ac:dyDescent="0.25">
      <c r="A706">
        <v>7289</v>
      </c>
      <c r="D706" t="s">
        <v>739</v>
      </c>
      <c r="E706" t="s">
        <v>451</v>
      </c>
      <c r="F706" t="s">
        <v>290</v>
      </c>
      <c r="G706" t="s">
        <v>367</v>
      </c>
      <c r="H706" t="s">
        <v>366</v>
      </c>
      <c r="I706" t="s">
        <v>461</v>
      </c>
      <c r="J706" t="s">
        <v>461</v>
      </c>
      <c r="K706" s="4">
        <v>92.98</v>
      </c>
      <c r="L706" s="4">
        <v>92.98</v>
      </c>
      <c r="M706" t="s">
        <v>44</v>
      </c>
      <c r="N706" t="s">
        <v>77</v>
      </c>
      <c r="O706" t="s">
        <v>99</v>
      </c>
      <c r="P706" t="s">
        <v>99</v>
      </c>
      <c r="Q706" t="s">
        <v>191</v>
      </c>
      <c r="R706" t="s">
        <v>291</v>
      </c>
      <c r="S706" t="s">
        <v>161</v>
      </c>
      <c r="T706" t="s">
        <v>162</v>
      </c>
      <c r="U706" t="s">
        <v>163</v>
      </c>
      <c r="V706" t="s">
        <v>193</v>
      </c>
      <c r="W706" t="s">
        <v>116</v>
      </c>
      <c r="X706" t="s">
        <v>44</v>
      </c>
      <c r="Y706" t="s">
        <v>99</v>
      </c>
      <c r="Z706" t="s">
        <v>421</v>
      </c>
      <c r="AC706" t="str">
        <f>IF(AA706="",M706,AA706)</f>
        <v>sim</v>
      </c>
      <c r="AD706" t="str">
        <f>IF(AB706="",X706,AB706)</f>
        <v>sim</v>
      </c>
      <c r="AE706" t="str">
        <f>IF(OR(Configuracao!B9="",Configuracao!B10=""),"aguardando limiar",IF(AND(K706&gt;=Configuracao!B9,K706/MAX(Reconciliacao!C2,1)&gt;=Configuracao!B10/100),"sim","não"))</f>
        <v>aguardando limiar</v>
      </c>
    </row>
    <row r="707" spans="1:31" x14ac:dyDescent="0.25">
      <c r="A707">
        <v>7290</v>
      </c>
      <c r="D707" t="s">
        <v>739</v>
      </c>
      <c r="E707" t="s">
        <v>451</v>
      </c>
      <c r="F707" t="s">
        <v>290</v>
      </c>
      <c r="G707" t="s">
        <v>367</v>
      </c>
      <c r="H707" t="s">
        <v>366</v>
      </c>
      <c r="I707" t="s">
        <v>442</v>
      </c>
      <c r="J707" t="s">
        <v>442</v>
      </c>
      <c r="K707" s="4">
        <v>92.98</v>
      </c>
      <c r="L707" s="4">
        <v>92.98</v>
      </c>
      <c r="M707" t="s">
        <v>44</v>
      </c>
      <c r="N707" t="s">
        <v>77</v>
      </c>
      <c r="O707" t="s">
        <v>99</v>
      </c>
      <c r="P707" t="s">
        <v>99</v>
      </c>
      <c r="Q707" t="s">
        <v>191</v>
      </c>
      <c r="R707" t="s">
        <v>291</v>
      </c>
      <c r="S707" t="s">
        <v>161</v>
      </c>
      <c r="T707" t="s">
        <v>162</v>
      </c>
      <c r="U707" t="s">
        <v>163</v>
      </c>
      <c r="V707" t="s">
        <v>193</v>
      </c>
      <c r="W707" t="s">
        <v>116</v>
      </c>
      <c r="X707" t="s">
        <v>44</v>
      </c>
      <c r="Y707" t="s">
        <v>99</v>
      </c>
      <c r="Z707" t="s">
        <v>421</v>
      </c>
      <c r="AC707" t="str">
        <f>IF(AA707="",M707,AA707)</f>
        <v>sim</v>
      </c>
      <c r="AD707" t="str">
        <f>IF(AB707="",X707,AB707)</f>
        <v>sim</v>
      </c>
      <c r="AE707" t="str">
        <f>IF(OR(Configuracao!B9="",Configuracao!B10=""),"aguardando limiar",IF(AND(K707&gt;=Configuracao!B9,K707/MAX(Reconciliacao!C2,1)&gt;=Configuracao!B10/100),"sim","não"))</f>
        <v>aguardando limiar</v>
      </c>
    </row>
    <row r="708" spans="1:31" x14ac:dyDescent="0.25">
      <c r="A708">
        <v>7291</v>
      </c>
      <c r="D708" t="s">
        <v>739</v>
      </c>
      <c r="E708" t="s">
        <v>451</v>
      </c>
      <c r="F708" t="s">
        <v>290</v>
      </c>
      <c r="G708" t="s">
        <v>367</v>
      </c>
      <c r="H708" t="s">
        <v>366</v>
      </c>
      <c r="I708" t="s">
        <v>439</v>
      </c>
      <c r="J708" t="s">
        <v>439</v>
      </c>
      <c r="K708" s="4">
        <v>92.98</v>
      </c>
      <c r="L708" s="4">
        <v>92.98</v>
      </c>
      <c r="M708" t="s">
        <v>44</v>
      </c>
      <c r="N708" t="s">
        <v>77</v>
      </c>
      <c r="O708" t="s">
        <v>99</v>
      </c>
      <c r="P708" t="s">
        <v>99</v>
      </c>
      <c r="Q708" t="s">
        <v>191</v>
      </c>
      <c r="R708" t="s">
        <v>291</v>
      </c>
      <c r="S708" t="s">
        <v>161</v>
      </c>
      <c r="T708" t="s">
        <v>162</v>
      </c>
      <c r="U708" t="s">
        <v>163</v>
      </c>
      <c r="V708" t="s">
        <v>193</v>
      </c>
      <c r="W708" t="s">
        <v>116</v>
      </c>
      <c r="X708" t="s">
        <v>44</v>
      </c>
      <c r="Y708" t="s">
        <v>99</v>
      </c>
      <c r="Z708" t="s">
        <v>421</v>
      </c>
      <c r="AC708" t="str">
        <f>IF(AA708="",M708,AA708)</f>
        <v>sim</v>
      </c>
      <c r="AD708" t="str">
        <f>IF(AB708="",X708,AB708)</f>
        <v>sim</v>
      </c>
      <c r="AE708" t="str">
        <f>IF(OR(Configuracao!B9="",Configuracao!B10=""),"aguardando limiar",IF(AND(K708&gt;=Configuracao!B9,K708/MAX(Reconciliacao!C2,1)&gt;=Configuracao!B10/100),"sim","não"))</f>
        <v>aguardando limiar</v>
      </c>
    </row>
    <row r="709" spans="1:31" x14ac:dyDescent="0.25">
      <c r="A709">
        <v>7292</v>
      </c>
      <c r="D709" t="s">
        <v>739</v>
      </c>
      <c r="E709" t="s">
        <v>451</v>
      </c>
      <c r="F709" t="s">
        <v>290</v>
      </c>
      <c r="G709" t="s">
        <v>367</v>
      </c>
      <c r="H709" t="s">
        <v>366</v>
      </c>
      <c r="I709" t="s">
        <v>35</v>
      </c>
      <c r="J709" t="s">
        <v>35</v>
      </c>
      <c r="K709" s="4">
        <v>92.98</v>
      </c>
      <c r="L709" s="4">
        <v>92.98</v>
      </c>
      <c r="M709" t="s">
        <v>44</v>
      </c>
      <c r="N709" t="s">
        <v>77</v>
      </c>
      <c r="O709" t="s">
        <v>99</v>
      </c>
      <c r="P709" t="s">
        <v>99</v>
      </c>
      <c r="Q709" t="s">
        <v>191</v>
      </c>
      <c r="R709" t="s">
        <v>291</v>
      </c>
      <c r="S709" t="s">
        <v>161</v>
      </c>
      <c r="T709" t="s">
        <v>162</v>
      </c>
      <c r="U709" t="s">
        <v>163</v>
      </c>
      <c r="V709" t="s">
        <v>193</v>
      </c>
      <c r="W709" t="s">
        <v>116</v>
      </c>
      <c r="X709" t="s">
        <v>44</v>
      </c>
      <c r="Y709" t="s">
        <v>99</v>
      </c>
      <c r="Z709" t="s">
        <v>421</v>
      </c>
      <c r="AC709" t="str">
        <f>IF(AA709="",M709,AA709)</f>
        <v>sim</v>
      </c>
      <c r="AD709" t="str">
        <f>IF(AB709="",X709,AB709)</f>
        <v>sim</v>
      </c>
      <c r="AE709" t="str">
        <f>IF(OR(Configuracao!B9="",Configuracao!B10=""),"aguardando limiar",IF(AND(K709&gt;=Configuracao!B9,K709/MAX(Reconciliacao!C2,1)&gt;=Configuracao!B10/100),"sim","não"))</f>
        <v>aguardando limiar</v>
      </c>
    </row>
    <row r="710" spans="1:31" x14ac:dyDescent="0.25">
      <c r="A710">
        <v>7815</v>
      </c>
      <c r="C710" t="s">
        <v>749</v>
      </c>
      <c r="D710" t="s">
        <v>750</v>
      </c>
      <c r="E710" t="s">
        <v>451</v>
      </c>
      <c r="F710" t="s">
        <v>190</v>
      </c>
      <c r="G710" t="s">
        <v>189</v>
      </c>
      <c r="H710" t="s">
        <v>188</v>
      </c>
      <c r="I710" t="s">
        <v>32</v>
      </c>
      <c r="J710" t="s">
        <v>32</v>
      </c>
      <c r="K710" s="4">
        <v>24311</v>
      </c>
      <c r="L710" s="4">
        <v>24311</v>
      </c>
      <c r="M710" t="s">
        <v>44</v>
      </c>
      <c r="N710" t="s">
        <v>77</v>
      </c>
      <c r="O710" t="s">
        <v>99</v>
      </c>
      <c r="P710" t="s">
        <v>99</v>
      </c>
      <c r="Q710" t="s">
        <v>191</v>
      </c>
      <c r="R710" t="s">
        <v>192</v>
      </c>
      <c r="S710" t="s">
        <v>161</v>
      </c>
      <c r="T710" t="s">
        <v>162</v>
      </c>
      <c r="U710" t="s">
        <v>163</v>
      </c>
      <c r="V710" t="s">
        <v>193</v>
      </c>
      <c r="W710" t="s">
        <v>116</v>
      </c>
      <c r="X710" t="s">
        <v>44</v>
      </c>
      <c r="Y710" t="s">
        <v>99</v>
      </c>
      <c r="Z710" t="s">
        <v>421</v>
      </c>
      <c r="AC710" t="str">
        <f>IF(AA710="",M710,AA710)</f>
        <v>sim</v>
      </c>
      <c r="AD710" t="str">
        <f>IF(AB710="",X710,AB710)</f>
        <v>sim</v>
      </c>
      <c r="AE710" t="str">
        <f>IF(OR(Configuracao!B9="",Configuracao!B10=""),"aguardando limiar",IF(AND(K710&gt;=Configuracao!B9,K710/MAX(Reconciliacao!C2,1)&gt;=Configuracao!B10/100),"sim","não"))</f>
        <v>aguardando limiar</v>
      </c>
    </row>
    <row r="711" spans="1:31" x14ac:dyDescent="0.25">
      <c r="A711">
        <v>7816</v>
      </c>
      <c r="C711" t="s">
        <v>749</v>
      </c>
      <c r="D711" t="s">
        <v>750</v>
      </c>
      <c r="E711" t="s">
        <v>451</v>
      </c>
      <c r="F711" t="s">
        <v>190</v>
      </c>
      <c r="G711" t="s">
        <v>189</v>
      </c>
      <c r="H711" t="s">
        <v>188</v>
      </c>
      <c r="I711" t="s">
        <v>424</v>
      </c>
      <c r="J711" t="s">
        <v>424</v>
      </c>
      <c r="K711" s="4">
        <v>26973.11</v>
      </c>
      <c r="L711" s="4">
        <v>26973.11</v>
      </c>
      <c r="M711" t="s">
        <v>44</v>
      </c>
      <c r="N711" t="s">
        <v>77</v>
      </c>
      <c r="O711" t="s">
        <v>99</v>
      </c>
      <c r="P711" t="s">
        <v>99</v>
      </c>
      <c r="Q711" t="s">
        <v>191</v>
      </c>
      <c r="R711" t="s">
        <v>192</v>
      </c>
      <c r="S711" t="s">
        <v>161</v>
      </c>
      <c r="T711" t="s">
        <v>162</v>
      </c>
      <c r="U711" t="s">
        <v>163</v>
      </c>
      <c r="V711" t="s">
        <v>193</v>
      </c>
      <c r="W711" t="s">
        <v>116</v>
      </c>
      <c r="X711" t="s">
        <v>44</v>
      </c>
      <c r="Y711" t="s">
        <v>99</v>
      </c>
      <c r="Z711" t="s">
        <v>421</v>
      </c>
      <c r="AC711" t="str">
        <f>IF(AA711="",M711,AA711)</f>
        <v>sim</v>
      </c>
      <c r="AD711" t="str">
        <f>IF(AB711="",X711,AB711)</f>
        <v>sim</v>
      </c>
      <c r="AE711" t="str">
        <f>IF(OR(Configuracao!B9="",Configuracao!B10=""),"aguardando limiar",IF(AND(K711&gt;=Configuracao!B9,K711/MAX(Reconciliacao!C2,1)&gt;=Configuracao!B10/100),"sim","não"))</f>
        <v>aguardando limiar</v>
      </c>
    </row>
    <row r="712" spans="1:31" x14ac:dyDescent="0.25">
      <c r="A712">
        <v>7817</v>
      </c>
      <c r="C712" t="s">
        <v>749</v>
      </c>
      <c r="D712" t="s">
        <v>750</v>
      </c>
      <c r="E712" t="s">
        <v>451</v>
      </c>
      <c r="F712" t="s">
        <v>190</v>
      </c>
      <c r="G712" t="s">
        <v>189</v>
      </c>
      <c r="H712" t="s">
        <v>188</v>
      </c>
      <c r="I712" t="s">
        <v>420</v>
      </c>
      <c r="J712" t="s">
        <v>420</v>
      </c>
      <c r="K712" s="4">
        <v>26973.11</v>
      </c>
      <c r="L712" s="4">
        <v>26973.11</v>
      </c>
      <c r="M712" t="s">
        <v>44</v>
      </c>
      <c r="N712" t="s">
        <v>77</v>
      </c>
      <c r="O712" t="s">
        <v>99</v>
      </c>
      <c r="P712" t="s">
        <v>99</v>
      </c>
      <c r="Q712" t="s">
        <v>191</v>
      </c>
      <c r="R712" t="s">
        <v>192</v>
      </c>
      <c r="S712" t="s">
        <v>161</v>
      </c>
      <c r="T712" t="s">
        <v>162</v>
      </c>
      <c r="U712" t="s">
        <v>163</v>
      </c>
      <c r="V712" t="s">
        <v>193</v>
      </c>
      <c r="W712" t="s">
        <v>116</v>
      </c>
      <c r="X712" t="s">
        <v>44</v>
      </c>
      <c r="Y712" t="s">
        <v>99</v>
      </c>
      <c r="Z712" t="s">
        <v>421</v>
      </c>
      <c r="AC712" t="str">
        <f>IF(AA712="",M712,AA712)</f>
        <v>sim</v>
      </c>
      <c r="AD712" t="str">
        <f>IF(AB712="",X712,AB712)</f>
        <v>sim</v>
      </c>
      <c r="AE712" t="str">
        <f>IF(OR(Configuracao!B9="",Configuracao!B10=""),"aguardando limiar",IF(AND(K712&gt;=Configuracao!B9,K712/MAX(Reconciliacao!C2,1)&gt;=Configuracao!B10/100),"sim","não"))</f>
        <v>aguardando limiar</v>
      </c>
    </row>
    <row r="713" spans="1:31" x14ac:dyDescent="0.25">
      <c r="A713">
        <v>7818</v>
      </c>
      <c r="C713" t="s">
        <v>749</v>
      </c>
      <c r="D713" t="s">
        <v>750</v>
      </c>
      <c r="E713" t="s">
        <v>451</v>
      </c>
      <c r="F713" t="s">
        <v>190</v>
      </c>
      <c r="G713" t="s">
        <v>189</v>
      </c>
      <c r="H713" t="s">
        <v>188</v>
      </c>
      <c r="I713" t="s">
        <v>454</v>
      </c>
      <c r="J713" t="s">
        <v>454</v>
      </c>
      <c r="K713" s="4">
        <v>26973.11</v>
      </c>
      <c r="L713" s="4">
        <v>26973.11</v>
      </c>
      <c r="M713" t="s">
        <v>44</v>
      </c>
      <c r="N713" t="s">
        <v>77</v>
      </c>
      <c r="O713" t="s">
        <v>99</v>
      </c>
      <c r="P713" t="s">
        <v>99</v>
      </c>
      <c r="Q713" t="s">
        <v>191</v>
      </c>
      <c r="R713" t="s">
        <v>192</v>
      </c>
      <c r="S713" t="s">
        <v>161</v>
      </c>
      <c r="T713" t="s">
        <v>162</v>
      </c>
      <c r="U713" t="s">
        <v>163</v>
      </c>
      <c r="V713" t="s">
        <v>193</v>
      </c>
      <c r="W713" t="s">
        <v>116</v>
      </c>
      <c r="X713" t="s">
        <v>44</v>
      </c>
      <c r="Y713" t="s">
        <v>99</v>
      </c>
      <c r="Z713" t="s">
        <v>421</v>
      </c>
      <c r="AC713" t="str">
        <f>IF(AA713="",M713,AA713)</f>
        <v>sim</v>
      </c>
      <c r="AD713" t="str">
        <f>IF(AB713="",X713,AB713)</f>
        <v>sim</v>
      </c>
      <c r="AE713" t="str">
        <f>IF(OR(Configuracao!B9="",Configuracao!B10=""),"aguardando limiar",IF(AND(K713&gt;=Configuracao!B9,K713/MAX(Reconciliacao!C2,1)&gt;=Configuracao!B10/100),"sim","não"))</f>
        <v>aguardando limiar</v>
      </c>
    </row>
    <row r="714" spans="1:31" x14ac:dyDescent="0.25">
      <c r="A714">
        <v>7819</v>
      </c>
      <c r="C714" t="s">
        <v>749</v>
      </c>
      <c r="D714" t="s">
        <v>750</v>
      </c>
      <c r="E714" t="s">
        <v>451</v>
      </c>
      <c r="F714" t="s">
        <v>190</v>
      </c>
      <c r="G714" t="s">
        <v>189</v>
      </c>
      <c r="H714" t="s">
        <v>188</v>
      </c>
      <c r="I714" t="s">
        <v>461</v>
      </c>
      <c r="J714" t="s">
        <v>461</v>
      </c>
      <c r="K714" s="4">
        <v>26973.11</v>
      </c>
      <c r="L714" s="4">
        <v>26973.11</v>
      </c>
      <c r="M714" t="s">
        <v>44</v>
      </c>
      <c r="N714" t="s">
        <v>77</v>
      </c>
      <c r="O714" t="s">
        <v>99</v>
      </c>
      <c r="P714" t="s">
        <v>99</v>
      </c>
      <c r="Q714" t="s">
        <v>191</v>
      </c>
      <c r="R714" t="s">
        <v>192</v>
      </c>
      <c r="S714" t="s">
        <v>161</v>
      </c>
      <c r="T714" t="s">
        <v>162</v>
      </c>
      <c r="U714" t="s">
        <v>163</v>
      </c>
      <c r="V714" t="s">
        <v>193</v>
      </c>
      <c r="W714" t="s">
        <v>116</v>
      </c>
      <c r="X714" t="s">
        <v>44</v>
      </c>
      <c r="Y714" t="s">
        <v>99</v>
      </c>
      <c r="Z714" t="s">
        <v>421</v>
      </c>
      <c r="AC714" t="str">
        <f>IF(AA714="",M714,AA714)</f>
        <v>sim</v>
      </c>
      <c r="AD714" t="str">
        <f>IF(AB714="",X714,AB714)</f>
        <v>sim</v>
      </c>
      <c r="AE714" t="str">
        <f>IF(OR(Configuracao!B9="",Configuracao!B10=""),"aguardando limiar",IF(AND(K714&gt;=Configuracao!B9,K714/MAX(Reconciliacao!C2,1)&gt;=Configuracao!B10/100),"sim","não"))</f>
        <v>aguardando limiar</v>
      </c>
    </row>
    <row r="715" spans="1:31" x14ac:dyDescent="0.25">
      <c r="A715">
        <v>7820</v>
      </c>
      <c r="C715" t="s">
        <v>749</v>
      </c>
      <c r="D715" t="s">
        <v>750</v>
      </c>
      <c r="E715" t="s">
        <v>451</v>
      </c>
      <c r="F715" t="s">
        <v>190</v>
      </c>
      <c r="G715" t="s">
        <v>189</v>
      </c>
      <c r="H715" t="s">
        <v>188</v>
      </c>
      <c r="I715" t="s">
        <v>442</v>
      </c>
      <c r="J715" t="s">
        <v>442</v>
      </c>
      <c r="K715" s="4">
        <v>26973.11</v>
      </c>
      <c r="L715" s="4">
        <v>26973.11</v>
      </c>
      <c r="M715" t="s">
        <v>44</v>
      </c>
      <c r="N715" t="s">
        <v>77</v>
      </c>
      <c r="O715" t="s">
        <v>99</v>
      </c>
      <c r="P715" t="s">
        <v>99</v>
      </c>
      <c r="Q715" t="s">
        <v>191</v>
      </c>
      <c r="R715" t="s">
        <v>192</v>
      </c>
      <c r="S715" t="s">
        <v>161</v>
      </c>
      <c r="T715" t="s">
        <v>162</v>
      </c>
      <c r="U715" t="s">
        <v>163</v>
      </c>
      <c r="V715" t="s">
        <v>193</v>
      </c>
      <c r="W715" t="s">
        <v>116</v>
      </c>
      <c r="X715" t="s">
        <v>44</v>
      </c>
      <c r="Y715" t="s">
        <v>99</v>
      </c>
      <c r="Z715" t="s">
        <v>421</v>
      </c>
      <c r="AC715" t="str">
        <f>IF(AA715="",M715,AA715)</f>
        <v>sim</v>
      </c>
      <c r="AD715" t="str">
        <f>IF(AB715="",X715,AB715)</f>
        <v>sim</v>
      </c>
      <c r="AE715" t="str">
        <f>IF(OR(Configuracao!B9="",Configuracao!B10=""),"aguardando limiar",IF(AND(K715&gt;=Configuracao!B9,K715/MAX(Reconciliacao!C2,1)&gt;=Configuracao!B10/100),"sim","não"))</f>
        <v>aguardando limiar</v>
      </c>
    </row>
    <row r="716" spans="1:31" x14ac:dyDescent="0.25">
      <c r="A716">
        <v>7822</v>
      </c>
      <c r="C716" t="s">
        <v>749</v>
      </c>
      <c r="D716" t="s">
        <v>750</v>
      </c>
      <c r="E716" t="s">
        <v>451</v>
      </c>
      <c r="F716" t="s">
        <v>190</v>
      </c>
      <c r="G716" t="s">
        <v>189</v>
      </c>
      <c r="H716" t="s">
        <v>188</v>
      </c>
      <c r="I716" t="s">
        <v>35</v>
      </c>
      <c r="J716" t="s">
        <v>35</v>
      </c>
      <c r="K716" s="4">
        <v>27745.64</v>
      </c>
      <c r="L716" s="4">
        <v>27745.64</v>
      </c>
      <c r="M716" t="s">
        <v>44</v>
      </c>
      <c r="N716" t="s">
        <v>77</v>
      </c>
      <c r="O716" t="s">
        <v>99</v>
      </c>
      <c r="P716" t="s">
        <v>99</v>
      </c>
      <c r="Q716" t="s">
        <v>191</v>
      </c>
      <c r="R716" t="s">
        <v>192</v>
      </c>
      <c r="S716" t="s">
        <v>161</v>
      </c>
      <c r="T716" t="s">
        <v>162</v>
      </c>
      <c r="U716" t="s">
        <v>163</v>
      </c>
      <c r="V716" t="s">
        <v>193</v>
      </c>
      <c r="W716" t="s">
        <v>116</v>
      </c>
      <c r="X716" t="s">
        <v>44</v>
      </c>
      <c r="Y716" t="s">
        <v>99</v>
      </c>
      <c r="Z716" t="s">
        <v>421</v>
      </c>
      <c r="AC716" t="str">
        <f>IF(AA716="",M716,AA716)</f>
        <v>sim</v>
      </c>
      <c r="AD716" t="str">
        <f>IF(AB716="",X716,AB716)</f>
        <v>sim</v>
      </c>
      <c r="AE716" t="str">
        <f>IF(OR(Configuracao!B9="",Configuracao!B10=""),"aguardando limiar",IF(AND(K716&gt;=Configuracao!B9,K716/MAX(Reconciliacao!C2,1)&gt;=Configuracao!B10/100),"sim","não"))</f>
        <v>aguardando limiar</v>
      </c>
    </row>
    <row r="717" spans="1:31" x14ac:dyDescent="0.25">
      <c r="A717">
        <v>7821</v>
      </c>
      <c r="C717" t="s">
        <v>751</v>
      </c>
      <c r="D717" t="s">
        <v>750</v>
      </c>
      <c r="E717" t="s">
        <v>451</v>
      </c>
      <c r="F717" t="s">
        <v>190</v>
      </c>
      <c r="G717" t="s">
        <v>189</v>
      </c>
      <c r="H717" t="s">
        <v>188</v>
      </c>
      <c r="I717" t="s">
        <v>439</v>
      </c>
      <c r="J717" t="s">
        <v>439</v>
      </c>
      <c r="K717" s="4">
        <v>27760.82</v>
      </c>
      <c r="L717" s="4">
        <v>27760.82</v>
      </c>
      <c r="M717" t="s">
        <v>44</v>
      </c>
      <c r="N717" t="s">
        <v>77</v>
      </c>
      <c r="O717" t="s">
        <v>99</v>
      </c>
      <c r="P717" t="s">
        <v>99</v>
      </c>
      <c r="Q717" t="s">
        <v>191</v>
      </c>
      <c r="R717" t="s">
        <v>192</v>
      </c>
      <c r="S717" t="s">
        <v>161</v>
      </c>
      <c r="T717" t="s">
        <v>162</v>
      </c>
      <c r="U717" t="s">
        <v>163</v>
      </c>
      <c r="V717" t="s">
        <v>193</v>
      </c>
      <c r="W717" t="s">
        <v>116</v>
      </c>
      <c r="X717" t="s">
        <v>44</v>
      </c>
      <c r="Y717" t="s">
        <v>99</v>
      </c>
      <c r="Z717" t="s">
        <v>421</v>
      </c>
      <c r="AC717" t="str">
        <f>IF(AA717="",M717,AA717)</f>
        <v>sim</v>
      </c>
      <c r="AD717" t="str">
        <f>IF(AB717="",X717,AB717)</f>
        <v>sim</v>
      </c>
      <c r="AE717" t="str">
        <f>IF(OR(Configuracao!B9="",Configuracao!B10=""),"aguardando limiar",IF(AND(K717&gt;=Configuracao!B9,K717/MAX(Reconciliacao!C2,1)&gt;=Configuracao!B10/100),"sim","não"))</f>
        <v>aguardando limiar</v>
      </c>
    </row>
    <row r="718" spans="1:31" x14ac:dyDescent="0.25">
      <c r="A718">
        <v>14892</v>
      </c>
      <c r="C718" t="s">
        <v>752</v>
      </c>
      <c r="D718" t="s">
        <v>597</v>
      </c>
      <c r="E718" t="s">
        <v>474</v>
      </c>
      <c r="F718" t="s">
        <v>178</v>
      </c>
      <c r="G718" t="s">
        <v>177</v>
      </c>
      <c r="H718" t="s">
        <v>176</v>
      </c>
      <c r="I718" t="s">
        <v>454</v>
      </c>
      <c r="J718" t="s">
        <v>454</v>
      </c>
      <c r="K718" s="4">
        <v>35</v>
      </c>
      <c r="L718" s="4">
        <v>35</v>
      </c>
      <c r="M718" t="s">
        <v>44</v>
      </c>
      <c r="N718" t="s">
        <v>77</v>
      </c>
      <c r="O718" t="s">
        <v>99</v>
      </c>
      <c r="P718" t="s">
        <v>243</v>
      </c>
      <c r="Q718" t="s">
        <v>191</v>
      </c>
      <c r="R718" t="s">
        <v>242</v>
      </c>
      <c r="S718" t="s">
        <v>161</v>
      </c>
      <c r="T718" t="s">
        <v>211</v>
      </c>
      <c r="U718" t="s">
        <v>163</v>
      </c>
      <c r="V718" t="s">
        <v>193</v>
      </c>
      <c r="W718" t="s">
        <v>116</v>
      </c>
      <c r="X718" t="s">
        <v>44</v>
      </c>
      <c r="Y718" t="s">
        <v>99</v>
      </c>
      <c r="Z718" t="s">
        <v>421</v>
      </c>
      <c r="AC718" t="str">
        <f>IF(AA718="",M718,AA718)</f>
        <v>sim</v>
      </c>
      <c r="AD718" t="str">
        <f>IF(AB718="",X718,AB718)</f>
        <v>sim</v>
      </c>
      <c r="AE718" t="str">
        <f>IF(OR(Configuracao!B9="",Configuracao!B10=""),"aguardando limiar",IF(AND(K718&gt;=Configuracao!B9,K718/MAX(Reconciliacao!C2,1)&gt;=Configuracao!B10/100),"sim","não"))</f>
        <v>aguardando limiar</v>
      </c>
    </row>
    <row r="719" spans="1:31" x14ac:dyDescent="0.25">
      <c r="A719">
        <v>12256</v>
      </c>
      <c r="C719" t="s">
        <v>753</v>
      </c>
      <c r="D719" t="s">
        <v>754</v>
      </c>
      <c r="E719" t="s">
        <v>451</v>
      </c>
      <c r="F719" t="s">
        <v>178</v>
      </c>
      <c r="G719" t="s">
        <v>177</v>
      </c>
      <c r="H719" t="s">
        <v>176</v>
      </c>
      <c r="I719" t="s">
        <v>424</v>
      </c>
      <c r="J719" t="s">
        <v>424</v>
      </c>
      <c r="K719" s="4">
        <v>55</v>
      </c>
      <c r="L719" s="4">
        <v>55</v>
      </c>
      <c r="M719" t="s">
        <v>44</v>
      </c>
      <c r="N719" t="s">
        <v>77</v>
      </c>
      <c r="O719" t="s">
        <v>99</v>
      </c>
      <c r="P719" t="s">
        <v>243</v>
      </c>
      <c r="Q719" t="s">
        <v>191</v>
      </c>
      <c r="R719" t="s">
        <v>242</v>
      </c>
      <c r="S719" t="s">
        <v>161</v>
      </c>
      <c r="T719" t="s">
        <v>211</v>
      </c>
      <c r="U719" t="s">
        <v>163</v>
      </c>
      <c r="V719" t="s">
        <v>193</v>
      </c>
      <c r="W719" t="s">
        <v>116</v>
      </c>
      <c r="X719" t="s">
        <v>44</v>
      </c>
      <c r="Y719" t="s">
        <v>99</v>
      </c>
      <c r="Z719" t="s">
        <v>421</v>
      </c>
      <c r="AC719" t="str">
        <f>IF(AA719="",M719,AA719)</f>
        <v>sim</v>
      </c>
      <c r="AD719" t="str">
        <f>IF(AB719="",X719,AB719)</f>
        <v>sim</v>
      </c>
      <c r="AE719" t="str">
        <f>IF(OR(Configuracao!B9="",Configuracao!B10=""),"aguardando limiar",IF(AND(K719&gt;=Configuracao!B9,K719/MAX(Reconciliacao!C2,1)&gt;=Configuracao!B10/100),"sim","não"))</f>
        <v>aguardando limiar</v>
      </c>
    </row>
    <row r="720" spans="1:31" x14ac:dyDescent="0.25">
      <c r="A720">
        <v>11672</v>
      </c>
      <c r="C720" t="s">
        <v>755</v>
      </c>
      <c r="D720" t="s">
        <v>756</v>
      </c>
      <c r="E720" t="s">
        <v>474</v>
      </c>
      <c r="F720" t="s">
        <v>178</v>
      </c>
      <c r="G720" t="s">
        <v>177</v>
      </c>
      <c r="H720" t="s">
        <v>176</v>
      </c>
      <c r="I720" t="s">
        <v>32</v>
      </c>
      <c r="J720" t="s">
        <v>32</v>
      </c>
      <c r="K720" s="4">
        <v>80</v>
      </c>
      <c r="L720" s="4">
        <v>80</v>
      </c>
      <c r="M720" t="s">
        <v>44</v>
      </c>
      <c r="N720" t="s">
        <v>77</v>
      </c>
      <c r="O720" t="s">
        <v>99</v>
      </c>
      <c r="P720" t="s">
        <v>243</v>
      </c>
      <c r="Q720" t="s">
        <v>191</v>
      </c>
      <c r="R720" t="s">
        <v>242</v>
      </c>
      <c r="S720" t="s">
        <v>161</v>
      </c>
      <c r="T720" t="s">
        <v>211</v>
      </c>
      <c r="U720" t="s">
        <v>163</v>
      </c>
      <c r="V720" t="s">
        <v>193</v>
      </c>
      <c r="W720" t="s">
        <v>116</v>
      </c>
      <c r="X720" t="s">
        <v>44</v>
      </c>
      <c r="Y720" t="s">
        <v>99</v>
      </c>
      <c r="Z720" t="s">
        <v>421</v>
      </c>
      <c r="AC720" t="str">
        <f>IF(AA720="",M720,AA720)</f>
        <v>sim</v>
      </c>
      <c r="AD720" t="str">
        <f>IF(AB720="",X720,AB720)</f>
        <v>sim</v>
      </c>
      <c r="AE720" t="str">
        <f>IF(OR(Configuracao!B9="",Configuracao!B10=""),"aguardando limiar",IF(AND(K720&gt;=Configuracao!B9,K720/MAX(Reconciliacao!C2,1)&gt;=Configuracao!B10/100),"sim","não"))</f>
        <v>aguardando limiar</v>
      </c>
    </row>
    <row r="721" spans="1:31" x14ac:dyDescent="0.25">
      <c r="A721">
        <v>12296</v>
      </c>
      <c r="C721" t="s">
        <v>757</v>
      </c>
      <c r="D721" t="s">
        <v>756</v>
      </c>
      <c r="E721" t="s">
        <v>474</v>
      </c>
      <c r="F721" t="s">
        <v>178</v>
      </c>
      <c r="G721" t="s">
        <v>177</v>
      </c>
      <c r="H721" t="s">
        <v>176</v>
      </c>
      <c r="I721" t="s">
        <v>424</v>
      </c>
      <c r="J721" t="s">
        <v>424</v>
      </c>
      <c r="K721" s="4">
        <v>81.87</v>
      </c>
      <c r="L721" s="4">
        <v>81.87</v>
      </c>
      <c r="M721" t="s">
        <v>44</v>
      </c>
      <c r="N721" t="s">
        <v>77</v>
      </c>
      <c r="O721" t="s">
        <v>99</v>
      </c>
      <c r="P721" t="s">
        <v>243</v>
      </c>
      <c r="Q721" t="s">
        <v>191</v>
      </c>
      <c r="R721" t="s">
        <v>242</v>
      </c>
      <c r="S721" t="s">
        <v>161</v>
      </c>
      <c r="T721" t="s">
        <v>211</v>
      </c>
      <c r="U721" t="s">
        <v>163</v>
      </c>
      <c r="V721" t="s">
        <v>193</v>
      </c>
      <c r="W721" t="s">
        <v>116</v>
      </c>
      <c r="X721" t="s">
        <v>44</v>
      </c>
      <c r="Y721" t="s">
        <v>99</v>
      </c>
      <c r="Z721" t="s">
        <v>421</v>
      </c>
      <c r="AC721" t="str">
        <f>IF(AA721="",M721,AA721)</f>
        <v>sim</v>
      </c>
      <c r="AD721" t="str">
        <f>IF(AB721="",X721,AB721)</f>
        <v>sim</v>
      </c>
      <c r="AE721" t="str">
        <f>IF(OR(Configuracao!B9="",Configuracao!B10=""),"aguardando limiar",IF(AND(K721&gt;=Configuracao!B9,K721/MAX(Reconciliacao!C2,1)&gt;=Configuracao!B10/100),"sim","não"))</f>
        <v>aguardando limiar</v>
      </c>
    </row>
    <row r="722" spans="1:31" x14ac:dyDescent="0.25">
      <c r="A722">
        <v>12267</v>
      </c>
      <c r="C722" t="s">
        <v>758</v>
      </c>
      <c r="D722" t="s">
        <v>759</v>
      </c>
      <c r="E722" t="s">
        <v>474</v>
      </c>
      <c r="F722" t="s">
        <v>178</v>
      </c>
      <c r="G722" t="s">
        <v>177</v>
      </c>
      <c r="H722" t="s">
        <v>176</v>
      </c>
      <c r="I722" t="s">
        <v>424</v>
      </c>
      <c r="J722" t="s">
        <v>420</v>
      </c>
      <c r="K722" s="4">
        <v>315.88</v>
      </c>
      <c r="L722" s="4">
        <v>315.88</v>
      </c>
      <c r="M722" t="s">
        <v>44</v>
      </c>
      <c r="N722" t="s">
        <v>77</v>
      </c>
      <c r="O722" t="s">
        <v>99</v>
      </c>
      <c r="P722" t="s">
        <v>243</v>
      </c>
      <c r="Q722" t="s">
        <v>191</v>
      </c>
      <c r="R722" t="s">
        <v>242</v>
      </c>
      <c r="S722" t="s">
        <v>161</v>
      </c>
      <c r="T722" t="s">
        <v>211</v>
      </c>
      <c r="U722" t="s">
        <v>163</v>
      </c>
      <c r="V722" t="s">
        <v>193</v>
      </c>
      <c r="W722" t="s">
        <v>116</v>
      </c>
      <c r="X722" t="s">
        <v>44</v>
      </c>
      <c r="Y722" t="s">
        <v>99</v>
      </c>
      <c r="Z722" t="s">
        <v>421</v>
      </c>
      <c r="AC722" t="str">
        <f>IF(AA722="",M722,AA722)</f>
        <v>sim</v>
      </c>
      <c r="AD722" t="str">
        <f>IF(AB722="",X722,AB722)</f>
        <v>sim</v>
      </c>
      <c r="AE722" t="str">
        <f>IF(OR(Configuracao!B9="",Configuracao!B10=""),"aguardando limiar",IF(AND(K722&gt;=Configuracao!B9,K722/MAX(Reconciliacao!C2,1)&gt;=Configuracao!B10/100),"sim","não"))</f>
        <v>aguardando limiar</v>
      </c>
    </row>
    <row r="723" spans="1:31" x14ac:dyDescent="0.25">
      <c r="A723">
        <v>8054</v>
      </c>
      <c r="C723" t="s">
        <v>760</v>
      </c>
      <c r="D723" t="s">
        <v>756</v>
      </c>
      <c r="E723" t="s">
        <v>474</v>
      </c>
      <c r="F723" t="s">
        <v>178</v>
      </c>
      <c r="G723" t="s">
        <v>177</v>
      </c>
      <c r="H723" t="s">
        <v>176</v>
      </c>
      <c r="I723" t="s">
        <v>32</v>
      </c>
      <c r="J723" t="s">
        <v>32</v>
      </c>
      <c r="K723" s="4">
        <v>440.01</v>
      </c>
      <c r="L723" s="4">
        <v>440.01</v>
      </c>
      <c r="M723" t="s">
        <v>44</v>
      </c>
      <c r="N723" t="s">
        <v>77</v>
      </c>
      <c r="O723" t="s">
        <v>99</v>
      </c>
      <c r="P723" t="s">
        <v>243</v>
      </c>
      <c r="Q723" t="s">
        <v>191</v>
      </c>
      <c r="R723" t="s">
        <v>242</v>
      </c>
      <c r="S723" t="s">
        <v>161</v>
      </c>
      <c r="T723" t="s">
        <v>211</v>
      </c>
      <c r="U723" t="s">
        <v>163</v>
      </c>
      <c r="V723" t="s">
        <v>193</v>
      </c>
      <c r="W723" t="s">
        <v>116</v>
      </c>
      <c r="X723" t="s">
        <v>44</v>
      </c>
      <c r="Y723" t="s">
        <v>99</v>
      </c>
      <c r="Z723" t="s">
        <v>421</v>
      </c>
      <c r="AC723" t="str">
        <f>IF(AA723="",M723,AA723)</f>
        <v>sim</v>
      </c>
      <c r="AD723" t="str">
        <f>IF(AB723="",X723,AB723)</f>
        <v>sim</v>
      </c>
      <c r="AE723" t="str">
        <f>IF(OR(Configuracao!B9="",Configuracao!B10=""),"aguardando limiar",IF(AND(K723&gt;=Configuracao!B9,K723/MAX(Reconciliacao!C2,1)&gt;=Configuracao!B10/100),"sim","não"))</f>
        <v>aguardando limiar</v>
      </c>
    </row>
    <row r="724" spans="1:31" x14ac:dyDescent="0.25">
      <c r="A724">
        <v>8055</v>
      </c>
      <c r="C724" t="s">
        <v>760</v>
      </c>
      <c r="D724" t="s">
        <v>756</v>
      </c>
      <c r="E724" t="s">
        <v>474</v>
      </c>
      <c r="F724" t="s">
        <v>178</v>
      </c>
      <c r="G724" t="s">
        <v>177</v>
      </c>
      <c r="H724" t="s">
        <v>176</v>
      </c>
      <c r="I724" t="s">
        <v>424</v>
      </c>
      <c r="J724" t="s">
        <v>424</v>
      </c>
      <c r="K724" s="4">
        <v>440.01</v>
      </c>
      <c r="L724" s="4">
        <v>440.01</v>
      </c>
      <c r="M724" t="s">
        <v>44</v>
      </c>
      <c r="N724" t="s">
        <v>77</v>
      </c>
      <c r="O724" t="s">
        <v>99</v>
      </c>
      <c r="P724" t="s">
        <v>243</v>
      </c>
      <c r="Q724" t="s">
        <v>191</v>
      </c>
      <c r="R724" t="s">
        <v>242</v>
      </c>
      <c r="S724" t="s">
        <v>161</v>
      </c>
      <c r="T724" t="s">
        <v>211</v>
      </c>
      <c r="U724" t="s">
        <v>163</v>
      </c>
      <c r="V724" t="s">
        <v>193</v>
      </c>
      <c r="W724" t="s">
        <v>116</v>
      </c>
      <c r="X724" t="s">
        <v>44</v>
      </c>
      <c r="Y724" t="s">
        <v>99</v>
      </c>
      <c r="Z724" t="s">
        <v>421</v>
      </c>
      <c r="AC724" t="str">
        <f>IF(AA724="",M724,AA724)</f>
        <v>sim</v>
      </c>
      <c r="AD724" t="str">
        <f>IF(AB724="",X724,AB724)</f>
        <v>sim</v>
      </c>
      <c r="AE724" t="str">
        <f>IF(OR(Configuracao!B9="",Configuracao!B10=""),"aguardando limiar",IF(AND(K724&gt;=Configuracao!B9,K724/MAX(Reconciliacao!C2,1)&gt;=Configuracao!B10/100),"sim","não"))</f>
        <v>aguardando limiar</v>
      </c>
    </row>
    <row r="725" spans="1:31" x14ac:dyDescent="0.25">
      <c r="A725">
        <v>8056</v>
      </c>
      <c r="C725" t="s">
        <v>760</v>
      </c>
      <c r="D725" t="s">
        <v>756</v>
      </c>
      <c r="E725" t="s">
        <v>474</v>
      </c>
      <c r="F725" t="s">
        <v>178</v>
      </c>
      <c r="G725" t="s">
        <v>177</v>
      </c>
      <c r="H725" t="s">
        <v>176</v>
      </c>
      <c r="I725" t="s">
        <v>420</v>
      </c>
      <c r="J725" t="s">
        <v>420</v>
      </c>
      <c r="K725" s="4">
        <v>440.01</v>
      </c>
      <c r="L725" s="4">
        <v>440.01</v>
      </c>
      <c r="M725" t="s">
        <v>44</v>
      </c>
      <c r="N725" t="s">
        <v>77</v>
      </c>
      <c r="O725" t="s">
        <v>99</v>
      </c>
      <c r="P725" t="s">
        <v>243</v>
      </c>
      <c r="Q725" t="s">
        <v>191</v>
      </c>
      <c r="R725" t="s">
        <v>242</v>
      </c>
      <c r="S725" t="s">
        <v>161</v>
      </c>
      <c r="T725" t="s">
        <v>211</v>
      </c>
      <c r="U725" t="s">
        <v>163</v>
      </c>
      <c r="V725" t="s">
        <v>193</v>
      </c>
      <c r="W725" t="s">
        <v>116</v>
      </c>
      <c r="X725" t="s">
        <v>44</v>
      </c>
      <c r="Y725" t="s">
        <v>99</v>
      </c>
      <c r="Z725" t="s">
        <v>421</v>
      </c>
      <c r="AC725" t="str">
        <f>IF(AA725="",M725,AA725)</f>
        <v>sim</v>
      </c>
      <c r="AD725" t="str">
        <f>IF(AB725="",X725,AB725)</f>
        <v>sim</v>
      </c>
      <c r="AE725" t="str">
        <f>IF(OR(Configuracao!B9="",Configuracao!B10=""),"aguardando limiar",IF(AND(K725&gt;=Configuracao!B9,K725/MAX(Reconciliacao!C2,1)&gt;=Configuracao!B10/100),"sim","não"))</f>
        <v>aguardando limiar</v>
      </c>
    </row>
    <row r="726" spans="1:31" x14ac:dyDescent="0.25">
      <c r="A726">
        <v>8057</v>
      </c>
      <c r="C726" t="s">
        <v>760</v>
      </c>
      <c r="D726" t="s">
        <v>756</v>
      </c>
      <c r="E726" t="s">
        <v>474</v>
      </c>
      <c r="F726" t="s">
        <v>178</v>
      </c>
      <c r="G726" t="s">
        <v>177</v>
      </c>
      <c r="H726" t="s">
        <v>176</v>
      </c>
      <c r="I726" t="s">
        <v>454</v>
      </c>
      <c r="J726" t="s">
        <v>454</v>
      </c>
      <c r="K726" s="4">
        <v>440.01</v>
      </c>
      <c r="L726" s="4">
        <v>440.01</v>
      </c>
      <c r="M726" t="s">
        <v>44</v>
      </c>
      <c r="N726" t="s">
        <v>77</v>
      </c>
      <c r="O726" t="s">
        <v>99</v>
      </c>
      <c r="P726" t="s">
        <v>243</v>
      </c>
      <c r="Q726" t="s">
        <v>191</v>
      </c>
      <c r="R726" t="s">
        <v>242</v>
      </c>
      <c r="S726" t="s">
        <v>161</v>
      </c>
      <c r="T726" t="s">
        <v>211</v>
      </c>
      <c r="U726" t="s">
        <v>163</v>
      </c>
      <c r="V726" t="s">
        <v>193</v>
      </c>
      <c r="W726" t="s">
        <v>116</v>
      </c>
      <c r="X726" t="s">
        <v>44</v>
      </c>
      <c r="Y726" t="s">
        <v>99</v>
      </c>
      <c r="Z726" t="s">
        <v>421</v>
      </c>
      <c r="AC726" t="str">
        <f>IF(AA726="",M726,AA726)</f>
        <v>sim</v>
      </c>
      <c r="AD726" t="str">
        <f>IF(AB726="",X726,AB726)</f>
        <v>sim</v>
      </c>
      <c r="AE726" t="str">
        <f>IF(OR(Configuracao!B9="",Configuracao!B10=""),"aguardando limiar",IF(AND(K726&gt;=Configuracao!B9,K726/MAX(Reconciliacao!C2,1)&gt;=Configuracao!B10/100),"sim","não"))</f>
        <v>aguardando limiar</v>
      </c>
    </row>
    <row r="727" spans="1:31" x14ac:dyDescent="0.25">
      <c r="A727">
        <v>8058</v>
      </c>
      <c r="C727" t="s">
        <v>760</v>
      </c>
      <c r="D727" t="s">
        <v>756</v>
      </c>
      <c r="E727" t="s">
        <v>474</v>
      </c>
      <c r="F727" t="s">
        <v>178</v>
      </c>
      <c r="G727" t="s">
        <v>177</v>
      </c>
      <c r="H727" t="s">
        <v>176</v>
      </c>
      <c r="I727" t="s">
        <v>461</v>
      </c>
      <c r="J727" t="s">
        <v>461</v>
      </c>
      <c r="K727" s="4">
        <v>440.01</v>
      </c>
      <c r="L727" s="4">
        <v>440.01</v>
      </c>
      <c r="M727" t="s">
        <v>44</v>
      </c>
      <c r="N727" t="s">
        <v>77</v>
      </c>
      <c r="O727" t="s">
        <v>99</v>
      </c>
      <c r="P727" t="s">
        <v>243</v>
      </c>
      <c r="Q727" t="s">
        <v>191</v>
      </c>
      <c r="R727" t="s">
        <v>242</v>
      </c>
      <c r="S727" t="s">
        <v>161</v>
      </c>
      <c r="T727" t="s">
        <v>211</v>
      </c>
      <c r="U727" t="s">
        <v>163</v>
      </c>
      <c r="V727" t="s">
        <v>193</v>
      </c>
      <c r="W727" t="s">
        <v>116</v>
      </c>
      <c r="X727" t="s">
        <v>44</v>
      </c>
      <c r="Y727" t="s">
        <v>99</v>
      </c>
      <c r="Z727" t="s">
        <v>421</v>
      </c>
      <c r="AC727" t="str">
        <f>IF(AA727="",M727,AA727)</f>
        <v>sim</v>
      </c>
      <c r="AD727" t="str">
        <f>IF(AB727="",X727,AB727)</f>
        <v>sim</v>
      </c>
      <c r="AE727" t="str">
        <f>IF(OR(Configuracao!B9="",Configuracao!B10=""),"aguardando limiar",IF(AND(K727&gt;=Configuracao!B9,K727/MAX(Reconciliacao!C2,1)&gt;=Configuracao!B10/100),"sim","não"))</f>
        <v>aguardando limiar</v>
      </c>
    </row>
    <row r="728" spans="1:31" x14ac:dyDescent="0.25">
      <c r="A728">
        <v>8059</v>
      </c>
      <c r="C728" t="s">
        <v>760</v>
      </c>
      <c r="D728" t="s">
        <v>756</v>
      </c>
      <c r="E728" t="s">
        <v>474</v>
      </c>
      <c r="F728" t="s">
        <v>178</v>
      </c>
      <c r="G728" t="s">
        <v>177</v>
      </c>
      <c r="H728" t="s">
        <v>176</v>
      </c>
      <c r="I728" t="s">
        <v>442</v>
      </c>
      <c r="J728" t="s">
        <v>442</v>
      </c>
      <c r="K728" s="4">
        <v>440.01</v>
      </c>
      <c r="L728" s="4">
        <v>440.01</v>
      </c>
      <c r="M728" t="s">
        <v>44</v>
      </c>
      <c r="N728" t="s">
        <v>77</v>
      </c>
      <c r="O728" t="s">
        <v>99</v>
      </c>
      <c r="P728" t="s">
        <v>243</v>
      </c>
      <c r="Q728" t="s">
        <v>191</v>
      </c>
      <c r="R728" t="s">
        <v>242</v>
      </c>
      <c r="S728" t="s">
        <v>161</v>
      </c>
      <c r="T728" t="s">
        <v>211</v>
      </c>
      <c r="U728" t="s">
        <v>163</v>
      </c>
      <c r="V728" t="s">
        <v>193</v>
      </c>
      <c r="W728" t="s">
        <v>116</v>
      </c>
      <c r="X728" t="s">
        <v>44</v>
      </c>
      <c r="Y728" t="s">
        <v>99</v>
      </c>
      <c r="Z728" t="s">
        <v>421</v>
      </c>
      <c r="AC728" t="str">
        <f>IF(AA728="",M728,AA728)</f>
        <v>sim</v>
      </c>
      <c r="AD728" t="str">
        <f>IF(AB728="",X728,AB728)</f>
        <v>sim</v>
      </c>
      <c r="AE728" t="str">
        <f>IF(OR(Configuracao!B9="",Configuracao!B10=""),"aguardando limiar",IF(AND(K728&gt;=Configuracao!B9,K728/MAX(Reconciliacao!C2,1)&gt;=Configuracao!B10/100),"sim","não"))</f>
        <v>aguardando limiar</v>
      </c>
    </row>
    <row r="729" spans="1:31" x14ac:dyDescent="0.25">
      <c r="A729">
        <v>8060</v>
      </c>
      <c r="C729" t="s">
        <v>760</v>
      </c>
      <c r="D729" t="s">
        <v>756</v>
      </c>
      <c r="E729" t="s">
        <v>474</v>
      </c>
      <c r="F729" t="s">
        <v>178</v>
      </c>
      <c r="G729" t="s">
        <v>177</v>
      </c>
      <c r="H729" t="s">
        <v>176</v>
      </c>
      <c r="I729" t="s">
        <v>439</v>
      </c>
      <c r="J729" t="s">
        <v>439</v>
      </c>
      <c r="K729" s="4">
        <v>440.01</v>
      </c>
      <c r="L729" s="4">
        <v>440.01</v>
      </c>
      <c r="M729" t="s">
        <v>44</v>
      </c>
      <c r="N729" t="s">
        <v>77</v>
      </c>
      <c r="O729" t="s">
        <v>99</v>
      </c>
      <c r="P729" t="s">
        <v>243</v>
      </c>
      <c r="Q729" t="s">
        <v>191</v>
      </c>
      <c r="R729" t="s">
        <v>242</v>
      </c>
      <c r="S729" t="s">
        <v>161</v>
      </c>
      <c r="T729" t="s">
        <v>211</v>
      </c>
      <c r="U729" t="s">
        <v>163</v>
      </c>
      <c r="V729" t="s">
        <v>193</v>
      </c>
      <c r="W729" t="s">
        <v>116</v>
      </c>
      <c r="X729" t="s">
        <v>44</v>
      </c>
      <c r="Y729" t="s">
        <v>99</v>
      </c>
      <c r="Z729" t="s">
        <v>421</v>
      </c>
      <c r="AC729" t="str">
        <f>IF(AA729="",M729,AA729)</f>
        <v>sim</v>
      </c>
      <c r="AD729" t="str">
        <f>IF(AB729="",X729,AB729)</f>
        <v>sim</v>
      </c>
      <c r="AE729" t="str">
        <f>IF(OR(Configuracao!B9="",Configuracao!B10=""),"aguardando limiar",IF(AND(K729&gt;=Configuracao!B9,K729/MAX(Reconciliacao!C2,1)&gt;=Configuracao!B10/100),"sim","não"))</f>
        <v>aguardando limiar</v>
      </c>
    </row>
    <row r="730" spans="1:31" x14ac:dyDescent="0.25">
      <c r="A730">
        <v>8061</v>
      </c>
      <c r="C730" t="s">
        <v>760</v>
      </c>
      <c r="D730" t="s">
        <v>756</v>
      </c>
      <c r="E730" t="s">
        <v>474</v>
      </c>
      <c r="F730" t="s">
        <v>178</v>
      </c>
      <c r="G730" t="s">
        <v>177</v>
      </c>
      <c r="H730" t="s">
        <v>176</v>
      </c>
      <c r="I730" t="s">
        <v>35</v>
      </c>
      <c r="J730" t="s">
        <v>35</v>
      </c>
      <c r="K730" s="4">
        <v>440.01</v>
      </c>
      <c r="L730" s="4">
        <v>440.01</v>
      </c>
      <c r="M730" t="s">
        <v>44</v>
      </c>
      <c r="N730" t="s">
        <v>77</v>
      </c>
      <c r="O730" t="s">
        <v>99</v>
      </c>
      <c r="P730" t="s">
        <v>243</v>
      </c>
      <c r="Q730" t="s">
        <v>191</v>
      </c>
      <c r="R730" t="s">
        <v>242</v>
      </c>
      <c r="S730" t="s">
        <v>161</v>
      </c>
      <c r="T730" t="s">
        <v>211</v>
      </c>
      <c r="U730" t="s">
        <v>163</v>
      </c>
      <c r="V730" t="s">
        <v>193</v>
      </c>
      <c r="W730" t="s">
        <v>116</v>
      </c>
      <c r="X730" t="s">
        <v>44</v>
      </c>
      <c r="Y730" t="s">
        <v>99</v>
      </c>
      <c r="Z730" t="s">
        <v>421</v>
      </c>
      <c r="AC730" t="str">
        <f>IF(AA730="",M730,AA730)</f>
        <v>sim</v>
      </c>
      <c r="AD730" t="str">
        <f>IF(AB730="",X730,AB730)</f>
        <v>sim</v>
      </c>
      <c r="AE730" t="str">
        <f>IF(OR(Configuracao!B9="",Configuracao!B10=""),"aguardando limiar",IF(AND(K730&gt;=Configuracao!B9,K730/MAX(Reconciliacao!C2,1)&gt;=Configuracao!B10/100),"sim","não"))</f>
        <v>aguardando limiar</v>
      </c>
    </row>
    <row r="731" spans="1:31" x14ac:dyDescent="0.25">
      <c r="A731">
        <v>17749</v>
      </c>
      <c r="C731" t="s">
        <v>761</v>
      </c>
      <c r="D731" t="s">
        <v>762</v>
      </c>
      <c r="E731" t="s">
        <v>474</v>
      </c>
      <c r="F731" t="s">
        <v>178</v>
      </c>
      <c r="G731" t="s">
        <v>177</v>
      </c>
      <c r="H731" t="s">
        <v>176</v>
      </c>
      <c r="I731" t="s">
        <v>439</v>
      </c>
      <c r="J731" t="s">
        <v>439</v>
      </c>
      <c r="K731" s="4">
        <v>441.65</v>
      </c>
      <c r="L731" s="4">
        <v>441.65</v>
      </c>
      <c r="M731" t="s">
        <v>44</v>
      </c>
      <c r="N731" t="s">
        <v>77</v>
      </c>
      <c r="O731" t="s">
        <v>99</v>
      </c>
      <c r="P731" t="s">
        <v>243</v>
      </c>
      <c r="Q731" t="s">
        <v>191</v>
      </c>
      <c r="R731" t="s">
        <v>242</v>
      </c>
      <c r="S731" t="s">
        <v>161</v>
      </c>
      <c r="T731" t="s">
        <v>211</v>
      </c>
      <c r="U731" t="s">
        <v>163</v>
      </c>
      <c r="V731" t="s">
        <v>193</v>
      </c>
      <c r="W731" t="s">
        <v>116</v>
      </c>
      <c r="X731" t="s">
        <v>44</v>
      </c>
      <c r="Y731" t="s">
        <v>99</v>
      </c>
      <c r="Z731" t="s">
        <v>421</v>
      </c>
      <c r="AC731" t="str">
        <f>IF(AA731="",M731,AA731)</f>
        <v>sim</v>
      </c>
      <c r="AD731" t="str">
        <f>IF(AB731="",X731,AB731)</f>
        <v>sim</v>
      </c>
      <c r="AE731" t="str">
        <f>IF(OR(Configuracao!B9="",Configuracao!B10=""),"aguardando limiar",IF(AND(K731&gt;=Configuracao!B9,K731/MAX(Reconciliacao!C2,1)&gt;=Configuracao!B10/100),"sim","não"))</f>
        <v>aguardando limiar</v>
      </c>
    </row>
    <row r="732" spans="1:31" x14ac:dyDescent="0.25">
      <c r="A732">
        <v>18037</v>
      </c>
      <c r="C732" t="s">
        <v>763</v>
      </c>
      <c r="D732" t="s">
        <v>764</v>
      </c>
      <c r="E732" t="s">
        <v>474</v>
      </c>
      <c r="F732" t="s">
        <v>178</v>
      </c>
      <c r="G732" t="s">
        <v>177</v>
      </c>
      <c r="H732" t="s">
        <v>176</v>
      </c>
      <c r="I732" t="s">
        <v>439</v>
      </c>
      <c r="J732" t="s">
        <v>35</v>
      </c>
      <c r="K732" s="4">
        <v>522.14</v>
      </c>
      <c r="L732" s="4">
        <v>522.14</v>
      </c>
      <c r="M732" t="s">
        <v>44</v>
      </c>
      <c r="N732" t="s">
        <v>77</v>
      </c>
      <c r="O732" t="s">
        <v>99</v>
      </c>
      <c r="P732" t="s">
        <v>243</v>
      </c>
      <c r="Q732" t="s">
        <v>191</v>
      </c>
      <c r="R732" t="s">
        <v>242</v>
      </c>
      <c r="S732" t="s">
        <v>161</v>
      </c>
      <c r="T732" t="s">
        <v>211</v>
      </c>
      <c r="U732" t="s">
        <v>163</v>
      </c>
      <c r="V732" t="s">
        <v>193</v>
      </c>
      <c r="W732" t="s">
        <v>116</v>
      </c>
      <c r="X732" t="s">
        <v>44</v>
      </c>
      <c r="Y732" t="s">
        <v>99</v>
      </c>
      <c r="Z732" t="s">
        <v>421</v>
      </c>
      <c r="AC732" t="str">
        <f>IF(AA732="",M732,AA732)</f>
        <v>sim</v>
      </c>
      <c r="AD732" t="str">
        <f>IF(AB732="",X732,AB732)</f>
        <v>sim</v>
      </c>
      <c r="AE732" t="str">
        <f>IF(OR(Configuracao!B9="",Configuracao!B10=""),"aguardando limiar",IF(AND(K732&gt;=Configuracao!B9,K732/MAX(Reconciliacao!C2,1)&gt;=Configuracao!B10/100),"sim","não"))</f>
        <v>aguardando limiar</v>
      </c>
    </row>
    <row r="733" spans="1:31" x14ac:dyDescent="0.25">
      <c r="A733">
        <v>8706</v>
      </c>
      <c r="C733" t="s">
        <v>765</v>
      </c>
      <c r="D733" t="s">
        <v>766</v>
      </c>
      <c r="E733" t="s">
        <v>451</v>
      </c>
      <c r="F733" t="s">
        <v>178</v>
      </c>
      <c r="G733" t="s">
        <v>177</v>
      </c>
      <c r="H733" t="s">
        <v>176</v>
      </c>
      <c r="I733" t="s">
        <v>32</v>
      </c>
      <c r="J733" t="s">
        <v>32</v>
      </c>
      <c r="K733" s="4">
        <v>538.81</v>
      </c>
      <c r="L733" s="4">
        <v>538.81</v>
      </c>
      <c r="M733" t="s">
        <v>166</v>
      </c>
      <c r="N733" t="s">
        <v>116</v>
      </c>
      <c r="O733" t="s">
        <v>104</v>
      </c>
      <c r="P733" t="s">
        <v>767</v>
      </c>
      <c r="Q733" t="s">
        <v>104</v>
      </c>
      <c r="R733" t="s">
        <v>104</v>
      </c>
      <c r="S733" t="s">
        <v>167</v>
      </c>
      <c r="T733" t="s">
        <v>167</v>
      </c>
      <c r="U733" t="s">
        <v>168</v>
      </c>
      <c r="V733" t="s">
        <v>169</v>
      </c>
      <c r="W733" t="s">
        <v>116</v>
      </c>
      <c r="X733" t="s">
        <v>44</v>
      </c>
      <c r="Y733" t="s">
        <v>99</v>
      </c>
      <c r="Z733" t="s">
        <v>421</v>
      </c>
      <c r="AC733" t="str">
        <f>IF(AA733="",M733,AA733)</f>
        <v>não</v>
      </c>
      <c r="AD733" t="str">
        <f>IF(AB733="",X733,AB733)</f>
        <v>sim</v>
      </c>
      <c r="AE733" t="str">
        <f>IF(OR(Configuracao!B9="",Configuracao!B10=""),"aguardando limiar",IF(AND(K733&gt;=Configuracao!B9,K733/MAX(Reconciliacao!C2,1)&gt;=Configuracao!B10/100),"sim","não"))</f>
        <v>aguardando limiar</v>
      </c>
    </row>
    <row r="734" spans="1:31" x14ac:dyDescent="0.25">
      <c r="A734">
        <v>8707</v>
      </c>
      <c r="C734" t="s">
        <v>768</v>
      </c>
      <c r="D734" t="s">
        <v>766</v>
      </c>
      <c r="E734" t="s">
        <v>451</v>
      </c>
      <c r="F734" t="s">
        <v>178</v>
      </c>
      <c r="G734" t="s">
        <v>177</v>
      </c>
      <c r="H734" t="s">
        <v>176</v>
      </c>
      <c r="I734" t="s">
        <v>424</v>
      </c>
      <c r="J734" t="s">
        <v>424</v>
      </c>
      <c r="K734" s="4">
        <v>544.72</v>
      </c>
      <c r="L734" s="4">
        <v>544.72</v>
      </c>
      <c r="M734" t="s">
        <v>166</v>
      </c>
      <c r="N734" t="s">
        <v>116</v>
      </c>
      <c r="O734" t="s">
        <v>104</v>
      </c>
      <c r="P734" t="s">
        <v>767</v>
      </c>
      <c r="Q734" t="s">
        <v>104</v>
      </c>
      <c r="R734" t="s">
        <v>104</v>
      </c>
      <c r="S734" t="s">
        <v>167</v>
      </c>
      <c r="T734" t="s">
        <v>167</v>
      </c>
      <c r="U734" t="s">
        <v>168</v>
      </c>
      <c r="V734" t="s">
        <v>169</v>
      </c>
      <c r="W734" t="s">
        <v>116</v>
      </c>
      <c r="X734" t="s">
        <v>44</v>
      </c>
      <c r="Y734" t="s">
        <v>99</v>
      </c>
      <c r="Z734" t="s">
        <v>421</v>
      </c>
      <c r="AC734" t="str">
        <f>IF(AA734="",M734,AA734)</f>
        <v>não</v>
      </c>
      <c r="AD734" t="str">
        <f>IF(AB734="",X734,AB734)</f>
        <v>sim</v>
      </c>
      <c r="AE734" t="str">
        <f>IF(OR(Configuracao!B9="",Configuracao!B10=""),"aguardando limiar",IF(AND(K734&gt;=Configuracao!B9,K734/MAX(Reconciliacao!C2,1)&gt;=Configuracao!B10/100),"sim","não"))</f>
        <v>aguardando limiar</v>
      </c>
    </row>
    <row r="735" spans="1:31" x14ac:dyDescent="0.25">
      <c r="A735">
        <v>8708</v>
      </c>
      <c r="C735" t="s">
        <v>769</v>
      </c>
      <c r="D735" t="s">
        <v>766</v>
      </c>
      <c r="E735" t="s">
        <v>451</v>
      </c>
      <c r="F735" t="s">
        <v>178</v>
      </c>
      <c r="G735" t="s">
        <v>177</v>
      </c>
      <c r="H735" t="s">
        <v>176</v>
      </c>
      <c r="I735" t="s">
        <v>420</v>
      </c>
      <c r="J735" t="s">
        <v>420</v>
      </c>
      <c r="K735" s="4">
        <v>549.81</v>
      </c>
      <c r="L735" s="4">
        <v>549.81</v>
      </c>
      <c r="M735" t="s">
        <v>166</v>
      </c>
      <c r="N735" t="s">
        <v>116</v>
      </c>
      <c r="O735" t="s">
        <v>104</v>
      </c>
      <c r="P735" t="s">
        <v>767</v>
      </c>
      <c r="Q735" t="s">
        <v>104</v>
      </c>
      <c r="R735" t="s">
        <v>104</v>
      </c>
      <c r="S735" t="s">
        <v>167</v>
      </c>
      <c r="T735" t="s">
        <v>167</v>
      </c>
      <c r="U735" t="s">
        <v>168</v>
      </c>
      <c r="V735" t="s">
        <v>169</v>
      </c>
      <c r="W735" t="s">
        <v>116</v>
      </c>
      <c r="X735" t="s">
        <v>44</v>
      </c>
      <c r="Y735" t="s">
        <v>99</v>
      </c>
      <c r="Z735" t="s">
        <v>421</v>
      </c>
      <c r="AC735" t="str">
        <f>IF(AA735="",M735,AA735)</f>
        <v>não</v>
      </c>
      <c r="AD735" t="str">
        <f>IF(AB735="",X735,AB735)</f>
        <v>sim</v>
      </c>
      <c r="AE735" t="str">
        <f>IF(OR(Configuracao!B9="",Configuracao!B10=""),"aguardando limiar",IF(AND(K735&gt;=Configuracao!B9,K735/MAX(Reconciliacao!C2,1)&gt;=Configuracao!B10/100),"sim","não"))</f>
        <v>aguardando limiar</v>
      </c>
    </row>
    <row r="736" spans="1:31" x14ac:dyDescent="0.25">
      <c r="A736">
        <v>8709</v>
      </c>
      <c r="C736" t="s">
        <v>770</v>
      </c>
      <c r="D736" t="s">
        <v>766</v>
      </c>
      <c r="E736" t="s">
        <v>451</v>
      </c>
      <c r="F736" t="s">
        <v>178</v>
      </c>
      <c r="G736" t="s">
        <v>177</v>
      </c>
      <c r="H736" t="s">
        <v>176</v>
      </c>
      <c r="I736" t="s">
        <v>454</v>
      </c>
      <c r="J736" t="s">
        <v>454</v>
      </c>
      <c r="K736" s="4">
        <v>555.98</v>
      </c>
      <c r="L736" s="4">
        <v>555.98</v>
      </c>
      <c r="M736" t="s">
        <v>166</v>
      </c>
      <c r="N736" t="s">
        <v>116</v>
      </c>
      <c r="O736" t="s">
        <v>104</v>
      </c>
      <c r="P736" t="s">
        <v>767</v>
      </c>
      <c r="Q736" t="s">
        <v>104</v>
      </c>
      <c r="R736" t="s">
        <v>104</v>
      </c>
      <c r="S736" t="s">
        <v>167</v>
      </c>
      <c r="T736" t="s">
        <v>167</v>
      </c>
      <c r="U736" t="s">
        <v>168</v>
      </c>
      <c r="V736" t="s">
        <v>169</v>
      </c>
      <c r="W736" t="s">
        <v>116</v>
      </c>
      <c r="X736" t="s">
        <v>44</v>
      </c>
      <c r="Y736" t="s">
        <v>99</v>
      </c>
      <c r="Z736" t="s">
        <v>421</v>
      </c>
      <c r="AC736" t="str">
        <f>IF(AA736="",M736,AA736)</f>
        <v>não</v>
      </c>
      <c r="AD736" t="str">
        <f>IF(AB736="",X736,AB736)</f>
        <v>sim</v>
      </c>
      <c r="AE736" t="str">
        <f>IF(OR(Configuracao!B9="",Configuracao!B10=""),"aguardando limiar",IF(AND(K736&gt;=Configuracao!B9,K736/MAX(Reconciliacao!C2,1)&gt;=Configuracao!B10/100),"sim","não"))</f>
        <v>aguardando limiar</v>
      </c>
    </row>
    <row r="737" spans="1:31" x14ac:dyDescent="0.25">
      <c r="A737">
        <v>8710</v>
      </c>
      <c r="C737" t="s">
        <v>771</v>
      </c>
      <c r="D737" t="s">
        <v>766</v>
      </c>
      <c r="E737" t="s">
        <v>451</v>
      </c>
      <c r="F737" t="s">
        <v>178</v>
      </c>
      <c r="G737" t="s">
        <v>177</v>
      </c>
      <c r="H737" t="s">
        <v>176</v>
      </c>
      <c r="I737" t="s">
        <v>461</v>
      </c>
      <c r="J737" t="s">
        <v>461</v>
      </c>
      <c r="K737" s="4">
        <v>561.53</v>
      </c>
      <c r="L737" s="4">
        <v>561.53</v>
      </c>
      <c r="M737" t="s">
        <v>166</v>
      </c>
      <c r="N737" t="s">
        <v>116</v>
      </c>
      <c r="O737" t="s">
        <v>104</v>
      </c>
      <c r="P737" t="s">
        <v>767</v>
      </c>
      <c r="Q737" t="s">
        <v>104</v>
      </c>
      <c r="R737" t="s">
        <v>104</v>
      </c>
      <c r="S737" t="s">
        <v>167</v>
      </c>
      <c r="T737" t="s">
        <v>167</v>
      </c>
      <c r="U737" t="s">
        <v>168</v>
      </c>
      <c r="V737" t="s">
        <v>169</v>
      </c>
      <c r="W737" t="s">
        <v>116</v>
      </c>
      <c r="X737" t="s">
        <v>44</v>
      </c>
      <c r="Y737" t="s">
        <v>99</v>
      </c>
      <c r="Z737" t="s">
        <v>421</v>
      </c>
      <c r="AC737" t="str">
        <f>IF(AA737="",M737,AA737)</f>
        <v>não</v>
      </c>
      <c r="AD737" t="str">
        <f>IF(AB737="",X737,AB737)</f>
        <v>sim</v>
      </c>
      <c r="AE737" t="str">
        <f>IF(OR(Configuracao!B9="",Configuracao!B10=""),"aguardando limiar",IF(AND(K737&gt;=Configuracao!B9,K737/MAX(Reconciliacao!C2,1)&gt;=Configuracao!B10/100),"sim","não"))</f>
        <v>aguardando limiar</v>
      </c>
    </row>
    <row r="738" spans="1:31" x14ac:dyDescent="0.25">
      <c r="A738">
        <v>8711</v>
      </c>
      <c r="C738" t="s">
        <v>772</v>
      </c>
      <c r="D738" t="s">
        <v>766</v>
      </c>
      <c r="E738" t="s">
        <v>451</v>
      </c>
      <c r="F738" t="s">
        <v>178</v>
      </c>
      <c r="G738" t="s">
        <v>177</v>
      </c>
      <c r="H738" t="s">
        <v>176</v>
      </c>
      <c r="I738" t="s">
        <v>442</v>
      </c>
      <c r="J738" t="s">
        <v>442</v>
      </c>
      <c r="K738" s="4">
        <v>566.98</v>
      </c>
      <c r="L738" s="4">
        <v>566.98</v>
      </c>
      <c r="M738" t="s">
        <v>166</v>
      </c>
      <c r="N738" t="s">
        <v>116</v>
      </c>
      <c r="O738" t="s">
        <v>104</v>
      </c>
      <c r="P738" t="s">
        <v>767</v>
      </c>
      <c r="Q738" t="s">
        <v>104</v>
      </c>
      <c r="R738" t="s">
        <v>104</v>
      </c>
      <c r="S738" t="s">
        <v>167</v>
      </c>
      <c r="T738" t="s">
        <v>167</v>
      </c>
      <c r="U738" t="s">
        <v>168</v>
      </c>
      <c r="V738" t="s">
        <v>169</v>
      </c>
      <c r="W738" t="s">
        <v>116</v>
      </c>
      <c r="X738" t="s">
        <v>44</v>
      </c>
      <c r="Y738" t="s">
        <v>99</v>
      </c>
      <c r="Z738" t="s">
        <v>421</v>
      </c>
      <c r="AC738" t="str">
        <f>IF(AA738="",M738,AA738)</f>
        <v>não</v>
      </c>
      <c r="AD738" t="str">
        <f>IF(AB738="",X738,AB738)</f>
        <v>sim</v>
      </c>
      <c r="AE738" t="str">
        <f>IF(OR(Configuracao!B9="",Configuracao!B10=""),"aguardando limiar",IF(AND(K738&gt;=Configuracao!B9,K738/MAX(Reconciliacao!C2,1)&gt;=Configuracao!B10/100),"sim","não"))</f>
        <v>aguardando limiar</v>
      </c>
    </row>
    <row r="739" spans="1:31" x14ac:dyDescent="0.25">
      <c r="A739">
        <v>8712</v>
      </c>
      <c r="C739" t="s">
        <v>773</v>
      </c>
      <c r="D739" t="s">
        <v>766</v>
      </c>
      <c r="E739" t="s">
        <v>451</v>
      </c>
      <c r="F739" t="s">
        <v>178</v>
      </c>
      <c r="G739" t="s">
        <v>177</v>
      </c>
      <c r="H739" t="s">
        <v>176</v>
      </c>
      <c r="I739" t="s">
        <v>439</v>
      </c>
      <c r="J739" t="s">
        <v>439</v>
      </c>
      <c r="K739" s="4">
        <v>572.68</v>
      </c>
      <c r="L739" s="4">
        <v>572.68</v>
      </c>
      <c r="M739" t="s">
        <v>166</v>
      </c>
      <c r="N739" t="s">
        <v>116</v>
      </c>
      <c r="O739" t="s">
        <v>104</v>
      </c>
      <c r="P739" t="s">
        <v>767</v>
      </c>
      <c r="Q739" t="s">
        <v>104</v>
      </c>
      <c r="R739" t="s">
        <v>104</v>
      </c>
      <c r="S739" t="s">
        <v>167</v>
      </c>
      <c r="T739" t="s">
        <v>167</v>
      </c>
      <c r="U739" t="s">
        <v>168</v>
      </c>
      <c r="V739" t="s">
        <v>169</v>
      </c>
      <c r="W739" t="s">
        <v>116</v>
      </c>
      <c r="X739" t="s">
        <v>44</v>
      </c>
      <c r="Y739" t="s">
        <v>99</v>
      </c>
      <c r="Z739" t="s">
        <v>421</v>
      </c>
      <c r="AC739" t="str">
        <f>IF(AA739="",M739,AA739)</f>
        <v>não</v>
      </c>
      <c r="AD739" t="str">
        <f>IF(AB739="",X739,AB739)</f>
        <v>sim</v>
      </c>
      <c r="AE739" t="str">
        <f>IF(OR(Configuracao!B9="",Configuracao!B10=""),"aguardando limiar",IF(AND(K739&gt;=Configuracao!B9,K739/MAX(Reconciliacao!C2,1)&gt;=Configuracao!B10/100),"sim","não"))</f>
        <v>aguardando limiar</v>
      </c>
    </row>
    <row r="740" spans="1:31" x14ac:dyDescent="0.25">
      <c r="A740">
        <v>8713</v>
      </c>
      <c r="C740" t="s">
        <v>774</v>
      </c>
      <c r="D740" t="s">
        <v>766</v>
      </c>
      <c r="E740" t="s">
        <v>451</v>
      </c>
      <c r="F740" t="s">
        <v>178</v>
      </c>
      <c r="G740" t="s">
        <v>177</v>
      </c>
      <c r="H740" t="s">
        <v>176</v>
      </c>
      <c r="I740" t="s">
        <v>35</v>
      </c>
      <c r="J740" t="s">
        <v>35</v>
      </c>
      <c r="K740" s="4">
        <v>578.9</v>
      </c>
      <c r="L740" s="4">
        <v>578.9</v>
      </c>
      <c r="M740" t="s">
        <v>166</v>
      </c>
      <c r="N740" t="s">
        <v>116</v>
      </c>
      <c r="O740" t="s">
        <v>104</v>
      </c>
      <c r="P740" t="s">
        <v>767</v>
      </c>
      <c r="Q740" t="s">
        <v>104</v>
      </c>
      <c r="R740" t="s">
        <v>104</v>
      </c>
      <c r="S740" t="s">
        <v>167</v>
      </c>
      <c r="T740" t="s">
        <v>167</v>
      </c>
      <c r="U740" t="s">
        <v>168</v>
      </c>
      <c r="V740" t="s">
        <v>169</v>
      </c>
      <c r="W740" t="s">
        <v>116</v>
      </c>
      <c r="X740" t="s">
        <v>44</v>
      </c>
      <c r="Y740" t="s">
        <v>99</v>
      </c>
      <c r="Z740" t="s">
        <v>421</v>
      </c>
      <c r="AC740" t="str">
        <f>IF(AA740="",M740,AA740)</f>
        <v>não</v>
      </c>
      <c r="AD740" t="str">
        <f>IF(AB740="",X740,AB740)</f>
        <v>sim</v>
      </c>
      <c r="AE740" t="str">
        <f>IF(OR(Configuracao!B9="",Configuracao!B10=""),"aguardando limiar",IF(AND(K740&gt;=Configuracao!B9,K740/MAX(Reconciliacao!C2,1)&gt;=Configuracao!B10/100),"sim","não"))</f>
        <v>aguardando limiar</v>
      </c>
    </row>
    <row r="741" spans="1:31" x14ac:dyDescent="0.25">
      <c r="A741">
        <v>11631</v>
      </c>
      <c r="C741" t="s">
        <v>775</v>
      </c>
      <c r="D741" t="s">
        <v>764</v>
      </c>
      <c r="E741" t="s">
        <v>474</v>
      </c>
      <c r="F741" t="s">
        <v>178</v>
      </c>
      <c r="G741" t="s">
        <v>177</v>
      </c>
      <c r="H741" t="s">
        <v>176</v>
      </c>
      <c r="I741" t="s">
        <v>424</v>
      </c>
      <c r="J741" t="s">
        <v>424</v>
      </c>
      <c r="K741" s="4">
        <v>659.81</v>
      </c>
      <c r="L741" s="4">
        <v>659.81</v>
      </c>
      <c r="M741" t="s">
        <v>44</v>
      </c>
      <c r="N741" t="s">
        <v>77</v>
      </c>
      <c r="O741" t="s">
        <v>99</v>
      </c>
      <c r="P741" t="s">
        <v>243</v>
      </c>
      <c r="Q741" t="s">
        <v>191</v>
      </c>
      <c r="R741" t="s">
        <v>242</v>
      </c>
      <c r="S741" t="s">
        <v>161</v>
      </c>
      <c r="T741" t="s">
        <v>211</v>
      </c>
      <c r="U741" t="s">
        <v>163</v>
      </c>
      <c r="V741" t="s">
        <v>193</v>
      </c>
      <c r="W741" t="s">
        <v>116</v>
      </c>
      <c r="X741" t="s">
        <v>44</v>
      </c>
      <c r="Y741" t="s">
        <v>99</v>
      </c>
      <c r="Z741" t="s">
        <v>421</v>
      </c>
      <c r="AC741" t="str">
        <f>IF(AA741="",M741,AA741)</f>
        <v>sim</v>
      </c>
      <c r="AD741" t="str">
        <f>IF(AB741="",X741,AB741)</f>
        <v>sim</v>
      </c>
      <c r="AE741" t="str">
        <f>IF(OR(Configuracao!B9="",Configuracao!B10=""),"aguardando limiar",IF(AND(K741&gt;=Configuracao!B9,K741/MAX(Reconciliacao!C2,1)&gt;=Configuracao!B10/100),"sim","não"))</f>
        <v>aguardando limiar</v>
      </c>
    </row>
    <row r="742" spans="1:31" x14ac:dyDescent="0.25">
      <c r="A742">
        <v>11629</v>
      </c>
      <c r="C742" t="s">
        <v>775</v>
      </c>
      <c r="D742" t="s">
        <v>776</v>
      </c>
      <c r="E742" t="s">
        <v>474</v>
      </c>
      <c r="F742" t="s">
        <v>178</v>
      </c>
      <c r="G742" t="s">
        <v>177</v>
      </c>
      <c r="H742" t="s">
        <v>176</v>
      </c>
      <c r="I742" t="s">
        <v>32</v>
      </c>
      <c r="J742" t="s">
        <v>32</v>
      </c>
      <c r="K742" s="4">
        <v>735</v>
      </c>
      <c r="L742" s="4">
        <v>661.5</v>
      </c>
      <c r="M742" t="s">
        <v>44</v>
      </c>
      <c r="N742" t="s">
        <v>77</v>
      </c>
      <c r="O742" t="s">
        <v>99</v>
      </c>
      <c r="P742" t="s">
        <v>243</v>
      </c>
      <c r="Q742" t="s">
        <v>191</v>
      </c>
      <c r="R742" t="s">
        <v>242</v>
      </c>
      <c r="S742" t="s">
        <v>161</v>
      </c>
      <c r="T742" t="s">
        <v>211</v>
      </c>
      <c r="U742" t="s">
        <v>163</v>
      </c>
      <c r="V742" t="s">
        <v>193</v>
      </c>
      <c r="W742" t="s">
        <v>116</v>
      </c>
      <c r="X742" t="s">
        <v>44</v>
      </c>
      <c r="Y742" t="s">
        <v>99</v>
      </c>
      <c r="Z742" t="s">
        <v>421</v>
      </c>
      <c r="AC742" t="str">
        <f>IF(AA742="",M742,AA742)</f>
        <v>sim</v>
      </c>
      <c r="AD742" t="str">
        <f>IF(AB742="",X742,AB742)</f>
        <v>sim</v>
      </c>
      <c r="AE742" t="str">
        <f>IF(OR(Configuracao!B9="",Configuracao!B10=""),"aguardando limiar",IF(AND(K742&gt;=Configuracao!B9,K742/MAX(Reconciliacao!C2,1)&gt;=Configuracao!B10/100),"sim","não"))</f>
        <v>aguardando limiar</v>
      </c>
    </row>
    <row r="743" spans="1:31" x14ac:dyDescent="0.25">
      <c r="A743">
        <v>17047</v>
      </c>
      <c r="C743" t="s">
        <v>777</v>
      </c>
      <c r="D743" t="s">
        <v>759</v>
      </c>
      <c r="E743" t="s">
        <v>474</v>
      </c>
      <c r="F743" t="s">
        <v>178</v>
      </c>
      <c r="G743" t="s">
        <v>177</v>
      </c>
      <c r="H743" t="s">
        <v>176</v>
      </c>
      <c r="I743" t="s">
        <v>442</v>
      </c>
      <c r="J743" t="s">
        <v>442</v>
      </c>
      <c r="K743" s="4">
        <v>792</v>
      </c>
      <c r="L743" s="4">
        <v>792</v>
      </c>
      <c r="M743" t="s">
        <v>44</v>
      </c>
      <c r="N743" t="s">
        <v>77</v>
      </c>
      <c r="O743" t="s">
        <v>99</v>
      </c>
      <c r="P743" t="s">
        <v>243</v>
      </c>
      <c r="Q743" t="s">
        <v>191</v>
      </c>
      <c r="R743" t="s">
        <v>242</v>
      </c>
      <c r="S743" t="s">
        <v>161</v>
      </c>
      <c r="T743" t="s">
        <v>211</v>
      </c>
      <c r="U743" t="s">
        <v>163</v>
      </c>
      <c r="V743" t="s">
        <v>193</v>
      </c>
      <c r="W743" t="s">
        <v>116</v>
      </c>
      <c r="X743" t="s">
        <v>44</v>
      </c>
      <c r="Y743" t="s">
        <v>99</v>
      </c>
      <c r="Z743" t="s">
        <v>421</v>
      </c>
      <c r="AC743" t="str">
        <f>IF(AA743="",M743,AA743)</f>
        <v>sim</v>
      </c>
      <c r="AD743" t="str">
        <f>IF(AB743="",X743,AB743)</f>
        <v>sim</v>
      </c>
      <c r="AE743" t="str">
        <f>IF(OR(Configuracao!B9="",Configuracao!B10=""),"aguardando limiar",IF(AND(K743&gt;=Configuracao!B9,K743/MAX(Reconciliacao!C2,1)&gt;=Configuracao!B10/100),"sim","não"))</f>
        <v>aguardando limiar</v>
      </c>
    </row>
    <row r="744" spans="1:31" x14ac:dyDescent="0.25">
      <c r="A744">
        <v>18039</v>
      </c>
      <c r="C744" t="s">
        <v>763</v>
      </c>
      <c r="D744" t="s">
        <v>776</v>
      </c>
      <c r="E744" t="s">
        <v>474</v>
      </c>
      <c r="F744" t="s">
        <v>178</v>
      </c>
      <c r="G744" t="s">
        <v>177</v>
      </c>
      <c r="H744" t="s">
        <v>176</v>
      </c>
      <c r="I744" t="s">
        <v>439</v>
      </c>
      <c r="J744" t="s">
        <v>439</v>
      </c>
      <c r="K744" s="4">
        <v>822.41</v>
      </c>
      <c r="L744" s="4">
        <v>822.41</v>
      </c>
      <c r="M744" t="s">
        <v>44</v>
      </c>
      <c r="N744" t="s">
        <v>77</v>
      </c>
      <c r="O744" t="s">
        <v>99</v>
      </c>
      <c r="P744" t="s">
        <v>243</v>
      </c>
      <c r="Q744" t="s">
        <v>191</v>
      </c>
      <c r="R744" t="s">
        <v>242</v>
      </c>
      <c r="S744" t="s">
        <v>161</v>
      </c>
      <c r="T744" t="s">
        <v>211</v>
      </c>
      <c r="U744" t="s">
        <v>163</v>
      </c>
      <c r="V744" t="s">
        <v>193</v>
      </c>
      <c r="W744" t="s">
        <v>116</v>
      </c>
      <c r="X744" t="s">
        <v>44</v>
      </c>
      <c r="Y744" t="s">
        <v>99</v>
      </c>
      <c r="Z744" t="s">
        <v>421</v>
      </c>
      <c r="AC744" t="str">
        <f>IF(AA744="",M744,AA744)</f>
        <v>sim</v>
      </c>
      <c r="AD744" t="str">
        <f>IF(AB744="",X744,AB744)</f>
        <v>sim</v>
      </c>
      <c r="AE744" t="str">
        <f>IF(OR(Configuracao!B9="",Configuracao!B10=""),"aguardando limiar",IF(AND(K744&gt;=Configuracao!B9,K744/MAX(Reconciliacao!C2,1)&gt;=Configuracao!B10/100),"sim","não"))</f>
        <v>aguardando limiar</v>
      </c>
    </row>
    <row r="745" spans="1:31" x14ac:dyDescent="0.25">
      <c r="A745">
        <v>17739</v>
      </c>
      <c r="C745" t="s">
        <v>761</v>
      </c>
      <c r="D745" t="s">
        <v>762</v>
      </c>
      <c r="E745" t="s">
        <v>474</v>
      </c>
      <c r="F745" t="s">
        <v>178</v>
      </c>
      <c r="G745" t="s">
        <v>177</v>
      </c>
      <c r="H745" t="s">
        <v>176</v>
      </c>
      <c r="I745" t="s">
        <v>439</v>
      </c>
      <c r="J745" t="s">
        <v>439</v>
      </c>
      <c r="K745" s="4">
        <v>897.67</v>
      </c>
      <c r="L745" s="4">
        <v>897.67</v>
      </c>
      <c r="M745" t="s">
        <v>44</v>
      </c>
      <c r="N745" t="s">
        <v>77</v>
      </c>
      <c r="O745" t="s">
        <v>99</v>
      </c>
      <c r="P745" t="s">
        <v>243</v>
      </c>
      <c r="Q745" t="s">
        <v>191</v>
      </c>
      <c r="R745" t="s">
        <v>242</v>
      </c>
      <c r="S745" t="s">
        <v>161</v>
      </c>
      <c r="T745" t="s">
        <v>211</v>
      </c>
      <c r="U745" t="s">
        <v>163</v>
      </c>
      <c r="V745" t="s">
        <v>193</v>
      </c>
      <c r="W745" t="s">
        <v>116</v>
      </c>
      <c r="X745" t="s">
        <v>44</v>
      </c>
      <c r="Y745" t="s">
        <v>99</v>
      </c>
      <c r="Z745" t="s">
        <v>421</v>
      </c>
      <c r="AC745" t="str">
        <f>IF(AA745="",M745,AA745)</f>
        <v>sim</v>
      </c>
      <c r="AD745" t="str">
        <f>IF(AB745="",X745,AB745)</f>
        <v>sim</v>
      </c>
      <c r="AE745" t="str">
        <f>IF(OR(Configuracao!B9="",Configuracao!B10=""),"aguardando limiar",IF(AND(K745&gt;=Configuracao!B9,K745/MAX(Reconciliacao!C2,1)&gt;=Configuracao!B10/100),"sim","não"))</f>
        <v>aguardando limiar</v>
      </c>
    </row>
    <row r="746" spans="1:31" x14ac:dyDescent="0.25">
      <c r="A746">
        <v>14185</v>
      </c>
      <c r="C746" t="s">
        <v>778</v>
      </c>
      <c r="D746" t="s">
        <v>779</v>
      </c>
      <c r="E746" t="s">
        <v>451</v>
      </c>
      <c r="F746" t="s">
        <v>178</v>
      </c>
      <c r="G746" t="s">
        <v>177</v>
      </c>
      <c r="H746" t="s">
        <v>176</v>
      </c>
      <c r="I746" t="s">
        <v>454</v>
      </c>
      <c r="J746" t="s">
        <v>454</v>
      </c>
      <c r="K746" s="4">
        <v>936.2</v>
      </c>
      <c r="L746" s="4">
        <v>936.2</v>
      </c>
      <c r="M746" t="s">
        <v>44</v>
      </c>
      <c r="N746" t="s">
        <v>77</v>
      </c>
      <c r="O746" t="s">
        <v>99</v>
      </c>
      <c r="P746" t="s">
        <v>243</v>
      </c>
      <c r="Q746" t="s">
        <v>191</v>
      </c>
      <c r="R746" t="s">
        <v>242</v>
      </c>
      <c r="S746" t="s">
        <v>161</v>
      </c>
      <c r="T746" t="s">
        <v>211</v>
      </c>
      <c r="U746" t="s">
        <v>163</v>
      </c>
      <c r="V746" t="s">
        <v>193</v>
      </c>
      <c r="W746" t="s">
        <v>116</v>
      </c>
      <c r="X746" t="s">
        <v>44</v>
      </c>
      <c r="Y746" t="s">
        <v>99</v>
      </c>
      <c r="Z746" t="s">
        <v>421</v>
      </c>
      <c r="AC746" t="str">
        <f>IF(AA746="",M746,AA746)</f>
        <v>sim</v>
      </c>
      <c r="AD746" t="str">
        <f>IF(AB746="",X746,AB746)</f>
        <v>sim</v>
      </c>
      <c r="AE746" t="str">
        <f>IF(OR(Configuracao!B9="",Configuracao!B10=""),"aguardando limiar",IF(AND(K746&gt;=Configuracao!B9,K746/MAX(Reconciliacao!C2,1)&gt;=Configuracao!B10/100),"sim","não"))</f>
        <v>aguardando limiar</v>
      </c>
    </row>
    <row r="747" spans="1:31" x14ac:dyDescent="0.25">
      <c r="A747">
        <v>8071</v>
      </c>
      <c r="C747" t="s">
        <v>760</v>
      </c>
      <c r="D747" t="s">
        <v>780</v>
      </c>
      <c r="E747" t="s">
        <v>474</v>
      </c>
      <c r="F747" t="s">
        <v>178</v>
      </c>
      <c r="G747" t="s">
        <v>177</v>
      </c>
      <c r="H747" t="s">
        <v>176</v>
      </c>
      <c r="I747" t="s">
        <v>35</v>
      </c>
      <c r="J747" t="s">
        <v>35</v>
      </c>
      <c r="K747" s="4">
        <v>969.71</v>
      </c>
      <c r="L747" s="4">
        <v>969.71</v>
      </c>
      <c r="M747" t="s">
        <v>44</v>
      </c>
      <c r="N747" t="s">
        <v>77</v>
      </c>
      <c r="O747" t="s">
        <v>99</v>
      </c>
      <c r="P747" t="s">
        <v>243</v>
      </c>
      <c r="Q747" t="s">
        <v>191</v>
      </c>
      <c r="R747" t="s">
        <v>242</v>
      </c>
      <c r="S747" t="s">
        <v>161</v>
      </c>
      <c r="T747" t="s">
        <v>211</v>
      </c>
      <c r="U747" t="s">
        <v>163</v>
      </c>
      <c r="V747" t="s">
        <v>193</v>
      </c>
      <c r="W747" t="s">
        <v>116</v>
      </c>
      <c r="X747" t="s">
        <v>44</v>
      </c>
      <c r="Y747" t="s">
        <v>99</v>
      </c>
      <c r="Z747" t="s">
        <v>421</v>
      </c>
      <c r="AC747" t="str">
        <f>IF(AA747="",M747,AA747)</f>
        <v>sim</v>
      </c>
      <c r="AD747" t="str">
        <f>IF(AB747="",X747,AB747)</f>
        <v>sim</v>
      </c>
      <c r="AE747" t="str">
        <f>IF(OR(Configuracao!B9="",Configuracao!B10=""),"aguardando limiar",IF(AND(K747&gt;=Configuracao!B9,K747/MAX(Reconciliacao!C2,1)&gt;=Configuracao!B10/100),"sim","não"))</f>
        <v>aguardando limiar</v>
      </c>
    </row>
    <row r="748" spans="1:31" x14ac:dyDescent="0.25">
      <c r="A748">
        <v>8070</v>
      </c>
      <c r="C748" t="s">
        <v>760</v>
      </c>
      <c r="D748" t="s">
        <v>780</v>
      </c>
      <c r="E748" t="s">
        <v>474</v>
      </c>
      <c r="F748" t="s">
        <v>178</v>
      </c>
      <c r="G748" t="s">
        <v>177</v>
      </c>
      <c r="H748" t="s">
        <v>176</v>
      </c>
      <c r="I748" t="s">
        <v>439</v>
      </c>
      <c r="J748" t="s">
        <v>439</v>
      </c>
      <c r="K748" s="4">
        <v>972.72</v>
      </c>
      <c r="L748" s="4">
        <v>972.72</v>
      </c>
      <c r="M748" t="s">
        <v>44</v>
      </c>
      <c r="N748" t="s">
        <v>77</v>
      </c>
      <c r="O748" t="s">
        <v>99</v>
      </c>
      <c r="P748" t="s">
        <v>243</v>
      </c>
      <c r="Q748" t="s">
        <v>191</v>
      </c>
      <c r="R748" t="s">
        <v>242</v>
      </c>
      <c r="S748" t="s">
        <v>161</v>
      </c>
      <c r="T748" t="s">
        <v>211</v>
      </c>
      <c r="U748" t="s">
        <v>163</v>
      </c>
      <c r="V748" t="s">
        <v>193</v>
      </c>
      <c r="W748" t="s">
        <v>116</v>
      </c>
      <c r="X748" t="s">
        <v>44</v>
      </c>
      <c r="Y748" t="s">
        <v>99</v>
      </c>
      <c r="Z748" t="s">
        <v>421</v>
      </c>
      <c r="AC748" t="str">
        <f>IF(AA748="",M748,AA748)</f>
        <v>sim</v>
      </c>
      <c r="AD748" t="str">
        <f>IF(AB748="",X748,AB748)</f>
        <v>sim</v>
      </c>
      <c r="AE748" t="str">
        <f>IF(OR(Configuracao!B9="",Configuracao!B10=""),"aguardando limiar",IF(AND(K748&gt;=Configuracao!B9,K748/MAX(Reconciliacao!C2,1)&gt;=Configuracao!B10/100),"sim","não"))</f>
        <v>aguardando limiar</v>
      </c>
    </row>
    <row r="749" spans="1:31" x14ac:dyDescent="0.25">
      <c r="A749">
        <v>8069</v>
      </c>
      <c r="C749" t="s">
        <v>760</v>
      </c>
      <c r="D749" t="s">
        <v>780</v>
      </c>
      <c r="E749" t="s">
        <v>474</v>
      </c>
      <c r="F749" t="s">
        <v>178</v>
      </c>
      <c r="G749" t="s">
        <v>177</v>
      </c>
      <c r="H749" t="s">
        <v>176</v>
      </c>
      <c r="I749" t="s">
        <v>442</v>
      </c>
      <c r="J749" t="s">
        <v>442</v>
      </c>
      <c r="K749" s="4">
        <v>975.45</v>
      </c>
      <c r="L749" s="4">
        <v>975.45</v>
      </c>
      <c r="M749" t="s">
        <v>44</v>
      </c>
      <c r="N749" t="s">
        <v>77</v>
      </c>
      <c r="O749" t="s">
        <v>99</v>
      </c>
      <c r="P749" t="s">
        <v>243</v>
      </c>
      <c r="Q749" t="s">
        <v>191</v>
      </c>
      <c r="R749" t="s">
        <v>242</v>
      </c>
      <c r="S749" t="s">
        <v>161</v>
      </c>
      <c r="T749" t="s">
        <v>211</v>
      </c>
      <c r="U749" t="s">
        <v>163</v>
      </c>
      <c r="V749" t="s">
        <v>193</v>
      </c>
      <c r="W749" t="s">
        <v>116</v>
      </c>
      <c r="X749" t="s">
        <v>44</v>
      </c>
      <c r="Y749" t="s">
        <v>99</v>
      </c>
      <c r="Z749" t="s">
        <v>421</v>
      </c>
      <c r="AC749" t="str">
        <f>IF(AA749="",M749,AA749)</f>
        <v>sim</v>
      </c>
      <c r="AD749" t="str">
        <f>IF(AB749="",X749,AB749)</f>
        <v>sim</v>
      </c>
      <c r="AE749" t="str">
        <f>IF(OR(Configuracao!B9="",Configuracao!B10=""),"aguardando limiar",IF(AND(K749&gt;=Configuracao!B9,K749/MAX(Reconciliacao!C2,1)&gt;=Configuracao!B10/100),"sim","não"))</f>
        <v>aguardando limiar</v>
      </c>
    </row>
    <row r="750" spans="1:31" x14ac:dyDescent="0.25">
      <c r="A750">
        <v>8068</v>
      </c>
      <c r="C750" t="s">
        <v>760</v>
      </c>
      <c r="D750" t="s">
        <v>780</v>
      </c>
      <c r="E750" t="s">
        <v>474</v>
      </c>
      <c r="F750" t="s">
        <v>178</v>
      </c>
      <c r="G750" t="s">
        <v>177</v>
      </c>
      <c r="H750" t="s">
        <v>176</v>
      </c>
      <c r="I750" t="s">
        <v>461</v>
      </c>
      <c r="J750" t="s">
        <v>461</v>
      </c>
      <c r="K750" s="4">
        <v>978.07</v>
      </c>
      <c r="L750" s="4">
        <v>978.07</v>
      </c>
      <c r="M750" t="s">
        <v>44</v>
      </c>
      <c r="N750" t="s">
        <v>77</v>
      </c>
      <c r="O750" t="s">
        <v>99</v>
      </c>
      <c r="P750" t="s">
        <v>243</v>
      </c>
      <c r="Q750" t="s">
        <v>191</v>
      </c>
      <c r="R750" t="s">
        <v>242</v>
      </c>
      <c r="S750" t="s">
        <v>161</v>
      </c>
      <c r="T750" t="s">
        <v>211</v>
      </c>
      <c r="U750" t="s">
        <v>163</v>
      </c>
      <c r="V750" t="s">
        <v>193</v>
      </c>
      <c r="W750" t="s">
        <v>116</v>
      </c>
      <c r="X750" t="s">
        <v>44</v>
      </c>
      <c r="Y750" t="s">
        <v>99</v>
      </c>
      <c r="Z750" t="s">
        <v>421</v>
      </c>
      <c r="AC750" t="str">
        <f>IF(AA750="",M750,AA750)</f>
        <v>sim</v>
      </c>
      <c r="AD750" t="str">
        <f>IF(AB750="",X750,AB750)</f>
        <v>sim</v>
      </c>
      <c r="AE750" t="str">
        <f>IF(OR(Configuracao!B9="",Configuracao!B10=""),"aguardando limiar",IF(AND(K750&gt;=Configuracao!B9,K750/MAX(Reconciliacao!C2,1)&gt;=Configuracao!B10/100),"sim","não"))</f>
        <v>aguardando limiar</v>
      </c>
    </row>
    <row r="751" spans="1:31" x14ac:dyDescent="0.25">
      <c r="A751">
        <v>8067</v>
      </c>
      <c r="C751" t="s">
        <v>760</v>
      </c>
      <c r="D751" t="s">
        <v>780</v>
      </c>
      <c r="E751" t="s">
        <v>474</v>
      </c>
      <c r="F751" t="s">
        <v>178</v>
      </c>
      <c r="G751" t="s">
        <v>177</v>
      </c>
      <c r="H751" t="s">
        <v>176</v>
      </c>
      <c r="I751" t="s">
        <v>454</v>
      </c>
      <c r="J751" t="s">
        <v>454</v>
      </c>
      <c r="K751" s="4">
        <v>980.44</v>
      </c>
      <c r="L751" s="4">
        <v>980.44</v>
      </c>
      <c r="M751" t="s">
        <v>44</v>
      </c>
      <c r="N751" t="s">
        <v>77</v>
      </c>
      <c r="O751" t="s">
        <v>99</v>
      </c>
      <c r="P751" t="s">
        <v>243</v>
      </c>
      <c r="Q751" t="s">
        <v>191</v>
      </c>
      <c r="R751" t="s">
        <v>242</v>
      </c>
      <c r="S751" t="s">
        <v>161</v>
      </c>
      <c r="T751" t="s">
        <v>211</v>
      </c>
      <c r="U751" t="s">
        <v>163</v>
      </c>
      <c r="V751" t="s">
        <v>193</v>
      </c>
      <c r="W751" t="s">
        <v>116</v>
      </c>
      <c r="X751" t="s">
        <v>44</v>
      </c>
      <c r="Y751" t="s">
        <v>99</v>
      </c>
      <c r="Z751" t="s">
        <v>421</v>
      </c>
      <c r="AC751" t="str">
        <f>IF(AA751="",M751,AA751)</f>
        <v>sim</v>
      </c>
      <c r="AD751" t="str">
        <f>IF(AB751="",X751,AB751)</f>
        <v>sim</v>
      </c>
      <c r="AE751" t="str">
        <f>IF(OR(Configuracao!B9="",Configuracao!B10=""),"aguardando limiar",IF(AND(K751&gt;=Configuracao!B9,K751/MAX(Reconciliacao!C2,1)&gt;=Configuracao!B10/100),"sim","não"))</f>
        <v>aguardando limiar</v>
      </c>
    </row>
    <row r="752" spans="1:31" x14ac:dyDescent="0.25">
      <c r="A752">
        <v>8066</v>
      </c>
      <c r="C752" t="s">
        <v>760</v>
      </c>
      <c r="D752" t="s">
        <v>780</v>
      </c>
      <c r="E752" t="s">
        <v>474</v>
      </c>
      <c r="F752" t="s">
        <v>178</v>
      </c>
      <c r="G752" t="s">
        <v>177</v>
      </c>
      <c r="H752" t="s">
        <v>176</v>
      </c>
      <c r="I752" t="s">
        <v>420</v>
      </c>
      <c r="J752" t="s">
        <v>420</v>
      </c>
      <c r="K752" s="4">
        <v>982.71</v>
      </c>
      <c r="L752" s="4">
        <v>982.71</v>
      </c>
      <c r="M752" t="s">
        <v>44</v>
      </c>
      <c r="N752" t="s">
        <v>77</v>
      </c>
      <c r="O752" t="s">
        <v>99</v>
      </c>
      <c r="P752" t="s">
        <v>243</v>
      </c>
      <c r="Q752" t="s">
        <v>191</v>
      </c>
      <c r="R752" t="s">
        <v>242</v>
      </c>
      <c r="S752" t="s">
        <v>161</v>
      </c>
      <c r="T752" t="s">
        <v>211</v>
      </c>
      <c r="U752" t="s">
        <v>163</v>
      </c>
      <c r="V752" t="s">
        <v>193</v>
      </c>
      <c r="W752" t="s">
        <v>116</v>
      </c>
      <c r="X752" t="s">
        <v>44</v>
      </c>
      <c r="Y752" t="s">
        <v>99</v>
      </c>
      <c r="Z752" t="s">
        <v>421</v>
      </c>
      <c r="AC752" t="str">
        <f>IF(AA752="",M752,AA752)</f>
        <v>sim</v>
      </c>
      <c r="AD752" t="str">
        <f>IF(AB752="",X752,AB752)</f>
        <v>sim</v>
      </c>
      <c r="AE752" t="str">
        <f>IF(OR(Configuracao!B9="",Configuracao!B10=""),"aguardando limiar",IF(AND(K752&gt;=Configuracao!B9,K752/MAX(Reconciliacao!C2,1)&gt;=Configuracao!B10/100),"sim","não"))</f>
        <v>aguardando limiar</v>
      </c>
    </row>
    <row r="753" spans="1:31" x14ac:dyDescent="0.25">
      <c r="A753">
        <v>8065</v>
      </c>
      <c r="C753" t="s">
        <v>760</v>
      </c>
      <c r="D753" t="s">
        <v>780</v>
      </c>
      <c r="E753" t="s">
        <v>474</v>
      </c>
      <c r="F753" t="s">
        <v>178</v>
      </c>
      <c r="G753" t="s">
        <v>177</v>
      </c>
      <c r="H753" t="s">
        <v>176</v>
      </c>
      <c r="I753" t="s">
        <v>424</v>
      </c>
      <c r="J753" t="s">
        <v>424</v>
      </c>
      <c r="K753" s="4">
        <v>984.64</v>
      </c>
      <c r="L753" s="4">
        <v>984.64</v>
      </c>
      <c r="M753" t="s">
        <v>44</v>
      </c>
      <c r="N753" t="s">
        <v>77</v>
      </c>
      <c r="O753" t="s">
        <v>99</v>
      </c>
      <c r="P753" t="s">
        <v>243</v>
      </c>
      <c r="Q753" t="s">
        <v>191</v>
      </c>
      <c r="R753" t="s">
        <v>242</v>
      </c>
      <c r="S753" t="s">
        <v>161</v>
      </c>
      <c r="T753" t="s">
        <v>211</v>
      </c>
      <c r="U753" t="s">
        <v>163</v>
      </c>
      <c r="V753" t="s">
        <v>193</v>
      </c>
      <c r="W753" t="s">
        <v>116</v>
      </c>
      <c r="X753" t="s">
        <v>44</v>
      </c>
      <c r="Y753" t="s">
        <v>99</v>
      </c>
      <c r="Z753" t="s">
        <v>421</v>
      </c>
      <c r="AC753" t="str">
        <f>IF(AA753="",M753,AA753)</f>
        <v>sim</v>
      </c>
      <c r="AD753" t="str">
        <f>IF(AB753="",X753,AB753)</f>
        <v>sim</v>
      </c>
      <c r="AE753" t="str">
        <f>IF(OR(Configuracao!B9="",Configuracao!B10=""),"aguardando limiar",IF(AND(K753&gt;=Configuracao!B9,K753/MAX(Reconciliacao!C2,1)&gt;=Configuracao!B10/100),"sim","não"))</f>
        <v>aguardando limiar</v>
      </c>
    </row>
    <row r="754" spans="1:31" x14ac:dyDescent="0.25">
      <c r="A754">
        <v>11628</v>
      </c>
      <c r="C754" t="s">
        <v>775</v>
      </c>
      <c r="D754" t="s">
        <v>781</v>
      </c>
      <c r="E754" t="s">
        <v>474</v>
      </c>
      <c r="F754" t="s">
        <v>178</v>
      </c>
      <c r="G754" t="s">
        <v>177</v>
      </c>
      <c r="H754" t="s">
        <v>176</v>
      </c>
      <c r="I754" t="s">
        <v>424</v>
      </c>
      <c r="J754" t="s">
        <v>424</v>
      </c>
      <c r="K754" s="4">
        <v>985</v>
      </c>
      <c r="L754" s="4">
        <v>985</v>
      </c>
      <c r="M754" t="s">
        <v>44</v>
      </c>
      <c r="N754" t="s">
        <v>77</v>
      </c>
      <c r="O754" t="s">
        <v>99</v>
      </c>
      <c r="P754" t="s">
        <v>243</v>
      </c>
      <c r="Q754" t="s">
        <v>191</v>
      </c>
      <c r="R754" t="s">
        <v>242</v>
      </c>
      <c r="S754" t="s">
        <v>161</v>
      </c>
      <c r="T754" t="s">
        <v>211</v>
      </c>
      <c r="U754" t="s">
        <v>163</v>
      </c>
      <c r="V754" t="s">
        <v>193</v>
      </c>
      <c r="W754" t="s">
        <v>116</v>
      </c>
      <c r="X754" t="s">
        <v>44</v>
      </c>
      <c r="Y754" t="s">
        <v>99</v>
      </c>
      <c r="Z754" t="s">
        <v>421</v>
      </c>
      <c r="AC754" t="str">
        <f>IF(AA754="",M754,AA754)</f>
        <v>sim</v>
      </c>
      <c r="AD754" t="str">
        <f>IF(AB754="",X754,AB754)</f>
        <v>sim</v>
      </c>
      <c r="AE754" t="str">
        <f>IF(OR(Configuracao!B9="",Configuracao!B10=""),"aguardando limiar",IF(AND(K754&gt;=Configuracao!B9,K754/MAX(Reconciliacao!C2,1)&gt;=Configuracao!B10/100),"sim","não"))</f>
        <v>aguardando limiar</v>
      </c>
    </row>
    <row r="755" spans="1:31" x14ac:dyDescent="0.25">
      <c r="A755">
        <v>8064</v>
      </c>
      <c r="C755" t="s">
        <v>760</v>
      </c>
      <c r="D755" t="s">
        <v>780</v>
      </c>
      <c r="E755" t="s">
        <v>474</v>
      </c>
      <c r="F755" t="s">
        <v>178</v>
      </c>
      <c r="G755" t="s">
        <v>177</v>
      </c>
      <c r="H755" t="s">
        <v>176</v>
      </c>
      <c r="I755" t="s">
        <v>32</v>
      </c>
      <c r="J755" t="s">
        <v>32</v>
      </c>
      <c r="K755" s="4">
        <v>986.61</v>
      </c>
      <c r="L755" s="4">
        <v>986.61</v>
      </c>
      <c r="M755" t="s">
        <v>44</v>
      </c>
      <c r="N755" t="s">
        <v>77</v>
      </c>
      <c r="O755" t="s">
        <v>99</v>
      </c>
      <c r="P755" t="s">
        <v>243</v>
      </c>
      <c r="Q755" t="s">
        <v>191</v>
      </c>
      <c r="R755" t="s">
        <v>242</v>
      </c>
      <c r="S755" t="s">
        <v>161</v>
      </c>
      <c r="T755" t="s">
        <v>211</v>
      </c>
      <c r="U755" t="s">
        <v>163</v>
      </c>
      <c r="V755" t="s">
        <v>193</v>
      </c>
      <c r="W755" t="s">
        <v>116</v>
      </c>
      <c r="X755" t="s">
        <v>44</v>
      </c>
      <c r="Y755" t="s">
        <v>99</v>
      </c>
      <c r="Z755" t="s">
        <v>421</v>
      </c>
      <c r="AC755" t="str">
        <f>IF(AA755="",M755,AA755)</f>
        <v>sim</v>
      </c>
      <c r="AD755" t="str">
        <f>IF(AB755="",X755,AB755)</f>
        <v>sim</v>
      </c>
      <c r="AE755" t="str">
        <f>IF(OR(Configuracao!B9="",Configuracao!B10=""),"aguardando limiar",IF(AND(K755&gt;=Configuracao!B9,K755/MAX(Reconciliacao!C2,1)&gt;=Configuracao!B10/100),"sim","não"))</f>
        <v>aguardando limiar</v>
      </c>
    </row>
    <row r="756" spans="1:31" x14ac:dyDescent="0.25">
      <c r="A756">
        <v>11626</v>
      </c>
      <c r="C756" t="s">
        <v>775</v>
      </c>
      <c r="D756" t="s">
        <v>779</v>
      </c>
      <c r="E756" t="s">
        <v>474</v>
      </c>
      <c r="F756" t="s">
        <v>178</v>
      </c>
      <c r="G756" t="s">
        <v>177</v>
      </c>
      <c r="H756" t="s">
        <v>176</v>
      </c>
      <c r="I756" t="s">
        <v>32</v>
      </c>
      <c r="J756" t="s">
        <v>32</v>
      </c>
      <c r="K756" s="4">
        <v>1050</v>
      </c>
      <c r="L756" s="4">
        <v>1050</v>
      </c>
      <c r="M756" t="s">
        <v>44</v>
      </c>
      <c r="N756" t="s">
        <v>77</v>
      </c>
      <c r="O756" t="s">
        <v>99</v>
      </c>
      <c r="P756" t="s">
        <v>243</v>
      </c>
      <c r="Q756" t="s">
        <v>191</v>
      </c>
      <c r="R756" t="s">
        <v>242</v>
      </c>
      <c r="S756" t="s">
        <v>161</v>
      </c>
      <c r="T756" t="s">
        <v>211</v>
      </c>
      <c r="U756" t="s">
        <v>163</v>
      </c>
      <c r="V756" t="s">
        <v>193</v>
      </c>
      <c r="W756" t="s">
        <v>116</v>
      </c>
      <c r="X756" t="s">
        <v>44</v>
      </c>
      <c r="Y756" t="s">
        <v>99</v>
      </c>
      <c r="Z756" t="s">
        <v>421</v>
      </c>
      <c r="AC756" t="str">
        <f>IF(AA756="",M756,AA756)</f>
        <v>sim</v>
      </c>
      <c r="AD756" t="str">
        <f>IF(AB756="",X756,AB756)</f>
        <v>sim</v>
      </c>
      <c r="AE756" t="str">
        <f>IF(OR(Configuracao!B9="",Configuracao!B10=""),"aguardando limiar",IF(AND(K756&gt;=Configuracao!B9,K756/MAX(Reconciliacao!C2,1)&gt;=Configuracao!B10/100),"sim","não"))</f>
        <v>aguardando limiar</v>
      </c>
    </row>
    <row r="757" spans="1:31" x14ac:dyDescent="0.25">
      <c r="A757">
        <v>11627</v>
      </c>
      <c r="C757" t="s">
        <v>782</v>
      </c>
      <c r="D757" t="s">
        <v>779</v>
      </c>
      <c r="E757" t="s">
        <v>471</v>
      </c>
      <c r="F757" t="s">
        <v>178</v>
      </c>
      <c r="G757" t="s">
        <v>177</v>
      </c>
      <c r="H757" t="s">
        <v>176</v>
      </c>
      <c r="I757" t="s">
        <v>32</v>
      </c>
      <c r="J757" t="s">
        <v>32</v>
      </c>
      <c r="K757" s="4">
        <v>1050</v>
      </c>
      <c r="L757" s="4">
        <v>1050</v>
      </c>
      <c r="M757" t="s">
        <v>44</v>
      </c>
      <c r="N757" t="s">
        <v>77</v>
      </c>
      <c r="O757" t="s">
        <v>99</v>
      </c>
      <c r="P757" t="s">
        <v>243</v>
      </c>
      <c r="Q757" t="s">
        <v>191</v>
      </c>
      <c r="R757" t="s">
        <v>242</v>
      </c>
      <c r="S757" t="s">
        <v>161</v>
      </c>
      <c r="T757" t="s">
        <v>211</v>
      </c>
      <c r="U757" t="s">
        <v>163</v>
      </c>
      <c r="V757" t="s">
        <v>193</v>
      </c>
      <c r="W757" t="s">
        <v>116</v>
      </c>
      <c r="X757" t="s">
        <v>44</v>
      </c>
      <c r="Y757" t="s">
        <v>99</v>
      </c>
      <c r="Z757" t="s">
        <v>421</v>
      </c>
      <c r="AC757" t="str">
        <f>IF(AA757="",M757,AA757)</f>
        <v>sim</v>
      </c>
      <c r="AD757" t="str">
        <f>IF(AB757="",X757,AB757)</f>
        <v>sim</v>
      </c>
      <c r="AE757" t="str">
        <f>IF(OR(Configuracao!B9="",Configuracao!B10=""),"aguardando limiar",IF(AND(K757&gt;=Configuracao!B9,K757/MAX(Reconciliacao!C2,1)&gt;=Configuracao!B10/100),"sim","não"))</f>
        <v>aguardando limiar</v>
      </c>
    </row>
    <row r="758" spans="1:31" x14ac:dyDescent="0.25">
      <c r="A758">
        <v>11630</v>
      </c>
      <c r="C758" t="s">
        <v>775</v>
      </c>
      <c r="D758" t="s">
        <v>783</v>
      </c>
      <c r="E758" t="s">
        <v>474</v>
      </c>
      <c r="F758" t="s">
        <v>178</v>
      </c>
      <c r="G758" t="s">
        <v>177</v>
      </c>
      <c r="H758" t="s">
        <v>176</v>
      </c>
      <c r="I758" t="s">
        <v>32</v>
      </c>
      <c r="J758" t="s">
        <v>32</v>
      </c>
      <c r="K758" s="4">
        <v>1050</v>
      </c>
      <c r="L758" s="4">
        <v>945</v>
      </c>
      <c r="M758" t="s">
        <v>44</v>
      </c>
      <c r="N758" t="s">
        <v>77</v>
      </c>
      <c r="O758" t="s">
        <v>99</v>
      </c>
      <c r="P758" t="s">
        <v>243</v>
      </c>
      <c r="Q758" t="s">
        <v>191</v>
      </c>
      <c r="R758" t="s">
        <v>242</v>
      </c>
      <c r="S758" t="s">
        <v>161</v>
      </c>
      <c r="T758" t="s">
        <v>211</v>
      </c>
      <c r="U758" t="s">
        <v>163</v>
      </c>
      <c r="V758" t="s">
        <v>193</v>
      </c>
      <c r="W758" t="s">
        <v>116</v>
      </c>
      <c r="X758" t="s">
        <v>166</v>
      </c>
      <c r="Y758" t="s">
        <v>472</v>
      </c>
      <c r="Z758" t="s">
        <v>434</v>
      </c>
      <c r="AC758" t="str">
        <f>IF(AA758="",M758,AA758)</f>
        <v>sim</v>
      </c>
      <c r="AD758" t="str">
        <f>IF(AB758="",X758,AB758)</f>
        <v>não</v>
      </c>
      <c r="AE758" t="str">
        <f>IF(OR(Configuracao!B9="",Configuracao!B10=""),"aguardando limiar",IF(AND(K758&gt;=Configuracao!B9,K758/MAX(Reconciliacao!C2,1)&gt;=Configuracao!B10/100),"sim","não"))</f>
        <v>aguardando limiar</v>
      </c>
    </row>
    <row r="759" spans="1:31" x14ac:dyDescent="0.25">
      <c r="A759">
        <v>11866</v>
      </c>
      <c r="C759" t="s">
        <v>782</v>
      </c>
      <c r="D759" t="s">
        <v>759</v>
      </c>
      <c r="E759" t="s">
        <v>471</v>
      </c>
      <c r="F759" t="s">
        <v>178</v>
      </c>
      <c r="G759" t="s">
        <v>177</v>
      </c>
      <c r="H759" t="s">
        <v>176</v>
      </c>
      <c r="I759" t="s">
        <v>32</v>
      </c>
      <c r="J759" t="s">
        <v>32</v>
      </c>
      <c r="K759" s="4">
        <v>1100</v>
      </c>
      <c r="L759" s="4">
        <v>1100</v>
      </c>
      <c r="M759" t="s">
        <v>44</v>
      </c>
      <c r="N759" t="s">
        <v>77</v>
      </c>
      <c r="O759" t="s">
        <v>99</v>
      </c>
      <c r="P759" t="s">
        <v>243</v>
      </c>
      <c r="Q759" t="s">
        <v>191</v>
      </c>
      <c r="R759" t="s">
        <v>242</v>
      </c>
      <c r="S759" t="s">
        <v>161</v>
      </c>
      <c r="T759" t="s">
        <v>211</v>
      </c>
      <c r="U759" t="s">
        <v>163</v>
      </c>
      <c r="V759" t="s">
        <v>193</v>
      </c>
      <c r="W759" t="s">
        <v>116</v>
      </c>
      <c r="X759" t="s">
        <v>44</v>
      </c>
      <c r="Y759" t="s">
        <v>99</v>
      </c>
      <c r="Z759" t="s">
        <v>421</v>
      </c>
      <c r="AC759" t="str">
        <f>IF(AA759="",M759,AA759)</f>
        <v>sim</v>
      </c>
      <c r="AD759" t="str">
        <f>IF(AB759="",X759,AB759)</f>
        <v>sim</v>
      </c>
      <c r="AE759" t="str">
        <f>IF(OR(Configuracao!B9="",Configuracao!B10=""),"aguardando limiar",IF(AND(K759&gt;=Configuracao!B9,K759/MAX(Reconciliacao!C2,1)&gt;=Configuracao!B10/100),"sim","não"))</f>
        <v>aguardando limiar</v>
      </c>
    </row>
    <row r="760" spans="1:31" x14ac:dyDescent="0.25">
      <c r="A760">
        <v>8660</v>
      </c>
      <c r="C760" t="s">
        <v>784</v>
      </c>
      <c r="D760" t="s">
        <v>766</v>
      </c>
      <c r="E760" t="s">
        <v>451</v>
      </c>
      <c r="F760" t="s">
        <v>178</v>
      </c>
      <c r="G760" t="s">
        <v>177</v>
      </c>
      <c r="H760" t="s">
        <v>176</v>
      </c>
      <c r="I760" t="s">
        <v>32</v>
      </c>
      <c r="J760" t="s">
        <v>32</v>
      </c>
      <c r="K760" s="4">
        <v>2398.12</v>
      </c>
      <c r="L760" s="4">
        <v>2398.12</v>
      </c>
      <c r="M760" t="s">
        <v>166</v>
      </c>
      <c r="N760" t="s">
        <v>116</v>
      </c>
      <c r="O760" t="s">
        <v>104</v>
      </c>
      <c r="P760" t="s">
        <v>767</v>
      </c>
      <c r="Q760" t="s">
        <v>104</v>
      </c>
      <c r="R760" t="s">
        <v>104</v>
      </c>
      <c r="S760" t="s">
        <v>167</v>
      </c>
      <c r="T760" t="s">
        <v>167</v>
      </c>
      <c r="U760" t="s">
        <v>168</v>
      </c>
      <c r="V760" t="s">
        <v>169</v>
      </c>
      <c r="W760" t="s">
        <v>116</v>
      </c>
      <c r="X760" t="s">
        <v>44</v>
      </c>
      <c r="Y760" t="s">
        <v>99</v>
      </c>
      <c r="Z760" t="s">
        <v>421</v>
      </c>
      <c r="AC760" t="str">
        <f>IF(AA760="",M760,AA760)</f>
        <v>não</v>
      </c>
      <c r="AD760" t="str">
        <f>IF(AB760="",X760,AB760)</f>
        <v>sim</v>
      </c>
      <c r="AE760" t="str">
        <f>IF(OR(Configuracao!B9="",Configuracao!B10=""),"aguardando limiar",IF(AND(K760&gt;=Configuracao!B9,K760/MAX(Reconciliacao!C2,1)&gt;=Configuracao!B10/100),"sim","não"))</f>
        <v>aguardando limiar</v>
      </c>
    </row>
    <row r="761" spans="1:31" x14ac:dyDescent="0.25">
      <c r="A761">
        <v>8661</v>
      </c>
      <c r="C761" t="s">
        <v>785</v>
      </c>
      <c r="D761" t="s">
        <v>766</v>
      </c>
      <c r="E761" t="s">
        <v>451</v>
      </c>
      <c r="F761" t="s">
        <v>178</v>
      </c>
      <c r="G761" t="s">
        <v>177</v>
      </c>
      <c r="H761" t="s">
        <v>176</v>
      </c>
      <c r="I761" t="s">
        <v>424</v>
      </c>
      <c r="J761" t="s">
        <v>424</v>
      </c>
      <c r="K761" s="4">
        <v>2421.53</v>
      </c>
      <c r="L761" s="4">
        <v>2421.53</v>
      </c>
      <c r="M761" t="s">
        <v>166</v>
      </c>
      <c r="N761" t="s">
        <v>116</v>
      </c>
      <c r="O761" t="s">
        <v>104</v>
      </c>
      <c r="P761" t="s">
        <v>767</v>
      </c>
      <c r="Q761" t="s">
        <v>104</v>
      </c>
      <c r="R761" t="s">
        <v>104</v>
      </c>
      <c r="S761" t="s">
        <v>167</v>
      </c>
      <c r="T761" t="s">
        <v>167</v>
      </c>
      <c r="U761" t="s">
        <v>168</v>
      </c>
      <c r="V761" t="s">
        <v>169</v>
      </c>
      <c r="W761" t="s">
        <v>116</v>
      </c>
      <c r="X761" t="s">
        <v>44</v>
      </c>
      <c r="Y761" t="s">
        <v>99</v>
      </c>
      <c r="Z761" t="s">
        <v>421</v>
      </c>
      <c r="AC761" t="str">
        <f>IF(AA761="",M761,AA761)</f>
        <v>não</v>
      </c>
      <c r="AD761" t="str">
        <f>IF(AB761="",X761,AB761)</f>
        <v>sim</v>
      </c>
      <c r="AE761" t="str">
        <f>IF(OR(Configuracao!B9="",Configuracao!B10=""),"aguardando limiar",IF(AND(K761&gt;=Configuracao!B9,K761/MAX(Reconciliacao!C2,1)&gt;=Configuracao!B10/100),"sim","não"))</f>
        <v>aguardando limiar</v>
      </c>
    </row>
    <row r="762" spans="1:31" x14ac:dyDescent="0.25">
      <c r="A762">
        <v>8662</v>
      </c>
      <c r="C762" t="s">
        <v>786</v>
      </c>
      <c r="D762" t="s">
        <v>766</v>
      </c>
      <c r="E762" t="s">
        <v>451</v>
      </c>
      <c r="F762" t="s">
        <v>178</v>
      </c>
      <c r="G762" t="s">
        <v>177</v>
      </c>
      <c r="H762" t="s">
        <v>176</v>
      </c>
      <c r="I762" t="s">
        <v>420</v>
      </c>
      <c r="J762" t="s">
        <v>420</v>
      </c>
      <c r="K762" s="4">
        <v>2441.71</v>
      </c>
      <c r="L762" s="4">
        <v>2441.71</v>
      </c>
      <c r="M762" t="s">
        <v>166</v>
      </c>
      <c r="N762" t="s">
        <v>116</v>
      </c>
      <c r="O762" t="s">
        <v>104</v>
      </c>
      <c r="P762" t="s">
        <v>767</v>
      </c>
      <c r="Q762" t="s">
        <v>104</v>
      </c>
      <c r="R762" t="s">
        <v>104</v>
      </c>
      <c r="S762" t="s">
        <v>167</v>
      </c>
      <c r="T762" t="s">
        <v>167</v>
      </c>
      <c r="U762" t="s">
        <v>168</v>
      </c>
      <c r="V762" t="s">
        <v>169</v>
      </c>
      <c r="W762" t="s">
        <v>116</v>
      </c>
      <c r="X762" t="s">
        <v>44</v>
      </c>
      <c r="Y762" t="s">
        <v>99</v>
      </c>
      <c r="Z762" t="s">
        <v>421</v>
      </c>
      <c r="AC762" t="str">
        <f>IF(AA762="",M762,AA762)</f>
        <v>não</v>
      </c>
      <c r="AD762" t="str">
        <f>IF(AB762="",X762,AB762)</f>
        <v>sim</v>
      </c>
      <c r="AE762" t="str">
        <f>IF(OR(Configuracao!B9="",Configuracao!B10=""),"aguardando limiar",IF(AND(K762&gt;=Configuracao!B9,K762/MAX(Reconciliacao!C2,1)&gt;=Configuracao!B10/100),"sim","não"))</f>
        <v>aguardando limiar</v>
      </c>
    </row>
    <row r="763" spans="1:31" x14ac:dyDescent="0.25">
      <c r="A763">
        <v>8663</v>
      </c>
      <c r="C763" t="s">
        <v>787</v>
      </c>
      <c r="D763" t="s">
        <v>766</v>
      </c>
      <c r="E763" t="s">
        <v>451</v>
      </c>
      <c r="F763" t="s">
        <v>178</v>
      </c>
      <c r="G763" t="s">
        <v>177</v>
      </c>
      <c r="H763" t="s">
        <v>176</v>
      </c>
      <c r="I763" t="s">
        <v>454</v>
      </c>
      <c r="J763" t="s">
        <v>454</v>
      </c>
      <c r="K763" s="4">
        <v>2466.13</v>
      </c>
      <c r="L763" s="4">
        <v>2466.13</v>
      </c>
      <c r="M763" t="s">
        <v>166</v>
      </c>
      <c r="N763" t="s">
        <v>116</v>
      </c>
      <c r="O763" t="s">
        <v>104</v>
      </c>
      <c r="P763" t="s">
        <v>767</v>
      </c>
      <c r="Q763" t="s">
        <v>104</v>
      </c>
      <c r="R763" t="s">
        <v>104</v>
      </c>
      <c r="S763" t="s">
        <v>167</v>
      </c>
      <c r="T763" t="s">
        <v>167</v>
      </c>
      <c r="U763" t="s">
        <v>168</v>
      </c>
      <c r="V763" t="s">
        <v>169</v>
      </c>
      <c r="W763" t="s">
        <v>116</v>
      </c>
      <c r="X763" t="s">
        <v>44</v>
      </c>
      <c r="Y763" t="s">
        <v>99</v>
      </c>
      <c r="Z763" t="s">
        <v>421</v>
      </c>
      <c r="AC763" t="str">
        <f>IF(AA763="",M763,AA763)</f>
        <v>não</v>
      </c>
      <c r="AD763" t="str">
        <f>IF(AB763="",X763,AB763)</f>
        <v>sim</v>
      </c>
      <c r="AE763" t="str">
        <f>IF(OR(Configuracao!B9="",Configuracao!B10=""),"aguardando limiar",IF(AND(K763&gt;=Configuracao!B9,K763/MAX(Reconciliacao!C2,1)&gt;=Configuracao!B10/100),"sim","não"))</f>
        <v>aguardando limiar</v>
      </c>
    </row>
    <row r="764" spans="1:31" x14ac:dyDescent="0.25">
      <c r="A764">
        <v>8664</v>
      </c>
      <c r="C764" t="s">
        <v>788</v>
      </c>
      <c r="D764" t="s">
        <v>766</v>
      </c>
      <c r="E764" t="s">
        <v>451</v>
      </c>
      <c r="F764" t="s">
        <v>178</v>
      </c>
      <c r="G764" t="s">
        <v>177</v>
      </c>
      <c r="H764" t="s">
        <v>176</v>
      </c>
      <c r="I764" t="s">
        <v>461</v>
      </c>
      <c r="J764" t="s">
        <v>461</v>
      </c>
      <c r="K764" s="4">
        <v>2488.12</v>
      </c>
      <c r="L764" s="4">
        <v>2488.12</v>
      </c>
      <c r="M764" t="s">
        <v>166</v>
      </c>
      <c r="N764" t="s">
        <v>116</v>
      </c>
      <c r="O764" t="s">
        <v>104</v>
      </c>
      <c r="P764" t="s">
        <v>767</v>
      </c>
      <c r="Q764" t="s">
        <v>104</v>
      </c>
      <c r="R764" t="s">
        <v>104</v>
      </c>
      <c r="S764" t="s">
        <v>167</v>
      </c>
      <c r="T764" t="s">
        <v>167</v>
      </c>
      <c r="U764" t="s">
        <v>168</v>
      </c>
      <c r="V764" t="s">
        <v>169</v>
      </c>
      <c r="W764" t="s">
        <v>116</v>
      </c>
      <c r="X764" t="s">
        <v>44</v>
      </c>
      <c r="Y764" t="s">
        <v>99</v>
      </c>
      <c r="Z764" t="s">
        <v>421</v>
      </c>
      <c r="AC764" t="str">
        <f>IF(AA764="",M764,AA764)</f>
        <v>não</v>
      </c>
      <c r="AD764" t="str">
        <f>IF(AB764="",X764,AB764)</f>
        <v>sim</v>
      </c>
      <c r="AE764" t="str">
        <f>IF(OR(Configuracao!B9="",Configuracao!B10=""),"aguardando limiar",IF(AND(K764&gt;=Configuracao!B9,K764/MAX(Reconciliacao!C2,1)&gt;=Configuracao!B10/100),"sim","não"))</f>
        <v>aguardando limiar</v>
      </c>
    </row>
    <row r="765" spans="1:31" x14ac:dyDescent="0.25">
      <c r="A765">
        <v>8665</v>
      </c>
      <c r="C765" t="s">
        <v>789</v>
      </c>
      <c r="D765" t="s">
        <v>766</v>
      </c>
      <c r="E765" t="s">
        <v>451</v>
      </c>
      <c r="F765" t="s">
        <v>178</v>
      </c>
      <c r="G765" t="s">
        <v>177</v>
      </c>
      <c r="H765" t="s">
        <v>176</v>
      </c>
      <c r="I765" t="s">
        <v>442</v>
      </c>
      <c r="J765" t="s">
        <v>442</v>
      </c>
      <c r="K765" s="4">
        <v>2509.72</v>
      </c>
      <c r="L765" s="4">
        <v>2509.72</v>
      </c>
      <c r="M765" t="s">
        <v>166</v>
      </c>
      <c r="N765" t="s">
        <v>116</v>
      </c>
      <c r="O765" t="s">
        <v>104</v>
      </c>
      <c r="P765" t="s">
        <v>767</v>
      </c>
      <c r="Q765" t="s">
        <v>104</v>
      </c>
      <c r="R765" t="s">
        <v>104</v>
      </c>
      <c r="S765" t="s">
        <v>167</v>
      </c>
      <c r="T765" t="s">
        <v>167</v>
      </c>
      <c r="U765" t="s">
        <v>168</v>
      </c>
      <c r="V765" t="s">
        <v>169</v>
      </c>
      <c r="W765" t="s">
        <v>116</v>
      </c>
      <c r="X765" t="s">
        <v>44</v>
      </c>
      <c r="Y765" t="s">
        <v>99</v>
      </c>
      <c r="Z765" t="s">
        <v>421</v>
      </c>
      <c r="AC765" t="str">
        <f>IF(AA765="",M765,AA765)</f>
        <v>não</v>
      </c>
      <c r="AD765" t="str">
        <f>IF(AB765="",X765,AB765)</f>
        <v>sim</v>
      </c>
      <c r="AE765" t="str">
        <f>IF(OR(Configuracao!B9="",Configuracao!B10=""),"aguardando limiar",IF(AND(K765&gt;=Configuracao!B9,K765/MAX(Reconciliacao!C2,1)&gt;=Configuracao!B10/100),"sim","não"))</f>
        <v>aguardando limiar</v>
      </c>
    </row>
    <row r="766" spans="1:31" x14ac:dyDescent="0.25">
      <c r="A766">
        <v>8666</v>
      </c>
      <c r="C766" t="s">
        <v>790</v>
      </c>
      <c r="D766" t="s">
        <v>766</v>
      </c>
      <c r="E766" t="s">
        <v>451</v>
      </c>
      <c r="F766" t="s">
        <v>178</v>
      </c>
      <c r="G766" t="s">
        <v>177</v>
      </c>
      <c r="H766" t="s">
        <v>176</v>
      </c>
      <c r="I766" t="s">
        <v>439</v>
      </c>
      <c r="J766" t="s">
        <v>439</v>
      </c>
      <c r="K766" s="4">
        <v>2532.32</v>
      </c>
      <c r="L766" s="4">
        <v>2532.32</v>
      </c>
      <c r="M766" t="s">
        <v>166</v>
      </c>
      <c r="N766" t="s">
        <v>116</v>
      </c>
      <c r="O766" t="s">
        <v>104</v>
      </c>
      <c r="P766" t="s">
        <v>767</v>
      </c>
      <c r="Q766" t="s">
        <v>104</v>
      </c>
      <c r="R766" t="s">
        <v>104</v>
      </c>
      <c r="S766" t="s">
        <v>167</v>
      </c>
      <c r="T766" t="s">
        <v>167</v>
      </c>
      <c r="U766" t="s">
        <v>168</v>
      </c>
      <c r="V766" t="s">
        <v>169</v>
      </c>
      <c r="W766" t="s">
        <v>116</v>
      </c>
      <c r="X766" t="s">
        <v>44</v>
      </c>
      <c r="Y766" t="s">
        <v>99</v>
      </c>
      <c r="Z766" t="s">
        <v>421</v>
      </c>
      <c r="AC766" t="str">
        <f>IF(AA766="",M766,AA766)</f>
        <v>não</v>
      </c>
      <c r="AD766" t="str">
        <f>IF(AB766="",X766,AB766)</f>
        <v>sim</v>
      </c>
      <c r="AE766" t="str">
        <f>IF(OR(Configuracao!B9="",Configuracao!B10=""),"aguardando limiar",IF(AND(K766&gt;=Configuracao!B9,K766/MAX(Reconciliacao!C2,1)&gt;=Configuracao!B10/100),"sim","não"))</f>
        <v>aguardando limiar</v>
      </c>
    </row>
    <row r="767" spans="1:31" x14ac:dyDescent="0.25">
      <c r="A767">
        <v>8667</v>
      </c>
      <c r="C767" t="s">
        <v>791</v>
      </c>
      <c r="D767" t="s">
        <v>766</v>
      </c>
      <c r="E767" t="s">
        <v>451</v>
      </c>
      <c r="F767" t="s">
        <v>178</v>
      </c>
      <c r="G767" t="s">
        <v>177</v>
      </c>
      <c r="H767" t="s">
        <v>176</v>
      </c>
      <c r="I767" t="s">
        <v>35</v>
      </c>
      <c r="J767" t="s">
        <v>35</v>
      </c>
      <c r="K767" s="4">
        <v>2556.94</v>
      </c>
      <c r="L767" s="4">
        <v>2556.94</v>
      </c>
      <c r="M767" t="s">
        <v>166</v>
      </c>
      <c r="N767" t="s">
        <v>116</v>
      </c>
      <c r="O767" t="s">
        <v>104</v>
      </c>
      <c r="P767" t="s">
        <v>767</v>
      </c>
      <c r="Q767" t="s">
        <v>104</v>
      </c>
      <c r="R767" t="s">
        <v>104</v>
      </c>
      <c r="S767" t="s">
        <v>167</v>
      </c>
      <c r="T767" t="s">
        <v>167</v>
      </c>
      <c r="U767" t="s">
        <v>168</v>
      </c>
      <c r="V767" t="s">
        <v>169</v>
      </c>
      <c r="W767" t="s">
        <v>116</v>
      </c>
      <c r="X767" t="s">
        <v>44</v>
      </c>
      <c r="Y767" t="s">
        <v>99</v>
      </c>
      <c r="Z767" t="s">
        <v>421</v>
      </c>
      <c r="AC767" t="str">
        <f>IF(AA767="",M767,AA767)</f>
        <v>não</v>
      </c>
      <c r="AD767" t="str">
        <f>IF(AB767="",X767,AB767)</f>
        <v>sim</v>
      </c>
      <c r="AE767" t="str">
        <f>IF(OR(Configuracao!B9="",Configuracao!B10=""),"aguardando limiar",IF(AND(K767&gt;=Configuracao!B9,K767/MAX(Reconciliacao!C2,1)&gt;=Configuracao!B10/100),"sim","não"))</f>
        <v>aguardando limiar</v>
      </c>
    </row>
    <row r="768" spans="1:31" x14ac:dyDescent="0.25">
      <c r="A768">
        <v>17210</v>
      </c>
      <c r="C768" t="s">
        <v>792</v>
      </c>
      <c r="D768" t="s">
        <v>793</v>
      </c>
      <c r="E768" t="s">
        <v>474</v>
      </c>
      <c r="F768" t="s">
        <v>178</v>
      </c>
      <c r="G768" t="s">
        <v>177</v>
      </c>
      <c r="H768" t="s">
        <v>176</v>
      </c>
      <c r="I768" t="s">
        <v>442</v>
      </c>
      <c r="J768" t="s">
        <v>442</v>
      </c>
      <c r="K768" s="4">
        <v>5536.35</v>
      </c>
      <c r="L768" s="4">
        <v>4213.13</v>
      </c>
      <c r="M768" t="s">
        <v>44</v>
      </c>
      <c r="N768" t="s">
        <v>77</v>
      </c>
      <c r="O768" t="s">
        <v>99</v>
      </c>
      <c r="P768" t="s">
        <v>243</v>
      </c>
      <c r="Q768" t="s">
        <v>191</v>
      </c>
      <c r="R768" t="s">
        <v>242</v>
      </c>
      <c r="S768" t="s">
        <v>161</v>
      </c>
      <c r="T768" t="s">
        <v>211</v>
      </c>
      <c r="U768" t="s">
        <v>163</v>
      </c>
      <c r="V768" t="s">
        <v>193</v>
      </c>
      <c r="W768" t="s">
        <v>116</v>
      </c>
      <c r="X768" t="s">
        <v>166</v>
      </c>
      <c r="Y768" t="s">
        <v>794</v>
      </c>
      <c r="Z768" t="s">
        <v>434</v>
      </c>
      <c r="AC768" t="str">
        <f>IF(AA768="",M768,AA768)</f>
        <v>sim</v>
      </c>
      <c r="AD768" t="str">
        <f>IF(AB768="",X768,AB768)</f>
        <v>não</v>
      </c>
      <c r="AE768" t="str">
        <f>IF(OR(Configuracao!B9="",Configuracao!B10=""),"aguardando limiar",IF(AND(K768&gt;=Configuracao!B9,K768/MAX(Reconciliacao!C2,1)&gt;=Configuracao!B10/100),"sim","não"))</f>
        <v>aguardando limiar</v>
      </c>
    </row>
    <row r="769" spans="1:31" x14ac:dyDescent="0.25">
      <c r="A769">
        <v>8228</v>
      </c>
      <c r="C769" t="s">
        <v>795</v>
      </c>
      <c r="D769" t="s">
        <v>766</v>
      </c>
      <c r="E769" t="s">
        <v>451</v>
      </c>
      <c r="F769" t="s">
        <v>178</v>
      </c>
      <c r="G769" t="s">
        <v>177</v>
      </c>
      <c r="H769" t="s">
        <v>176</v>
      </c>
      <c r="I769" t="s">
        <v>424</v>
      </c>
      <c r="J769" t="s">
        <v>424</v>
      </c>
      <c r="K769" s="4">
        <v>37648.16</v>
      </c>
      <c r="L769" s="4">
        <v>37648.16</v>
      </c>
      <c r="M769" t="s">
        <v>166</v>
      </c>
      <c r="N769" t="s">
        <v>116</v>
      </c>
      <c r="O769" t="s">
        <v>104</v>
      </c>
      <c r="P769" t="s">
        <v>179</v>
      </c>
      <c r="Q769" t="s">
        <v>104</v>
      </c>
      <c r="R769" t="s">
        <v>104</v>
      </c>
      <c r="S769" t="s">
        <v>167</v>
      </c>
      <c r="T769" t="s">
        <v>167</v>
      </c>
      <c r="U769" t="s">
        <v>168</v>
      </c>
      <c r="V769" t="s">
        <v>169</v>
      </c>
      <c r="W769" t="s">
        <v>116</v>
      </c>
      <c r="X769" t="s">
        <v>166</v>
      </c>
      <c r="Y769" t="s">
        <v>796</v>
      </c>
      <c r="Z769" t="s">
        <v>434</v>
      </c>
      <c r="AC769" t="str">
        <f>IF(AA769="",M769,AA769)</f>
        <v>não</v>
      </c>
      <c r="AD769" t="str">
        <f>IF(AB769="",X769,AB769)</f>
        <v>não</v>
      </c>
      <c r="AE769" t="str">
        <f>IF(OR(Configuracao!B9="",Configuracao!B10=""),"aguardando limiar",IF(AND(K769&gt;=Configuracao!B9,K769/MAX(Reconciliacao!C2,1)&gt;=Configuracao!B10/100),"sim","não"))</f>
        <v>aguardando limiar</v>
      </c>
    </row>
    <row r="770" spans="1:31" x14ac:dyDescent="0.25">
      <c r="A770">
        <v>8229</v>
      </c>
      <c r="C770" t="s">
        <v>795</v>
      </c>
      <c r="D770" t="s">
        <v>766</v>
      </c>
      <c r="E770" t="s">
        <v>451</v>
      </c>
      <c r="F770" t="s">
        <v>178</v>
      </c>
      <c r="G770" t="s">
        <v>177</v>
      </c>
      <c r="H770" t="s">
        <v>176</v>
      </c>
      <c r="I770" t="s">
        <v>420</v>
      </c>
      <c r="J770" t="s">
        <v>420</v>
      </c>
      <c r="K770" s="4">
        <v>43015.1</v>
      </c>
      <c r="L770" s="4">
        <v>43015.1</v>
      </c>
      <c r="M770" t="s">
        <v>166</v>
      </c>
      <c r="N770" t="s">
        <v>116</v>
      </c>
      <c r="O770" t="s">
        <v>104</v>
      </c>
      <c r="P770" t="s">
        <v>179</v>
      </c>
      <c r="Q770" t="s">
        <v>104</v>
      </c>
      <c r="R770" t="s">
        <v>104</v>
      </c>
      <c r="S770" t="s">
        <v>167</v>
      </c>
      <c r="T770" t="s">
        <v>167</v>
      </c>
      <c r="U770" t="s">
        <v>168</v>
      </c>
      <c r="V770" t="s">
        <v>169</v>
      </c>
      <c r="W770" t="s">
        <v>116</v>
      </c>
      <c r="X770" t="s">
        <v>166</v>
      </c>
      <c r="Y770" t="s">
        <v>796</v>
      </c>
      <c r="Z770" t="s">
        <v>434</v>
      </c>
      <c r="AC770" t="str">
        <f>IF(AA770="",M770,AA770)</f>
        <v>não</v>
      </c>
      <c r="AD770" t="str">
        <f>IF(AB770="",X770,AB770)</f>
        <v>não</v>
      </c>
      <c r="AE770" t="str">
        <f>IF(OR(Configuracao!B9="",Configuracao!B10=""),"aguardando limiar",IF(AND(K770&gt;=Configuracao!B9,K770/MAX(Reconciliacao!C2,1)&gt;=Configuracao!B10/100),"sim","não"))</f>
        <v>aguardando limiar</v>
      </c>
    </row>
    <row r="771" spans="1:31" x14ac:dyDescent="0.25">
      <c r="A771">
        <v>8230</v>
      </c>
      <c r="C771" t="s">
        <v>795</v>
      </c>
      <c r="D771" t="s">
        <v>766</v>
      </c>
      <c r="E771" t="s">
        <v>451</v>
      </c>
      <c r="F771" t="s">
        <v>178</v>
      </c>
      <c r="G771" t="s">
        <v>177</v>
      </c>
      <c r="H771" t="s">
        <v>176</v>
      </c>
      <c r="I771" t="s">
        <v>454</v>
      </c>
      <c r="J771" t="s">
        <v>454</v>
      </c>
      <c r="K771" s="4">
        <v>60428.7</v>
      </c>
      <c r="L771" s="4">
        <v>60428.7</v>
      </c>
      <c r="M771" t="s">
        <v>166</v>
      </c>
      <c r="N771" t="s">
        <v>116</v>
      </c>
      <c r="O771" t="s">
        <v>104</v>
      </c>
      <c r="P771" t="s">
        <v>179</v>
      </c>
      <c r="Q771" t="s">
        <v>104</v>
      </c>
      <c r="R771" t="s">
        <v>104</v>
      </c>
      <c r="S771" t="s">
        <v>167</v>
      </c>
      <c r="T771" t="s">
        <v>167</v>
      </c>
      <c r="U771" t="s">
        <v>168</v>
      </c>
      <c r="V771" t="s">
        <v>169</v>
      </c>
      <c r="W771" t="s">
        <v>116</v>
      </c>
      <c r="X771" t="s">
        <v>166</v>
      </c>
      <c r="Y771" t="s">
        <v>796</v>
      </c>
      <c r="Z771" t="s">
        <v>434</v>
      </c>
      <c r="AC771" t="str">
        <f>IF(AA771="",M771,AA771)</f>
        <v>não</v>
      </c>
      <c r="AD771" t="str">
        <f>IF(AB771="",X771,AB771)</f>
        <v>não</v>
      </c>
      <c r="AE771" t="str">
        <f>IF(OR(Configuracao!B9="",Configuracao!B10=""),"aguardando limiar",IF(AND(K771&gt;=Configuracao!B9,K771/MAX(Reconciliacao!C2,1)&gt;=Configuracao!B10/100),"sim","não"))</f>
        <v>aguardando limiar</v>
      </c>
    </row>
    <row r="772" spans="1:31" x14ac:dyDescent="0.25">
      <c r="A772">
        <v>8232</v>
      </c>
      <c r="C772" t="s">
        <v>795</v>
      </c>
      <c r="D772" t="s">
        <v>766</v>
      </c>
      <c r="E772" t="s">
        <v>451</v>
      </c>
      <c r="F772" t="s">
        <v>178</v>
      </c>
      <c r="G772" t="s">
        <v>177</v>
      </c>
      <c r="H772" t="s">
        <v>176</v>
      </c>
      <c r="I772" t="s">
        <v>442</v>
      </c>
      <c r="J772" t="s">
        <v>442</v>
      </c>
      <c r="K772" s="4">
        <v>67156.18</v>
      </c>
      <c r="L772" s="4">
        <v>67156.18</v>
      </c>
      <c r="M772" t="s">
        <v>166</v>
      </c>
      <c r="N772" t="s">
        <v>116</v>
      </c>
      <c r="O772" t="s">
        <v>104</v>
      </c>
      <c r="P772" t="s">
        <v>179</v>
      </c>
      <c r="Q772" t="s">
        <v>104</v>
      </c>
      <c r="R772" t="s">
        <v>104</v>
      </c>
      <c r="S772" t="s">
        <v>167</v>
      </c>
      <c r="T772" t="s">
        <v>167</v>
      </c>
      <c r="U772" t="s">
        <v>168</v>
      </c>
      <c r="V772" t="s">
        <v>169</v>
      </c>
      <c r="W772" t="s">
        <v>116</v>
      </c>
      <c r="X772" t="s">
        <v>166</v>
      </c>
      <c r="Y772" t="s">
        <v>796</v>
      </c>
      <c r="Z772" t="s">
        <v>434</v>
      </c>
      <c r="AC772" t="str">
        <f>IF(AA772="",M772,AA772)</f>
        <v>não</v>
      </c>
      <c r="AD772" t="str">
        <f>IF(AB772="",X772,AB772)</f>
        <v>não</v>
      </c>
      <c r="AE772" t="str">
        <f>IF(OR(Configuracao!B9="",Configuracao!B10=""),"aguardando limiar",IF(AND(K772&gt;=Configuracao!B9,K772/MAX(Reconciliacao!C2,1)&gt;=Configuracao!B10/100),"sim","não"))</f>
        <v>aguardando limiar</v>
      </c>
    </row>
    <row r="773" spans="1:31" x14ac:dyDescent="0.25">
      <c r="A773">
        <v>8227</v>
      </c>
      <c r="C773" t="s">
        <v>795</v>
      </c>
      <c r="D773" t="s">
        <v>766</v>
      </c>
      <c r="E773" t="s">
        <v>451</v>
      </c>
      <c r="F773" t="s">
        <v>178</v>
      </c>
      <c r="G773" t="s">
        <v>177</v>
      </c>
      <c r="H773" t="s">
        <v>176</v>
      </c>
      <c r="I773" t="s">
        <v>32</v>
      </c>
      <c r="J773" t="s">
        <v>32</v>
      </c>
      <c r="K773" s="4">
        <v>72510.34</v>
      </c>
      <c r="L773" s="4">
        <v>72510.34</v>
      </c>
      <c r="M773" t="s">
        <v>166</v>
      </c>
      <c r="N773" t="s">
        <v>116</v>
      </c>
      <c r="O773" t="s">
        <v>104</v>
      </c>
      <c r="P773" t="s">
        <v>179</v>
      </c>
      <c r="Q773" t="s">
        <v>104</v>
      </c>
      <c r="R773" t="s">
        <v>104</v>
      </c>
      <c r="S773" t="s">
        <v>167</v>
      </c>
      <c r="T773" t="s">
        <v>167</v>
      </c>
      <c r="U773" t="s">
        <v>168</v>
      </c>
      <c r="V773" t="s">
        <v>169</v>
      </c>
      <c r="W773" t="s">
        <v>116</v>
      </c>
      <c r="X773" t="s">
        <v>166</v>
      </c>
      <c r="Y773" t="s">
        <v>796</v>
      </c>
      <c r="Z773" t="s">
        <v>434</v>
      </c>
      <c r="AC773" t="str">
        <f>IF(AA773="",M773,AA773)</f>
        <v>não</v>
      </c>
      <c r="AD773" t="str">
        <f>IF(AB773="",X773,AB773)</f>
        <v>não</v>
      </c>
      <c r="AE773" t="str">
        <f>IF(OR(Configuracao!B9="",Configuracao!B10=""),"aguardando limiar",IF(AND(K773&gt;=Configuracao!B9,K773/MAX(Reconciliacao!C2,1)&gt;=Configuracao!B10/100),"sim","não"))</f>
        <v>aguardando limiar</v>
      </c>
    </row>
    <row r="774" spans="1:31" x14ac:dyDescent="0.25">
      <c r="A774">
        <v>8231</v>
      </c>
      <c r="C774" t="s">
        <v>795</v>
      </c>
      <c r="D774" t="s">
        <v>766</v>
      </c>
      <c r="E774" t="s">
        <v>451</v>
      </c>
      <c r="F774" t="s">
        <v>178</v>
      </c>
      <c r="G774" t="s">
        <v>177</v>
      </c>
      <c r="H774" t="s">
        <v>176</v>
      </c>
      <c r="I774" t="s">
        <v>461</v>
      </c>
      <c r="J774" t="s">
        <v>461</v>
      </c>
      <c r="K774" s="4">
        <v>75432.12</v>
      </c>
      <c r="L774" s="4">
        <v>75432.12</v>
      </c>
      <c r="M774" t="s">
        <v>166</v>
      </c>
      <c r="N774" t="s">
        <v>116</v>
      </c>
      <c r="O774" t="s">
        <v>104</v>
      </c>
      <c r="P774" t="s">
        <v>179</v>
      </c>
      <c r="Q774" t="s">
        <v>104</v>
      </c>
      <c r="R774" t="s">
        <v>104</v>
      </c>
      <c r="S774" t="s">
        <v>167</v>
      </c>
      <c r="T774" t="s">
        <v>167</v>
      </c>
      <c r="U774" t="s">
        <v>168</v>
      </c>
      <c r="V774" t="s">
        <v>169</v>
      </c>
      <c r="W774" t="s">
        <v>116</v>
      </c>
      <c r="X774" t="s">
        <v>166</v>
      </c>
      <c r="Y774" t="s">
        <v>796</v>
      </c>
      <c r="Z774" t="s">
        <v>434</v>
      </c>
      <c r="AC774" t="str">
        <f>IF(AA774="",M774,AA774)</f>
        <v>não</v>
      </c>
      <c r="AD774" t="str">
        <f>IF(AB774="",X774,AB774)</f>
        <v>não</v>
      </c>
      <c r="AE774" t="str">
        <f>IF(OR(Configuracao!B9="",Configuracao!B10=""),"aguardando limiar",IF(AND(K774&gt;=Configuracao!B9,K774/MAX(Reconciliacao!C2,1)&gt;=Configuracao!B10/100),"sim","não"))</f>
        <v>aguardando limiar</v>
      </c>
    </row>
    <row r="775" spans="1:31" x14ac:dyDescent="0.25">
      <c r="A775">
        <v>8233</v>
      </c>
      <c r="C775" t="s">
        <v>795</v>
      </c>
      <c r="D775" t="s">
        <v>766</v>
      </c>
      <c r="E775" t="s">
        <v>451</v>
      </c>
      <c r="F775" t="s">
        <v>178</v>
      </c>
      <c r="G775" t="s">
        <v>177</v>
      </c>
      <c r="H775" t="s">
        <v>176</v>
      </c>
      <c r="I775" t="s">
        <v>439</v>
      </c>
      <c r="J775" t="s">
        <v>439</v>
      </c>
      <c r="K775" s="4">
        <v>79772</v>
      </c>
      <c r="L775" s="4">
        <v>79772</v>
      </c>
      <c r="M775" t="s">
        <v>166</v>
      </c>
      <c r="N775" t="s">
        <v>116</v>
      </c>
      <c r="O775" t="s">
        <v>104</v>
      </c>
      <c r="P775" t="s">
        <v>179</v>
      </c>
      <c r="Q775" t="s">
        <v>104</v>
      </c>
      <c r="R775" t="s">
        <v>104</v>
      </c>
      <c r="S775" t="s">
        <v>167</v>
      </c>
      <c r="T775" t="s">
        <v>167</v>
      </c>
      <c r="U775" t="s">
        <v>168</v>
      </c>
      <c r="V775" t="s">
        <v>169</v>
      </c>
      <c r="W775" t="s">
        <v>116</v>
      </c>
      <c r="X775" t="s">
        <v>166</v>
      </c>
      <c r="Y775" t="s">
        <v>796</v>
      </c>
      <c r="Z775" t="s">
        <v>434</v>
      </c>
      <c r="AC775" t="str">
        <f>IF(AA775="",M775,AA775)</f>
        <v>não</v>
      </c>
      <c r="AD775" t="str">
        <f>IF(AB775="",X775,AB775)</f>
        <v>não</v>
      </c>
      <c r="AE775" t="str">
        <f>IF(OR(Configuracao!B9="",Configuracao!B10=""),"aguardando limiar",IF(AND(K775&gt;=Configuracao!B9,K775/MAX(Reconciliacao!C2,1)&gt;=Configuracao!B10/100),"sim","não"))</f>
        <v>aguardando limiar</v>
      </c>
    </row>
    <row r="776" spans="1:31" x14ac:dyDescent="0.25">
      <c r="A776">
        <v>8234</v>
      </c>
      <c r="C776" t="s">
        <v>795</v>
      </c>
      <c r="D776" t="s">
        <v>766</v>
      </c>
      <c r="E776" t="s">
        <v>451</v>
      </c>
      <c r="F776" t="s">
        <v>178</v>
      </c>
      <c r="G776" t="s">
        <v>177</v>
      </c>
      <c r="H776" t="s">
        <v>176</v>
      </c>
      <c r="I776" t="s">
        <v>35</v>
      </c>
      <c r="J776" t="s">
        <v>35</v>
      </c>
      <c r="K776" s="4">
        <v>82767.58</v>
      </c>
      <c r="L776" s="4">
        <v>82767.58</v>
      </c>
      <c r="M776" t="s">
        <v>166</v>
      </c>
      <c r="N776" t="s">
        <v>116</v>
      </c>
      <c r="O776" t="s">
        <v>104</v>
      </c>
      <c r="P776" t="s">
        <v>179</v>
      </c>
      <c r="Q776" t="s">
        <v>104</v>
      </c>
      <c r="R776" t="s">
        <v>104</v>
      </c>
      <c r="S776" t="s">
        <v>167</v>
      </c>
      <c r="T776" t="s">
        <v>167</v>
      </c>
      <c r="U776" t="s">
        <v>168</v>
      </c>
      <c r="V776" t="s">
        <v>169</v>
      </c>
      <c r="W776" t="s">
        <v>116</v>
      </c>
      <c r="X776" t="s">
        <v>166</v>
      </c>
      <c r="Y776" t="s">
        <v>796</v>
      </c>
      <c r="Z776" t="s">
        <v>434</v>
      </c>
      <c r="AC776" t="str">
        <f>IF(AA776="",M776,AA776)</f>
        <v>não</v>
      </c>
      <c r="AD776" t="str">
        <f>IF(AB776="",X776,AB776)</f>
        <v>não</v>
      </c>
      <c r="AE776" t="str">
        <f>IF(OR(Configuracao!B9="",Configuracao!B10=""),"aguardando limiar",IF(AND(K776&gt;=Configuracao!B9,K776/MAX(Reconciliacao!C2,1)&gt;=Configuracao!B10/100),"sim","não"))</f>
        <v>aguardando limiar</v>
      </c>
    </row>
    <row r="777" spans="1:31" x14ac:dyDescent="0.25">
      <c r="A777">
        <v>7584</v>
      </c>
      <c r="C777" t="s">
        <v>797</v>
      </c>
      <c r="D777" t="s">
        <v>798</v>
      </c>
      <c r="E777" t="s">
        <v>451</v>
      </c>
      <c r="F777" t="s">
        <v>178</v>
      </c>
      <c r="G777" t="s">
        <v>302</v>
      </c>
      <c r="H777" t="s">
        <v>301</v>
      </c>
      <c r="I777" t="s">
        <v>32</v>
      </c>
      <c r="J777" t="s">
        <v>32</v>
      </c>
      <c r="K777" s="4">
        <v>1436.4</v>
      </c>
      <c r="L777" s="4">
        <v>1436.4</v>
      </c>
      <c r="M777" t="s">
        <v>44</v>
      </c>
      <c r="N777" t="s">
        <v>77</v>
      </c>
      <c r="O777" t="s">
        <v>99</v>
      </c>
      <c r="P777" t="s">
        <v>99</v>
      </c>
      <c r="Q777" t="s">
        <v>191</v>
      </c>
      <c r="R777" t="s">
        <v>242</v>
      </c>
      <c r="S777" t="s">
        <v>161</v>
      </c>
      <c r="T777" t="s">
        <v>211</v>
      </c>
      <c r="U777" t="s">
        <v>163</v>
      </c>
      <c r="V777" t="s">
        <v>193</v>
      </c>
      <c r="W777" t="s">
        <v>116</v>
      </c>
      <c r="X777" t="s">
        <v>44</v>
      </c>
      <c r="Y777" t="s">
        <v>99</v>
      </c>
      <c r="Z777" t="s">
        <v>421</v>
      </c>
      <c r="AC777" t="str">
        <f>IF(AA777="",M777,AA777)</f>
        <v>sim</v>
      </c>
      <c r="AD777" t="str">
        <f>IF(AB777="",X777,AB777)</f>
        <v>sim</v>
      </c>
      <c r="AE777" t="str">
        <f>IF(OR(Configuracao!B9="",Configuracao!B10=""),"aguardando limiar",IF(AND(K777&gt;=Configuracao!B9,K777/MAX(Reconciliacao!C2,1)&gt;=Configuracao!B10/100),"sim","não"))</f>
        <v>aguardando limiar</v>
      </c>
    </row>
    <row r="778" spans="1:31" x14ac:dyDescent="0.25">
      <c r="A778">
        <v>7585</v>
      </c>
      <c r="C778" t="s">
        <v>799</v>
      </c>
      <c r="D778" t="s">
        <v>798</v>
      </c>
      <c r="E778" t="s">
        <v>451</v>
      </c>
      <c r="F778" t="s">
        <v>178</v>
      </c>
      <c r="G778" t="s">
        <v>302</v>
      </c>
      <c r="H778" t="s">
        <v>301</v>
      </c>
      <c r="I778" t="s">
        <v>424</v>
      </c>
      <c r="J778" t="s">
        <v>424</v>
      </c>
      <c r="K778" s="4">
        <v>1436.4</v>
      </c>
      <c r="L778" s="4">
        <v>1436.4</v>
      </c>
      <c r="M778" t="s">
        <v>44</v>
      </c>
      <c r="N778" t="s">
        <v>77</v>
      </c>
      <c r="O778" t="s">
        <v>99</v>
      </c>
      <c r="P778" t="s">
        <v>99</v>
      </c>
      <c r="Q778" t="s">
        <v>191</v>
      </c>
      <c r="R778" t="s">
        <v>242</v>
      </c>
      <c r="S778" t="s">
        <v>161</v>
      </c>
      <c r="T778" t="s">
        <v>211</v>
      </c>
      <c r="U778" t="s">
        <v>163</v>
      </c>
      <c r="V778" t="s">
        <v>193</v>
      </c>
      <c r="W778" t="s">
        <v>116</v>
      </c>
      <c r="X778" t="s">
        <v>44</v>
      </c>
      <c r="Y778" t="s">
        <v>99</v>
      </c>
      <c r="Z778" t="s">
        <v>421</v>
      </c>
      <c r="AC778" t="str">
        <f>IF(AA778="",M778,AA778)</f>
        <v>sim</v>
      </c>
      <c r="AD778" t="str">
        <f>IF(AB778="",X778,AB778)</f>
        <v>sim</v>
      </c>
      <c r="AE778" t="str">
        <f>IF(OR(Configuracao!B9="",Configuracao!B10=""),"aguardando limiar",IF(AND(K778&gt;=Configuracao!B9,K778/MAX(Reconciliacao!C2,1)&gt;=Configuracao!B10/100),"sim","não"))</f>
        <v>aguardando limiar</v>
      </c>
    </row>
    <row r="779" spans="1:31" x14ac:dyDescent="0.25">
      <c r="A779">
        <v>7586</v>
      </c>
      <c r="C779" t="s">
        <v>800</v>
      </c>
      <c r="D779" t="s">
        <v>798</v>
      </c>
      <c r="E779" t="s">
        <v>451</v>
      </c>
      <c r="F779" t="s">
        <v>178</v>
      </c>
      <c r="G779" t="s">
        <v>302</v>
      </c>
      <c r="H779" t="s">
        <v>301</v>
      </c>
      <c r="I779" t="s">
        <v>420</v>
      </c>
      <c r="J779" t="s">
        <v>420</v>
      </c>
      <c r="K779" s="4">
        <v>1436.4</v>
      </c>
      <c r="L779" s="4">
        <v>1436.4</v>
      </c>
      <c r="M779" t="s">
        <v>44</v>
      </c>
      <c r="N779" t="s">
        <v>77</v>
      </c>
      <c r="O779" t="s">
        <v>99</v>
      </c>
      <c r="P779" t="s">
        <v>99</v>
      </c>
      <c r="Q779" t="s">
        <v>191</v>
      </c>
      <c r="R779" t="s">
        <v>242</v>
      </c>
      <c r="S779" t="s">
        <v>161</v>
      </c>
      <c r="T779" t="s">
        <v>211</v>
      </c>
      <c r="U779" t="s">
        <v>163</v>
      </c>
      <c r="V779" t="s">
        <v>193</v>
      </c>
      <c r="W779" t="s">
        <v>116</v>
      </c>
      <c r="X779" t="s">
        <v>44</v>
      </c>
      <c r="Y779" t="s">
        <v>99</v>
      </c>
      <c r="Z779" t="s">
        <v>421</v>
      </c>
      <c r="AC779" t="str">
        <f>IF(AA779="",M779,AA779)</f>
        <v>sim</v>
      </c>
      <c r="AD779" t="str">
        <f>IF(AB779="",X779,AB779)</f>
        <v>sim</v>
      </c>
      <c r="AE779" t="str">
        <f>IF(OR(Configuracao!B9="",Configuracao!B10=""),"aguardando limiar",IF(AND(K779&gt;=Configuracao!B9,K779/MAX(Reconciliacao!C2,1)&gt;=Configuracao!B10/100),"sim","não"))</f>
        <v>aguardando limiar</v>
      </c>
    </row>
    <row r="780" spans="1:31" x14ac:dyDescent="0.25">
      <c r="A780">
        <v>7587</v>
      </c>
      <c r="C780" t="s">
        <v>801</v>
      </c>
      <c r="D780" t="s">
        <v>798</v>
      </c>
      <c r="E780" t="s">
        <v>451</v>
      </c>
      <c r="F780" t="s">
        <v>178</v>
      </c>
      <c r="G780" t="s">
        <v>302</v>
      </c>
      <c r="H780" t="s">
        <v>301</v>
      </c>
      <c r="I780" t="s">
        <v>454</v>
      </c>
      <c r="J780" t="s">
        <v>454</v>
      </c>
      <c r="K780" s="4">
        <v>1436.4</v>
      </c>
      <c r="L780" s="4">
        <v>1436.4</v>
      </c>
      <c r="M780" t="s">
        <v>44</v>
      </c>
      <c r="N780" t="s">
        <v>77</v>
      </c>
      <c r="O780" t="s">
        <v>99</v>
      </c>
      <c r="P780" t="s">
        <v>99</v>
      </c>
      <c r="Q780" t="s">
        <v>191</v>
      </c>
      <c r="R780" t="s">
        <v>242</v>
      </c>
      <c r="S780" t="s">
        <v>161</v>
      </c>
      <c r="T780" t="s">
        <v>211</v>
      </c>
      <c r="U780" t="s">
        <v>163</v>
      </c>
      <c r="V780" t="s">
        <v>193</v>
      </c>
      <c r="W780" t="s">
        <v>116</v>
      </c>
      <c r="X780" t="s">
        <v>44</v>
      </c>
      <c r="Y780" t="s">
        <v>99</v>
      </c>
      <c r="Z780" t="s">
        <v>421</v>
      </c>
      <c r="AC780" t="str">
        <f>IF(AA780="",M780,AA780)</f>
        <v>sim</v>
      </c>
      <c r="AD780" t="str">
        <f>IF(AB780="",X780,AB780)</f>
        <v>sim</v>
      </c>
      <c r="AE780" t="str">
        <f>IF(OR(Configuracao!B9="",Configuracao!B10=""),"aguardando limiar",IF(AND(K780&gt;=Configuracao!B9,K780/MAX(Reconciliacao!C2,1)&gt;=Configuracao!B10/100),"sim","não"))</f>
        <v>aguardando limiar</v>
      </c>
    </row>
    <row r="781" spans="1:31" x14ac:dyDescent="0.25">
      <c r="A781">
        <v>7588</v>
      </c>
      <c r="C781" t="s">
        <v>802</v>
      </c>
      <c r="D781" t="s">
        <v>798</v>
      </c>
      <c r="E781" t="s">
        <v>451</v>
      </c>
      <c r="F781" t="s">
        <v>178</v>
      </c>
      <c r="G781" t="s">
        <v>302</v>
      </c>
      <c r="H781" t="s">
        <v>301</v>
      </c>
      <c r="I781" t="s">
        <v>461</v>
      </c>
      <c r="J781" t="s">
        <v>461</v>
      </c>
      <c r="K781" s="4">
        <v>1436.4</v>
      </c>
      <c r="L781" s="4">
        <v>1436.4</v>
      </c>
      <c r="M781" t="s">
        <v>44</v>
      </c>
      <c r="N781" t="s">
        <v>77</v>
      </c>
      <c r="O781" t="s">
        <v>99</v>
      </c>
      <c r="P781" t="s">
        <v>99</v>
      </c>
      <c r="Q781" t="s">
        <v>191</v>
      </c>
      <c r="R781" t="s">
        <v>242</v>
      </c>
      <c r="S781" t="s">
        <v>161</v>
      </c>
      <c r="T781" t="s">
        <v>211</v>
      </c>
      <c r="U781" t="s">
        <v>163</v>
      </c>
      <c r="V781" t="s">
        <v>193</v>
      </c>
      <c r="W781" t="s">
        <v>116</v>
      </c>
      <c r="X781" t="s">
        <v>44</v>
      </c>
      <c r="Y781" t="s">
        <v>99</v>
      </c>
      <c r="Z781" t="s">
        <v>421</v>
      </c>
      <c r="AC781" t="str">
        <f>IF(AA781="",M781,AA781)</f>
        <v>sim</v>
      </c>
      <c r="AD781" t="str">
        <f>IF(AB781="",X781,AB781)</f>
        <v>sim</v>
      </c>
      <c r="AE781" t="str">
        <f>IF(OR(Configuracao!B9="",Configuracao!B10=""),"aguardando limiar",IF(AND(K781&gt;=Configuracao!B9,K781/MAX(Reconciliacao!C2,1)&gt;=Configuracao!B10/100),"sim","não"))</f>
        <v>aguardando limiar</v>
      </c>
    </row>
    <row r="782" spans="1:31" x14ac:dyDescent="0.25">
      <c r="A782">
        <v>7589</v>
      </c>
      <c r="C782" t="s">
        <v>803</v>
      </c>
      <c r="D782" t="s">
        <v>798</v>
      </c>
      <c r="E782" t="s">
        <v>451</v>
      </c>
      <c r="F782" t="s">
        <v>178</v>
      </c>
      <c r="G782" t="s">
        <v>302</v>
      </c>
      <c r="H782" t="s">
        <v>301</v>
      </c>
      <c r="I782" t="s">
        <v>442</v>
      </c>
      <c r="J782" t="s">
        <v>442</v>
      </c>
      <c r="K782" s="4">
        <v>1436.4</v>
      </c>
      <c r="L782" s="4">
        <v>1436.4</v>
      </c>
      <c r="M782" t="s">
        <v>44</v>
      </c>
      <c r="N782" t="s">
        <v>77</v>
      </c>
      <c r="O782" t="s">
        <v>99</v>
      </c>
      <c r="P782" t="s">
        <v>99</v>
      </c>
      <c r="Q782" t="s">
        <v>191</v>
      </c>
      <c r="R782" t="s">
        <v>242</v>
      </c>
      <c r="S782" t="s">
        <v>161</v>
      </c>
      <c r="T782" t="s">
        <v>211</v>
      </c>
      <c r="U782" t="s">
        <v>163</v>
      </c>
      <c r="V782" t="s">
        <v>193</v>
      </c>
      <c r="W782" t="s">
        <v>116</v>
      </c>
      <c r="X782" t="s">
        <v>44</v>
      </c>
      <c r="Y782" t="s">
        <v>99</v>
      </c>
      <c r="Z782" t="s">
        <v>421</v>
      </c>
      <c r="AC782" t="str">
        <f>IF(AA782="",M782,AA782)</f>
        <v>sim</v>
      </c>
      <c r="AD782" t="str">
        <f>IF(AB782="",X782,AB782)</f>
        <v>sim</v>
      </c>
      <c r="AE782" t="str">
        <f>IF(OR(Configuracao!B9="",Configuracao!B10=""),"aguardando limiar",IF(AND(K782&gt;=Configuracao!B9,K782/MAX(Reconciliacao!C2,1)&gt;=Configuracao!B10/100),"sim","não"))</f>
        <v>aguardando limiar</v>
      </c>
    </row>
    <row r="783" spans="1:31" x14ac:dyDescent="0.25">
      <c r="A783">
        <v>7590</v>
      </c>
      <c r="C783" t="s">
        <v>804</v>
      </c>
      <c r="D783" t="s">
        <v>798</v>
      </c>
      <c r="E783" t="s">
        <v>451</v>
      </c>
      <c r="F783" t="s">
        <v>178</v>
      </c>
      <c r="G783" t="s">
        <v>302</v>
      </c>
      <c r="H783" t="s">
        <v>301</v>
      </c>
      <c r="I783" t="s">
        <v>439</v>
      </c>
      <c r="J783" t="s">
        <v>439</v>
      </c>
      <c r="K783" s="4">
        <v>1436.4</v>
      </c>
      <c r="L783" s="4">
        <v>1436.4</v>
      </c>
      <c r="M783" t="s">
        <v>44</v>
      </c>
      <c r="N783" t="s">
        <v>77</v>
      </c>
      <c r="O783" t="s">
        <v>99</v>
      </c>
      <c r="P783" t="s">
        <v>99</v>
      </c>
      <c r="Q783" t="s">
        <v>191</v>
      </c>
      <c r="R783" t="s">
        <v>242</v>
      </c>
      <c r="S783" t="s">
        <v>161</v>
      </c>
      <c r="T783" t="s">
        <v>211</v>
      </c>
      <c r="U783" t="s">
        <v>163</v>
      </c>
      <c r="V783" t="s">
        <v>193</v>
      </c>
      <c r="W783" t="s">
        <v>116</v>
      </c>
      <c r="X783" t="s">
        <v>44</v>
      </c>
      <c r="Y783" t="s">
        <v>99</v>
      </c>
      <c r="Z783" t="s">
        <v>421</v>
      </c>
      <c r="AC783" t="str">
        <f>IF(AA783="",M783,AA783)</f>
        <v>sim</v>
      </c>
      <c r="AD783" t="str">
        <f>IF(AB783="",X783,AB783)</f>
        <v>sim</v>
      </c>
      <c r="AE783" t="str">
        <f>IF(OR(Configuracao!B9="",Configuracao!B10=""),"aguardando limiar",IF(AND(K783&gt;=Configuracao!B9,K783/MAX(Reconciliacao!C2,1)&gt;=Configuracao!B10/100),"sim","não"))</f>
        <v>aguardando limiar</v>
      </c>
    </row>
    <row r="784" spans="1:31" x14ac:dyDescent="0.25">
      <c r="A784">
        <v>7591</v>
      </c>
      <c r="C784" t="s">
        <v>805</v>
      </c>
      <c r="D784" t="s">
        <v>798</v>
      </c>
      <c r="E784" t="s">
        <v>451</v>
      </c>
      <c r="F784" t="s">
        <v>178</v>
      </c>
      <c r="G784" t="s">
        <v>302</v>
      </c>
      <c r="H784" t="s">
        <v>301</v>
      </c>
      <c r="I784" t="s">
        <v>35</v>
      </c>
      <c r="J784" t="s">
        <v>35</v>
      </c>
      <c r="K784" s="4">
        <v>1436.4</v>
      </c>
      <c r="L784" s="4">
        <v>1436.4</v>
      </c>
      <c r="M784" t="s">
        <v>44</v>
      </c>
      <c r="N784" t="s">
        <v>77</v>
      </c>
      <c r="O784" t="s">
        <v>99</v>
      </c>
      <c r="P784" t="s">
        <v>99</v>
      </c>
      <c r="Q784" t="s">
        <v>191</v>
      </c>
      <c r="R784" t="s">
        <v>242</v>
      </c>
      <c r="S784" t="s">
        <v>161</v>
      </c>
      <c r="T784" t="s">
        <v>211</v>
      </c>
      <c r="U784" t="s">
        <v>163</v>
      </c>
      <c r="V784" t="s">
        <v>193</v>
      </c>
      <c r="W784" t="s">
        <v>116</v>
      </c>
      <c r="X784" t="s">
        <v>44</v>
      </c>
      <c r="Y784" t="s">
        <v>99</v>
      </c>
      <c r="Z784" t="s">
        <v>421</v>
      </c>
      <c r="AC784" t="str">
        <f>IF(AA784="",M784,AA784)</f>
        <v>sim</v>
      </c>
      <c r="AD784" t="str">
        <f>IF(AB784="",X784,AB784)</f>
        <v>sim</v>
      </c>
      <c r="AE784" t="str">
        <f>IF(OR(Configuracao!B9="",Configuracao!B10=""),"aguardando limiar",IF(AND(K784&gt;=Configuracao!B9,K784/MAX(Reconciliacao!C2,1)&gt;=Configuracao!B10/100),"sim","não"))</f>
        <v>aguardando limiar</v>
      </c>
    </row>
    <row r="785" spans="1:31" x14ac:dyDescent="0.25">
      <c r="A785">
        <v>18617</v>
      </c>
      <c r="C785" t="s">
        <v>806</v>
      </c>
      <c r="D785" t="s">
        <v>597</v>
      </c>
      <c r="E785" t="s">
        <v>451</v>
      </c>
      <c r="F785" t="s">
        <v>222</v>
      </c>
      <c r="G785" t="s">
        <v>346</v>
      </c>
      <c r="H785" t="s">
        <v>345</v>
      </c>
      <c r="I785" t="s">
        <v>35</v>
      </c>
      <c r="J785" t="s">
        <v>35</v>
      </c>
      <c r="K785" s="4">
        <v>164.7</v>
      </c>
      <c r="L785" s="4">
        <v>164.7</v>
      </c>
      <c r="M785" t="s">
        <v>44</v>
      </c>
      <c r="N785" t="s">
        <v>77</v>
      </c>
      <c r="O785" t="s">
        <v>99</v>
      </c>
      <c r="P785" t="s">
        <v>99</v>
      </c>
      <c r="Q785" t="s">
        <v>223</v>
      </c>
      <c r="R785" t="s">
        <v>224</v>
      </c>
      <c r="S785" t="s">
        <v>197</v>
      </c>
      <c r="T785" t="s">
        <v>198</v>
      </c>
      <c r="U785" t="s">
        <v>163</v>
      </c>
      <c r="V785" t="s">
        <v>186</v>
      </c>
      <c r="W785" t="s">
        <v>116</v>
      </c>
      <c r="X785" t="s">
        <v>44</v>
      </c>
      <c r="Y785" t="s">
        <v>99</v>
      </c>
      <c r="Z785" t="s">
        <v>421</v>
      </c>
      <c r="AC785" t="str">
        <f>IF(AA785="",M785,AA785)</f>
        <v>sim</v>
      </c>
      <c r="AD785" t="str">
        <f>IF(AB785="",X785,AB785)</f>
        <v>sim</v>
      </c>
      <c r="AE785" t="str">
        <f>IF(OR(Configuracao!B9="",Configuracao!B10=""),"aguardando limiar",IF(AND(K785&gt;=Configuracao!B9,K785/MAX(Reconciliacao!C2,1)&gt;=Configuracao!B10/100),"sim","não"))</f>
        <v>aguardando limiar</v>
      </c>
    </row>
    <row r="786" spans="1:31" x14ac:dyDescent="0.25">
      <c r="A786">
        <v>12660</v>
      </c>
      <c r="C786" t="s">
        <v>807</v>
      </c>
      <c r="D786" t="s">
        <v>808</v>
      </c>
      <c r="E786" t="s">
        <v>471</v>
      </c>
      <c r="F786" t="s">
        <v>222</v>
      </c>
      <c r="G786" t="s">
        <v>346</v>
      </c>
      <c r="H786" t="s">
        <v>345</v>
      </c>
      <c r="I786" t="s">
        <v>420</v>
      </c>
      <c r="J786" t="s">
        <v>420</v>
      </c>
      <c r="K786" s="4">
        <v>200</v>
      </c>
      <c r="L786" s="4">
        <v>200</v>
      </c>
      <c r="M786" t="s">
        <v>44</v>
      </c>
      <c r="N786" t="s">
        <v>77</v>
      </c>
      <c r="O786" t="s">
        <v>99</v>
      </c>
      <c r="P786" t="s">
        <v>99</v>
      </c>
      <c r="Q786" t="s">
        <v>223</v>
      </c>
      <c r="R786" t="s">
        <v>224</v>
      </c>
      <c r="S786" t="s">
        <v>197</v>
      </c>
      <c r="T786" t="s">
        <v>198</v>
      </c>
      <c r="U786" t="s">
        <v>163</v>
      </c>
      <c r="V786" t="s">
        <v>186</v>
      </c>
      <c r="W786" t="s">
        <v>116</v>
      </c>
      <c r="X786" t="s">
        <v>44</v>
      </c>
      <c r="Y786" t="s">
        <v>99</v>
      </c>
      <c r="Z786" t="s">
        <v>421</v>
      </c>
      <c r="AC786" t="str">
        <f>IF(AA786="",M786,AA786)</f>
        <v>sim</v>
      </c>
      <c r="AD786" t="str">
        <f>IF(AB786="",X786,AB786)</f>
        <v>sim</v>
      </c>
      <c r="AE786" t="str">
        <f>IF(OR(Configuracao!B9="",Configuracao!B10=""),"aguardando limiar",IF(AND(K786&gt;=Configuracao!B9,K786/MAX(Reconciliacao!C2,1)&gt;=Configuracao!B10/100),"sim","não"))</f>
        <v>aguardando limiar</v>
      </c>
    </row>
    <row r="787" spans="1:31" x14ac:dyDescent="0.25">
      <c r="A787">
        <v>15944</v>
      </c>
      <c r="C787" t="s">
        <v>809</v>
      </c>
      <c r="D787" t="s">
        <v>810</v>
      </c>
      <c r="E787" t="s">
        <v>471</v>
      </c>
      <c r="F787" t="s">
        <v>222</v>
      </c>
      <c r="G787" t="s">
        <v>346</v>
      </c>
      <c r="H787" t="s">
        <v>345</v>
      </c>
      <c r="I787" t="s">
        <v>461</v>
      </c>
      <c r="J787" t="s">
        <v>461</v>
      </c>
      <c r="K787" s="4">
        <v>280</v>
      </c>
      <c r="L787" s="4">
        <v>280</v>
      </c>
      <c r="M787" t="s">
        <v>44</v>
      </c>
      <c r="N787" t="s">
        <v>77</v>
      </c>
      <c r="O787" t="s">
        <v>99</v>
      </c>
      <c r="P787" t="s">
        <v>99</v>
      </c>
      <c r="Q787" t="s">
        <v>223</v>
      </c>
      <c r="R787" t="s">
        <v>224</v>
      </c>
      <c r="S787" t="s">
        <v>197</v>
      </c>
      <c r="T787" t="s">
        <v>198</v>
      </c>
      <c r="U787" t="s">
        <v>163</v>
      </c>
      <c r="V787" t="s">
        <v>186</v>
      </c>
      <c r="W787" t="s">
        <v>116</v>
      </c>
      <c r="X787" t="s">
        <v>44</v>
      </c>
      <c r="Y787" t="s">
        <v>99</v>
      </c>
      <c r="Z787" t="s">
        <v>421</v>
      </c>
      <c r="AC787" t="str">
        <f>IF(AA787="",M787,AA787)</f>
        <v>sim</v>
      </c>
      <c r="AD787" t="str">
        <f>IF(AB787="",X787,AB787)</f>
        <v>sim</v>
      </c>
      <c r="AE787" t="str">
        <f>IF(OR(Configuracao!B9="",Configuracao!B10=""),"aguardando limiar",IF(AND(K787&gt;=Configuracao!B9,K787/MAX(Reconciliacao!C2,1)&gt;=Configuracao!B10/100),"sim","não"))</f>
        <v>aguardando limiar</v>
      </c>
    </row>
    <row r="788" spans="1:31" x14ac:dyDescent="0.25">
      <c r="A788">
        <v>12661</v>
      </c>
      <c r="C788" t="s">
        <v>811</v>
      </c>
      <c r="D788" t="s">
        <v>808</v>
      </c>
      <c r="E788" t="s">
        <v>467</v>
      </c>
      <c r="F788" t="s">
        <v>222</v>
      </c>
      <c r="G788" t="s">
        <v>346</v>
      </c>
      <c r="H788" t="s">
        <v>345</v>
      </c>
      <c r="I788" t="s">
        <v>420</v>
      </c>
      <c r="J788" t="s">
        <v>420</v>
      </c>
      <c r="K788" s="4">
        <v>500</v>
      </c>
      <c r="L788" s="4">
        <v>500</v>
      </c>
      <c r="M788" t="s">
        <v>44</v>
      </c>
      <c r="N788" t="s">
        <v>77</v>
      </c>
      <c r="O788" t="s">
        <v>99</v>
      </c>
      <c r="P788" t="s">
        <v>99</v>
      </c>
      <c r="Q788" t="s">
        <v>223</v>
      </c>
      <c r="R788" t="s">
        <v>224</v>
      </c>
      <c r="S788" t="s">
        <v>197</v>
      </c>
      <c r="T788" t="s">
        <v>198</v>
      </c>
      <c r="U788" t="s">
        <v>163</v>
      </c>
      <c r="V788" t="s">
        <v>186</v>
      </c>
      <c r="W788" t="s">
        <v>116</v>
      </c>
      <c r="X788" t="s">
        <v>44</v>
      </c>
      <c r="Y788" t="s">
        <v>99</v>
      </c>
      <c r="Z788" t="s">
        <v>421</v>
      </c>
      <c r="AC788" t="str">
        <f>IF(AA788="",M788,AA788)</f>
        <v>sim</v>
      </c>
      <c r="AD788" t="str">
        <f>IF(AB788="",X788,AB788)</f>
        <v>sim</v>
      </c>
      <c r="AE788" t="str">
        <f>IF(OR(Configuracao!B9="",Configuracao!B10=""),"aguardando limiar",IF(AND(K788&gt;=Configuracao!B9,K788/MAX(Reconciliacao!C2,1)&gt;=Configuracao!B10/100),"sim","não"))</f>
        <v>aguardando limiar</v>
      </c>
    </row>
    <row r="789" spans="1:31" x14ac:dyDescent="0.25">
      <c r="A789">
        <v>18169</v>
      </c>
      <c r="C789" t="s">
        <v>812</v>
      </c>
      <c r="D789" t="s">
        <v>813</v>
      </c>
      <c r="E789" t="s">
        <v>451</v>
      </c>
      <c r="F789" t="s">
        <v>222</v>
      </c>
      <c r="G789" t="s">
        <v>346</v>
      </c>
      <c r="H789" t="s">
        <v>345</v>
      </c>
      <c r="I789" t="s">
        <v>35</v>
      </c>
      <c r="J789" t="s">
        <v>35</v>
      </c>
      <c r="K789" s="4">
        <v>1666.72</v>
      </c>
      <c r="L789" s="4">
        <v>1666.72</v>
      </c>
      <c r="M789" t="s">
        <v>44</v>
      </c>
      <c r="N789" t="s">
        <v>77</v>
      </c>
      <c r="O789" t="s">
        <v>99</v>
      </c>
      <c r="P789" t="s">
        <v>99</v>
      </c>
      <c r="Q789" t="s">
        <v>223</v>
      </c>
      <c r="R789" t="s">
        <v>224</v>
      </c>
      <c r="S789" t="s">
        <v>197</v>
      </c>
      <c r="T789" t="s">
        <v>198</v>
      </c>
      <c r="U789" t="s">
        <v>163</v>
      </c>
      <c r="V789" t="s">
        <v>186</v>
      </c>
      <c r="W789" t="s">
        <v>116</v>
      </c>
      <c r="X789" t="s">
        <v>166</v>
      </c>
      <c r="Y789" t="s">
        <v>814</v>
      </c>
      <c r="Z789" t="s">
        <v>434</v>
      </c>
      <c r="AC789" t="str">
        <f>IF(AA789="",M789,AA789)</f>
        <v>sim</v>
      </c>
      <c r="AD789" t="str">
        <f>IF(AB789="",X789,AB789)</f>
        <v>não</v>
      </c>
      <c r="AE789" t="str">
        <f>IF(OR(Configuracao!B9="",Configuracao!B10=""),"aguardando limiar",IF(AND(K789&gt;=Configuracao!B9,K789/MAX(Reconciliacao!C2,1)&gt;=Configuracao!B10/100),"sim","não"))</f>
        <v>aguardando limiar</v>
      </c>
    </row>
    <row r="790" spans="1:31" x14ac:dyDescent="0.25">
      <c r="A790">
        <v>17793</v>
      </c>
      <c r="C790" t="s">
        <v>815</v>
      </c>
      <c r="D790" t="s">
        <v>816</v>
      </c>
      <c r="E790" t="s">
        <v>224</v>
      </c>
      <c r="F790" t="s">
        <v>222</v>
      </c>
      <c r="G790" t="s">
        <v>221</v>
      </c>
      <c r="H790" t="s">
        <v>220</v>
      </c>
      <c r="I790" t="s">
        <v>439</v>
      </c>
      <c r="J790" t="s">
        <v>439</v>
      </c>
      <c r="K790" s="4">
        <v>4333.33</v>
      </c>
      <c r="L790" s="4">
        <v>4333.33</v>
      </c>
      <c r="M790" t="s">
        <v>44</v>
      </c>
      <c r="N790" t="s">
        <v>77</v>
      </c>
      <c r="O790" t="s">
        <v>99</v>
      </c>
      <c r="P790" t="s">
        <v>99</v>
      </c>
      <c r="Q790" t="s">
        <v>223</v>
      </c>
      <c r="R790" t="s">
        <v>224</v>
      </c>
      <c r="S790" t="s">
        <v>197</v>
      </c>
      <c r="T790" t="s">
        <v>198</v>
      </c>
      <c r="U790" t="s">
        <v>163</v>
      </c>
      <c r="V790" t="s">
        <v>186</v>
      </c>
      <c r="W790" t="s">
        <v>116</v>
      </c>
      <c r="X790" t="s">
        <v>44</v>
      </c>
      <c r="Y790" t="s">
        <v>99</v>
      </c>
      <c r="Z790" t="s">
        <v>421</v>
      </c>
      <c r="AC790" t="str">
        <f>IF(AA790="",M790,AA790)</f>
        <v>sim</v>
      </c>
      <c r="AD790" t="str">
        <f>IF(AB790="",X790,AB790)</f>
        <v>sim</v>
      </c>
      <c r="AE790" t="str">
        <f>IF(OR(Configuracao!B9="",Configuracao!B10=""),"aguardando limiar",IF(AND(K790&gt;=Configuracao!B9,K790/MAX(Reconciliacao!C2,1)&gt;=Configuracao!B10/100),"sim","não"))</f>
        <v>aguardando limiar</v>
      </c>
    </row>
    <row r="791" spans="1:31" x14ac:dyDescent="0.25">
      <c r="A791">
        <v>17794</v>
      </c>
      <c r="C791" t="s">
        <v>815</v>
      </c>
      <c r="D791" t="s">
        <v>816</v>
      </c>
      <c r="E791" t="s">
        <v>224</v>
      </c>
      <c r="F791" t="s">
        <v>222</v>
      </c>
      <c r="G791" t="s">
        <v>221</v>
      </c>
      <c r="H791" t="s">
        <v>220</v>
      </c>
      <c r="I791" t="s">
        <v>35</v>
      </c>
      <c r="J791" t="s">
        <v>439</v>
      </c>
      <c r="K791" s="4">
        <v>4333.33</v>
      </c>
      <c r="L791" s="4">
        <v>4333.33</v>
      </c>
      <c r="M791" t="s">
        <v>44</v>
      </c>
      <c r="N791" t="s">
        <v>77</v>
      </c>
      <c r="O791" t="s">
        <v>99</v>
      </c>
      <c r="P791" t="s">
        <v>99</v>
      </c>
      <c r="Q791" t="s">
        <v>223</v>
      </c>
      <c r="R791" t="s">
        <v>224</v>
      </c>
      <c r="S791" t="s">
        <v>197</v>
      </c>
      <c r="T791" t="s">
        <v>198</v>
      </c>
      <c r="U791" t="s">
        <v>163</v>
      </c>
      <c r="V791" t="s">
        <v>186</v>
      </c>
      <c r="W791" t="s">
        <v>116</v>
      </c>
      <c r="X791" t="s">
        <v>44</v>
      </c>
      <c r="Y791" t="s">
        <v>99</v>
      </c>
      <c r="Z791" t="s">
        <v>421</v>
      </c>
      <c r="AC791" t="str">
        <f>IF(AA791="",M791,AA791)</f>
        <v>sim</v>
      </c>
      <c r="AD791" t="str">
        <f>IF(AB791="",X791,AB791)</f>
        <v>sim</v>
      </c>
      <c r="AE791" t="str">
        <f>IF(OR(Configuracao!B9="",Configuracao!B10=""),"aguardando limiar",IF(AND(K791&gt;=Configuracao!B9,K791/MAX(Reconciliacao!C2,1)&gt;=Configuracao!B10/100),"sim","não"))</f>
        <v>aguardando limiar</v>
      </c>
    </row>
    <row r="792" spans="1:31" x14ac:dyDescent="0.25">
      <c r="A792">
        <v>16672</v>
      </c>
      <c r="C792" t="s">
        <v>817</v>
      </c>
      <c r="D792" t="s">
        <v>818</v>
      </c>
      <c r="E792" t="s">
        <v>224</v>
      </c>
      <c r="F792" t="s">
        <v>222</v>
      </c>
      <c r="G792" t="s">
        <v>221</v>
      </c>
      <c r="H792" t="s">
        <v>220</v>
      </c>
      <c r="I792" t="s">
        <v>461</v>
      </c>
      <c r="J792" t="s">
        <v>461</v>
      </c>
      <c r="K792" s="4">
        <v>5000</v>
      </c>
      <c r="L792" s="4">
        <v>5000</v>
      </c>
      <c r="M792" t="s">
        <v>44</v>
      </c>
      <c r="N792" t="s">
        <v>77</v>
      </c>
      <c r="O792" t="s">
        <v>99</v>
      </c>
      <c r="P792" t="s">
        <v>99</v>
      </c>
      <c r="Q792" t="s">
        <v>223</v>
      </c>
      <c r="R792" t="s">
        <v>224</v>
      </c>
      <c r="S792" t="s">
        <v>197</v>
      </c>
      <c r="T792" t="s">
        <v>198</v>
      </c>
      <c r="U792" t="s">
        <v>163</v>
      </c>
      <c r="V792" t="s">
        <v>186</v>
      </c>
      <c r="W792" t="s">
        <v>116</v>
      </c>
      <c r="X792" t="s">
        <v>44</v>
      </c>
      <c r="Y792" t="s">
        <v>99</v>
      </c>
      <c r="Z792" t="s">
        <v>421</v>
      </c>
      <c r="AC792" t="str">
        <f>IF(AA792="",M792,AA792)</f>
        <v>sim</v>
      </c>
      <c r="AD792" t="str">
        <f>IF(AB792="",X792,AB792)</f>
        <v>sim</v>
      </c>
      <c r="AE792" t="str">
        <f>IF(OR(Configuracao!B9="",Configuracao!B10=""),"aguardando limiar",IF(AND(K792&gt;=Configuracao!B9,K792/MAX(Reconciliacao!C2,1)&gt;=Configuracao!B10/100),"sim","não"))</f>
        <v>aguardando limiar</v>
      </c>
    </row>
    <row r="793" spans="1:31" x14ac:dyDescent="0.25">
      <c r="A793">
        <v>16673</v>
      </c>
      <c r="C793" t="s">
        <v>817</v>
      </c>
      <c r="D793" t="s">
        <v>818</v>
      </c>
      <c r="E793" t="s">
        <v>224</v>
      </c>
      <c r="F793" t="s">
        <v>222</v>
      </c>
      <c r="G793" t="s">
        <v>221</v>
      </c>
      <c r="H793" t="s">
        <v>220</v>
      </c>
      <c r="I793" t="s">
        <v>442</v>
      </c>
      <c r="J793" t="s">
        <v>442</v>
      </c>
      <c r="K793" s="4">
        <v>5000</v>
      </c>
      <c r="L793" s="4">
        <v>5000</v>
      </c>
      <c r="M793" t="s">
        <v>44</v>
      </c>
      <c r="N793" t="s">
        <v>77</v>
      </c>
      <c r="O793" t="s">
        <v>99</v>
      </c>
      <c r="P793" t="s">
        <v>99</v>
      </c>
      <c r="Q793" t="s">
        <v>223</v>
      </c>
      <c r="R793" t="s">
        <v>224</v>
      </c>
      <c r="S793" t="s">
        <v>197</v>
      </c>
      <c r="T793" t="s">
        <v>198</v>
      </c>
      <c r="U793" t="s">
        <v>163</v>
      </c>
      <c r="V793" t="s">
        <v>186</v>
      </c>
      <c r="W793" t="s">
        <v>116</v>
      </c>
      <c r="X793" t="s">
        <v>44</v>
      </c>
      <c r="Y793" t="s">
        <v>99</v>
      </c>
      <c r="Z793" t="s">
        <v>421</v>
      </c>
      <c r="AC793" t="str">
        <f>IF(AA793="",M793,AA793)</f>
        <v>sim</v>
      </c>
      <c r="AD793" t="str">
        <f>IF(AB793="",X793,AB793)</f>
        <v>sim</v>
      </c>
      <c r="AE793" t="str">
        <f>IF(OR(Configuracao!B9="",Configuracao!B10=""),"aguardando limiar",IF(AND(K793&gt;=Configuracao!B9,K793/MAX(Reconciliacao!C2,1)&gt;=Configuracao!B10/100),"sim","não"))</f>
        <v>aguardando limiar</v>
      </c>
    </row>
    <row r="794" spans="1:31" x14ac:dyDescent="0.25">
      <c r="A794">
        <v>16674</v>
      </c>
      <c r="C794" t="s">
        <v>817</v>
      </c>
      <c r="D794" t="s">
        <v>818</v>
      </c>
      <c r="E794" t="s">
        <v>224</v>
      </c>
      <c r="F794" t="s">
        <v>222</v>
      </c>
      <c r="G794" t="s">
        <v>221</v>
      </c>
      <c r="H794" t="s">
        <v>220</v>
      </c>
      <c r="I794" t="s">
        <v>439</v>
      </c>
      <c r="J794" t="s">
        <v>439</v>
      </c>
      <c r="K794" s="4">
        <v>5000</v>
      </c>
      <c r="L794" s="4">
        <v>5000</v>
      </c>
      <c r="M794" t="s">
        <v>44</v>
      </c>
      <c r="N794" t="s">
        <v>77</v>
      </c>
      <c r="O794" t="s">
        <v>99</v>
      </c>
      <c r="P794" t="s">
        <v>99</v>
      </c>
      <c r="Q794" t="s">
        <v>223</v>
      </c>
      <c r="R794" t="s">
        <v>224</v>
      </c>
      <c r="S794" t="s">
        <v>197</v>
      </c>
      <c r="T794" t="s">
        <v>198</v>
      </c>
      <c r="U794" t="s">
        <v>163</v>
      </c>
      <c r="V794" t="s">
        <v>186</v>
      </c>
      <c r="W794" t="s">
        <v>116</v>
      </c>
      <c r="X794" t="s">
        <v>44</v>
      </c>
      <c r="Y794" t="s">
        <v>99</v>
      </c>
      <c r="Z794" t="s">
        <v>421</v>
      </c>
      <c r="AC794" t="str">
        <f>IF(AA794="",M794,AA794)</f>
        <v>sim</v>
      </c>
      <c r="AD794" t="str">
        <f>IF(AB794="",X794,AB794)</f>
        <v>sim</v>
      </c>
      <c r="AE794" t="str">
        <f>IF(OR(Configuracao!B9="",Configuracao!B10=""),"aguardando limiar",IF(AND(K794&gt;=Configuracao!B9,K794/MAX(Reconciliacao!C2,1)&gt;=Configuracao!B10/100),"sim","não"))</f>
        <v>aguardando limiar</v>
      </c>
    </row>
    <row r="795" spans="1:31" x14ac:dyDescent="0.25">
      <c r="A795">
        <v>16675</v>
      </c>
      <c r="C795" t="s">
        <v>817</v>
      </c>
      <c r="D795" t="s">
        <v>818</v>
      </c>
      <c r="E795" t="s">
        <v>224</v>
      </c>
      <c r="F795" t="s">
        <v>222</v>
      </c>
      <c r="G795" t="s">
        <v>221</v>
      </c>
      <c r="H795" t="s">
        <v>220</v>
      </c>
      <c r="I795" t="s">
        <v>35</v>
      </c>
      <c r="J795" t="s">
        <v>35</v>
      </c>
      <c r="K795" s="4">
        <v>5000</v>
      </c>
      <c r="L795" s="4">
        <v>5000</v>
      </c>
      <c r="M795" t="s">
        <v>44</v>
      </c>
      <c r="N795" t="s">
        <v>77</v>
      </c>
      <c r="O795" t="s">
        <v>99</v>
      </c>
      <c r="P795" t="s">
        <v>99</v>
      </c>
      <c r="Q795" t="s">
        <v>223</v>
      </c>
      <c r="R795" t="s">
        <v>224</v>
      </c>
      <c r="S795" t="s">
        <v>197</v>
      </c>
      <c r="T795" t="s">
        <v>198</v>
      </c>
      <c r="U795" t="s">
        <v>163</v>
      </c>
      <c r="V795" t="s">
        <v>186</v>
      </c>
      <c r="W795" t="s">
        <v>116</v>
      </c>
      <c r="X795" t="s">
        <v>44</v>
      </c>
      <c r="Y795" t="s">
        <v>99</v>
      </c>
      <c r="Z795" t="s">
        <v>421</v>
      </c>
      <c r="AC795" t="str">
        <f>IF(AA795="",M795,AA795)</f>
        <v>sim</v>
      </c>
      <c r="AD795" t="str">
        <f>IF(AB795="",X795,AB795)</f>
        <v>sim</v>
      </c>
      <c r="AE795" t="str">
        <f>IF(OR(Configuracao!B9="",Configuracao!B10=""),"aguardando limiar",IF(AND(K795&gt;=Configuracao!B9,K795/MAX(Reconciliacao!C2,1)&gt;=Configuracao!B10/100),"sim","não"))</f>
        <v>aguardando limiar</v>
      </c>
    </row>
    <row r="796" spans="1:31" x14ac:dyDescent="0.25">
      <c r="A796">
        <v>18202</v>
      </c>
      <c r="C796" t="s">
        <v>819</v>
      </c>
      <c r="D796" t="s">
        <v>810</v>
      </c>
      <c r="E796" t="s">
        <v>224</v>
      </c>
      <c r="F796" t="s">
        <v>222</v>
      </c>
      <c r="G796" t="s">
        <v>221</v>
      </c>
      <c r="H796" t="s">
        <v>220</v>
      </c>
      <c r="I796" t="s">
        <v>439</v>
      </c>
      <c r="J796" t="s">
        <v>439</v>
      </c>
      <c r="K796" s="4">
        <v>10980</v>
      </c>
      <c r="L796" s="4">
        <v>10980</v>
      </c>
      <c r="M796" t="s">
        <v>44</v>
      </c>
      <c r="N796" t="s">
        <v>77</v>
      </c>
      <c r="O796" t="s">
        <v>99</v>
      </c>
      <c r="P796" t="s">
        <v>99</v>
      </c>
      <c r="Q796" t="s">
        <v>223</v>
      </c>
      <c r="R796" t="s">
        <v>224</v>
      </c>
      <c r="S796" t="s">
        <v>197</v>
      </c>
      <c r="T796" t="s">
        <v>198</v>
      </c>
      <c r="U796" t="s">
        <v>163</v>
      </c>
      <c r="V796" t="s">
        <v>186</v>
      </c>
      <c r="W796" t="s">
        <v>116</v>
      </c>
      <c r="X796" t="s">
        <v>44</v>
      </c>
      <c r="Y796" t="s">
        <v>99</v>
      </c>
      <c r="Z796" t="s">
        <v>421</v>
      </c>
      <c r="AC796" t="str">
        <f>IF(AA796="",M796,AA796)</f>
        <v>sim</v>
      </c>
      <c r="AD796" t="str">
        <f>IF(AB796="",X796,AB796)</f>
        <v>sim</v>
      </c>
      <c r="AE796" t="str">
        <f>IF(OR(Configuracao!B9="",Configuracao!B10=""),"aguardando limiar",IF(AND(K796&gt;=Configuracao!B9,K796/MAX(Reconciliacao!C2,1)&gt;=Configuracao!B10/100),"sim","não"))</f>
        <v>aguardando limiar</v>
      </c>
    </row>
    <row r="797" spans="1:31" x14ac:dyDescent="0.25">
      <c r="A797">
        <v>18203</v>
      </c>
      <c r="C797" t="s">
        <v>819</v>
      </c>
      <c r="D797" t="s">
        <v>810</v>
      </c>
      <c r="E797" t="s">
        <v>224</v>
      </c>
      <c r="F797" t="s">
        <v>222</v>
      </c>
      <c r="G797" t="s">
        <v>221</v>
      </c>
      <c r="H797" t="s">
        <v>220</v>
      </c>
      <c r="I797" t="s">
        <v>35</v>
      </c>
      <c r="J797" t="s">
        <v>35</v>
      </c>
      <c r="K797" s="4">
        <v>10980</v>
      </c>
      <c r="L797" s="4">
        <v>10980</v>
      </c>
      <c r="M797" t="s">
        <v>44</v>
      </c>
      <c r="N797" t="s">
        <v>77</v>
      </c>
      <c r="O797" t="s">
        <v>99</v>
      </c>
      <c r="P797" t="s">
        <v>99</v>
      </c>
      <c r="Q797" t="s">
        <v>223</v>
      </c>
      <c r="R797" t="s">
        <v>224</v>
      </c>
      <c r="S797" t="s">
        <v>197</v>
      </c>
      <c r="T797" t="s">
        <v>198</v>
      </c>
      <c r="U797" t="s">
        <v>163</v>
      </c>
      <c r="V797" t="s">
        <v>186</v>
      </c>
      <c r="W797" t="s">
        <v>116</v>
      </c>
      <c r="X797" t="s">
        <v>44</v>
      </c>
      <c r="Y797" t="s">
        <v>99</v>
      </c>
      <c r="Z797" t="s">
        <v>421</v>
      </c>
      <c r="AC797" t="str">
        <f>IF(AA797="",M797,AA797)</f>
        <v>sim</v>
      </c>
      <c r="AD797" t="str">
        <f>IF(AB797="",X797,AB797)</f>
        <v>sim</v>
      </c>
      <c r="AE797" t="str">
        <f>IF(OR(Configuracao!B9="",Configuracao!B10=""),"aguardando limiar",IF(AND(K797&gt;=Configuracao!B9,K797/MAX(Reconciliacao!C2,1)&gt;=Configuracao!B10/100),"sim","não"))</f>
        <v>aguardando limiar</v>
      </c>
    </row>
    <row r="798" spans="1:31" x14ac:dyDescent="0.25">
      <c r="A798">
        <v>13838</v>
      </c>
      <c r="C798" t="s">
        <v>820</v>
      </c>
      <c r="D798" t="s">
        <v>821</v>
      </c>
      <c r="E798" t="s">
        <v>224</v>
      </c>
      <c r="F798" t="s">
        <v>222</v>
      </c>
      <c r="G798" t="s">
        <v>221</v>
      </c>
      <c r="H798" t="s">
        <v>220</v>
      </c>
      <c r="I798" t="s">
        <v>454</v>
      </c>
      <c r="J798" t="s">
        <v>454</v>
      </c>
      <c r="K798" s="4">
        <v>12500</v>
      </c>
      <c r="L798" s="4">
        <v>12500</v>
      </c>
      <c r="M798" t="s">
        <v>44</v>
      </c>
      <c r="N798" t="s">
        <v>77</v>
      </c>
      <c r="O798" t="s">
        <v>99</v>
      </c>
      <c r="P798" t="s">
        <v>99</v>
      </c>
      <c r="Q798" t="s">
        <v>223</v>
      </c>
      <c r="R798" t="s">
        <v>224</v>
      </c>
      <c r="S798" t="s">
        <v>197</v>
      </c>
      <c r="T798" t="s">
        <v>198</v>
      </c>
      <c r="U798" t="s">
        <v>163</v>
      </c>
      <c r="V798" t="s">
        <v>186</v>
      </c>
      <c r="W798" t="s">
        <v>116</v>
      </c>
      <c r="X798" t="s">
        <v>44</v>
      </c>
      <c r="Y798" t="s">
        <v>99</v>
      </c>
      <c r="Z798" t="s">
        <v>421</v>
      </c>
      <c r="AC798" t="str">
        <f>IF(AA798="",M798,AA798)</f>
        <v>sim</v>
      </c>
      <c r="AD798" t="str">
        <f>IF(AB798="",X798,AB798)</f>
        <v>sim</v>
      </c>
      <c r="AE798" t="str">
        <f>IF(OR(Configuracao!B9="",Configuracao!B10=""),"aguardando limiar",IF(AND(K798&gt;=Configuracao!B9,K798/MAX(Reconciliacao!C2,1)&gt;=Configuracao!B10/100),"sim","não"))</f>
        <v>aguardando limiar</v>
      </c>
    </row>
    <row r="799" spans="1:31" x14ac:dyDescent="0.25">
      <c r="A799">
        <v>13839</v>
      </c>
      <c r="C799" t="s">
        <v>820</v>
      </c>
      <c r="D799" t="s">
        <v>821</v>
      </c>
      <c r="E799" t="s">
        <v>224</v>
      </c>
      <c r="F799" t="s">
        <v>222</v>
      </c>
      <c r="G799" t="s">
        <v>221</v>
      </c>
      <c r="H799" t="s">
        <v>220</v>
      </c>
      <c r="I799" t="s">
        <v>461</v>
      </c>
      <c r="J799" t="s">
        <v>461</v>
      </c>
      <c r="K799" s="4">
        <v>12500</v>
      </c>
      <c r="L799" s="4">
        <v>12500</v>
      </c>
      <c r="M799" t="s">
        <v>44</v>
      </c>
      <c r="N799" t="s">
        <v>77</v>
      </c>
      <c r="O799" t="s">
        <v>99</v>
      </c>
      <c r="P799" t="s">
        <v>99</v>
      </c>
      <c r="Q799" t="s">
        <v>223</v>
      </c>
      <c r="R799" t="s">
        <v>224</v>
      </c>
      <c r="S799" t="s">
        <v>197</v>
      </c>
      <c r="T799" t="s">
        <v>198</v>
      </c>
      <c r="U799" t="s">
        <v>163</v>
      </c>
      <c r="V799" t="s">
        <v>186</v>
      </c>
      <c r="W799" t="s">
        <v>116</v>
      </c>
      <c r="X799" t="s">
        <v>44</v>
      </c>
      <c r="Y799" t="s">
        <v>99</v>
      </c>
      <c r="Z799" t="s">
        <v>421</v>
      </c>
      <c r="AC799" t="str">
        <f>IF(AA799="",M799,AA799)</f>
        <v>sim</v>
      </c>
      <c r="AD799" t="str">
        <f>IF(AB799="",X799,AB799)</f>
        <v>sim</v>
      </c>
      <c r="AE799" t="str">
        <f>IF(OR(Configuracao!B9="",Configuracao!B10=""),"aguardando limiar",IF(AND(K799&gt;=Configuracao!B9,K799/MAX(Reconciliacao!C2,1)&gt;=Configuracao!B10/100),"sim","não"))</f>
        <v>aguardando limiar</v>
      </c>
    </row>
    <row r="800" spans="1:31" x14ac:dyDescent="0.25">
      <c r="A800">
        <v>7761</v>
      </c>
      <c r="D800" t="s">
        <v>822</v>
      </c>
      <c r="E800" t="s">
        <v>224</v>
      </c>
      <c r="F800" t="s">
        <v>222</v>
      </c>
      <c r="G800" t="s">
        <v>263</v>
      </c>
      <c r="H800" t="s">
        <v>262</v>
      </c>
      <c r="I800" t="s">
        <v>32</v>
      </c>
      <c r="J800" t="s">
        <v>32</v>
      </c>
      <c r="K800" s="4">
        <v>2500</v>
      </c>
      <c r="L800" s="4">
        <v>2500</v>
      </c>
      <c r="M800" t="s">
        <v>44</v>
      </c>
      <c r="N800" t="s">
        <v>77</v>
      </c>
      <c r="O800" t="s">
        <v>99</v>
      </c>
      <c r="P800" t="s">
        <v>99</v>
      </c>
      <c r="Q800" t="s">
        <v>223</v>
      </c>
      <c r="R800" t="s">
        <v>224</v>
      </c>
      <c r="S800" t="s">
        <v>197</v>
      </c>
      <c r="T800" t="s">
        <v>198</v>
      </c>
      <c r="U800" t="s">
        <v>163</v>
      </c>
      <c r="V800" t="s">
        <v>186</v>
      </c>
      <c r="W800" t="s">
        <v>116</v>
      </c>
      <c r="X800" t="s">
        <v>44</v>
      </c>
      <c r="Y800" t="s">
        <v>99</v>
      </c>
      <c r="Z800" t="s">
        <v>421</v>
      </c>
      <c r="AC800" t="str">
        <f>IF(AA800="",M800,AA800)</f>
        <v>sim</v>
      </c>
      <c r="AD800" t="str">
        <f>IF(AB800="",X800,AB800)</f>
        <v>sim</v>
      </c>
      <c r="AE800" t="str">
        <f>IF(OR(Configuracao!B9="",Configuracao!B10=""),"aguardando limiar",IF(AND(K800&gt;=Configuracao!B9,K800/MAX(Reconciliacao!C2,1)&gt;=Configuracao!B10/100),"sim","não"))</f>
        <v>aguardando limiar</v>
      </c>
    </row>
    <row r="801" spans="1:31" x14ac:dyDescent="0.25">
      <c r="A801">
        <v>7762</v>
      </c>
      <c r="D801" t="s">
        <v>822</v>
      </c>
      <c r="E801" t="s">
        <v>224</v>
      </c>
      <c r="F801" t="s">
        <v>222</v>
      </c>
      <c r="G801" t="s">
        <v>263</v>
      </c>
      <c r="H801" t="s">
        <v>262</v>
      </c>
      <c r="I801" t="s">
        <v>424</v>
      </c>
      <c r="J801" t="s">
        <v>424</v>
      </c>
      <c r="K801" s="4">
        <v>2500</v>
      </c>
      <c r="L801" s="4">
        <v>2500</v>
      </c>
      <c r="M801" t="s">
        <v>44</v>
      </c>
      <c r="N801" t="s">
        <v>77</v>
      </c>
      <c r="O801" t="s">
        <v>99</v>
      </c>
      <c r="P801" t="s">
        <v>99</v>
      </c>
      <c r="Q801" t="s">
        <v>223</v>
      </c>
      <c r="R801" t="s">
        <v>224</v>
      </c>
      <c r="S801" t="s">
        <v>197</v>
      </c>
      <c r="T801" t="s">
        <v>198</v>
      </c>
      <c r="U801" t="s">
        <v>163</v>
      </c>
      <c r="V801" t="s">
        <v>186</v>
      </c>
      <c r="W801" t="s">
        <v>116</v>
      </c>
      <c r="X801" t="s">
        <v>44</v>
      </c>
      <c r="Y801" t="s">
        <v>99</v>
      </c>
      <c r="Z801" t="s">
        <v>421</v>
      </c>
      <c r="AC801" t="str">
        <f>IF(AA801="",M801,AA801)</f>
        <v>sim</v>
      </c>
      <c r="AD801" t="str">
        <f>IF(AB801="",X801,AB801)</f>
        <v>sim</v>
      </c>
      <c r="AE801" t="str">
        <f>IF(OR(Configuracao!B9="",Configuracao!B10=""),"aguardando limiar",IF(AND(K801&gt;=Configuracao!B9,K801/MAX(Reconciliacao!C2,1)&gt;=Configuracao!B10/100),"sim","não"))</f>
        <v>aguardando limiar</v>
      </c>
    </row>
    <row r="802" spans="1:31" x14ac:dyDescent="0.25">
      <c r="A802">
        <v>7763</v>
      </c>
      <c r="D802" t="s">
        <v>822</v>
      </c>
      <c r="E802" t="s">
        <v>224</v>
      </c>
      <c r="F802" t="s">
        <v>222</v>
      </c>
      <c r="G802" t="s">
        <v>263</v>
      </c>
      <c r="H802" t="s">
        <v>262</v>
      </c>
      <c r="I802" t="s">
        <v>420</v>
      </c>
      <c r="J802" t="s">
        <v>420</v>
      </c>
      <c r="K802" s="4">
        <v>2500</v>
      </c>
      <c r="L802" s="4">
        <v>2500</v>
      </c>
      <c r="M802" t="s">
        <v>44</v>
      </c>
      <c r="N802" t="s">
        <v>77</v>
      </c>
      <c r="O802" t="s">
        <v>99</v>
      </c>
      <c r="P802" t="s">
        <v>99</v>
      </c>
      <c r="Q802" t="s">
        <v>223</v>
      </c>
      <c r="R802" t="s">
        <v>224</v>
      </c>
      <c r="S802" t="s">
        <v>197</v>
      </c>
      <c r="T802" t="s">
        <v>198</v>
      </c>
      <c r="U802" t="s">
        <v>163</v>
      </c>
      <c r="V802" t="s">
        <v>186</v>
      </c>
      <c r="W802" t="s">
        <v>116</v>
      </c>
      <c r="X802" t="s">
        <v>44</v>
      </c>
      <c r="Y802" t="s">
        <v>99</v>
      </c>
      <c r="Z802" t="s">
        <v>421</v>
      </c>
      <c r="AC802" t="str">
        <f>IF(AA802="",M802,AA802)</f>
        <v>sim</v>
      </c>
      <c r="AD802" t="str">
        <f>IF(AB802="",X802,AB802)</f>
        <v>sim</v>
      </c>
      <c r="AE802" t="str">
        <f>IF(OR(Configuracao!B9="",Configuracao!B10=""),"aguardando limiar",IF(AND(K802&gt;=Configuracao!B9,K802/MAX(Reconciliacao!C2,1)&gt;=Configuracao!B10/100),"sim","não"))</f>
        <v>aguardando limiar</v>
      </c>
    </row>
    <row r="803" spans="1:31" x14ac:dyDescent="0.25">
      <c r="A803">
        <v>7764</v>
      </c>
      <c r="D803" t="s">
        <v>822</v>
      </c>
      <c r="E803" t="s">
        <v>224</v>
      </c>
      <c r="F803" t="s">
        <v>222</v>
      </c>
      <c r="G803" t="s">
        <v>263</v>
      </c>
      <c r="H803" t="s">
        <v>262</v>
      </c>
      <c r="I803" t="s">
        <v>454</v>
      </c>
      <c r="J803" t="s">
        <v>454</v>
      </c>
      <c r="K803" s="4">
        <v>2500</v>
      </c>
      <c r="L803" s="4">
        <v>2500</v>
      </c>
      <c r="M803" t="s">
        <v>44</v>
      </c>
      <c r="N803" t="s">
        <v>77</v>
      </c>
      <c r="O803" t="s">
        <v>99</v>
      </c>
      <c r="P803" t="s">
        <v>99</v>
      </c>
      <c r="Q803" t="s">
        <v>223</v>
      </c>
      <c r="R803" t="s">
        <v>224</v>
      </c>
      <c r="S803" t="s">
        <v>197</v>
      </c>
      <c r="T803" t="s">
        <v>198</v>
      </c>
      <c r="U803" t="s">
        <v>163</v>
      </c>
      <c r="V803" t="s">
        <v>186</v>
      </c>
      <c r="W803" t="s">
        <v>116</v>
      </c>
      <c r="X803" t="s">
        <v>44</v>
      </c>
      <c r="Y803" t="s">
        <v>99</v>
      </c>
      <c r="Z803" t="s">
        <v>421</v>
      </c>
      <c r="AC803" t="str">
        <f>IF(AA803="",M803,AA803)</f>
        <v>sim</v>
      </c>
      <c r="AD803" t="str">
        <f>IF(AB803="",X803,AB803)</f>
        <v>sim</v>
      </c>
      <c r="AE803" t="str">
        <f>IF(OR(Configuracao!B9="",Configuracao!B10=""),"aguardando limiar",IF(AND(K803&gt;=Configuracao!B9,K803/MAX(Reconciliacao!C2,1)&gt;=Configuracao!B10/100),"sim","não"))</f>
        <v>aguardando limiar</v>
      </c>
    </row>
    <row r="804" spans="1:31" x14ac:dyDescent="0.25">
      <c r="A804">
        <v>7765</v>
      </c>
      <c r="D804" t="s">
        <v>822</v>
      </c>
      <c r="E804" t="s">
        <v>224</v>
      </c>
      <c r="F804" t="s">
        <v>222</v>
      </c>
      <c r="G804" t="s">
        <v>263</v>
      </c>
      <c r="H804" t="s">
        <v>262</v>
      </c>
      <c r="I804" t="s">
        <v>461</v>
      </c>
      <c r="J804" t="s">
        <v>461</v>
      </c>
      <c r="K804" s="4">
        <v>2500</v>
      </c>
      <c r="L804" s="4">
        <v>2500</v>
      </c>
      <c r="M804" t="s">
        <v>44</v>
      </c>
      <c r="N804" t="s">
        <v>77</v>
      </c>
      <c r="O804" t="s">
        <v>99</v>
      </c>
      <c r="P804" t="s">
        <v>99</v>
      </c>
      <c r="Q804" t="s">
        <v>223</v>
      </c>
      <c r="R804" t="s">
        <v>224</v>
      </c>
      <c r="S804" t="s">
        <v>197</v>
      </c>
      <c r="T804" t="s">
        <v>198</v>
      </c>
      <c r="U804" t="s">
        <v>163</v>
      </c>
      <c r="V804" t="s">
        <v>186</v>
      </c>
      <c r="W804" t="s">
        <v>116</v>
      </c>
      <c r="X804" t="s">
        <v>44</v>
      </c>
      <c r="Y804" t="s">
        <v>99</v>
      </c>
      <c r="Z804" t="s">
        <v>421</v>
      </c>
      <c r="AC804" t="str">
        <f>IF(AA804="",M804,AA804)</f>
        <v>sim</v>
      </c>
      <c r="AD804" t="str">
        <f>IF(AB804="",X804,AB804)</f>
        <v>sim</v>
      </c>
      <c r="AE804" t="str">
        <f>IF(OR(Configuracao!B9="",Configuracao!B10=""),"aguardando limiar",IF(AND(K804&gt;=Configuracao!B9,K804/MAX(Reconciliacao!C2,1)&gt;=Configuracao!B10/100),"sim","não"))</f>
        <v>aguardando limiar</v>
      </c>
    </row>
    <row r="805" spans="1:31" x14ac:dyDescent="0.25">
      <c r="A805">
        <v>7766</v>
      </c>
      <c r="D805" t="s">
        <v>822</v>
      </c>
      <c r="E805" t="s">
        <v>224</v>
      </c>
      <c r="F805" t="s">
        <v>222</v>
      </c>
      <c r="G805" t="s">
        <v>263</v>
      </c>
      <c r="H805" t="s">
        <v>262</v>
      </c>
      <c r="I805" t="s">
        <v>442</v>
      </c>
      <c r="J805" t="s">
        <v>442</v>
      </c>
      <c r="K805" s="4">
        <v>2500</v>
      </c>
      <c r="L805" s="4">
        <v>2500</v>
      </c>
      <c r="M805" t="s">
        <v>44</v>
      </c>
      <c r="N805" t="s">
        <v>77</v>
      </c>
      <c r="O805" t="s">
        <v>99</v>
      </c>
      <c r="P805" t="s">
        <v>99</v>
      </c>
      <c r="Q805" t="s">
        <v>223</v>
      </c>
      <c r="R805" t="s">
        <v>224</v>
      </c>
      <c r="S805" t="s">
        <v>197</v>
      </c>
      <c r="T805" t="s">
        <v>198</v>
      </c>
      <c r="U805" t="s">
        <v>163</v>
      </c>
      <c r="V805" t="s">
        <v>186</v>
      </c>
      <c r="W805" t="s">
        <v>116</v>
      </c>
      <c r="X805" t="s">
        <v>44</v>
      </c>
      <c r="Y805" t="s">
        <v>99</v>
      </c>
      <c r="Z805" t="s">
        <v>421</v>
      </c>
      <c r="AC805" t="str">
        <f>IF(AA805="",M805,AA805)</f>
        <v>sim</v>
      </c>
      <c r="AD805" t="str">
        <f>IF(AB805="",X805,AB805)</f>
        <v>sim</v>
      </c>
      <c r="AE805" t="str">
        <f>IF(OR(Configuracao!B9="",Configuracao!B10=""),"aguardando limiar",IF(AND(K805&gt;=Configuracao!B9,K805/MAX(Reconciliacao!C2,1)&gt;=Configuracao!B10/100),"sim","não"))</f>
        <v>aguardando limiar</v>
      </c>
    </row>
    <row r="806" spans="1:31" x14ac:dyDescent="0.25">
      <c r="A806">
        <v>7767</v>
      </c>
      <c r="D806" t="s">
        <v>822</v>
      </c>
      <c r="E806" t="s">
        <v>224</v>
      </c>
      <c r="F806" t="s">
        <v>222</v>
      </c>
      <c r="G806" t="s">
        <v>263</v>
      </c>
      <c r="H806" t="s">
        <v>262</v>
      </c>
      <c r="I806" t="s">
        <v>439</v>
      </c>
      <c r="J806" t="s">
        <v>439</v>
      </c>
      <c r="K806" s="4">
        <v>2500</v>
      </c>
      <c r="L806" s="4">
        <v>2500</v>
      </c>
      <c r="M806" t="s">
        <v>44</v>
      </c>
      <c r="N806" t="s">
        <v>77</v>
      </c>
      <c r="O806" t="s">
        <v>99</v>
      </c>
      <c r="P806" t="s">
        <v>99</v>
      </c>
      <c r="Q806" t="s">
        <v>223</v>
      </c>
      <c r="R806" t="s">
        <v>224</v>
      </c>
      <c r="S806" t="s">
        <v>197</v>
      </c>
      <c r="T806" t="s">
        <v>198</v>
      </c>
      <c r="U806" t="s">
        <v>163</v>
      </c>
      <c r="V806" t="s">
        <v>186</v>
      </c>
      <c r="W806" t="s">
        <v>116</v>
      </c>
      <c r="X806" t="s">
        <v>44</v>
      </c>
      <c r="Y806" t="s">
        <v>99</v>
      </c>
      <c r="Z806" t="s">
        <v>421</v>
      </c>
      <c r="AC806" t="str">
        <f>IF(AA806="",M806,AA806)</f>
        <v>sim</v>
      </c>
      <c r="AD806" t="str">
        <f>IF(AB806="",X806,AB806)</f>
        <v>sim</v>
      </c>
      <c r="AE806" t="str">
        <f>IF(OR(Configuracao!B9="",Configuracao!B10=""),"aguardando limiar",IF(AND(K806&gt;=Configuracao!B9,K806/MAX(Reconciliacao!C2,1)&gt;=Configuracao!B10/100),"sim","não"))</f>
        <v>aguardando limiar</v>
      </c>
    </row>
    <row r="807" spans="1:31" x14ac:dyDescent="0.25">
      <c r="A807">
        <v>7768</v>
      </c>
      <c r="D807" t="s">
        <v>822</v>
      </c>
      <c r="E807" t="s">
        <v>224</v>
      </c>
      <c r="F807" t="s">
        <v>222</v>
      </c>
      <c r="G807" t="s">
        <v>263</v>
      </c>
      <c r="H807" t="s">
        <v>262</v>
      </c>
      <c r="I807" t="s">
        <v>35</v>
      </c>
      <c r="J807" t="s">
        <v>35</v>
      </c>
      <c r="K807" s="4">
        <v>2500</v>
      </c>
      <c r="L807" s="4">
        <v>2500</v>
      </c>
      <c r="M807" t="s">
        <v>44</v>
      </c>
      <c r="N807" t="s">
        <v>77</v>
      </c>
      <c r="O807" t="s">
        <v>99</v>
      </c>
      <c r="P807" t="s">
        <v>99</v>
      </c>
      <c r="Q807" t="s">
        <v>223</v>
      </c>
      <c r="R807" t="s">
        <v>224</v>
      </c>
      <c r="S807" t="s">
        <v>197</v>
      </c>
      <c r="T807" t="s">
        <v>198</v>
      </c>
      <c r="U807" t="s">
        <v>163</v>
      </c>
      <c r="V807" t="s">
        <v>186</v>
      </c>
      <c r="W807" t="s">
        <v>116</v>
      </c>
      <c r="X807" t="s">
        <v>44</v>
      </c>
      <c r="Y807" t="s">
        <v>99</v>
      </c>
      <c r="Z807" t="s">
        <v>421</v>
      </c>
      <c r="AC807" t="str">
        <f>IF(AA807="",M807,AA807)</f>
        <v>sim</v>
      </c>
      <c r="AD807" t="str">
        <f>IF(AB807="",X807,AB807)</f>
        <v>sim</v>
      </c>
      <c r="AE807" t="str">
        <f>IF(OR(Configuracao!B9="",Configuracao!B10=""),"aguardando limiar",IF(AND(K807&gt;=Configuracao!B9,K807/MAX(Reconciliacao!C2,1)&gt;=Configuracao!B10/100),"sim","não"))</f>
        <v>aguardando limiar</v>
      </c>
    </row>
    <row r="808" spans="1:31" x14ac:dyDescent="0.25">
      <c r="A808">
        <v>13083</v>
      </c>
      <c r="C808" t="s">
        <v>823</v>
      </c>
      <c r="D808" t="s">
        <v>824</v>
      </c>
      <c r="E808" t="s">
        <v>451</v>
      </c>
      <c r="F808" t="s">
        <v>248</v>
      </c>
      <c r="G808" t="s">
        <v>387</v>
      </c>
      <c r="H808" t="s">
        <v>386</v>
      </c>
      <c r="I808" t="s">
        <v>424</v>
      </c>
      <c r="J808" t="s">
        <v>424</v>
      </c>
      <c r="K808" s="4">
        <v>9.25</v>
      </c>
      <c r="L808" s="4">
        <v>9.25</v>
      </c>
      <c r="M808" t="s">
        <v>44</v>
      </c>
      <c r="N808" t="s">
        <v>77</v>
      </c>
      <c r="O808" t="s">
        <v>99</v>
      </c>
      <c r="P808" t="s">
        <v>99</v>
      </c>
      <c r="Q808" t="s">
        <v>279</v>
      </c>
      <c r="R808" t="s">
        <v>388</v>
      </c>
      <c r="S808" t="s">
        <v>185</v>
      </c>
      <c r="T808" t="s">
        <v>198</v>
      </c>
      <c r="U808" t="s">
        <v>163</v>
      </c>
      <c r="V808" t="s">
        <v>164</v>
      </c>
      <c r="W808" t="s">
        <v>116</v>
      </c>
      <c r="X808" t="s">
        <v>44</v>
      </c>
      <c r="Y808" t="s">
        <v>99</v>
      </c>
      <c r="Z808" t="s">
        <v>421</v>
      </c>
      <c r="AC808" t="str">
        <f>IF(AA808="",M808,AA808)</f>
        <v>sim</v>
      </c>
      <c r="AD808" t="str">
        <f>IF(AB808="",X808,AB808)</f>
        <v>sim</v>
      </c>
      <c r="AE808" t="str">
        <f>IF(OR(Configuracao!B9="",Configuracao!B10=""),"aguardando limiar",IF(AND(K808&gt;=Configuracao!B9,K808/MAX(Reconciliacao!C2,1)&gt;=Configuracao!B10/100),"sim","não"))</f>
        <v>aguardando limiar</v>
      </c>
    </row>
    <row r="809" spans="1:31" x14ac:dyDescent="0.25">
      <c r="A809">
        <v>10592</v>
      </c>
      <c r="C809" t="s">
        <v>825</v>
      </c>
      <c r="D809" t="s">
        <v>824</v>
      </c>
      <c r="E809" t="s">
        <v>451</v>
      </c>
      <c r="F809" t="s">
        <v>248</v>
      </c>
      <c r="G809" t="s">
        <v>387</v>
      </c>
      <c r="H809" t="s">
        <v>386</v>
      </c>
      <c r="I809" t="s">
        <v>32</v>
      </c>
      <c r="J809" t="s">
        <v>32</v>
      </c>
      <c r="K809" s="4">
        <v>10.5</v>
      </c>
      <c r="L809" s="4">
        <v>10.5</v>
      </c>
      <c r="M809" t="s">
        <v>44</v>
      </c>
      <c r="N809" t="s">
        <v>77</v>
      </c>
      <c r="O809" t="s">
        <v>99</v>
      </c>
      <c r="P809" t="s">
        <v>99</v>
      </c>
      <c r="Q809" t="s">
        <v>279</v>
      </c>
      <c r="R809" t="s">
        <v>388</v>
      </c>
      <c r="S809" t="s">
        <v>185</v>
      </c>
      <c r="T809" t="s">
        <v>198</v>
      </c>
      <c r="U809" t="s">
        <v>163</v>
      </c>
      <c r="V809" t="s">
        <v>164</v>
      </c>
      <c r="W809" t="s">
        <v>116</v>
      </c>
      <c r="X809" t="s">
        <v>44</v>
      </c>
      <c r="Y809" t="s">
        <v>99</v>
      </c>
      <c r="Z809" t="s">
        <v>421</v>
      </c>
      <c r="AC809" t="str">
        <f>IF(AA809="",M809,AA809)</f>
        <v>sim</v>
      </c>
      <c r="AD809" t="str">
        <f>IF(AB809="",X809,AB809)</f>
        <v>sim</v>
      </c>
      <c r="AE809" t="str">
        <f>IF(OR(Configuracao!B9="",Configuracao!B10=""),"aguardando limiar",IF(AND(K809&gt;=Configuracao!B9,K809/MAX(Reconciliacao!C2,1)&gt;=Configuracao!B10/100),"sim","não"))</f>
        <v>aguardando limiar</v>
      </c>
    </row>
    <row r="810" spans="1:31" x14ac:dyDescent="0.25">
      <c r="A810">
        <v>10593</v>
      </c>
      <c r="C810" t="s">
        <v>825</v>
      </c>
      <c r="D810" t="s">
        <v>824</v>
      </c>
      <c r="E810" t="s">
        <v>451</v>
      </c>
      <c r="F810" t="s">
        <v>248</v>
      </c>
      <c r="G810" t="s">
        <v>387</v>
      </c>
      <c r="H810" t="s">
        <v>386</v>
      </c>
      <c r="I810" t="s">
        <v>424</v>
      </c>
      <c r="J810" t="s">
        <v>424</v>
      </c>
      <c r="K810" s="4">
        <v>10.5</v>
      </c>
      <c r="L810" s="4">
        <v>10.5</v>
      </c>
      <c r="M810" t="s">
        <v>44</v>
      </c>
      <c r="N810" t="s">
        <v>77</v>
      </c>
      <c r="O810" t="s">
        <v>99</v>
      </c>
      <c r="P810" t="s">
        <v>99</v>
      </c>
      <c r="Q810" t="s">
        <v>279</v>
      </c>
      <c r="R810" t="s">
        <v>388</v>
      </c>
      <c r="S810" t="s">
        <v>185</v>
      </c>
      <c r="T810" t="s">
        <v>198</v>
      </c>
      <c r="U810" t="s">
        <v>163</v>
      </c>
      <c r="V810" t="s">
        <v>164</v>
      </c>
      <c r="W810" t="s">
        <v>116</v>
      </c>
      <c r="X810" t="s">
        <v>44</v>
      </c>
      <c r="Y810" t="s">
        <v>99</v>
      </c>
      <c r="Z810" t="s">
        <v>421</v>
      </c>
      <c r="AC810" t="str">
        <f>IF(AA810="",M810,AA810)</f>
        <v>sim</v>
      </c>
      <c r="AD810" t="str">
        <f>IF(AB810="",X810,AB810)</f>
        <v>sim</v>
      </c>
      <c r="AE810" t="str">
        <f>IF(OR(Configuracao!B9="",Configuracao!B10=""),"aguardando limiar",IF(AND(K810&gt;=Configuracao!B9,K810/MAX(Reconciliacao!C2,1)&gt;=Configuracao!B10/100),"sim","não"))</f>
        <v>aguardando limiar</v>
      </c>
    </row>
    <row r="811" spans="1:31" x14ac:dyDescent="0.25">
      <c r="A811">
        <v>10594</v>
      </c>
      <c r="C811" t="s">
        <v>825</v>
      </c>
      <c r="D811" t="s">
        <v>824</v>
      </c>
      <c r="E811" t="s">
        <v>451</v>
      </c>
      <c r="F811" t="s">
        <v>248</v>
      </c>
      <c r="G811" t="s">
        <v>387</v>
      </c>
      <c r="H811" t="s">
        <v>386</v>
      </c>
      <c r="I811" t="s">
        <v>420</v>
      </c>
      <c r="J811" t="s">
        <v>420</v>
      </c>
      <c r="K811" s="4">
        <v>10.5</v>
      </c>
      <c r="L811" s="4">
        <v>10.5</v>
      </c>
      <c r="M811" t="s">
        <v>44</v>
      </c>
      <c r="N811" t="s">
        <v>77</v>
      </c>
      <c r="O811" t="s">
        <v>99</v>
      </c>
      <c r="P811" t="s">
        <v>99</v>
      </c>
      <c r="Q811" t="s">
        <v>279</v>
      </c>
      <c r="R811" t="s">
        <v>388</v>
      </c>
      <c r="S811" t="s">
        <v>185</v>
      </c>
      <c r="T811" t="s">
        <v>198</v>
      </c>
      <c r="U811" t="s">
        <v>163</v>
      </c>
      <c r="V811" t="s">
        <v>164</v>
      </c>
      <c r="W811" t="s">
        <v>116</v>
      </c>
      <c r="X811" t="s">
        <v>44</v>
      </c>
      <c r="Y811" t="s">
        <v>99</v>
      </c>
      <c r="Z811" t="s">
        <v>421</v>
      </c>
      <c r="AC811" t="str">
        <f>IF(AA811="",M811,AA811)</f>
        <v>sim</v>
      </c>
      <c r="AD811" t="str">
        <f>IF(AB811="",X811,AB811)</f>
        <v>sim</v>
      </c>
      <c r="AE811" t="str">
        <f>IF(OR(Configuracao!B9="",Configuracao!B10=""),"aguardando limiar",IF(AND(K811&gt;=Configuracao!B9,K811/MAX(Reconciliacao!C2,1)&gt;=Configuracao!B10/100),"sim","não"))</f>
        <v>aguardando limiar</v>
      </c>
    </row>
    <row r="812" spans="1:31" x14ac:dyDescent="0.25">
      <c r="A812">
        <v>10595</v>
      </c>
      <c r="C812" t="s">
        <v>825</v>
      </c>
      <c r="D812" t="s">
        <v>824</v>
      </c>
      <c r="E812" t="s">
        <v>451</v>
      </c>
      <c r="F812" t="s">
        <v>248</v>
      </c>
      <c r="G812" t="s">
        <v>387</v>
      </c>
      <c r="H812" t="s">
        <v>386</v>
      </c>
      <c r="I812" t="s">
        <v>454</v>
      </c>
      <c r="J812" t="s">
        <v>454</v>
      </c>
      <c r="K812" s="4">
        <v>10.5</v>
      </c>
      <c r="L812" s="4">
        <v>10.5</v>
      </c>
      <c r="M812" t="s">
        <v>44</v>
      </c>
      <c r="N812" t="s">
        <v>77</v>
      </c>
      <c r="O812" t="s">
        <v>99</v>
      </c>
      <c r="P812" t="s">
        <v>99</v>
      </c>
      <c r="Q812" t="s">
        <v>279</v>
      </c>
      <c r="R812" t="s">
        <v>388</v>
      </c>
      <c r="S812" t="s">
        <v>185</v>
      </c>
      <c r="T812" t="s">
        <v>198</v>
      </c>
      <c r="U812" t="s">
        <v>163</v>
      </c>
      <c r="V812" t="s">
        <v>164</v>
      </c>
      <c r="W812" t="s">
        <v>116</v>
      </c>
      <c r="X812" t="s">
        <v>44</v>
      </c>
      <c r="Y812" t="s">
        <v>99</v>
      </c>
      <c r="Z812" t="s">
        <v>421</v>
      </c>
      <c r="AC812" t="str">
        <f>IF(AA812="",M812,AA812)</f>
        <v>sim</v>
      </c>
      <c r="AD812" t="str">
        <f>IF(AB812="",X812,AB812)</f>
        <v>sim</v>
      </c>
      <c r="AE812" t="str">
        <f>IF(OR(Configuracao!B9="",Configuracao!B10=""),"aguardando limiar",IF(AND(K812&gt;=Configuracao!B9,K812/MAX(Reconciliacao!C2,1)&gt;=Configuracao!B10/100),"sim","não"))</f>
        <v>aguardando limiar</v>
      </c>
    </row>
    <row r="813" spans="1:31" x14ac:dyDescent="0.25">
      <c r="A813">
        <v>10596</v>
      </c>
      <c r="C813" t="s">
        <v>825</v>
      </c>
      <c r="D813" t="s">
        <v>824</v>
      </c>
      <c r="E813" t="s">
        <v>451</v>
      </c>
      <c r="F813" t="s">
        <v>248</v>
      </c>
      <c r="G813" t="s">
        <v>387</v>
      </c>
      <c r="H813" t="s">
        <v>386</v>
      </c>
      <c r="I813" t="s">
        <v>461</v>
      </c>
      <c r="J813" t="s">
        <v>461</v>
      </c>
      <c r="K813" s="4">
        <v>10.5</v>
      </c>
      <c r="L813" s="4">
        <v>10.5</v>
      </c>
      <c r="M813" t="s">
        <v>44</v>
      </c>
      <c r="N813" t="s">
        <v>77</v>
      </c>
      <c r="O813" t="s">
        <v>99</v>
      </c>
      <c r="P813" t="s">
        <v>99</v>
      </c>
      <c r="Q813" t="s">
        <v>279</v>
      </c>
      <c r="R813" t="s">
        <v>388</v>
      </c>
      <c r="S813" t="s">
        <v>185</v>
      </c>
      <c r="T813" t="s">
        <v>198</v>
      </c>
      <c r="U813" t="s">
        <v>163</v>
      </c>
      <c r="V813" t="s">
        <v>164</v>
      </c>
      <c r="W813" t="s">
        <v>116</v>
      </c>
      <c r="X813" t="s">
        <v>44</v>
      </c>
      <c r="Y813" t="s">
        <v>99</v>
      </c>
      <c r="Z813" t="s">
        <v>421</v>
      </c>
      <c r="AC813" t="str">
        <f>IF(AA813="",M813,AA813)</f>
        <v>sim</v>
      </c>
      <c r="AD813" t="str">
        <f>IF(AB813="",X813,AB813)</f>
        <v>sim</v>
      </c>
      <c r="AE813" t="str">
        <f>IF(OR(Configuracao!B9="",Configuracao!B10=""),"aguardando limiar",IF(AND(K813&gt;=Configuracao!B9,K813/MAX(Reconciliacao!C2,1)&gt;=Configuracao!B10/100),"sim","não"))</f>
        <v>aguardando limiar</v>
      </c>
    </row>
    <row r="814" spans="1:31" x14ac:dyDescent="0.25">
      <c r="A814">
        <v>10597</v>
      </c>
      <c r="C814" t="s">
        <v>825</v>
      </c>
      <c r="D814" t="s">
        <v>824</v>
      </c>
      <c r="E814" t="s">
        <v>451</v>
      </c>
      <c r="F814" t="s">
        <v>248</v>
      </c>
      <c r="G814" t="s">
        <v>387</v>
      </c>
      <c r="H814" t="s">
        <v>386</v>
      </c>
      <c r="I814" t="s">
        <v>442</v>
      </c>
      <c r="J814" t="s">
        <v>442</v>
      </c>
      <c r="K814" s="4">
        <v>10.5</v>
      </c>
      <c r="L814" s="4">
        <v>10.5</v>
      </c>
      <c r="M814" t="s">
        <v>44</v>
      </c>
      <c r="N814" t="s">
        <v>77</v>
      </c>
      <c r="O814" t="s">
        <v>99</v>
      </c>
      <c r="P814" t="s">
        <v>99</v>
      </c>
      <c r="Q814" t="s">
        <v>279</v>
      </c>
      <c r="R814" t="s">
        <v>388</v>
      </c>
      <c r="S814" t="s">
        <v>185</v>
      </c>
      <c r="T814" t="s">
        <v>198</v>
      </c>
      <c r="U814" t="s">
        <v>163</v>
      </c>
      <c r="V814" t="s">
        <v>164</v>
      </c>
      <c r="W814" t="s">
        <v>116</v>
      </c>
      <c r="X814" t="s">
        <v>44</v>
      </c>
      <c r="Y814" t="s">
        <v>99</v>
      </c>
      <c r="Z814" t="s">
        <v>421</v>
      </c>
      <c r="AC814" t="str">
        <f>IF(AA814="",M814,AA814)</f>
        <v>sim</v>
      </c>
      <c r="AD814" t="str">
        <f>IF(AB814="",X814,AB814)</f>
        <v>sim</v>
      </c>
      <c r="AE814" t="str">
        <f>IF(OR(Configuracao!B9="",Configuracao!B10=""),"aguardando limiar",IF(AND(K814&gt;=Configuracao!B9,K814/MAX(Reconciliacao!C2,1)&gt;=Configuracao!B10/100),"sim","não"))</f>
        <v>aguardando limiar</v>
      </c>
    </row>
    <row r="815" spans="1:31" x14ac:dyDescent="0.25">
      <c r="A815">
        <v>10598</v>
      </c>
      <c r="C815" t="s">
        <v>825</v>
      </c>
      <c r="D815" t="s">
        <v>824</v>
      </c>
      <c r="E815" t="s">
        <v>451</v>
      </c>
      <c r="F815" t="s">
        <v>248</v>
      </c>
      <c r="G815" t="s">
        <v>387</v>
      </c>
      <c r="H815" t="s">
        <v>386</v>
      </c>
      <c r="I815" t="s">
        <v>439</v>
      </c>
      <c r="J815" t="s">
        <v>439</v>
      </c>
      <c r="K815" s="4">
        <v>10.5</v>
      </c>
      <c r="L815" s="4">
        <v>10.5</v>
      </c>
      <c r="M815" t="s">
        <v>44</v>
      </c>
      <c r="N815" t="s">
        <v>77</v>
      </c>
      <c r="O815" t="s">
        <v>99</v>
      </c>
      <c r="P815" t="s">
        <v>99</v>
      </c>
      <c r="Q815" t="s">
        <v>279</v>
      </c>
      <c r="R815" t="s">
        <v>388</v>
      </c>
      <c r="S815" t="s">
        <v>185</v>
      </c>
      <c r="T815" t="s">
        <v>198</v>
      </c>
      <c r="U815" t="s">
        <v>163</v>
      </c>
      <c r="V815" t="s">
        <v>164</v>
      </c>
      <c r="W815" t="s">
        <v>116</v>
      </c>
      <c r="X815" t="s">
        <v>44</v>
      </c>
      <c r="Y815" t="s">
        <v>99</v>
      </c>
      <c r="Z815" t="s">
        <v>421</v>
      </c>
      <c r="AC815" t="str">
        <f>IF(AA815="",M815,AA815)</f>
        <v>sim</v>
      </c>
      <c r="AD815" t="str">
        <f>IF(AB815="",X815,AB815)</f>
        <v>sim</v>
      </c>
      <c r="AE815" t="str">
        <f>IF(OR(Configuracao!B9="",Configuracao!B10=""),"aguardando limiar",IF(AND(K815&gt;=Configuracao!B9,K815/MAX(Reconciliacao!C2,1)&gt;=Configuracao!B10/100),"sim","não"))</f>
        <v>aguardando limiar</v>
      </c>
    </row>
    <row r="816" spans="1:31" x14ac:dyDescent="0.25">
      <c r="A816">
        <v>10599</v>
      </c>
      <c r="C816" t="s">
        <v>825</v>
      </c>
      <c r="D816" t="s">
        <v>824</v>
      </c>
      <c r="E816" t="s">
        <v>451</v>
      </c>
      <c r="F816" t="s">
        <v>248</v>
      </c>
      <c r="G816" t="s">
        <v>387</v>
      </c>
      <c r="H816" t="s">
        <v>386</v>
      </c>
      <c r="I816" t="s">
        <v>35</v>
      </c>
      <c r="J816" t="s">
        <v>35</v>
      </c>
      <c r="K816" s="4">
        <v>10.5</v>
      </c>
      <c r="L816" s="4">
        <v>10.5</v>
      </c>
      <c r="M816" t="s">
        <v>44</v>
      </c>
      <c r="N816" t="s">
        <v>77</v>
      </c>
      <c r="O816" t="s">
        <v>99</v>
      </c>
      <c r="P816" t="s">
        <v>99</v>
      </c>
      <c r="Q816" t="s">
        <v>279</v>
      </c>
      <c r="R816" t="s">
        <v>388</v>
      </c>
      <c r="S816" t="s">
        <v>185</v>
      </c>
      <c r="T816" t="s">
        <v>198</v>
      </c>
      <c r="U816" t="s">
        <v>163</v>
      </c>
      <c r="V816" t="s">
        <v>164</v>
      </c>
      <c r="W816" t="s">
        <v>116</v>
      </c>
      <c r="X816" t="s">
        <v>44</v>
      </c>
      <c r="Y816" t="s">
        <v>99</v>
      </c>
      <c r="Z816" t="s">
        <v>421</v>
      </c>
      <c r="AC816" t="str">
        <f>IF(AA816="",M816,AA816)</f>
        <v>sim</v>
      </c>
      <c r="AD816" t="str">
        <f>IF(AB816="",X816,AB816)</f>
        <v>sim</v>
      </c>
      <c r="AE816" t="str">
        <f>IF(OR(Configuracao!B9="",Configuracao!B10=""),"aguardando limiar",IF(AND(K816&gt;=Configuracao!B9,K816/MAX(Reconciliacao!C2,1)&gt;=Configuracao!B10/100),"sim","não"))</f>
        <v>aguardando limiar</v>
      </c>
    </row>
    <row r="817" spans="1:31" x14ac:dyDescent="0.25">
      <c r="A817">
        <v>11454</v>
      </c>
      <c r="C817" t="s">
        <v>823</v>
      </c>
      <c r="D817" t="s">
        <v>824</v>
      </c>
      <c r="E817" t="s">
        <v>451</v>
      </c>
      <c r="F817" t="s">
        <v>248</v>
      </c>
      <c r="G817" t="s">
        <v>387</v>
      </c>
      <c r="H817" t="s">
        <v>386</v>
      </c>
      <c r="I817" t="s">
        <v>32</v>
      </c>
      <c r="J817" t="s">
        <v>32</v>
      </c>
      <c r="K817" s="4">
        <v>18.5</v>
      </c>
      <c r="L817" s="4">
        <v>18.5</v>
      </c>
      <c r="M817" t="s">
        <v>44</v>
      </c>
      <c r="N817" t="s">
        <v>77</v>
      </c>
      <c r="O817" t="s">
        <v>99</v>
      </c>
      <c r="P817" t="s">
        <v>99</v>
      </c>
      <c r="Q817" t="s">
        <v>279</v>
      </c>
      <c r="R817" t="s">
        <v>388</v>
      </c>
      <c r="S817" t="s">
        <v>185</v>
      </c>
      <c r="T817" t="s">
        <v>198</v>
      </c>
      <c r="U817" t="s">
        <v>163</v>
      </c>
      <c r="V817" t="s">
        <v>164</v>
      </c>
      <c r="W817" t="s">
        <v>116</v>
      </c>
      <c r="X817" t="s">
        <v>44</v>
      </c>
      <c r="Y817" t="s">
        <v>99</v>
      </c>
      <c r="Z817" t="s">
        <v>421</v>
      </c>
      <c r="AC817" t="str">
        <f>IF(AA817="",M817,AA817)</f>
        <v>sim</v>
      </c>
      <c r="AD817" t="str">
        <f>IF(AB817="",X817,AB817)</f>
        <v>sim</v>
      </c>
      <c r="AE817" t="str">
        <f>IF(OR(Configuracao!B9="",Configuracao!B10=""),"aguardando limiar",IF(AND(K817&gt;=Configuracao!B9,K817/MAX(Reconciliacao!C2,1)&gt;=Configuracao!B10/100),"sim","não"))</f>
        <v>aguardando limiar</v>
      </c>
    </row>
    <row r="818" spans="1:31" x14ac:dyDescent="0.25">
      <c r="A818">
        <v>11649</v>
      </c>
      <c r="C818" t="s">
        <v>823</v>
      </c>
      <c r="D818" t="s">
        <v>826</v>
      </c>
      <c r="E818" t="s">
        <v>451</v>
      </c>
      <c r="F818" t="s">
        <v>248</v>
      </c>
      <c r="G818" t="s">
        <v>387</v>
      </c>
      <c r="H818" t="s">
        <v>386</v>
      </c>
      <c r="I818" t="s">
        <v>32</v>
      </c>
      <c r="J818" t="s">
        <v>32</v>
      </c>
      <c r="K818" s="4">
        <v>46</v>
      </c>
      <c r="L818" s="4">
        <v>46</v>
      </c>
      <c r="M818" t="s">
        <v>44</v>
      </c>
      <c r="N818" t="s">
        <v>77</v>
      </c>
      <c r="O818" t="s">
        <v>99</v>
      </c>
      <c r="P818" t="s">
        <v>99</v>
      </c>
      <c r="Q818" t="s">
        <v>279</v>
      </c>
      <c r="R818" t="s">
        <v>388</v>
      </c>
      <c r="S818" t="s">
        <v>185</v>
      </c>
      <c r="T818" t="s">
        <v>198</v>
      </c>
      <c r="U818" t="s">
        <v>163</v>
      </c>
      <c r="V818" t="s">
        <v>164</v>
      </c>
      <c r="W818" t="s">
        <v>116</v>
      </c>
      <c r="X818" t="s">
        <v>44</v>
      </c>
      <c r="Y818" t="s">
        <v>99</v>
      </c>
      <c r="Z818" t="s">
        <v>421</v>
      </c>
      <c r="AC818" t="str">
        <f>IF(AA818="",M818,AA818)</f>
        <v>sim</v>
      </c>
      <c r="AD818" t="str">
        <f>IF(AB818="",X818,AB818)</f>
        <v>sim</v>
      </c>
      <c r="AE818" t="str">
        <f>IF(OR(Configuracao!B9="",Configuracao!B10=""),"aguardando limiar",IF(AND(K818&gt;=Configuracao!B9,K818/MAX(Reconciliacao!C2,1)&gt;=Configuracao!B10/100),"sim","não"))</f>
        <v>aguardando limiar</v>
      </c>
    </row>
    <row r="819" spans="1:31" x14ac:dyDescent="0.25">
      <c r="A819">
        <v>11650</v>
      </c>
      <c r="C819" t="s">
        <v>823</v>
      </c>
      <c r="D819" t="s">
        <v>826</v>
      </c>
      <c r="E819" t="s">
        <v>451</v>
      </c>
      <c r="F819" t="s">
        <v>248</v>
      </c>
      <c r="G819" t="s">
        <v>387</v>
      </c>
      <c r="H819" t="s">
        <v>386</v>
      </c>
      <c r="I819" t="s">
        <v>424</v>
      </c>
      <c r="J819" t="s">
        <v>424</v>
      </c>
      <c r="K819" s="4">
        <v>46</v>
      </c>
      <c r="L819" s="4">
        <v>46</v>
      </c>
      <c r="M819" t="s">
        <v>44</v>
      </c>
      <c r="N819" t="s">
        <v>77</v>
      </c>
      <c r="O819" t="s">
        <v>99</v>
      </c>
      <c r="P819" t="s">
        <v>99</v>
      </c>
      <c r="Q819" t="s">
        <v>279</v>
      </c>
      <c r="R819" t="s">
        <v>388</v>
      </c>
      <c r="S819" t="s">
        <v>185</v>
      </c>
      <c r="T819" t="s">
        <v>198</v>
      </c>
      <c r="U819" t="s">
        <v>163</v>
      </c>
      <c r="V819" t="s">
        <v>164</v>
      </c>
      <c r="W819" t="s">
        <v>116</v>
      </c>
      <c r="X819" t="s">
        <v>44</v>
      </c>
      <c r="Y819" t="s">
        <v>99</v>
      </c>
      <c r="Z819" t="s">
        <v>421</v>
      </c>
      <c r="AC819" t="str">
        <f>IF(AA819="",M819,AA819)</f>
        <v>sim</v>
      </c>
      <c r="AD819" t="str">
        <f>IF(AB819="",X819,AB819)</f>
        <v>sim</v>
      </c>
      <c r="AE819" t="str">
        <f>IF(OR(Configuracao!B9="",Configuracao!B10=""),"aguardando limiar",IF(AND(K819&gt;=Configuracao!B9,K819/MAX(Reconciliacao!C2,1)&gt;=Configuracao!B10/100),"sim","não"))</f>
        <v>aguardando limiar</v>
      </c>
    </row>
    <row r="820" spans="1:31" x14ac:dyDescent="0.25">
      <c r="A820">
        <v>11651</v>
      </c>
      <c r="C820" t="s">
        <v>823</v>
      </c>
      <c r="D820" t="s">
        <v>826</v>
      </c>
      <c r="E820" t="s">
        <v>451</v>
      </c>
      <c r="F820" t="s">
        <v>248</v>
      </c>
      <c r="G820" t="s">
        <v>387</v>
      </c>
      <c r="H820" t="s">
        <v>386</v>
      </c>
      <c r="I820" t="s">
        <v>420</v>
      </c>
      <c r="J820" t="s">
        <v>420</v>
      </c>
      <c r="K820" s="4">
        <v>46</v>
      </c>
      <c r="L820" s="4">
        <v>46</v>
      </c>
      <c r="M820" t="s">
        <v>44</v>
      </c>
      <c r="N820" t="s">
        <v>77</v>
      </c>
      <c r="O820" t="s">
        <v>99</v>
      </c>
      <c r="P820" t="s">
        <v>99</v>
      </c>
      <c r="Q820" t="s">
        <v>279</v>
      </c>
      <c r="R820" t="s">
        <v>388</v>
      </c>
      <c r="S820" t="s">
        <v>185</v>
      </c>
      <c r="T820" t="s">
        <v>198</v>
      </c>
      <c r="U820" t="s">
        <v>163</v>
      </c>
      <c r="V820" t="s">
        <v>164</v>
      </c>
      <c r="W820" t="s">
        <v>116</v>
      </c>
      <c r="X820" t="s">
        <v>44</v>
      </c>
      <c r="Y820" t="s">
        <v>99</v>
      </c>
      <c r="Z820" t="s">
        <v>421</v>
      </c>
      <c r="AC820" t="str">
        <f>IF(AA820="",M820,AA820)</f>
        <v>sim</v>
      </c>
      <c r="AD820" t="str">
        <f>IF(AB820="",X820,AB820)</f>
        <v>sim</v>
      </c>
      <c r="AE820" t="str">
        <f>IF(OR(Configuracao!B9="",Configuracao!B10=""),"aguardando limiar",IF(AND(K820&gt;=Configuracao!B9,K820/MAX(Reconciliacao!C2,1)&gt;=Configuracao!B10/100),"sim","não"))</f>
        <v>aguardando limiar</v>
      </c>
    </row>
    <row r="821" spans="1:31" x14ac:dyDescent="0.25">
      <c r="A821">
        <v>11652</v>
      </c>
      <c r="C821" t="s">
        <v>823</v>
      </c>
      <c r="D821" t="s">
        <v>826</v>
      </c>
      <c r="E821" t="s">
        <v>451</v>
      </c>
      <c r="F821" t="s">
        <v>248</v>
      </c>
      <c r="G821" t="s">
        <v>387</v>
      </c>
      <c r="H821" t="s">
        <v>386</v>
      </c>
      <c r="I821" t="s">
        <v>454</v>
      </c>
      <c r="J821" t="s">
        <v>454</v>
      </c>
      <c r="K821" s="4">
        <v>46</v>
      </c>
      <c r="L821" s="4">
        <v>46</v>
      </c>
      <c r="M821" t="s">
        <v>44</v>
      </c>
      <c r="N821" t="s">
        <v>77</v>
      </c>
      <c r="O821" t="s">
        <v>99</v>
      </c>
      <c r="P821" t="s">
        <v>99</v>
      </c>
      <c r="Q821" t="s">
        <v>279</v>
      </c>
      <c r="R821" t="s">
        <v>388</v>
      </c>
      <c r="S821" t="s">
        <v>185</v>
      </c>
      <c r="T821" t="s">
        <v>198</v>
      </c>
      <c r="U821" t="s">
        <v>163</v>
      </c>
      <c r="V821" t="s">
        <v>164</v>
      </c>
      <c r="W821" t="s">
        <v>116</v>
      </c>
      <c r="X821" t="s">
        <v>44</v>
      </c>
      <c r="Y821" t="s">
        <v>99</v>
      </c>
      <c r="Z821" t="s">
        <v>421</v>
      </c>
      <c r="AC821" t="str">
        <f>IF(AA821="",M821,AA821)</f>
        <v>sim</v>
      </c>
      <c r="AD821" t="str">
        <f>IF(AB821="",X821,AB821)</f>
        <v>sim</v>
      </c>
      <c r="AE821" t="str">
        <f>IF(OR(Configuracao!B9="",Configuracao!B10=""),"aguardando limiar",IF(AND(K821&gt;=Configuracao!B9,K821/MAX(Reconciliacao!C2,1)&gt;=Configuracao!B10/100),"sim","não"))</f>
        <v>aguardando limiar</v>
      </c>
    </row>
    <row r="822" spans="1:31" x14ac:dyDescent="0.25">
      <c r="A822">
        <v>11653</v>
      </c>
      <c r="C822" t="s">
        <v>823</v>
      </c>
      <c r="D822" t="s">
        <v>826</v>
      </c>
      <c r="E822" t="s">
        <v>451</v>
      </c>
      <c r="F822" t="s">
        <v>248</v>
      </c>
      <c r="G822" t="s">
        <v>387</v>
      </c>
      <c r="H822" t="s">
        <v>386</v>
      </c>
      <c r="I822" t="s">
        <v>461</v>
      </c>
      <c r="J822" t="s">
        <v>461</v>
      </c>
      <c r="K822" s="4">
        <v>46</v>
      </c>
      <c r="L822" s="4">
        <v>46</v>
      </c>
      <c r="M822" t="s">
        <v>44</v>
      </c>
      <c r="N822" t="s">
        <v>77</v>
      </c>
      <c r="O822" t="s">
        <v>99</v>
      </c>
      <c r="P822" t="s">
        <v>99</v>
      </c>
      <c r="Q822" t="s">
        <v>279</v>
      </c>
      <c r="R822" t="s">
        <v>388</v>
      </c>
      <c r="S822" t="s">
        <v>185</v>
      </c>
      <c r="T822" t="s">
        <v>198</v>
      </c>
      <c r="U822" t="s">
        <v>163</v>
      </c>
      <c r="V822" t="s">
        <v>164</v>
      </c>
      <c r="W822" t="s">
        <v>116</v>
      </c>
      <c r="X822" t="s">
        <v>44</v>
      </c>
      <c r="Y822" t="s">
        <v>99</v>
      </c>
      <c r="Z822" t="s">
        <v>421</v>
      </c>
      <c r="AC822" t="str">
        <f>IF(AA822="",M822,AA822)</f>
        <v>sim</v>
      </c>
      <c r="AD822" t="str">
        <f>IF(AB822="",X822,AB822)</f>
        <v>sim</v>
      </c>
      <c r="AE822" t="str">
        <f>IF(OR(Configuracao!B9="",Configuracao!B10=""),"aguardando limiar",IF(AND(K822&gt;=Configuracao!B9,K822/MAX(Reconciliacao!C2,1)&gt;=Configuracao!B10/100),"sim","não"))</f>
        <v>aguardando limiar</v>
      </c>
    </row>
    <row r="823" spans="1:31" x14ac:dyDescent="0.25">
      <c r="A823">
        <v>11654</v>
      </c>
      <c r="C823" t="s">
        <v>823</v>
      </c>
      <c r="D823" t="s">
        <v>826</v>
      </c>
      <c r="E823" t="s">
        <v>451</v>
      </c>
      <c r="F823" t="s">
        <v>248</v>
      </c>
      <c r="G823" t="s">
        <v>387</v>
      </c>
      <c r="H823" t="s">
        <v>386</v>
      </c>
      <c r="I823" t="s">
        <v>442</v>
      </c>
      <c r="J823" t="s">
        <v>442</v>
      </c>
      <c r="K823" s="4">
        <v>46</v>
      </c>
      <c r="L823" s="4">
        <v>46</v>
      </c>
      <c r="M823" t="s">
        <v>44</v>
      </c>
      <c r="N823" t="s">
        <v>77</v>
      </c>
      <c r="O823" t="s">
        <v>99</v>
      </c>
      <c r="P823" t="s">
        <v>99</v>
      </c>
      <c r="Q823" t="s">
        <v>279</v>
      </c>
      <c r="R823" t="s">
        <v>388</v>
      </c>
      <c r="S823" t="s">
        <v>185</v>
      </c>
      <c r="T823" t="s">
        <v>198</v>
      </c>
      <c r="U823" t="s">
        <v>163</v>
      </c>
      <c r="V823" t="s">
        <v>164</v>
      </c>
      <c r="W823" t="s">
        <v>116</v>
      </c>
      <c r="X823" t="s">
        <v>44</v>
      </c>
      <c r="Y823" t="s">
        <v>99</v>
      </c>
      <c r="Z823" t="s">
        <v>421</v>
      </c>
      <c r="AC823" t="str">
        <f>IF(AA823="",M823,AA823)</f>
        <v>sim</v>
      </c>
      <c r="AD823" t="str">
        <f>IF(AB823="",X823,AB823)</f>
        <v>sim</v>
      </c>
      <c r="AE823" t="str">
        <f>IF(OR(Configuracao!B9="",Configuracao!B10=""),"aguardando limiar",IF(AND(K823&gt;=Configuracao!B9,K823/MAX(Reconciliacao!C2,1)&gt;=Configuracao!B10/100),"sim","não"))</f>
        <v>aguardando limiar</v>
      </c>
    </row>
    <row r="824" spans="1:31" x14ac:dyDescent="0.25">
      <c r="A824">
        <v>11655</v>
      </c>
      <c r="C824" t="s">
        <v>823</v>
      </c>
      <c r="D824" t="s">
        <v>826</v>
      </c>
      <c r="E824" t="s">
        <v>451</v>
      </c>
      <c r="F824" t="s">
        <v>248</v>
      </c>
      <c r="G824" t="s">
        <v>387</v>
      </c>
      <c r="H824" t="s">
        <v>386</v>
      </c>
      <c r="I824" t="s">
        <v>439</v>
      </c>
      <c r="J824" t="s">
        <v>439</v>
      </c>
      <c r="K824" s="4">
        <v>46</v>
      </c>
      <c r="L824" s="4">
        <v>46</v>
      </c>
      <c r="M824" t="s">
        <v>44</v>
      </c>
      <c r="N824" t="s">
        <v>77</v>
      </c>
      <c r="O824" t="s">
        <v>99</v>
      </c>
      <c r="P824" t="s">
        <v>99</v>
      </c>
      <c r="Q824" t="s">
        <v>279</v>
      </c>
      <c r="R824" t="s">
        <v>388</v>
      </c>
      <c r="S824" t="s">
        <v>185</v>
      </c>
      <c r="T824" t="s">
        <v>198</v>
      </c>
      <c r="U824" t="s">
        <v>163</v>
      </c>
      <c r="V824" t="s">
        <v>164</v>
      </c>
      <c r="W824" t="s">
        <v>116</v>
      </c>
      <c r="X824" t="s">
        <v>44</v>
      </c>
      <c r="Y824" t="s">
        <v>99</v>
      </c>
      <c r="Z824" t="s">
        <v>421</v>
      </c>
      <c r="AC824" t="str">
        <f>IF(AA824="",M824,AA824)</f>
        <v>sim</v>
      </c>
      <c r="AD824" t="str">
        <f>IF(AB824="",X824,AB824)</f>
        <v>sim</v>
      </c>
      <c r="AE824" t="str">
        <f>IF(OR(Configuracao!B9="",Configuracao!B10=""),"aguardando limiar",IF(AND(K824&gt;=Configuracao!B9,K824/MAX(Reconciliacao!C2,1)&gt;=Configuracao!B10/100),"sim","não"))</f>
        <v>aguardando limiar</v>
      </c>
    </row>
    <row r="825" spans="1:31" x14ac:dyDescent="0.25">
      <c r="A825">
        <v>11656</v>
      </c>
      <c r="C825" t="s">
        <v>823</v>
      </c>
      <c r="D825" t="s">
        <v>826</v>
      </c>
      <c r="E825" t="s">
        <v>451</v>
      </c>
      <c r="F825" t="s">
        <v>248</v>
      </c>
      <c r="G825" t="s">
        <v>387</v>
      </c>
      <c r="H825" t="s">
        <v>386</v>
      </c>
      <c r="I825" t="s">
        <v>35</v>
      </c>
      <c r="J825" t="s">
        <v>35</v>
      </c>
      <c r="K825" s="4">
        <v>46</v>
      </c>
      <c r="L825" s="4">
        <v>46</v>
      </c>
      <c r="M825" t="s">
        <v>44</v>
      </c>
      <c r="N825" t="s">
        <v>77</v>
      </c>
      <c r="O825" t="s">
        <v>99</v>
      </c>
      <c r="P825" t="s">
        <v>99</v>
      </c>
      <c r="Q825" t="s">
        <v>279</v>
      </c>
      <c r="R825" t="s">
        <v>388</v>
      </c>
      <c r="S825" t="s">
        <v>185</v>
      </c>
      <c r="T825" t="s">
        <v>198</v>
      </c>
      <c r="U825" t="s">
        <v>163</v>
      </c>
      <c r="V825" t="s">
        <v>164</v>
      </c>
      <c r="W825" t="s">
        <v>116</v>
      </c>
      <c r="X825" t="s">
        <v>44</v>
      </c>
      <c r="Y825" t="s">
        <v>99</v>
      </c>
      <c r="Z825" t="s">
        <v>421</v>
      </c>
      <c r="AC825" t="str">
        <f>IF(AA825="",M825,AA825)</f>
        <v>sim</v>
      </c>
      <c r="AD825" t="str">
        <f>IF(AB825="",X825,AB825)</f>
        <v>sim</v>
      </c>
      <c r="AE825" t="str">
        <f>IF(OR(Configuracao!B9="",Configuracao!B10=""),"aguardando limiar",IF(AND(K825&gt;=Configuracao!B9,K825/MAX(Reconciliacao!C2,1)&gt;=Configuracao!B10/100),"sim","não"))</f>
        <v>aguardando limiar</v>
      </c>
    </row>
    <row r="826" spans="1:31" x14ac:dyDescent="0.25">
      <c r="A826">
        <v>16029</v>
      </c>
      <c r="C826" t="s">
        <v>827</v>
      </c>
      <c r="D826" t="s">
        <v>828</v>
      </c>
      <c r="E826" t="s">
        <v>445</v>
      </c>
      <c r="F826" t="s">
        <v>248</v>
      </c>
      <c r="G826" t="s">
        <v>299</v>
      </c>
      <c r="H826" t="s">
        <v>298</v>
      </c>
      <c r="I826" t="s">
        <v>420</v>
      </c>
      <c r="J826" t="s">
        <v>420</v>
      </c>
      <c r="K826" s="4">
        <v>8.01</v>
      </c>
      <c r="L826" s="4">
        <v>8.01</v>
      </c>
      <c r="M826" t="s">
        <v>44</v>
      </c>
      <c r="N826" t="s">
        <v>77</v>
      </c>
      <c r="O826" t="s">
        <v>99</v>
      </c>
      <c r="P826" t="s">
        <v>99</v>
      </c>
      <c r="Q826" t="s">
        <v>279</v>
      </c>
      <c r="R826" t="s">
        <v>300</v>
      </c>
      <c r="S826" t="s">
        <v>185</v>
      </c>
      <c r="T826" t="s">
        <v>198</v>
      </c>
      <c r="U826" t="s">
        <v>163</v>
      </c>
      <c r="V826" t="s">
        <v>164</v>
      </c>
      <c r="W826" t="s">
        <v>116</v>
      </c>
      <c r="X826" t="s">
        <v>44</v>
      </c>
      <c r="Y826" t="s">
        <v>99</v>
      </c>
      <c r="Z826" t="s">
        <v>421</v>
      </c>
      <c r="AC826" t="str">
        <f>IF(AA826="",M826,AA826)</f>
        <v>sim</v>
      </c>
      <c r="AD826" t="str">
        <f>IF(AB826="",X826,AB826)</f>
        <v>sim</v>
      </c>
      <c r="AE826" t="str">
        <f>IF(OR(Configuracao!B9="",Configuracao!B10=""),"aguardando limiar",IF(AND(K826&gt;=Configuracao!B9,K826/MAX(Reconciliacao!C2,1)&gt;=Configuracao!B10/100),"sim","não"))</f>
        <v>aguardando limiar</v>
      </c>
    </row>
    <row r="827" spans="1:31" x14ac:dyDescent="0.25">
      <c r="A827">
        <v>17683</v>
      </c>
      <c r="C827" t="s">
        <v>829</v>
      </c>
      <c r="D827" t="s">
        <v>830</v>
      </c>
      <c r="E827" t="s">
        <v>451</v>
      </c>
      <c r="F827" t="s">
        <v>248</v>
      </c>
      <c r="G827" t="s">
        <v>299</v>
      </c>
      <c r="H827" t="s">
        <v>298</v>
      </c>
      <c r="I827" t="s">
        <v>442</v>
      </c>
      <c r="J827" t="s">
        <v>442</v>
      </c>
      <c r="K827" s="4">
        <v>12.5</v>
      </c>
      <c r="L827" s="4">
        <v>12.5</v>
      </c>
      <c r="M827" t="s">
        <v>44</v>
      </c>
      <c r="N827" t="s">
        <v>77</v>
      </c>
      <c r="O827" t="s">
        <v>99</v>
      </c>
      <c r="P827" t="s">
        <v>99</v>
      </c>
      <c r="Q827" t="s">
        <v>279</v>
      </c>
      <c r="R827" t="s">
        <v>300</v>
      </c>
      <c r="S827" t="s">
        <v>185</v>
      </c>
      <c r="T827" t="s">
        <v>198</v>
      </c>
      <c r="U827" t="s">
        <v>163</v>
      </c>
      <c r="V827" t="s">
        <v>164</v>
      </c>
      <c r="W827" t="s">
        <v>116</v>
      </c>
      <c r="X827" t="s">
        <v>44</v>
      </c>
      <c r="Y827" t="s">
        <v>99</v>
      </c>
      <c r="Z827" t="s">
        <v>421</v>
      </c>
      <c r="AC827" t="str">
        <f>IF(AA827="",M827,AA827)</f>
        <v>sim</v>
      </c>
      <c r="AD827" t="str">
        <f>IF(AB827="",X827,AB827)</f>
        <v>sim</v>
      </c>
      <c r="AE827" t="str">
        <f>IF(OR(Configuracao!B9="",Configuracao!B10=""),"aguardando limiar",IF(AND(K827&gt;=Configuracao!B9,K827/MAX(Reconciliacao!C2,1)&gt;=Configuracao!B10/100),"sim","não"))</f>
        <v>aguardando limiar</v>
      </c>
    </row>
    <row r="828" spans="1:31" x14ac:dyDescent="0.25">
      <c r="A828">
        <v>13076</v>
      </c>
      <c r="C828" t="s">
        <v>827</v>
      </c>
      <c r="D828" t="s">
        <v>828</v>
      </c>
      <c r="E828" t="s">
        <v>445</v>
      </c>
      <c r="F828" t="s">
        <v>248</v>
      </c>
      <c r="G828" t="s">
        <v>299</v>
      </c>
      <c r="H828" t="s">
        <v>298</v>
      </c>
      <c r="I828" t="s">
        <v>424</v>
      </c>
      <c r="J828" t="s">
        <v>424</v>
      </c>
      <c r="K828" s="4">
        <v>17.32</v>
      </c>
      <c r="L828" s="4">
        <v>17.32</v>
      </c>
      <c r="M828" t="s">
        <v>44</v>
      </c>
      <c r="N828" t="s">
        <v>77</v>
      </c>
      <c r="O828" t="s">
        <v>99</v>
      </c>
      <c r="P828" t="s">
        <v>99</v>
      </c>
      <c r="Q828" t="s">
        <v>279</v>
      </c>
      <c r="R828" t="s">
        <v>300</v>
      </c>
      <c r="S828" t="s">
        <v>185</v>
      </c>
      <c r="T828" t="s">
        <v>198</v>
      </c>
      <c r="U828" t="s">
        <v>163</v>
      </c>
      <c r="V828" t="s">
        <v>164</v>
      </c>
      <c r="W828" t="s">
        <v>116</v>
      </c>
      <c r="X828" t="s">
        <v>44</v>
      </c>
      <c r="Y828" t="s">
        <v>99</v>
      </c>
      <c r="Z828" t="s">
        <v>421</v>
      </c>
      <c r="AC828" t="str">
        <f>IF(AA828="",M828,AA828)</f>
        <v>sim</v>
      </c>
      <c r="AD828" t="str">
        <f>IF(AB828="",X828,AB828)</f>
        <v>sim</v>
      </c>
      <c r="AE828" t="str">
        <f>IF(OR(Configuracao!B9="",Configuracao!B10=""),"aguardando limiar",IF(AND(K828&gt;=Configuracao!B9,K828/MAX(Reconciliacao!C2,1)&gt;=Configuracao!B10/100),"sim","não"))</f>
        <v>aguardando limiar</v>
      </c>
    </row>
    <row r="829" spans="1:31" x14ac:dyDescent="0.25">
      <c r="A829">
        <v>13077</v>
      </c>
      <c r="C829" t="s">
        <v>827</v>
      </c>
      <c r="D829" t="s">
        <v>828</v>
      </c>
      <c r="E829" t="s">
        <v>445</v>
      </c>
      <c r="F829" t="s">
        <v>248</v>
      </c>
      <c r="G829" t="s">
        <v>299</v>
      </c>
      <c r="H829" t="s">
        <v>298</v>
      </c>
      <c r="I829" t="s">
        <v>424</v>
      </c>
      <c r="J829" t="s">
        <v>424</v>
      </c>
      <c r="K829" s="4">
        <v>20.49</v>
      </c>
      <c r="L829" s="4">
        <v>20.49</v>
      </c>
      <c r="M829" t="s">
        <v>44</v>
      </c>
      <c r="N829" t="s">
        <v>77</v>
      </c>
      <c r="O829" t="s">
        <v>99</v>
      </c>
      <c r="P829" t="s">
        <v>99</v>
      </c>
      <c r="Q829" t="s">
        <v>279</v>
      </c>
      <c r="R829" t="s">
        <v>300</v>
      </c>
      <c r="S829" t="s">
        <v>185</v>
      </c>
      <c r="T829" t="s">
        <v>198</v>
      </c>
      <c r="U829" t="s">
        <v>163</v>
      </c>
      <c r="V829" t="s">
        <v>164</v>
      </c>
      <c r="W829" t="s">
        <v>116</v>
      </c>
      <c r="X829" t="s">
        <v>44</v>
      </c>
      <c r="Y829" t="s">
        <v>99</v>
      </c>
      <c r="Z829" t="s">
        <v>421</v>
      </c>
      <c r="AC829" t="str">
        <f>IF(AA829="",M829,AA829)</f>
        <v>sim</v>
      </c>
      <c r="AD829" t="str">
        <f>IF(AB829="",X829,AB829)</f>
        <v>sim</v>
      </c>
      <c r="AE829" t="str">
        <f>IF(OR(Configuracao!B9="",Configuracao!B10=""),"aguardando limiar",IF(AND(K829&gt;=Configuracao!B9,K829/MAX(Reconciliacao!C2,1)&gt;=Configuracao!B10/100),"sim","não"))</f>
        <v>aguardando limiar</v>
      </c>
    </row>
    <row r="830" spans="1:31" x14ac:dyDescent="0.25">
      <c r="A830">
        <v>13078</v>
      </c>
      <c r="C830" t="s">
        <v>827</v>
      </c>
      <c r="D830" t="s">
        <v>828</v>
      </c>
      <c r="E830" t="s">
        <v>445</v>
      </c>
      <c r="F830" t="s">
        <v>248</v>
      </c>
      <c r="G830" t="s">
        <v>299</v>
      </c>
      <c r="H830" t="s">
        <v>298</v>
      </c>
      <c r="I830" t="s">
        <v>424</v>
      </c>
      <c r="J830" t="s">
        <v>424</v>
      </c>
      <c r="K830" s="4">
        <v>20.49</v>
      </c>
      <c r="L830" s="4">
        <v>20.49</v>
      </c>
      <c r="M830" t="s">
        <v>44</v>
      </c>
      <c r="N830" t="s">
        <v>77</v>
      </c>
      <c r="O830" t="s">
        <v>99</v>
      </c>
      <c r="P830" t="s">
        <v>99</v>
      </c>
      <c r="Q830" t="s">
        <v>279</v>
      </c>
      <c r="R830" t="s">
        <v>300</v>
      </c>
      <c r="S830" t="s">
        <v>185</v>
      </c>
      <c r="T830" t="s">
        <v>198</v>
      </c>
      <c r="U830" t="s">
        <v>163</v>
      </c>
      <c r="V830" t="s">
        <v>164</v>
      </c>
      <c r="W830" t="s">
        <v>116</v>
      </c>
      <c r="X830" t="s">
        <v>44</v>
      </c>
      <c r="Y830" t="s">
        <v>99</v>
      </c>
      <c r="Z830" t="s">
        <v>421</v>
      </c>
      <c r="AC830" t="str">
        <f>IF(AA830="",M830,AA830)</f>
        <v>sim</v>
      </c>
      <c r="AD830" t="str">
        <f>IF(AB830="",X830,AB830)</f>
        <v>sim</v>
      </c>
      <c r="AE830" t="str">
        <f>IF(OR(Configuracao!B9="",Configuracao!B10=""),"aguardando limiar",IF(AND(K830&gt;=Configuracao!B9,K830/MAX(Reconciliacao!C2,1)&gt;=Configuracao!B10/100),"sim","não"))</f>
        <v>aguardando limiar</v>
      </c>
    </row>
    <row r="831" spans="1:31" x14ac:dyDescent="0.25">
      <c r="A831">
        <v>13079</v>
      </c>
      <c r="C831" t="s">
        <v>827</v>
      </c>
      <c r="D831" t="s">
        <v>828</v>
      </c>
      <c r="E831" t="s">
        <v>445</v>
      </c>
      <c r="F831" t="s">
        <v>248</v>
      </c>
      <c r="G831" t="s">
        <v>299</v>
      </c>
      <c r="H831" t="s">
        <v>298</v>
      </c>
      <c r="I831" t="s">
        <v>424</v>
      </c>
      <c r="J831" t="s">
        <v>424</v>
      </c>
      <c r="K831" s="4">
        <v>21.63</v>
      </c>
      <c r="L831" s="4">
        <v>21.63</v>
      </c>
      <c r="M831" t="s">
        <v>44</v>
      </c>
      <c r="N831" t="s">
        <v>77</v>
      </c>
      <c r="O831" t="s">
        <v>99</v>
      </c>
      <c r="P831" t="s">
        <v>99</v>
      </c>
      <c r="Q831" t="s">
        <v>279</v>
      </c>
      <c r="R831" t="s">
        <v>300</v>
      </c>
      <c r="S831" t="s">
        <v>185</v>
      </c>
      <c r="T831" t="s">
        <v>198</v>
      </c>
      <c r="U831" t="s">
        <v>163</v>
      </c>
      <c r="V831" t="s">
        <v>164</v>
      </c>
      <c r="W831" t="s">
        <v>116</v>
      </c>
      <c r="X831" t="s">
        <v>44</v>
      </c>
      <c r="Y831" t="s">
        <v>99</v>
      </c>
      <c r="Z831" t="s">
        <v>421</v>
      </c>
      <c r="AC831" t="str">
        <f>IF(AA831="",M831,AA831)</f>
        <v>sim</v>
      </c>
      <c r="AD831" t="str">
        <f>IF(AB831="",X831,AB831)</f>
        <v>sim</v>
      </c>
      <c r="AE831" t="str">
        <f>IF(OR(Configuracao!B9="",Configuracao!B10=""),"aguardando limiar",IF(AND(K831&gt;=Configuracao!B9,K831/MAX(Reconciliacao!C2,1)&gt;=Configuracao!B10/100),"sim","não"))</f>
        <v>aguardando limiar</v>
      </c>
    </row>
    <row r="832" spans="1:31" x14ac:dyDescent="0.25">
      <c r="A832">
        <v>13080</v>
      </c>
      <c r="C832" t="s">
        <v>827</v>
      </c>
      <c r="D832" t="s">
        <v>828</v>
      </c>
      <c r="E832" t="s">
        <v>445</v>
      </c>
      <c r="F832" t="s">
        <v>248</v>
      </c>
      <c r="G832" t="s">
        <v>299</v>
      </c>
      <c r="H832" t="s">
        <v>298</v>
      </c>
      <c r="I832" t="s">
        <v>424</v>
      </c>
      <c r="J832" t="s">
        <v>424</v>
      </c>
      <c r="K832" s="4">
        <v>21.67</v>
      </c>
      <c r="L832" s="4">
        <v>21.67</v>
      </c>
      <c r="M832" t="s">
        <v>44</v>
      </c>
      <c r="N832" t="s">
        <v>77</v>
      </c>
      <c r="O832" t="s">
        <v>99</v>
      </c>
      <c r="P832" t="s">
        <v>99</v>
      </c>
      <c r="Q832" t="s">
        <v>279</v>
      </c>
      <c r="R832" t="s">
        <v>300</v>
      </c>
      <c r="S832" t="s">
        <v>185</v>
      </c>
      <c r="T832" t="s">
        <v>198</v>
      </c>
      <c r="U832" t="s">
        <v>163</v>
      </c>
      <c r="V832" t="s">
        <v>164</v>
      </c>
      <c r="W832" t="s">
        <v>116</v>
      </c>
      <c r="X832" t="s">
        <v>44</v>
      </c>
      <c r="Y832" t="s">
        <v>99</v>
      </c>
      <c r="Z832" t="s">
        <v>421</v>
      </c>
      <c r="AC832" t="str">
        <f>IF(AA832="",M832,AA832)</f>
        <v>sim</v>
      </c>
      <c r="AD832" t="str">
        <f>IF(AB832="",X832,AB832)</f>
        <v>sim</v>
      </c>
      <c r="AE832" t="str">
        <f>IF(OR(Configuracao!B9="",Configuracao!B10=""),"aguardando limiar",IF(AND(K832&gt;=Configuracao!B9,K832/MAX(Reconciliacao!C2,1)&gt;=Configuracao!B10/100),"sim","não"))</f>
        <v>aguardando limiar</v>
      </c>
    </row>
    <row r="833" spans="1:31" x14ac:dyDescent="0.25">
      <c r="A833">
        <v>18168</v>
      </c>
      <c r="C833" t="s">
        <v>831</v>
      </c>
      <c r="D833" t="s">
        <v>830</v>
      </c>
      <c r="E833" t="s">
        <v>451</v>
      </c>
      <c r="F833" t="s">
        <v>248</v>
      </c>
      <c r="G833" t="s">
        <v>299</v>
      </c>
      <c r="H833" t="s">
        <v>298</v>
      </c>
      <c r="I833" t="s">
        <v>439</v>
      </c>
      <c r="J833" t="s">
        <v>439</v>
      </c>
      <c r="K833" s="4">
        <v>22</v>
      </c>
      <c r="L833" s="4">
        <v>22</v>
      </c>
      <c r="M833" t="s">
        <v>44</v>
      </c>
      <c r="N833" t="s">
        <v>77</v>
      </c>
      <c r="O833" t="s">
        <v>99</v>
      </c>
      <c r="P833" t="s">
        <v>99</v>
      </c>
      <c r="Q833" t="s">
        <v>279</v>
      </c>
      <c r="R833" t="s">
        <v>300</v>
      </c>
      <c r="S833" t="s">
        <v>185</v>
      </c>
      <c r="T833" t="s">
        <v>198</v>
      </c>
      <c r="U833" t="s">
        <v>163</v>
      </c>
      <c r="V833" t="s">
        <v>164</v>
      </c>
      <c r="W833" t="s">
        <v>116</v>
      </c>
      <c r="X833" t="s">
        <v>44</v>
      </c>
      <c r="Y833" t="s">
        <v>99</v>
      </c>
      <c r="Z833" t="s">
        <v>421</v>
      </c>
      <c r="AC833" t="str">
        <f>IF(AA833="",M833,AA833)</f>
        <v>sim</v>
      </c>
      <c r="AD833" t="str">
        <f>IF(AB833="",X833,AB833)</f>
        <v>sim</v>
      </c>
      <c r="AE833" t="str">
        <f>IF(OR(Configuracao!B9="",Configuracao!B10=""),"aguardando limiar",IF(AND(K833&gt;=Configuracao!B9,K833/MAX(Reconciliacao!C2,1)&gt;=Configuracao!B10/100),"sim","não"))</f>
        <v>aguardando limiar</v>
      </c>
    </row>
    <row r="834" spans="1:31" x14ac:dyDescent="0.25">
      <c r="A834">
        <v>13075</v>
      </c>
      <c r="C834" t="s">
        <v>827</v>
      </c>
      <c r="D834" t="s">
        <v>828</v>
      </c>
      <c r="E834" t="s">
        <v>445</v>
      </c>
      <c r="F834" t="s">
        <v>248</v>
      </c>
      <c r="G834" t="s">
        <v>299</v>
      </c>
      <c r="H834" t="s">
        <v>298</v>
      </c>
      <c r="I834" t="s">
        <v>424</v>
      </c>
      <c r="J834" t="s">
        <v>424</v>
      </c>
      <c r="K834" s="4">
        <v>24.14</v>
      </c>
      <c r="L834" s="4">
        <v>24.14</v>
      </c>
      <c r="M834" t="s">
        <v>44</v>
      </c>
      <c r="N834" t="s">
        <v>77</v>
      </c>
      <c r="O834" t="s">
        <v>99</v>
      </c>
      <c r="P834" t="s">
        <v>99</v>
      </c>
      <c r="Q834" t="s">
        <v>279</v>
      </c>
      <c r="R834" t="s">
        <v>300</v>
      </c>
      <c r="S834" t="s">
        <v>185</v>
      </c>
      <c r="T834" t="s">
        <v>198</v>
      </c>
      <c r="U834" t="s">
        <v>163</v>
      </c>
      <c r="V834" t="s">
        <v>164</v>
      </c>
      <c r="W834" t="s">
        <v>116</v>
      </c>
      <c r="X834" t="s">
        <v>44</v>
      </c>
      <c r="Y834" t="s">
        <v>99</v>
      </c>
      <c r="Z834" t="s">
        <v>421</v>
      </c>
      <c r="AC834" t="str">
        <f>IF(AA834="",M834,AA834)</f>
        <v>sim</v>
      </c>
      <c r="AD834" t="str">
        <f>IF(AB834="",X834,AB834)</f>
        <v>sim</v>
      </c>
      <c r="AE834" t="str">
        <f>IF(OR(Configuracao!B9="",Configuracao!B10=""),"aguardando limiar",IF(AND(K834&gt;=Configuracao!B9,K834/MAX(Reconciliacao!C2,1)&gt;=Configuracao!B10/100),"sim","não"))</f>
        <v>aguardando limiar</v>
      </c>
    </row>
    <row r="835" spans="1:31" x14ac:dyDescent="0.25">
      <c r="A835">
        <v>19131</v>
      </c>
      <c r="C835" t="s">
        <v>832</v>
      </c>
      <c r="D835" t="s">
        <v>657</v>
      </c>
      <c r="E835" t="s">
        <v>451</v>
      </c>
      <c r="F835" t="s">
        <v>248</v>
      </c>
      <c r="G835" t="s">
        <v>299</v>
      </c>
      <c r="H835" t="s">
        <v>298</v>
      </c>
      <c r="I835" t="s">
        <v>35</v>
      </c>
      <c r="J835" t="s">
        <v>35</v>
      </c>
      <c r="K835" s="4">
        <v>24.36</v>
      </c>
      <c r="L835" s="4">
        <v>24.36</v>
      </c>
      <c r="M835" t="s">
        <v>44</v>
      </c>
      <c r="N835" t="s">
        <v>77</v>
      </c>
      <c r="O835" t="s">
        <v>99</v>
      </c>
      <c r="P835" t="s">
        <v>99</v>
      </c>
      <c r="Q835" t="s">
        <v>279</v>
      </c>
      <c r="R835" t="s">
        <v>300</v>
      </c>
      <c r="S835" t="s">
        <v>185</v>
      </c>
      <c r="T835" t="s">
        <v>198</v>
      </c>
      <c r="U835" t="s">
        <v>163</v>
      </c>
      <c r="V835" t="s">
        <v>164</v>
      </c>
      <c r="W835" t="s">
        <v>116</v>
      </c>
      <c r="X835" t="s">
        <v>44</v>
      </c>
      <c r="Y835" t="s">
        <v>99</v>
      </c>
      <c r="Z835" t="s">
        <v>421</v>
      </c>
      <c r="AC835" t="str">
        <f>IF(AA835="",M835,AA835)</f>
        <v>sim</v>
      </c>
      <c r="AD835" t="str">
        <f>IF(AB835="",X835,AB835)</f>
        <v>sim</v>
      </c>
      <c r="AE835" t="str">
        <f>IF(OR(Configuracao!B9="",Configuracao!B10=""),"aguardando limiar",IF(AND(K835&gt;=Configuracao!B9,K835/MAX(Reconciliacao!C2,1)&gt;=Configuracao!B10/100),"sim","não"))</f>
        <v>aguardando limiar</v>
      </c>
    </row>
    <row r="836" spans="1:31" x14ac:dyDescent="0.25">
      <c r="A836">
        <v>12600</v>
      </c>
      <c r="C836" t="s">
        <v>833</v>
      </c>
      <c r="D836" t="s">
        <v>657</v>
      </c>
      <c r="E836" t="s">
        <v>451</v>
      </c>
      <c r="F836" t="s">
        <v>248</v>
      </c>
      <c r="G836" t="s">
        <v>299</v>
      </c>
      <c r="H836" t="s">
        <v>298</v>
      </c>
      <c r="I836" t="s">
        <v>420</v>
      </c>
      <c r="J836" t="s">
        <v>420</v>
      </c>
      <c r="K836" s="4">
        <v>26.42</v>
      </c>
      <c r="L836" s="4">
        <v>26.42</v>
      </c>
      <c r="M836" t="s">
        <v>44</v>
      </c>
      <c r="N836" t="s">
        <v>77</v>
      </c>
      <c r="O836" t="s">
        <v>99</v>
      </c>
      <c r="P836" t="s">
        <v>99</v>
      </c>
      <c r="Q836" t="s">
        <v>279</v>
      </c>
      <c r="R836" t="s">
        <v>300</v>
      </c>
      <c r="S836" t="s">
        <v>185</v>
      </c>
      <c r="T836" t="s">
        <v>198</v>
      </c>
      <c r="U836" t="s">
        <v>163</v>
      </c>
      <c r="V836" t="s">
        <v>164</v>
      </c>
      <c r="W836" t="s">
        <v>116</v>
      </c>
      <c r="X836" t="s">
        <v>44</v>
      </c>
      <c r="Y836" t="s">
        <v>99</v>
      </c>
      <c r="Z836" t="s">
        <v>421</v>
      </c>
      <c r="AC836" t="str">
        <f>IF(AA836="",M836,AA836)</f>
        <v>sim</v>
      </c>
      <c r="AD836" t="str">
        <f>IF(AB836="",X836,AB836)</f>
        <v>sim</v>
      </c>
      <c r="AE836" t="str">
        <f>IF(OR(Configuracao!B9="",Configuracao!B10=""),"aguardando limiar",IF(AND(K836&gt;=Configuracao!B9,K836/MAX(Reconciliacao!C2,1)&gt;=Configuracao!B10/100),"sim","não"))</f>
        <v>aguardando limiar</v>
      </c>
    </row>
    <row r="837" spans="1:31" x14ac:dyDescent="0.25">
      <c r="A837">
        <v>15745</v>
      </c>
      <c r="C837" t="s">
        <v>827</v>
      </c>
      <c r="D837" t="s">
        <v>828</v>
      </c>
      <c r="E837" t="s">
        <v>445</v>
      </c>
      <c r="F837" t="s">
        <v>248</v>
      </c>
      <c r="G837" t="s">
        <v>299</v>
      </c>
      <c r="H837" t="s">
        <v>298</v>
      </c>
      <c r="I837" t="s">
        <v>454</v>
      </c>
      <c r="J837" t="s">
        <v>454</v>
      </c>
      <c r="K837" s="4">
        <v>37.9</v>
      </c>
      <c r="L837" s="4">
        <v>37.9</v>
      </c>
      <c r="M837" t="s">
        <v>44</v>
      </c>
      <c r="N837" t="s">
        <v>77</v>
      </c>
      <c r="O837" t="s">
        <v>99</v>
      </c>
      <c r="P837" t="s">
        <v>99</v>
      </c>
      <c r="Q837" t="s">
        <v>279</v>
      </c>
      <c r="R837" t="s">
        <v>300</v>
      </c>
      <c r="S837" t="s">
        <v>185</v>
      </c>
      <c r="T837" t="s">
        <v>198</v>
      </c>
      <c r="U837" t="s">
        <v>163</v>
      </c>
      <c r="V837" t="s">
        <v>164</v>
      </c>
      <c r="W837" t="s">
        <v>116</v>
      </c>
      <c r="X837" t="s">
        <v>44</v>
      </c>
      <c r="Y837" t="s">
        <v>99</v>
      </c>
      <c r="Z837" t="s">
        <v>421</v>
      </c>
      <c r="AC837" t="str">
        <f>IF(AA837="",M837,AA837)</f>
        <v>sim</v>
      </c>
      <c r="AD837" t="str">
        <f>IF(AB837="",X837,AB837)</f>
        <v>sim</v>
      </c>
      <c r="AE837" t="str">
        <f>IF(OR(Configuracao!B9="",Configuracao!B10=""),"aguardando limiar",IF(AND(K837&gt;=Configuracao!B9,K837/MAX(Reconciliacao!C2,1)&gt;=Configuracao!B10/100),"sim","não"))</f>
        <v>aguardando limiar</v>
      </c>
    </row>
    <row r="838" spans="1:31" x14ac:dyDescent="0.25">
      <c r="A838">
        <v>13082</v>
      </c>
      <c r="C838" t="s">
        <v>827</v>
      </c>
      <c r="D838" t="s">
        <v>828</v>
      </c>
      <c r="E838" t="s">
        <v>445</v>
      </c>
      <c r="F838" t="s">
        <v>248</v>
      </c>
      <c r="G838" t="s">
        <v>299</v>
      </c>
      <c r="H838" t="s">
        <v>298</v>
      </c>
      <c r="I838" t="s">
        <v>424</v>
      </c>
      <c r="J838" t="s">
        <v>424</v>
      </c>
      <c r="K838" s="4">
        <v>39.86</v>
      </c>
      <c r="L838" s="4">
        <v>39.86</v>
      </c>
      <c r="M838" t="s">
        <v>44</v>
      </c>
      <c r="N838" t="s">
        <v>77</v>
      </c>
      <c r="O838" t="s">
        <v>99</v>
      </c>
      <c r="P838" t="s">
        <v>99</v>
      </c>
      <c r="Q838" t="s">
        <v>279</v>
      </c>
      <c r="R838" t="s">
        <v>300</v>
      </c>
      <c r="S838" t="s">
        <v>185</v>
      </c>
      <c r="T838" t="s">
        <v>198</v>
      </c>
      <c r="U838" t="s">
        <v>163</v>
      </c>
      <c r="V838" t="s">
        <v>164</v>
      </c>
      <c r="W838" t="s">
        <v>116</v>
      </c>
      <c r="X838" t="s">
        <v>44</v>
      </c>
      <c r="Y838" t="s">
        <v>99</v>
      </c>
      <c r="Z838" t="s">
        <v>421</v>
      </c>
      <c r="AC838" t="str">
        <f>IF(AA838="",M838,AA838)</f>
        <v>sim</v>
      </c>
      <c r="AD838" t="str">
        <f>IF(AB838="",X838,AB838)</f>
        <v>sim</v>
      </c>
      <c r="AE838" t="str">
        <f>IF(OR(Configuracao!B9="",Configuracao!B10=""),"aguardando limiar",IF(AND(K838&gt;=Configuracao!B9,K838/MAX(Reconciliacao!C2,1)&gt;=Configuracao!B10/100),"sim","não"))</f>
        <v>aguardando limiar</v>
      </c>
    </row>
    <row r="839" spans="1:31" x14ac:dyDescent="0.25">
      <c r="A839">
        <v>13081</v>
      </c>
      <c r="C839" t="s">
        <v>827</v>
      </c>
      <c r="D839" t="s">
        <v>828</v>
      </c>
      <c r="E839" t="s">
        <v>445</v>
      </c>
      <c r="F839" t="s">
        <v>248</v>
      </c>
      <c r="G839" t="s">
        <v>299</v>
      </c>
      <c r="H839" t="s">
        <v>298</v>
      </c>
      <c r="I839" t="s">
        <v>424</v>
      </c>
      <c r="J839" t="s">
        <v>424</v>
      </c>
      <c r="K839" s="4">
        <v>40.22</v>
      </c>
      <c r="L839" s="4">
        <v>40.22</v>
      </c>
      <c r="M839" t="s">
        <v>44</v>
      </c>
      <c r="N839" t="s">
        <v>77</v>
      </c>
      <c r="O839" t="s">
        <v>99</v>
      </c>
      <c r="P839" t="s">
        <v>99</v>
      </c>
      <c r="Q839" t="s">
        <v>279</v>
      </c>
      <c r="R839" t="s">
        <v>300</v>
      </c>
      <c r="S839" t="s">
        <v>185</v>
      </c>
      <c r="T839" t="s">
        <v>198</v>
      </c>
      <c r="U839" t="s">
        <v>163</v>
      </c>
      <c r="V839" t="s">
        <v>164</v>
      </c>
      <c r="W839" t="s">
        <v>116</v>
      </c>
      <c r="X839" t="s">
        <v>44</v>
      </c>
      <c r="Y839" t="s">
        <v>99</v>
      </c>
      <c r="Z839" t="s">
        <v>421</v>
      </c>
      <c r="AC839" t="str">
        <f>IF(AA839="",M839,AA839)</f>
        <v>sim</v>
      </c>
      <c r="AD839" t="str">
        <f>IF(AB839="",X839,AB839)</f>
        <v>sim</v>
      </c>
      <c r="AE839" t="str">
        <f>IF(OR(Configuracao!B9="",Configuracao!B10=""),"aguardando limiar",IF(AND(K839&gt;=Configuracao!B9,K839/MAX(Reconciliacao!C2,1)&gt;=Configuracao!B10/100),"sim","não"))</f>
        <v>aguardando limiar</v>
      </c>
    </row>
    <row r="840" spans="1:31" x14ac:dyDescent="0.25">
      <c r="A840">
        <v>17639</v>
      </c>
      <c r="C840" t="s">
        <v>827</v>
      </c>
      <c r="D840" t="s">
        <v>828</v>
      </c>
      <c r="E840" t="s">
        <v>445</v>
      </c>
      <c r="F840" t="s">
        <v>248</v>
      </c>
      <c r="G840" t="s">
        <v>299</v>
      </c>
      <c r="H840" t="s">
        <v>298</v>
      </c>
      <c r="I840" t="s">
        <v>442</v>
      </c>
      <c r="J840" t="s">
        <v>442</v>
      </c>
      <c r="K840" s="4">
        <v>41.6</v>
      </c>
      <c r="L840" s="4">
        <v>41.6</v>
      </c>
      <c r="M840" t="s">
        <v>44</v>
      </c>
      <c r="N840" t="s">
        <v>77</v>
      </c>
      <c r="O840" t="s">
        <v>99</v>
      </c>
      <c r="P840" t="s">
        <v>99</v>
      </c>
      <c r="Q840" t="s">
        <v>279</v>
      </c>
      <c r="R840" t="s">
        <v>300</v>
      </c>
      <c r="S840" t="s">
        <v>185</v>
      </c>
      <c r="T840" t="s">
        <v>198</v>
      </c>
      <c r="U840" t="s">
        <v>163</v>
      </c>
      <c r="V840" t="s">
        <v>164</v>
      </c>
      <c r="W840" t="s">
        <v>116</v>
      </c>
      <c r="X840" t="s">
        <v>44</v>
      </c>
      <c r="Y840" t="s">
        <v>99</v>
      </c>
      <c r="Z840" t="s">
        <v>421</v>
      </c>
      <c r="AC840" t="str">
        <f>IF(AA840="",M840,AA840)</f>
        <v>sim</v>
      </c>
      <c r="AD840" t="str">
        <f>IF(AB840="",X840,AB840)</f>
        <v>sim</v>
      </c>
      <c r="AE840" t="str">
        <f>IF(OR(Configuracao!B9="",Configuracao!B10=""),"aguardando limiar",IF(AND(K840&gt;=Configuracao!B9,K840/MAX(Reconciliacao!C2,1)&gt;=Configuracao!B10/100),"sim","não"))</f>
        <v>aguardando limiar</v>
      </c>
    </row>
    <row r="841" spans="1:31" x14ac:dyDescent="0.25">
      <c r="A841">
        <v>17640</v>
      </c>
      <c r="C841" t="s">
        <v>827</v>
      </c>
      <c r="D841" t="s">
        <v>828</v>
      </c>
      <c r="E841" t="s">
        <v>445</v>
      </c>
      <c r="F841" t="s">
        <v>248</v>
      </c>
      <c r="G841" t="s">
        <v>299</v>
      </c>
      <c r="H841" t="s">
        <v>298</v>
      </c>
      <c r="I841" t="s">
        <v>442</v>
      </c>
      <c r="J841" t="s">
        <v>442</v>
      </c>
      <c r="K841" s="4">
        <v>52.48</v>
      </c>
      <c r="L841" s="4">
        <v>52.48</v>
      </c>
      <c r="M841" t="s">
        <v>44</v>
      </c>
      <c r="N841" t="s">
        <v>77</v>
      </c>
      <c r="O841" t="s">
        <v>99</v>
      </c>
      <c r="P841" t="s">
        <v>99</v>
      </c>
      <c r="Q841" t="s">
        <v>279</v>
      </c>
      <c r="R841" t="s">
        <v>300</v>
      </c>
      <c r="S841" t="s">
        <v>185</v>
      </c>
      <c r="T841" t="s">
        <v>198</v>
      </c>
      <c r="U841" t="s">
        <v>163</v>
      </c>
      <c r="V841" t="s">
        <v>164</v>
      </c>
      <c r="W841" t="s">
        <v>116</v>
      </c>
      <c r="X841" t="s">
        <v>44</v>
      </c>
      <c r="Y841" t="s">
        <v>99</v>
      </c>
      <c r="Z841" t="s">
        <v>421</v>
      </c>
      <c r="AC841" t="str">
        <f>IF(AA841="",M841,AA841)</f>
        <v>sim</v>
      </c>
      <c r="AD841" t="str">
        <f>IF(AB841="",X841,AB841)</f>
        <v>sim</v>
      </c>
      <c r="AE841" t="str">
        <f>IF(OR(Configuracao!B9="",Configuracao!B10=""),"aguardando limiar",IF(AND(K841&gt;=Configuracao!B9,K841/MAX(Reconciliacao!C2,1)&gt;=Configuracao!B10/100),"sim","não"))</f>
        <v>aguardando limiar</v>
      </c>
    </row>
    <row r="842" spans="1:31" x14ac:dyDescent="0.25">
      <c r="A842">
        <v>17641</v>
      </c>
      <c r="C842" t="s">
        <v>827</v>
      </c>
      <c r="D842" t="s">
        <v>828</v>
      </c>
      <c r="E842" t="s">
        <v>445</v>
      </c>
      <c r="F842" t="s">
        <v>248</v>
      </c>
      <c r="G842" t="s">
        <v>299</v>
      </c>
      <c r="H842" t="s">
        <v>298</v>
      </c>
      <c r="I842" t="s">
        <v>442</v>
      </c>
      <c r="J842" t="s">
        <v>442</v>
      </c>
      <c r="K842" s="4">
        <v>53.74</v>
      </c>
      <c r="L842" s="4">
        <v>53.74</v>
      </c>
      <c r="M842" t="s">
        <v>44</v>
      </c>
      <c r="N842" t="s">
        <v>77</v>
      </c>
      <c r="O842" t="s">
        <v>99</v>
      </c>
      <c r="P842" t="s">
        <v>99</v>
      </c>
      <c r="Q842" t="s">
        <v>279</v>
      </c>
      <c r="R842" t="s">
        <v>300</v>
      </c>
      <c r="S842" t="s">
        <v>185</v>
      </c>
      <c r="T842" t="s">
        <v>198</v>
      </c>
      <c r="U842" t="s">
        <v>163</v>
      </c>
      <c r="V842" t="s">
        <v>164</v>
      </c>
      <c r="W842" t="s">
        <v>116</v>
      </c>
      <c r="X842" t="s">
        <v>44</v>
      </c>
      <c r="Y842" t="s">
        <v>99</v>
      </c>
      <c r="Z842" t="s">
        <v>421</v>
      </c>
      <c r="AC842" t="str">
        <f>IF(AA842="",M842,AA842)</f>
        <v>sim</v>
      </c>
      <c r="AD842" t="str">
        <f>IF(AB842="",X842,AB842)</f>
        <v>sim</v>
      </c>
      <c r="AE842" t="str">
        <f>IF(OR(Configuracao!B9="",Configuracao!B10=""),"aguardando limiar",IF(AND(K842&gt;=Configuracao!B9,K842/MAX(Reconciliacao!C2,1)&gt;=Configuracao!B10/100),"sim","não"))</f>
        <v>aguardando limiar</v>
      </c>
    </row>
    <row r="843" spans="1:31" x14ac:dyDescent="0.25">
      <c r="A843">
        <v>18242</v>
      </c>
      <c r="C843" t="s">
        <v>827</v>
      </c>
      <c r="D843" t="s">
        <v>828</v>
      </c>
      <c r="E843" t="s">
        <v>445</v>
      </c>
      <c r="F843" t="s">
        <v>248</v>
      </c>
      <c r="G843" t="s">
        <v>299</v>
      </c>
      <c r="H843" t="s">
        <v>298</v>
      </c>
      <c r="I843" t="s">
        <v>439</v>
      </c>
      <c r="J843" t="s">
        <v>439</v>
      </c>
      <c r="K843" s="4">
        <v>55.83</v>
      </c>
      <c r="L843" s="4">
        <v>55.83</v>
      </c>
      <c r="M843" t="s">
        <v>44</v>
      </c>
      <c r="N843" t="s">
        <v>77</v>
      </c>
      <c r="O843" t="s">
        <v>99</v>
      </c>
      <c r="P843" t="s">
        <v>99</v>
      </c>
      <c r="Q843" t="s">
        <v>279</v>
      </c>
      <c r="R843" t="s">
        <v>300</v>
      </c>
      <c r="S843" t="s">
        <v>185</v>
      </c>
      <c r="T843" t="s">
        <v>198</v>
      </c>
      <c r="U843" t="s">
        <v>163</v>
      </c>
      <c r="V843" t="s">
        <v>164</v>
      </c>
      <c r="W843" t="s">
        <v>116</v>
      </c>
      <c r="X843" t="s">
        <v>44</v>
      </c>
      <c r="Y843" t="s">
        <v>99</v>
      </c>
      <c r="Z843" t="s">
        <v>421</v>
      </c>
      <c r="AC843" t="str">
        <f>IF(AA843="",M843,AA843)</f>
        <v>sim</v>
      </c>
      <c r="AD843" t="str">
        <f>IF(AB843="",X843,AB843)</f>
        <v>sim</v>
      </c>
      <c r="AE843" t="str">
        <f>IF(OR(Configuracao!B9="",Configuracao!B10=""),"aguardando limiar",IF(AND(K843&gt;=Configuracao!B9,K843/MAX(Reconciliacao!C2,1)&gt;=Configuracao!B10/100),"sim","não"))</f>
        <v>aguardando limiar</v>
      </c>
    </row>
    <row r="844" spans="1:31" x14ac:dyDescent="0.25">
      <c r="A844">
        <v>17638</v>
      </c>
      <c r="C844" t="s">
        <v>827</v>
      </c>
      <c r="D844" t="s">
        <v>828</v>
      </c>
      <c r="E844" t="s">
        <v>445</v>
      </c>
      <c r="F844" t="s">
        <v>248</v>
      </c>
      <c r="G844" t="s">
        <v>299</v>
      </c>
      <c r="H844" t="s">
        <v>298</v>
      </c>
      <c r="I844" t="s">
        <v>442</v>
      </c>
      <c r="J844" t="s">
        <v>442</v>
      </c>
      <c r="K844" s="4">
        <v>67.17</v>
      </c>
      <c r="L844" s="4">
        <v>67.17</v>
      </c>
      <c r="M844" t="s">
        <v>44</v>
      </c>
      <c r="N844" t="s">
        <v>77</v>
      </c>
      <c r="O844" t="s">
        <v>99</v>
      </c>
      <c r="P844" t="s">
        <v>99</v>
      </c>
      <c r="Q844" t="s">
        <v>279</v>
      </c>
      <c r="R844" t="s">
        <v>300</v>
      </c>
      <c r="S844" t="s">
        <v>185</v>
      </c>
      <c r="T844" t="s">
        <v>198</v>
      </c>
      <c r="U844" t="s">
        <v>163</v>
      </c>
      <c r="V844" t="s">
        <v>164</v>
      </c>
      <c r="W844" t="s">
        <v>116</v>
      </c>
      <c r="X844" t="s">
        <v>44</v>
      </c>
      <c r="Y844" t="s">
        <v>99</v>
      </c>
      <c r="Z844" t="s">
        <v>421</v>
      </c>
      <c r="AC844" t="str">
        <f>IF(AA844="",M844,AA844)</f>
        <v>sim</v>
      </c>
      <c r="AD844" t="str">
        <f>IF(AB844="",X844,AB844)</f>
        <v>sim</v>
      </c>
      <c r="AE844" t="str">
        <f>IF(OR(Configuracao!B9="",Configuracao!B10=""),"aguardando limiar",IF(AND(K844&gt;=Configuracao!B9,K844/MAX(Reconciliacao!C2,1)&gt;=Configuracao!B10/100),"sim","não"))</f>
        <v>aguardando limiar</v>
      </c>
    </row>
    <row r="845" spans="1:31" x14ac:dyDescent="0.25">
      <c r="A845">
        <v>16025</v>
      </c>
      <c r="C845" t="s">
        <v>827</v>
      </c>
      <c r="D845" t="s">
        <v>828</v>
      </c>
      <c r="E845" t="s">
        <v>445</v>
      </c>
      <c r="F845" t="s">
        <v>248</v>
      </c>
      <c r="G845" t="s">
        <v>299</v>
      </c>
      <c r="H845" t="s">
        <v>298</v>
      </c>
      <c r="I845" t="s">
        <v>420</v>
      </c>
      <c r="J845" t="s">
        <v>420</v>
      </c>
      <c r="K845" s="4">
        <v>67.21</v>
      </c>
      <c r="L845" s="4">
        <v>67.21</v>
      </c>
      <c r="M845" t="s">
        <v>44</v>
      </c>
      <c r="N845" t="s">
        <v>77</v>
      </c>
      <c r="O845" t="s">
        <v>99</v>
      </c>
      <c r="P845" t="s">
        <v>99</v>
      </c>
      <c r="Q845" t="s">
        <v>279</v>
      </c>
      <c r="R845" t="s">
        <v>300</v>
      </c>
      <c r="S845" t="s">
        <v>185</v>
      </c>
      <c r="T845" t="s">
        <v>198</v>
      </c>
      <c r="U845" t="s">
        <v>163</v>
      </c>
      <c r="V845" t="s">
        <v>164</v>
      </c>
      <c r="W845" t="s">
        <v>116</v>
      </c>
      <c r="X845" t="s">
        <v>44</v>
      </c>
      <c r="Y845" t="s">
        <v>99</v>
      </c>
      <c r="Z845" t="s">
        <v>421</v>
      </c>
      <c r="AC845" t="str">
        <f>IF(AA845="",M845,AA845)</f>
        <v>sim</v>
      </c>
      <c r="AD845" t="str">
        <f>IF(AB845="",X845,AB845)</f>
        <v>sim</v>
      </c>
      <c r="AE845" t="str">
        <f>IF(OR(Configuracao!B9="",Configuracao!B10=""),"aguardando limiar",IF(AND(K845&gt;=Configuracao!B9,K845/MAX(Reconciliacao!C2,1)&gt;=Configuracao!B10/100),"sim","não"))</f>
        <v>aguardando limiar</v>
      </c>
    </row>
    <row r="846" spans="1:31" x14ac:dyDescent="0.25">
      <c r="A846">
        <v>16030</v>
      </c>
      <c r="C846" t="s">
        <v>827</v>
      </c>
      <c r="D846" t="s">
        <v>828</v>
      </c>
      <c r="E846" t="s">
        <v>445</v>
      </c>
      <c r="F846" t="s">
        <v>248</v>
      </c>
      <c r="G846" t="s">
        <v>299</v>
      </c>
      <c r="H846" t="s">
        <v>298</v>
      </c>
      <c r="I846" t="s">
        <v>420</v>
      </c>
      <c r="J846" t="s">
        <v>420</v>
      </c>
      <c r="K846" s="4">
        <v>67.27</v>
      </c>
      <c r="L846" s="4">
        <v>67.27</v>
      </c>
      <c r="M846" t="s">
        <v>44</v>
      </c>
      <c r="N846" t="s">
        <v>77</v>
      </c>
      <c r="O846" t="s">
        <v>99</v>
      </c>
      <c r="P846" t="s">
        <v>99</v>
      </c>
      <c r="Q846" t="s">
        <v>279</v>
      </c>
      <c r="R846" t="s">
        <v>300</v>
      </c>
      <c r="S846" t="s">
        <v>185</v>
      </c>
      <c r="T846" t="s">
        <v>198</v>
      </c>
      <c r="U846" t="s">
        <v>163</v>
      </c>
      <c r="V846" t="s">
        <v>164</v>
      </c>
      <c r="W846" t="s">
        <v>116</v>
      </c>
      <c r="X846" t="s">
        <v>44</v>
      </c>
      <c r="Y846" t="s">
        <v>99</v>
      </c>
      <c r="Z846" t="s">
        <v>421</v>
      </c>
      <c r="AC846" t="str">
        <f>IF(AA846="",M846,AA846)</f>
        <v>sim</v>
      </c>
      <c r="AD846" t="str">
        <f>IF(AB846="",X846,AB846)</f>
        <v>sim</v>
      </c>
      <c r="AE846" t="str">
        <f>IF(OR(Configuracao!B9="",Configuracao!B10=""),"aguardando limiar",IF(AND(K846&gt;=Configuracao!B9,K846/MAX(Reconciliacao!C2,1)&gt;=Configuracao!B10/100),"sim","não"))</f>
        <v>aguardando limiar</v>
      </c>
    </row>
    <row r="847" spans="1:31" x14ac:dyDescent="0.25">
      <c r="A847">
        <v>16027</v>
      </c>
      <c r="C847" t="s">
        <v>827</v>
      </c>
      <c r="D847" t="s">
        <v>828</v>
      </c>
      <c r="E847" t="s">
        <v>445</v>
      </c>
      <c r="F847" t="s">
        <v>248</v>
      </c>
      <c r="G847" t="s">
        <v>299</v>
      </c>
      <c r="H847" t="s">
        <v>298</v>
      </c>
      <c r="I847" t="s">
        <v>420</v>
      </c>
      <c r="J847" t="s">
        <v>420</v>
      </c>
      <c r="K847" s="4">
        <v>67.28</v>
      </c>
      <c r="L847" s="4">
        <v>67.28</v>
      </c>
      <c r="M847" t="s">
        <v>44</v>
      </c>
      <c r="N847" t="s">
        <v>77</v>
      </c>
      <c r="O847" t="s">
        <v>99</v>
      </c>
      <c r="P847" t="s">
        <v>99</v>
      </c>
      <c r="Q847" t="s">
        <v>279</v>
      </c>
      <c r="R847" t="s">
        <v>300</v>
      </c>
      <c r="S847" t="s">
        <v>185</v>
      </c>
      <c r="T847" t="s">
        <v>198</v>
      </c>
      <c r="U847" t="s">
        <v>163</v>
      </c>
      <c r="V847" t="s">
        <v>164</v>
      </c>
      <c r="W847" t="s">
        <v>116</v>
      </c>
      <c r="X847" t="s">
        <v>44</v>
      </c>
      <c r="Y847" t="s">
        <v>99</v>
      </c>
      <c r="Z847" t="s">
        <v>421</v>
      </c>
      <c r="AC847" t="str">
        <f>IF(AA847="",M847,AA847)</f>
        <v>sim</v>
      </c>
      <c r="AD847" t="str">
        <f>IF(AB847="",X847,AB847)</f>
        <v>sim</v>
      </c>
      <c r="AE847" t="str">
        <f>IF(OR(Configuracao!B9="",Configuracao!B10=""),"aguardando limiar",IF(AND(K847&gt;=Configuracao!B9,K847/MAX(Reconciliacao!C2,1)&gt;=Configuracao!B10/100),"sim","não"))</f>
        <v>aguardando limiar</v>
      </c>
    </row>
    <row r="848" spans="1:31" x14ac:dyDescent="0.25">
      <c r="A848">
        <v>16026</v>
      </c>
      <c r="C848" t="s">
        <v>827</v>
      </c>
      <c r="D848" t="s">
        <v>828</v>
      </c>
      <c r="E848" t="s">
        <v>445</v>
      </c>
      <c r="F848" t="s">
        <v>248</v>
      </c>
      <c r="G848" t="s">
        <v>299</v>
      </c>
      <c r="H848" t="s">
        <v>298</v>
      </c>
      <c r="I848" t="s">
        <v>420</v>
      </c>
      <c r="J848" t="s">
        <v>420</v>
      </c>
      <c r="K848" s="4">
        <v>67.39</v>
      </c>
      <c r="L848" s="4">
        <v>67.39</v>
      </c>
      <c r="M848" t="s">
        <v>44</v>
      </c>
      <c r="N848" t="s">
        <v>77</v>
      </c>
      <c r="O848" t="s">
        <v>99</v>
      </c>
      <c r="P848" t="s">
        <v>99</v>
      </c>
      <c r="Q848" t="s">
        <v>279</v>
      </c>
      <c r="R848" t="s">
        <v>300</v>
      </c>
      <c r="S848" t="s">
        <v>185</v>
      </c>
      <c r="T848" t="s">
        <v>198</v>
      </c>
      <c r="U848" t="s">
        <v>163</v>
      </c>
      <c r="V848" t="s">
        <v>164</v>
      </c>
      <c r="W848" t="s">
        <v>116</v>
      </c>
      <c r="X848" t="s">
        <v>44</v>
      </c>
      <c r="Y848" t="s">
        <v>99</v>
      </c>
      <c r="Z848" t="s">
        <v>421</v>
      </c>
      <c r="AC848" t="str">
        <f>IF(AA848="",M848,AA848)</f>
        <v>sim</v>
      </c>
      <c r="AD848" t="str">
        <f>IF(AB848="",X848,AB848)</f>
        <v>sim</v>
      </c>
      <c r="AE848" t="str">
        <f>IF(OR(Configuracao!B9="",Configuracao!B10=""),"aguardando limiar",IF(AND(K848&gt;=Configuracao!B9,K848/MAX(Reconciliacao!C2,1)&gt;=Configuracao!B10/100),"sim","não"))</f>
        <v>aguardando limiar</v>
      </c>
    </row>
    <row r="849" spans="1:31" x14ac:dyDescent="0.25">
      <c r="A849">
        <v>16028</v>
      </c>
      <c r="C849" t="s">
        <v>827</v>
      </c>
      <c r="D849" t="s">
        <v>828</v>
      </c>
      <c r="E849" t="s">
        <v>445</v>
      </c>
      <c r="F849" t="s">
        <v>248</v>
      </c>
      <c r="G849" t="s">
        <v>299</v>
      </c>
      <c r="H849" t="s">
        <v>298</v>
      </c>
      <c r="I849" t="s">
        <v>420</v>
      </c>
      <c r="J849" t="s">
        <v>420</v>
      </c>
      <c r="K849" s="4">
        <v>67.72</v>
      </c>
      <c r="L849" s="4">
        <v>67.72</v>
      </c>
      <c r="M849" t="s">
        <v>44</v>
      </c>
      <c r="N849" t="s">
        <v>77</v>
      </c>
      <c r="O849" t="s">
        <v>99</v>
      </c>
      <c r="P849" t="s">
        <v>99</v>
      </c>
      <c r="Q849" t="s">
        <v>279</v>
      </c>
      <c r="R849" t="s">
        <v>300</v>
      </c>
      <c r="S849" t="s">
        <v>185</v>
      </c>
      <c r="T849" t="s">
        <v>198</v>
      </c>
      <c r="U849" t="s">
        <v>163</v>
      </c>
      <c r="V849" t="s">
        <v>164</v>
      </c>
      <c r="W849" t="s">
        <v>116</v>
      </c>
      <c r="X849" t="s">
        <v>44</v>
      </c>
      <c r="Y849" t="s">
        <v>99</v>
      </c>
      <c r="Z849" t="s">
        <v>421</v>
      </c>
      <c r="AC849" t="str">
        <f>IF(AA849="",M849,AA849)</f>
        <v>sim</v>
      </c>
      <c r="AD849" t="str">
        <f>IF(AB849="",X849,AB849)</f>
        <v>sim</v>
      </c>
      <c r="AE849" t="str">
        <f>IF(OR(Configuracao!B9="",Configuracao!B10=""),"aguardando limiar",IF(AND(K849&gt;=Configuracao!B9,K849/MAX(Reconciliacao!C2,1)&gt;=Configuracao!B10/100),"sim","não"))</f>
        <v>aguardando limiar</v>
      </c>
    </row>
    <row r="850" spans="1:31" x14ac:dyDescent="0.25">
      <c r="A850">
        <v>17712</v>
      </c>
      <c r="C850" t="s">
        <v>834</v>
      </c>
      <c r="D850" t="s">
        <v>450</v>
      </c>
      <c r="E850" t="s">
        <v>451</v>
      </c>
      <c r="F850" t="s">
        <v>248</v>
      </c>
      <c r="G850" t="s">
        <v>299</v>
      </c>
      <c r="H850" t="s">
        <v>298</v>
      </c>
      <c r="I850" t="s">
        <v>439</v>
      </c>
      <c r="J850" t="s">
        <v>439</v>
      </c>
      <c r="K850" s="4">
        <v>89</v>
      </c>
      <c r="L850" s="4">
        <v>89</v>
      </c>
      <c r="M850" t="s">
        <v>44</v>
      </c>
      <c r="N850" t="s">
        <v>77</v>
      </c>
      <c r="O850" t="s">
        <v>99</v>
      </c>
      <c r="P850" t="s">
        <v>99</v>
      </c>
      <c r="Q850" t="s">
        <v>279</v>
      </c>
      <c r="R850" t="s">
        <v>300</v>
      </c>
      <c r="S850" t="s">
        <v>185</v>
      </c>
      <c r="T850" t="s">
        <v>198</v>
      </c>
      <c r="U850" t="s">
        <v>163</v>
      </c>
      <c r="V850" t="s">
        <v>164</v>
      </c>
      <c r="W850" t="s">
        <v>116</v>
      </c>
      <c r="X850" t="s">
        <v>44</v>
      </c>
      <c r="Y850" t="s">
        <v>99</v>
      </c>
      <c r="Z850" t="s">
        <v>421</v>
      </c>
      <c r="AC850" t="str">
        <f>IF(AA850="",M850,AA850)</f>
        <v>sim</v>
      </c>
      <c r="AD850" t="str">
        <f>IF(AB850="",X850,AB850)</f>
        <v>sim</v>
      </c>
      <c r="AE850" t="str">
        <f>IF(OR(Configuracao!B9="",Configuracao!B10=""),"aguardando limiar",IF(AND(K850&gt;=Configuracao!B9,K850/MAX(Reconciliacao!C2,1)&gt;=Configuracao!B10/100),"sim","não"))</f>
        <v>aguardando limiar</v>
      </c>
    </row>
    <row r="851" spans="1:31" x14ac:dyDescent="0.25">
      <c r="A851">
        <v>18245</v>
      </c>
      <c r="C851" t="s">
        <v>827</v>
      </c>
      <c r="D851" t="s">
        <v>828</v>
      </c>
      <c r="E851" t="s">
        <v>445</v>
      </c>
      <c r="F851" t="s">
        <v>248</v>
      </c>
      <c r="G851" t="s">
        <v>299</v>
      </c>
      <c r="H851" t="s">
        <v>298</v>
      </c>
      <c r="I851" t="s">
        <v>439</v>
      </c>
      <c r="J851" t="s">
        <v>439</v>
      </c>
      <c r="K851" s="4">
        <v>102.08</v>
      </c>
      <c r="L851" s="4">
        <v>102.08</v>
      </c>
      <c r="M851" t="s">
        <v>44</v>
      </c>
      <c r="N851" t="s">
        <v>77</v>
      </c>
      <c r="O851" t="s">
        <v>99</v>
      </c>
      <c r="P851" t="s">
        <v>99</v>
      </c>
      <c r="Q851" t="s">
        <v>279</v>
      </c>
      <c r="R851" t="s">
        <v>300</v>
      </c>
      <c r="S851" t="s">
        <v>185</v>
      </c>
      <c r="T851" t="s">
        <v>198</v>
      </c>
      <c r="U851" t="s">
        <v>163</v>
      </c>
      <c r="V851" t="s">
        <v>164</v>
      </c>
      <c r="W851" t="s">
        <v>116</v>
      </c>
      <c r="X851" t="s">
        <v>44</v>
      </c>
      <c r="Y851" t="s">
        <v>99</v>
      </c>
      <c r="Z851" t="s">
        <v>421</v>
      </c>
      <c r="AC851" t="str">
        <f>IF(AA851="",M851,AA851)</f>
        <v>sim</v>
      </c>
      <c r="AD851" t="str">
        <f>IF(AB851="",X851,AB851)</f>
        <v>sim</v>
      </c>
      <c r="AE851" t="str">
        <f>IF(OR(Configuracao!B9="",Configuracao!B10=""),"aguardando limiar",IF(AND(K851&gt;=Configuracao!B9,K851/MAX(Reconciliacao!C2,1)&gt;=Configuracao!B10/100),"sim","não"))</f>
        <v>aguardando limiar</v>
      </c>
    </row>
    <row r="852" spans="1:31" x14ac:dyDescent="0.25">
      <c r="A852">
        <v>17646</v>
      </c>
      <c r="C852" t="s">
        <v>827</v>
      </c>
      <c r="D852" t="s">
        <v>828</v>
      </c>
      <c r="E852" t="s">
        <v>445</v>
      </c>
      <c r="F852" t="s">
        <v>248</v>
      </c>
      <c r="G852" t="s">
        <v>299</v>
      </c>
      <c r="H852" t="s">
        <v>298</v>
      </c>
      <c r="I852" t="s">
        <v>442</v>
      </c>
      <c r="J852" t="s">
        <v>442</v>
      </c>
      <c r="K852" s="4">
        <v>118.41</v>
      </c>
      <c r="L852" s="4">
        <v>118.41</v>
      </c>
      <c r="M852" t="s">
        <v>44</v>
      </c>
      <c r="N852" t="s">
        <v>77</v>
      </c>
      <c r="O852" t="s">
        <v>99</v>
      </c>
      <c r="P852" t="s">
        <v>99</v>
      </c>
      <c r="Q852" t="s">
        <v>279</v>
      </c>
      <c r="R852" t="s">
        <v>300</v>
      </c>
      <c r="S852" t="s">
        <v>185</v>
      </c>
      <c r="T852" t="s">
        <v>198</v>
      </c>
      <c r="U852" t="s">
        <v>163</v>
      </c>
      <c r="V852" t="s">
        <v>164</v>
      </c>
      <c r="W852" t="s">
        <v>116</v>
      </c>
      <c r="X852" t="s">
        <v>44</v>
      </c>
      <c r="Y852" t="s">
        <v>99</v>
      </c>
      <c r="Z852" t="s">
        <v>421</v>
      </c>
      <c r="AC852" t="str">
        <f>IF(AA852="",M852,AA852)</f>
        <v>sim</v>
      </c>
      <c r="AD852" t="str">
        <f>IF(AB852="",X852,AB852)</f>
        <v>sim</v>
      </c>
      <c r="AE852" t="str">
        <f>IF(OR(Configuracao!B9="",Configuracao!B10=""),"aguardando limiar",IF(AND(K852&gt;=Configuracao!B9,K852/MAX(Reconciliacao!C2,1)&gt;=Configuracao!B10/100),"sim","não"))</f>
        <v>aguardando limiar</v>
      </c>
    </row>
    <row r="853" spans="1:31" x14ac:dyDescent="0.25">
      <c r="A853">
        <v>17645</v>
      </c>
      <c r="C853" t="s">
        <v>827</v>
      </c>
      <c r="D853" t="s">
        <v>828</v>
      </c>
      <c r="E853" t="s">
        <v>445</v>
      </c>
      <c r="F853" t="s">
        <v>248</v>
      </c>
      <c r="G853" t="s">
        <v>299</v>
      </c>
      <c r="H853" t="s">
        <v>298</v>
      </c>
      <c r="I853" t="s">
        <v>442</v>
      </c>
      <c r="J853" t="s">
        <v>442</v>
      </c>
      <c r="K853" s="4">
        <v>118.44</v>
      </c>
      <c r="L853" s="4">
        <v>118.44</v>
      </c>
      <c r="M853" t="s">
        <v>44</v>
      </c>
      <c r="N853" t="s">
        <v>77</v>
      </c>
      <c r="O853" t="s">
        <v>99</v>
      </c>
      <c r="P853" t="s">
        <v>99</v>
      </c>
      <c r="Q853" t="s">
        <v>279</v>
      </c>
      <c r="R853" t="s">
        <v>300</v>
      </c>
      <c r="S853" t="s">
        <v>185</v>
      </c>
      <c r="T853" t="s">
        <v>198</v>
      </c>
      <c r="U853" t="s">
        <v>163</v>
      </c>
      <c r="V853" t="s">
        <v>164</v>
      </c>
      <c r="W853" t="s">
        <v>116</v>
      </c>
      <c r="X853" t="s">
        <v>44</v>
      </c>
      <c r="Y853" t="s">
        <v>99</v>
      </c>
      <c r="Z853" t="s">
        <v>421</v>
      </c>
      <c r="AC853" t="str">
        <f>IF(AA853="",M853,AA853)</f>
        <v>sim</v>
      </c>
      <c r="AD853" t="str">
        <f>IF(AB853="",X853,AB853)</f>
        <v>sim</v>
      </c>
      <c r="AE853" t="str">
        <f>IF(OR(Configuracao!B9="",Configuracao!B10=""),"aguardando limiar",IF(AND(K853&gt;=Configuracao!B9,K853/MAX(Reconciliacao!C2,1)&gt;=Configuracao!B10/100),"sim","não"))</f>
        <v>aguardando limiar</v>
      </c>
    </row>
    <row r="854" spans="1:31" x14ac:dyDescent="0.25">
      <c r="A854">
        <v>18243</v>
      </c>
      <c r="C854" t="s">
        <v>827</v>
      </c>
      <c r="D854" t="s">
        <v>828</v>
      </c>
      <c r="E854" t="s">
        <v>445</v>
      </c>
      <c r="F854" t="s">
        <v>248</v>
      </c>
      <c r="G854" t="s">
        <v>299</v>
      </c>
      <c r="H854" t="s">
        <v>298</v>
      </c>
      <c r="I854" t="s">
        <v>439</v>
      </c>
      <c r="J854" t="s">
        <v>439</v>
      </c>
      <c r="K854" s="4">
        <v>118.67</v>
      </c>
      <c r="L854" s="4">
        <v>118.67</v>
      </c>
      <c r="M854" t="s">
        <v>44</v>
      </c>
      <c r="N854" t="s">
        <v>77</v>
      </c>
      <c r="O854" t="s">
        <v>99</v>
      </c>
      <c r="P854" t="s">
        <v>99</v>
      </c>
      <c r="Q854" t="s">
        <v>279</v>
      </c>
      <c r="R854" t="s">
        <v>300</v>
      </c>
      <c r="S854" t="s">
        <v>185</v>
      </c>
      <c r="T854" t="s">
        <v>198</v>
      </c>
      <c r="U854" t="s">
        <v>163</v>
      </c>
      <c r="V854" t="s">
        <v>164</v>
      </c>
      <c r="W854" t="s">
        <v>116</v>
      </c>
      <c r="X854" t="s">
        <v>44</v>
      </c>
      <c r="Y854" t="s">
        <v>99</v>
      </c>
      <c r="Z854" t="s">
        <v>421</v>
      </c>
      <c r="AC854" t="str">
        <f>IF(AA854="",M854,AA854)</f>
        <v>sim</v>
      </c>
      <c r="AD854" t="str">
        <f>IF(AB854="",X854,AB854)</f>
        <v>sim</v>
      </c>
      <c r="AE854" t="str">
        <f>IF(OR(Configuracao!B9="",Configuracao!B10=""),"aguardando limiar",IF(AND(K854&gt;=Configuracao!B9,K854/MAX(Reconciliacao!C2,1)&gt;=Configuracao!B10/100),"sim","não"))</f>
        <v>aguardando limiar</v>
      </c>
    </row>
    <row r="855" spans="1:31" x14ac:dyDescent="0.25">
      <c r="A855">
        <v>18246</v>
      </c>
      <c r="C855" t="s">
        <v>827</v>
      </c>
      <c r="D855" t="s">
        <v>828</v>
      </c>
      <c r="E855" t="s">
        <v>445</v>
      </c>
      <c r="F855" t="s">
        <v>248</v>
      </c>
      <c r="G855" t="s">
        <v>299</v>
      </c>
      <c r="H855" t="s">
        <v>298</v>
      </c>
      <c r="I855" t="s">
        <v>439</v>
      </c>
      <c r="J855" t="s">
        <v>439</v>
      </c>
      <c r="K855" s="4">
        <v>118.67</v>
      </c>
      <c r="L855" s="4">
        <v>118.67</v>
      </c>
      <c r="M855" t="s">
        <v>44</v>
      </c>
      <c r="N855" t="s">
        <v>77</v>
      </c>
      <c r="O855" t="s">
        <v>99</v>
      </c>
      <c r="P855" t="s">
        <v>99</v>
      </c>
      <c r="Q855" t="s">
        <v>279</v>
      </c>
      <c r="R855" t="s">
        <v>300</v>
      </c>
      <c r="S855" t="s">
        <v>185</v>
      </c>
      <c r="T855" t="s">
        <v>198</v>
      </c>
      <c r="U855" t="s">
        <v>163</v>
      </c>
      <c r="V855" t="s">
        <v>164</v>
      </c>
      <c r="W855" t="s">
        <v>116</v>
      </c>
      <c r="X855" t="s">
        <v>44</v>
      </c>
      <c r="Y855" t="s">
        <v>99</v>
      </c>
      <c r="Z855" t="s">
        <v>421</v>
      </c>
      <c r="AC855" t="str">
        <f>IF(AA855="",M855,AA855)</f>
        <v>sim</v>
      </c>
      <c r="AD855" t="str">
        <f>IF(AB855="",X855,AB855)</f>
        <v>sim</v>
      </c>
      <c r="AE855" t="str">
        <f>IF(OR(Configuracao!B9="",Configuracao!B10=""),"aguardando limiar",IF(AND(K855&gt;=Configuracao!B9,K855/MAX(Reconciliacao!C2,1)&gt;=Configuracao!B10/100),"sim","não"))</f>
        <v>aguardando limiar</v>
      </c>
    </row>
    <row r="856" spans="1:31" x14ac:dyDescent="0.25">
      <c r="A856">
        <v>17644</v>
      </c>
      <c r="C856" t="s">
        <v>827</v>
      </c>
      <c r="D856" t="s">
        <v>828</v>
      </c>
      <c r="E856" t="s">
        <v>445</v>
      </c>
      <c r="F856" t="s">
        <v>248</v>
      </c>
      <c r="G856" t="s">
        <v>299</v>
      </c>
      <c r="H856" t="s">
        <v>298</v>
      </c>
      <c r="I856" t="s">
        <v>442</v>
      </c>
      <c r="J856" t="s">
        <v>442</v>
      </c>
      <c r="K856" s="4">
        <v>118.71</v>
      </c>
      <c r="L856" s="4">
        <v>118.71</v>
      </c>
      <c r="M856" t="s">
        <v>44</v>
      </c>
      <c r="N856" t="s">
        <v>77</v>
      </c>
      <c r="O856" t="s">
        <v>99</v>
      </c>
      <c r="P856" t="s">
        <v>99</v>
      </c>
      <c r="Q856" t="s">
        <v>279</v>
      </c>
      <c r="R856" t="s">
        <v>300</v>
      </c>
      <c r="S856" t="s">
        <v>185</v>
      </c>
      <c r="T856" t="s">
        <v>198</v>
      </c>
      <c r="U856" t="s">
        <v>163</v>
      </c>
      <c r="V856" t="s">
        <v>164</v>
      </c>
      <c r="W856" t="s">
        <v>116</v>
      </c>
      <c r="X856" t="s">
        <v>44</v>
      </c>
      <c r="Y856" t="s">
        <v>99</v>
      </c>
      <c r="Z856" t="s">
        <v>421</v>
      </c>
      <c r="AC856" t="str">
        <f>IF(AA856="",M856,AA856)</f>
        <v>sim</v>
      </c>
      <c r="AD856" t="str">
        <f>IF(AB856="",X856,AB856)</f>
        <v>sim</v>
      </c>
      <c r="AE856" t="str">
        <f>IF(OR(Configuracao!B9="",Configuracao!B10=""),"aguardando limiar",IF(AND(K856&gt;=Configuracao!B9,K856/MAX(Reconciliacao!C2,1)&gt;=Configuracao!B10/100),"sim","não"))</f>
        <v>aguardando limiar</v>
      </c>
    </row>
    <row r="857" spans="1:31" x14ac:dyDescent="0.25">
      <c r="A857">
        <v>18244</v>
      </c>
      <c r="C857" t="s">
        <v>827</v>
      </c>
      <c r="D857" t="s">
        <v>828</v>
      </c>
      <c r="E857" t="s">
        <v>445</v>
      </c>
      <c r="F857" t="s">
        <v>248</v>
      </c>
      <c r="G857" t="s">
        <v>299</v>
      </c>
      <c r="H857" t="s">
        <v>298</v>
      </c>
      <c r="I857" t="s">
        <v>439</v>
      </c>
      <c r="J857" t="s">
        <v>439</v>
      </c>
      <c r="K857" s="4">
        <v>118.71</v>
      </c>
      <c r="L857" s="4">
        <v>118.71</v>
      </c>
      <c r="M857" t="s">
        <v>44</v>
      </c>
      <c r="N857" t="s">
        <v>77</v>
      </c>
      <c r="O857" t="s">
        <v>99</v>
      </c>
      <c r="P857" t="s">
        <v>99</v>
      </c>
      <c r="Q857" t="s">
        <v>279</v>
      </c>
      <c r="R857" t="s">
        <v>300</v>
      </c>
      <c r="S857" t="s">
        <v>185</v>
      </c>
      <c r="T857" t="s">
        <v>198</v>
      </c>
      <c r="U857" t="s">
        <v>163</v>
      </c>
      <c r="V857" t="s">
        <v>164</v>
      </c>
      <c r="W857" t="s">
        <v>116</v>
      </c>
      <c r="X857" t="s">
        <v>44</v>
      </c>
      <c r="Y857" t="s">
        <v>99</v>
      </c>
      <c r="Z857" t="s">
        <v>421</v>
      </c>
      <c r="AC857" t="str">
        <f>IF(AA857="",M857,AA857)</f>
        <v>sim</v>
      </c>
      <c r="AD857" t="str">
        <f>IF(AB857="",X857,AB857)</f>
        <v>sim</v>
      </c>
      <c r="AE857" t="str">
        <f>IF(OR(Configuracao!B9="",Configuracao!B10=""),"aguardando limiar",IF(AND(K857&gt;=Configuracao!B9,K857/MAX(Reconciliacao!C2,1)&gt;=Configuracao!B10/100),"sim","não"))</f>
        <v>aguardando limiar</v>
      </c>
    </row>
    <row r="858" spans="1:31" x14ac:dyDescent="0.25">
      <c r="A858">
        <v>17642</v>
      </c>
      <c r="C858" t="s">
        <v>827</v>
      </c>
      <c r="D858" t="s">
        <v>828</v>
      </c>
      <c r="E858" t="s">
        <v>445</v>
      </c>
      <c r="F858" t="s">
        <v>248</v>
      </c>
      <c r="G858" t="s">
        <v>299</v>
      </c>
      <c r="H858" t="s">
        <v>298</v>
      </c>
      <c r="I858" t="s">
        <v>442</v>
      </c>
      <c r="J858" t="s">
        <v>442</v>
      </c>
      <c r="K858" s="4">
        <v>119.11</v>
      </c>
      <c r="L858" s="4">
        <v>119.11</v>
      </c>
      <c r="M858" t="s">
        <v>44</v>
      </c>
      <c r="N858" t="s">
        <v>77</v>
      </c>
      <c r="O858" t="s">
        <v>99</v>
      </c>
      <c r="P858" t="s">
        <v>99</v>
      </c>
      <c r="Q858" t="s">
        <v>279</v>
      </c>
      <c r="R858" t="s">
        <v>300</v>
      </c>
      <c r="S858" t="s">
        <v>185</v>
      </c>
      <c r="T858" t="s">
        <v>198</v>
      </c>
      <c r="U858" t="s">
        <v>163</v>
      </c>
      <c r="V858" t="s">
        <v>164</v>
      </c>
      <c r="W858" t="s">
        <v>116</v>
      </c>
      <c r="X858" t="s">
        <v>44</v>
      </c>
      <c r="Y858" t="s">
        <v>99</v>
      </c>
      <c r="Z858" t="s">
        <v>421</v>
      </c>
      <c r="AC858" t="str">
        <f>IF(AA858="",M858,AA858)</f>
        <v>sim</v>
      </c>
      <c r="AD858" t="str">
        <f>IF(AB858="",X858,AB858)</f>
        <v>sim</v>
      </c>
      <c r="AE858" t="str">
        <f>IF(OR(Configuracao!B9="",Configuracao!B10=""),"aguardando limiar",IF(AND(K858&gt;=Configuracao!B9,K858/MAX(Reconciliacao!C2,1)&gt;=Configuracao!B10/100),"sim","não"))</f>
        <v>aguardando limiar</v>
      </c>
    </row>
    <row r="859" spans="1:31" x14ac:dyDescent="0.25">
      <c r="A859">
        <v>17643</v>
      </c>
      <c r="C859" t="s">
        <v>827</v>
      </c>
      <c r="D859" t="s">
        <v>828</v>
      </c>
      <c r="E859" t="s">
        <v>445</v>
      </c>
      <c r="F859" t="s">
        <v>248</v>
      </c>
      <c r="G859" t="s">
        <v>299</v>
      </c>
      <c r="H859" t="s">
        <v>298</v>
      </c>
      <c r="I859" t="s">
        <v>442</v>
      </c>
      <c r="J859" t="s">
        <v>442</v>
      </c>
      <c r="K859" s="4">
        <v>119.62</v>
      </c>
      <c r="L859" s="4">
        <v>119.62</v>
      </c>
      <c r="M859" t="s">
        <v>44</v>
      </c>
      <c r="N859" t="s">
        <v>77</v>
      </c>
      <c r="O859" t="s">
        <v>99</v>
      </c>
      <c r="P859" t="s">
        <v>99</v>
      </c>
      <c r="Q859" t="s">
        <v>279</v>
      </c>
      <c r="R859" t="s">
        <v>300</v>
      </c>
      <c r="S859" t="s">
        <v>185</v>
      </c>
      <c r="T859" t="s">
        <v>198</v>
      </c>
      <c r="U859" t="s">
        <v>163</v>
      </c>
      <c r="V859" t="s">
        <v>164</v>
      </c>
      <c r="W859" t="s">
        <v>116</v>
      </c>
      <c r="X859" t="s">
        <v>44</v>
      </c>
      <c r="Y859" t="s">
        <v>99</v>
      </c>
      <c r="Z859" t="s">
        <v>421</v>
      </c>
      <c r="AC859" t="str">
        <f>IF(AA859="",M859,AA859)</f>
        <v>sim</v>
      </c>
      <c r="AD859" t="str">
        <f>IF(AB859="",X859,AB859)</f>
        <v>sim</v>
      </c>
      <c r="AE859" t="str">
        <f>IF(OR(Configuracao!B9="",Configuracao!B10=""),"aguardando limiar",IF(AND(K859&gt;=Configuracao!B9,K859/MAX(Reconciliacao!C2,1)&gt;=Configuracao!B10/100),"sim","não"))</f>
        <v>aguardando limiar</v>
      </c>
    </row>
    <row r="860" spans="1:31" x14ac:dyDescent="0.25">
      <c r="A860">
        <v>18546</v>
      </c>
      <c r="C860" t="s">
        <v>835</v>
      </c>
      <c r="D860" t="s">
        <v>657</v>
      </c>
      <c r="E860" t="s">
        <v>451</v>
      </c>
      <c r="F860" t="s">
        <v>248</v>
      </c>
      <c r="G860" t="s">
        <v>299</v>
      </c>
      <c r="H860" t="s">
        <v>298</v>
      </c>
      <c r="I860" t="s">
        <v>439</v>
      </c>
      <c r="J860" t="s">
        <v>439</v>
      </c>
      <c r="K860" s="4">
        <v>120.66</v>
      </c>
      <c r="L860" s="4">
        <v>120.66</v>
      </c>
      <c r="M860" t="s">
        <v>44</v>
      </c>
      <c r="N860" t="s">
        <v>77</v>
      </c>
      <c r="O860" t="s">
        <v>99</v>
      </c>
      <c r="P860" t="s">
        <v>99</v>
      </c>
      <c r="Q860" t="s">
        <v>279</v>
      </c>
      <c r="R860" t="s">
        <v>300</v>
      </c>
      <c r="S860" t="s">
        <v>185</v>
      </c>
      <c r="T860" t="s">
        <v>198</v>
      </c>
      <c r="U860" t="s">
        <v>163</v>
      </c>
      <c r="V860" t="s">
        <v>164</v>
      </c>
      <c r="W860" t="s">
        <v>116</v>
      </c>
      <c r="X860" t="s">
        <v>44</v>
      </c>
      <c r="Y860" t="s">
        <v>99</v>
      </c>
      <c r="Z860" t="s">
        <v>421</v>
      </c>
      <c r="AC860" t="str">
        <f>IF(AA860="",M860,AA860)</f>
        <v>sim</v>
      </c>
      <c r="AD860" t="str">
        <f>IF(AB860="",X860,AB860)</f>
        <v>sim</v>
      </c>
      <c r="AE860" t="str">
        <f>IF(OR(Configuracao!B9="",Configuracao!B10=""),"aguardando limiar",IF(AND(K860&gt;=Configuracao!B9,K860/MAX(Reconciliacao!C2,1)&gt;=Configuracao!B10/100),"sim","não"))</f>
        <v>aguardando limiar</v>
      </c>
    </row>
    <row r="861" spans="1:31" x14ac:dyDescent="0.25">
      <c r="A861">
        <v>17175</v>
      </c>
      <c r="C861" t="s">
        <v>836</v>
      </c>
      <c r="D861" t="s">
        <v>471</v>
      </c>
      <c r="E861" t="s">
        <v>511</v>
      </c>
      <c r="F861" t="s">
        <v>248</v>
      </c>
      <c r="G861" t="s">
        <v>299</v>
      </c>
      <c r="H861" t="s">
        <v>298</v>
      </c>
      <c r="I861" t="s">
        <v>442</v>
      </c>
      <c r="J861" t="s">
        <v>442</v>
      </c>
      <c r="K861" s="4">
        <v>127.58</v>
      </c>
      <c r="L861" s="4">
        <v>127.58</v>
      </c>
      <c r="M861" t="s">
        <v>44</v>
      </c>
      <c r="N861" t="s">
        <v>77</v>
      </c>
      <c r="O861" t="s">
        <v>99</v>
      </c>
      <c r="P861" t="s">
        <v>99</v>
      </c>
      <c r="Q861" t="s">
        <v>279</v>
      </c>
      <c r="R861" t="s">
        <v>300</v>
      </c>
      <c r="S861" t="s">
        <v>185</v>
      </c>
      <c r="T861" t="s">
        <v>198</v>
      </c>
      <c r="U861" t="s">
        <v>163</v>
      </c>
      <c r="V861" t="s">
        <v>164</v>
      </c>
      <c r="W861" t="s">
        <v>116</v>
      </c>
      <c r="X861" t="s">
        <v>44</v>
      </c>
      <c r="Y861" t="s">
        <v>99</v>
      </c>
      <c r="Z861" t="s">
        <v>421</v>
      </c>
      <c r="AC861" t="str">
        <f>IF(AA861="",M861,AA861)</f>
        <v>sim</v>
      </c>
      <c r="AD861" t="str">
        <f>IF(AB861="",X861,AB861)</f>
        <v>sim</v>
      </c>
      <c r="AE861" t="str">
        <f>IF(OR(Configuracao!B9="",Configuracao!B10=""),"aguardando limiar",IF(AND(K861&gt;=Configuracao!B9,K861/MAX(Reconciliacao!C2,1)&gt;=Configuracao!B10/100),"sim","não"))</f>
        <v>aguardando limiar</v>
      </c>
    </row>
    <row r="862" spans="1:31" x14ac:dyDescent="0.25">
      <c r="A862">
        <v>17176</v>
      </c>
      <c r="C862" t="s">
        <v>836</v>
      </c>
      <c r="D862" t="s">
        <v>471</v>
      </c>
      <c r="E862" t="s">
        <v>445</v>
      </c>
      <c r="F862" t="s">
        <v>248</v>
      </c>
      <c r="G862" t="s">
        <v>299</v>
      </c>
      <c r="H862" t="s">
        <v>298</v>
      </c>
      <c r="I862" t="s">
        <v>442</v>
      </c>
      <c r="J862" t="s">
        <v>442</v>
      </c>
      <c r="K862" s="4">
        <v>127.58</v>
      </c>
      <c r="L862" s="4">
        <v>127.58</v>
      </c>
      <c r="M862" t="s">
        <v>44</v>
      </c>
      <c r="N862" t="s">
        <v>77</v>
      </c>
      <c r="O862" t="s">
        <v>99</v>
      </c>
      <c r="P862" t="s">
        <v>99</v>
      </c>
      <c r="Q862" t="s">
        <v>279</v>
      </c>
      <c r="R862" t="s">
        <v>300</v>
      </c>
      <c r="S862" t="s">
        <v>185</v>
      </c>
      <c r="T862" t="s">
        <v>198</v>
      </c>
      <c r="U862" t="s">
        <v>163</v>
      </c>
      <c r="V862" t="s">
        <v>164</v>
      </c>
      <c r="W862" t="s">
        <v>116</v>
      </c>
      <c r="X862" t="s">
        <v>44</v>
      </c>
      <c r="Y862" t="s">
        <v>99</v>
      </c>
      <c r="Z862" t="s">
        <v>421</v>
      </c>
      <c r="AC862" t="str">
        <f>IF(AA862="",M862,AA862)</f>
        <v>sim</v>
      </c>
      <c r="AD862" t="str">
        <f>IF(AB862="",X862,AB862)</f>
        <v>sim</v>
      </c>
      <c r="AE862" t="str">
        <f>IF(OR(Configuracao!B9="",Configuracao!B10=""),"aguardando limiar",IF(AND(K862&gt;=Configuracao!B9,K862/MAX(Reconciliacao!C2,1)&gt;=Configuracao!B10/100),"sim","não"))</f>
        <v>aguardando limiar</v>
      </c>
    </row>
    <row r="863" spans="1:31" x14ac:dyDescent="0.25">
      <c r="A863">
        <v>17173</v>
      </c>
      <c r="C863" t="s">
        <v>836</v>
      </c>
      <c r="D863" t="s">
        <v>471</v>
      </c>
      <c r="E863" t="s">
        <v>471</v>
      </c>
      <c r="F863" t="s">
        <v>248</v>
      </c>
      <c r="G863" t="s">
        <v>299</v>
      </c>
      <c r="H863" t="s">
        <v>298</v>
      </c>
      <c r="I863" t="s">
        <v>442</v>
      </c>
      <c r="J863" t="s">
        <v>442</v>
      </c>
      <c r="K863" s="4">
        <v>127.59</v>
      </c>
      <c r="L863" s="4">
        <v>127.59</v>
      </c>
      <c r="M863" t="s">
        <v>44</v>
      </c>
      <c r="N863" t="s">
        <v>77</v>
      </c>
      <c r="O863" t="s">
        <v>99</v>
      </c>
      <c r="P863" t="s">
        <v>99</v>
      </c>
      <c r="Q863" t="s">
        <v>279</v>
      </c>
      <c r="R863" t="s">
        <v>300</v>
      </c>
      <c r="S863" t="s">
        <v>185</v>
      </c>
      <c r="T863" t="s">
        <v>198</v>
      </c>
      <c r="U863" t="s">
        <v>163</v>
      </c>
      <c r="V863" t="s">
        <v>164</v>
      </c>
      <c r="W863" t="s">
        <v>116</v>
      </c>
      <c r="X863" t="s">
        <v>44</v>
      </c>
      <c r="Y863" t="s">
        <v>99</v>
      </c>
      <c r="Z863" t="s">
        <v>421</v>
      </c>
      <c r="AC863" t="str">
        <f>IF(AA863="",M863,AA863)</f>
        <v>sim</v>
      </c>
      <c r="AD863" t="str">
        <f>IF(AB863="",X863,AB863)</f>
        <v>sim</v>
      </c>
      <c r="AE863" t="str">
        <f>IF(OR(Configuracao!B9="",Configuracao!B10=""),"aguardando limiar",IF(AND(K863&gt;=Configuracao!B9,K863/MAX(Reconciliacao!C2,1)&gt;=Configuracao!B10/100),"sim","não"))</f>
        <v>aguardando limiar</v>
      </c>
    </row>
    <row r="864" spans="1:31" x14ac:dyDescent="0.25">
      <c r="A864">
        <v>17174</v>
      </c>
      <c r="C864" t="s">
        <v>836</v>
      </c>
      <c r="D864" t="s">
        <v>471</v>
      </c>
      <c r="E864" t="s">
        <v>525</v>
      </c>
      <c r="F864" t="s">
        <v>248</v>
      </c>
      <c r="G864" t="s">
        <v>299</v>
      </c>
      <c r="H864" t="s">
        <v>298</v>
      </c>
      <c r="I864" t="s">
        <v>442</v>
      </c>
      <c r="J864" t="s">
        <v>442</v>
      </c>
      <c r="K864" s="4">
        <v>127.59</v>
      </c>
      <c r="L864" s="4">
        <v>127.59</v>
      </c>
      <c r="M864" t="s">
        <v>44</v>
      </c>
      <c r="N864" t="s">
        <v>77</v>
      </c>
      <c r="O864" t="s">
        <v>99</v>
      </c>
      <c r="P864" t="s">
        <v>99</v>
      </c>
      <c r="Q864" t="s">
        <v>279</v>
      </c>
      <c r="R864" t="s">
        <v>300</v>
      </c>
      <c r="S864" t="s">
        <v>185</v>
      </c>
      <c r="T864" t="s">
        <v>198</v>
      </c>
      <c r="U864" t="s">
        <v>163</v>
      </c>
      <c r="V864" t="s">
        <v>164</v>
      </c>
      <c r="W864" t="s">
        <v>116</v>
      </c>
      <c r="X864" t="s">
        <v>44</v>
      </c>
      <c r="Y864" t="s">
        <v>99</v>
      </c>
      <c r="Z864" t="s">
        <v>421</v>
      </c>
      <c r="AC864" t="str">
        <f>IF(AA864="",M864,AA864)</f>
        <v>sim</v>
      </c>
      <c r="AD864" t="str">
        <f>IF(AB864="",X864,AB864)</f>
        <v>sim</v>
      </c>
      <c r="AE864" t="str">
        <f>IF(OR(Configuracao!B9="",Configuracao!B10=""),"aguardando limiar",IF(AND(K864&gt;=Configuracao!B9,K864/MAX(Reconciliacao!C2,1)&gt;=Configuracao!B10/100),"sim","não"))</f>
        <v>aguardando limiar</v>
      </c>
    </row>
    <row r="865" spans="1:31" x14ac:dyDescent="0.25">
      <c r="A865">
        <v>18618</v>
      </c>
      <c r="C865" t="s">
        <v>837</v>
      </c>
      <c r="D865" t="s">
        <v>597</v>
      </c>
      <c r="E865" t="s">
        <v>451</v>
      </c>
      <c r="F865" t="s">
        <v>248</v>
      </c>
      <c r="G865" t="s">
        <v>299</v>
      </c>
      <c r="H865" t="s">
        <v>298</v>
      </c>
      <c r="I865" t="s">
        <v>35</v>
      </c>
      <c r="J865" t="s">
        <v>35</v>
      </c>
      <c r="K865" s="4">
        <v>139.9</v>
      </c>
      <c r="L865" s="4">
        <v>139.9</v>
      </c>
      <c r="M865" t="s">
        <v>44</v>
      </c>
      <c r="N865" t="s">
        <v>77</v>
      </c>
      <c r="O865" t="s">
        <v>99</v>
      </c>
      <c r="P865" t="s">
        <v>99</v>
      </c>
      <c r="Q865" t="s">
        <v>279</v>
      </c>
      <c r="R865" t="s">
        <v>300</v>
      </c>
      <c r="S865" t="s">
        <v>185</v>
      </c>
      <c r="T865" t="s">
        <v>198</v>
      </c>
      <c r="U865" t="s">
        <v>163</v>
      </c>
      <c r="V865" t="s">
        <v>164</v>
      </c>
      <c r="W865" t="s">
        <v>116</v>
      </c>
      <c r="X865" t="s">
        <v>44</v>
      </c>
      <c r="Y865" t="s">
        <v>99</v>
      </c>
      <c r="Z865" t="s">
        <v>421</v>
      </c>
      <c r="AC865" t="str">
        <f>IF(AA865="",M865,AA865)</f>
        <v>sim</v>
      </c>
      <c r="AD865" t="str">
        <f>IF(AB865="",X865,AB865)</f>
        <v>sim</v>
      </c>
      <c r="AE865" t="str">
        <f>IF(OR(Configuracao!B9="",Configuracao!B10=""),"aguardando limiar",IF(AND(K865&gt;=Configuracao!B9,K865/MAX(Reconciliacao!C2,1)&gt;=Configuracao!B10/100),"sim","não"))</f>
        <v>aguardando limiar</v>
      </c>
    </row>
    <row r="866" spans="1:31" x14ac:dyDescent="0.25">
      <c r="A866">
        <v>12342</v>
      </c>
      <c r="C866" t="s">
        <v>838</v>
      </c>
      <c r="D866" t="s">
        <v>599</v>
      </c>
      <c r="E866" t="s">
        <v>445</v>
      </c>
      <c r="F866" t="s">
        <v>248</v>
      </c>
      <c r="G866" t="s">
        <v>299</v>
      </c>
      <c r="H866" t="s">
        <v>298</v>
      </c>
      <c r="I866" t="s">
        <v>424</v>
      </c>
      <c r="J866" t="s">
        <v>424</v>
      </c>
      <c r="K866" s="4">
        <v>156.74</v>
      </c>
      <c r="L866" s="4">
        <v>156.74</v>
      </c>
      <c r="M866" t="s">
        <v>44</v>
      </c>
      <c r="N866" t="s">
        <v>77</v>
      </c>
      <c r="O866" t="s">
        <v>99</v>
      </c>
      <c r="P866" t="s">
        <v>99</v>
      </c>
      <c r="Q866" t="s">
        <v>279</v>
      </c>
      <c r="R866" t="s">
        <v>300</v>
      </c>
      <c r="S866" t="s">
        <v>185</v>
      </c>
      <c r="T866" t="s">
        <v>198</v>
      </c>
      <c r="U866" t="s">
        <v>163</v>
      </c>
      <c r="V866" t="s">
        <v>164</v>
      </c>
      <c r="W866" t="s">
        <v>116</v>
      </c>
      <c r="X866" t="s">
        <v>44</v>
      </c>
      <c r="Y866" t="s">
        <v>99</v>
      </c>
      <c r="Z866" t="s">
        <v>421</v>
      </c>
      <c r="AC866" t="str">
        <f>IF(AA866="",M866,AA866)</f>
        <v>sim</v>
      </c>
      <c r="AD866" t="str">
        <f>IF(AB866="",X866,AB866)</f>
        <v>sim</v>
      </c>
      <c r="AE866" t="str">
        <f>IF(OR(Configuracao!B9="",Configuracao!B10=""),"aguardando limiar",IF(AND(K866&gt;=Configuracao!B9,K866/MAX(Reconciliacao!C2,1)&gt;=Configuracao!B10/100),"sim","não"))</f>
        <v>aguardando limiar</v>
      </c>
    </row>
    <row r="867" spans="1:31" x14ac:dyDescent="0.25">
      <c r="A867">
        <v>11748</v>
      </c>
      <c r="C867" t="s">
        <v>839</v>
      </c>
      <c r="D867" t="s">
        <v>438</v>
      </c>
      <c r="E867" t="s">
        <v>477</v>
      </c>
      <c r="F867" t="s">
        <v>248</v>
      </c>
      <c r="G867" t="s">
        <v>299</v>
      </c>
      <c r="H867" t="s">
        <v>298</v>
      </c>
      <c r="I867" t="s">
        <v>32</v>
      </c>
      <c r="J867" t="s">
        <v>32</v>
      </c>
      <c r="K867" s="4">
        <v>246.95</v>
      </c>
      <c r="L867" s="4">
        <v>246.95</v>
      </c>
      <c r="M867" t="s">
        <v>44</v>
      </c>
      <c r="N867" t="s">
        <v>77</v>
      </c>
      <c r="O867" t="s">
        <v>99</v>
      </c>
      <c r="P867" t="s">
        <v>99</v>
      </c>
      <c r="Q867" t="s">
        <v>279</v>
      </c>
      <c r="R867" t="s">
        <v>300</v>
      </c>
      <c r="S867" t="s">
        <v>185</v>
      </c>
      <c r="T867" t="s">
        <v>198</v>
      </c>
      <c r="U867" t="s">
        <v>163</v>
      </c>
      <c r="V867" t="s">
        <v>164</v>
      </c>
      <c r="W867" t="s">
        <v>116</v>
      </c>
      <c r="X867" t="s">
        <v>44</v>
      </c>
      <c r="Y867" t="s">
        <v>99</v>
      </c>
      <c r="Z867" t="s">
        <v>421</v>
      </c>
      <c r="AC867" t="str">
        <f>IF(AA867="",M867,AA867)</f>
        <v>sim</v>
      </c>
      <c r="AD867" t="str">
        <f>IF(AB867="",X867,AB867)</f>
        <v>sim</v>
      </c>
      <c r="AE867" t="str">
        <f>IF(OR(Configuracao!B9="",Configuracao!B10=""),"aguardando limiar",IF(AND(K867&gt;=Configuracao!B9,K867/MAX(Reconciliacao!C2,1)&gt;=Configuracao!B10/100),"sim","não"))</f>
        <v>aguardando limiar</v>
      </c>
    </row>
    <row r="868" spans="1:31" x14ac:dyDescent="0.25">
      <c r="A868">
        <v>17540</v>
      </c>
      <c r="C868" t="s">
        <v>840</v>
      </c>
      <c r="D868" t="s">
        <v>841</v>
      </c>
      <c r="E868" t="s">
        <v>451</v>
      </c>
      <c r="F868" t="s">
        <v>248</v>
      </c>
      <c r="G868" t="s">
        <v>299</v>
      </c>
      <c r="H868" t="s">
        <v>298</v>
      </c>
      <c r="I868" t="s">
        <v>442</v>
      </c>
      <c r="J868" t="s">
        <v>442</v>
      </c>
      <c r="K868" s="4">
        <v>350</v>
      </c>
      <c r="L868" s="4">
        <v>350</v>
      </c>
      <c r="M868" t="s">
        <v>44</v>
      </c>
      <c r="N868" t="s">
        <v>77</v>
      </c>
      <c r="O868" t="s">
        <v>99</v>
      </c>
      <c r="P868" t="s">
        <v>99</v>
      </c>
      <c r="Q868" t="s">
        <v>279</v>
      </c>
      <c r="R868" t="s">
        <v>300</v>
      </c>
      <c r="S868" t="s">
        <v>185</v>
      </c>
      <c r="T868" t="s">
        <v>198</v>
      </c>
      <c r="U868" t="s">
        <v>163</v>
      </c>
      <c r="V868" t="s">
        <v>164</v>
      </c>
      <c r="W868" t="s">
        <v>116</v>
      </c>
      <c r="X868" t="s">
        <v>44</v>
      </c>
      <c r="Y868" t="s">
        <v>99</v>
      </c>
      <c r="Z868" t="s">
        <v>421</v>
      </c>
      <c r="AC868" t="str">
        <f>IF(AA868="",M868,AA868)</f>
        <v>sim</v>
      </c>
      <c r="AD868" t="str">
        <f>IF(AB868="",X868,AB868)</f>
        <v>sim</v>
      </c>
      <c r="AE868" t="str">
        <f>IF(OR(Configuracao!B9="",Configuracao!B10=""),"aguardando limiar",IF(AND(K868&gt;=Configuracao!B9,K868/MAX(Reconciliacao!C2,1)&gt;=Configuracao!B10/100),"sim","não"))</f>
        <v>aguardando limiar</v>
      </c>
    </row>
    <row r="869" spans="1:31" x14ac:dyDescent="0.25">
      <c r="A869">
        <v>11933</v>
      </c>
      <c r="C869" t="s">
        <v>842</v>
      </c>
      <c r="D869" t="s">
        <v>438</v>
      </c>
      <c r="E869" t="s">
        <v>477</v>
      </c>
      <c r="F869" t="s">
        <v>248</v>
      </c>
      <c r="G869" t="s">
        <v>299</v>
      </c>
      <c r="H869" t="s">
        <v>298</v>
      </c>
      <c r="I869" t="s">
        <v>32</v>
      </c>
      <c r="J869" t="s">
        <v>32</v>
      </c>
      <c r="K869" s="4">
        <v>477.2</v>
      </c>
      <c r="L869" s="4">
        <v>477.2</v>
      </c>
      <c r="M869" t="s">
        <v>44</v>
      </c>
      <c r="N869" t="s">
        <v>77</v>
      </c>
      <c r="O869" t="s">
        <v>99</v>
      </c>
      <c r="P869" t="s">
        <v>99</v>
      </c>
      <c r="Q869" t="s">
        <v>279</v>
      </c>
      <c r="R869" t="s">
        <v>300</v>
      </c>
      <c r="S869" t="s">
        <v>185</v>
      </c>
      <c r="T869" t="s">
        <v>198</v>
      </c>
      <c r="U869" t="s">
        <v>163</v>
      </c>
      <c r="V869" t="s">
        <v>164</v>
      </c>
      <c r="W869" t="s">
        <v>116</v>
      </c>
      <c r="X869" t="s">
        <v>44</v>
      </c>
      <c r="Y869" t="s">
        <v>99</v>
      </c>
      <c r="Z869" t="s">
        <v>421</v>
      </c>
      <c r="AC869" t="str">
        <f>IF(AA869="",M869,AA869)</f>
        <v>sim</v>
      </c>
      <c r="AD869" t="str">
        <f>IF(AB869="",X869,AB869)</f>
        <v>sim</v>
      </c>
      <c r="AE869" t="str">
        <f>IF(OR(Configuracao!B9="",Configuracao!B10=""),"aguardando limiar",IF(AND(K869&gt;=Configuracao!B9,K869/MAX(Reconciliacao!C2,1)&gt;=Configuracao!B10/100),"sim","não"))</f>
        <v>aguardando limiar</v>
      </c>
    </row>
    <row r="870" spans="1:31" x14ac:dyDescent="0.25">
      <c r="A870">
        <v>18390</v>
      </c>
      <c r="C870" t="s">
        <v>843</v>
      </c>
      <c r="D870" t="s">
        <v>844</v>
      </c>
      <c r="E870" t="s">
        <v>451</v>
      </c>
      <c r="F870" t="s">
        <v>248</v>
      </c>
      <c r="G870" t="s">
        <v>299</v>
      </c>
      <c r="H870" t="s">
        <v>298</v>
      </c>
      <c r="I870" t="s">
        <v>35</v>
      </c>
      <c r="J870" t="s">
        <v>35</v>
      </c>
      <c r="K870" s="4">
        <v>549.85</v>
      </c>
      <c r="L870" s="4">
        <v>549.85</v>
      </c>
      <c r="M870" t="s">
        <v>44</v>
      </c>
      <c r="N870" t="s">
        <v>77</v>
      </c>
      <c r="O870" t="s">
        <v>99</v>
      </c>
      <c r="P870" t="s">
        <v>99</v>
      </c>
      <c r="Q870" t="s">
        <v>279</v>
      </c>
      <c r="R870" t="s">
        <v>300</v>
      </c>
      <c r="S870" t="s">
        <v>185</v>
      </c>
      <c r="T870" t="s">
        <v>198</v>
      </c>
      <c r="U870" t="s">
        <v>163</v>
      </c>
      <c r="V870" t="s">
        <v>164</v>
      </c>
      <c r="W870" t="s">
        <v>116</v>
      </c>
      <c r="X870" t="s">
        <v>44</v>
      </c>
      <c r="Y870" t="s">
        <v>99</v>
      </c>
      <c r="Z870" t="s">
        <v>421</v>
      </c>
      <c r="AC870" t="str">
        <f>IF(AA870="",M870,AA870)</f>
        <v>sim</v>
      </c>
      <c r="AD870" t="str">
        <f>IF(AB870="",X870,AB870)</f>
        <v>sim</v>
      </c>
      <c r="AE870" t="str">
        <f>IF(OR(Configuracao!B9="",Configuracao!B10=""),"aguardando limiar",IF(AND(K870&gt;=Configuracao!B9,K870/MAX(Reconciliacao!C2,1)&gt;=Configuracao!B10/100),"sim","não"))</f>
        <v>aguardando limiar</v>
      </c>
    </row>
    <row r="871" spans="1:31" x14ac:dyDescent="0.25">
      <c r="A871">
        <v>12088</v>
      </c>
      <c r="C871" t="s">
        <v>845</v>
      </c>
      <c r="D871" t="s">
        <v>438</v>
      </c>
      <c r="E871" t="s">
        <v>477</v>
      </c>
      <c r="F871" t="s">
        <v>248</v>
      </c>
      <c r="G871" t="s">
        <v>299</v>
      </c>
      <c r="H871" t="s">
        <v>298</v>
      </c>
      <c r="I871" t="s">
        <v>424</v>
      </c>
      <c r="J871" t="s">
        <v>424</v>
      </c>
      <c r="K871" s="4">
        <v>552.8</v>
      </c>
      <c r="L871" s="4">
        <v>552.8</v>
      </c>
      <c r="M871" t="s">
        <v>44</v>
      </c>
      <c r="N871" t="s">
        <v>77</v>
      </c>
      <c r="O871" t="s">
        <v>99</v>
      </c>
      <c r="P871" t="s">
        <v>99</v>
      </c>
      <c r="Q871" t="s">
        <v>279</v>
      </c>
      <c r="R871" t="s">
        <v>300</v>
      </c>
      <c r="S871" t="s">
        <v>185</v>
      </c>
      <c r="T871" t="s">
        <v>198</v>
      </c>
      <c r="U871" t="s">
        <v>163</v>
      </c>
      <c r="V871" t="s">
        <v>164</v>
      </c>
      <c r="W871" t="s">
        <v>116</v>
      </c>
      <c r="X871" t="s">
        <v>44</v>
      </c>
      <c r="Y871" t="s">
        <v>99</v>
      </c>
      <c r="Z871" t="s">
        <v>421</v>
      </c>
      <c r="AC871" t="str">
        <f>IF(AA871="",M871,AA871)</f>
        <v>sim</v>
      </c>
      <c r="AD871" t="str">
        <f>IF(AB871="",X871,AB871)</f>
        <v>sim</v>
      </c>
      <c r="AE871" t="str">
        <f>IF(OR(Configuracao!B9="",Configuracao!B10=""),"aguardando limiar",IF(AND(K871&gt;=Configuracao!B9,K871/MAX(Reconciliacao!C2,1)&gt;=Configuracao!B10/100),"sim","não"))</f>
        <v>aguardando limiar</v>
      </c>
    </row>
    <row r="872" spans="1:31" x14ac:dyDescent="0.25">
      <c r="A872">
        <v>13407</v>
      </c>
      <c r="C872" t="s">
        <v>846</v>
      </c>
      <c r="D872" t="s">
        <v>438</v>
      </c>
      <c r="E872" t="s">
        <v>477</v>
      </c>
      <c r="F872" t="s">
        <v>248</v>
      </c>
      <c r="G872" t="s">
        <v>299</v>
      </c>
      <c r="H872" t="s">
        <v>298</v>
      </c>
      <c r="I872" t="s">
        <v>454</v>
      </c>
      <c r="J872" t="s">
        <v>454</v>
      </c>
      <c r="K872" s="4">
        <v>582.79</v>
      </c>
      <c r="L872" s="4">
        <v>582.79</v>
      </c>
      <c r="M872" t="s">
        <v>44</v>
      </c>
      <c r="N872" t="s">
        <v>77</v>
      </c>
      <c r="O872" t="s">
        <v>99</v>
      </c>
      <c r="P872" t="s">
        <v>99</v>
      </c>
      <c r="Q872" t="s">
        <v>279</v>
      </c>
      <c r="R872" t="s">
        <v>300</v>
      </c>
      <c r="S872" t="s">
        <v>185</v>
      </c>
      <c r="T872" t="s">
        <v>198</v>
      </c>
      <c r="U872" t="s">
        <v>163</v>
      </c>
      <c r="V872" t="s">
        <v>164</v>
      </c>
      <c r="W872" t="s">
        <v>116</v>
      </c>
      <c r="X872" t="s">
        <v>44</v>
      </c>
      <c r="Y872" t="s">
        <v>99</v>
      </c>
      <c r="Z872" t="s">
        <v>421</v>
      </c>
      <c r="AC872" t="str">
        <f>IF(AA872="",M872,AA872)</f>
        <v>sim</v>
      </c>
      <c r="AD872" t="str">
        <f>IF(AB872="",X872,AB872)</f>
        <v>sim</v>
      </c>
      <c r="AE872" t="str">
        <f>IF(OR(Configuracao!B9="",Configuracao!B10=""),"aguardando limiar",IF(AND(K872&gt;=Configuracao!B9,K872/MAX(Reconciliacao!C2,1)&gt;=Configuracao!B10/100),"sim","não"))</f>
        <v>aguardando limiar</v>
      </c>
    </row>
    <row r="873" spans="1:31" x14ac:dyDescent="0.25">
      <c r="A873">
        <v>12172</v>
      </c>
      <c r="C873" t="s">
        <v>847</v>
      </c>
      <c r="D873" t="s">
        <v>438</v>
      </c>
      <c r="E873" t="s">
        <v>477</v>
      </c>
      <c r="F873" t="s">
        <v>248</v>
      </c>
      <c r="G873" t="s">
        <v>299</v>
      </c>
      <c r="H873" t="s">
        <v>298</v>
      </c>
      <c r="I873" t="s">
        <v>424</v>
      </c>
      <c r="J873" t="s">
        <v>424</v>
      </c>
      <c r="K873" s="4">
        <v>592.4</v>
      </c>
      <c r="L873" s="4">
        <v>592.4</v>
      </c>
      <c r="M873" t="s">
        <v>44</v>
      </c>
      <c r="N873" t="s">
        <v>77</v>
      </c>
      <c r="O873" t="s">
        <v>99</v>
      </c>
      <c r="P873" t="s">
        <v>99</v>
      </c>
      <c r="Q873" t="s">
        <v>279</v>
      </c>
      <c r="R873" t="s">
        <v>300</v>
      </c>
      <c r="S873" t="s">
        <v>185</v>
      </c>
      <c r="T873" t="s">
        <v>198</v>
      </c>
      <c r="U873" t="s">
        <v>163</v>
      </c>
      <c r="V873" t="s">
        <v>164</v>
      </c>
      <c r="W873" t="s">
        <v>116</v>
      </c>
      <c r="X873" t="s">
        <v>44</v>
      </c>
      <c r="Y873" t="s">
        <v>99</v>
      </c>
      <c r="Z873" t="s">
        <v>421</v>
      </c>
      <c r="AC873" t="str">
        <f>IF(AA873="",M873,AA873)</f>
        <v>sim</v>
      </c>
      <c r="AD873" t="str">
        <f>IF(AB873="",X873,AB873)</f>
        <v>sim</v>
      </c>
      <c r="AE873" t="str">
        <f>IF(OR(Configuracao!B9="",Configuracao!B10=""),"aguardando limiar",IF(AND(K873&gt;=Configuracao!B9,K873/MAX(Reconciliacao!C2,1)&gt;=Configuracao!B10/100),"sim","não"))</f>
        <v>aguardando limiar</v>
      </c>
    </row>
    <row r="874" spans="1:31" x14ac:dyDescent="0.25">
      <c r="A874">
        <v>17178</v>
      </c>
      <c r="C874" t="s">
        <v>848</v>
      </c>
      <c r="D874" t="s">
        <v>849</v>
      </c>
      <c r="E874" t="s">
        <v>451</v>
      </c>
      <c r="F874" t="s">
        <v>248</v>
      </c>
      <c r="G874" t="s">
        <v>299</v>
      </c>
      <c r="H874" t="s">
        <v>298</v>
      </c>
      <c r="I874" t="s">
        <v>442</v>
      </c>
      <c r="J874" t="s">
        <v>442</v>
      </c>
      <c r="K874" s="4">
        <v>690</v>
      </c>
      <c r="L874" s="4">
        <v>690</v>
      </c>
      <c r="M874" t="s">
        <v>44</v>
      </c>
      <c r="N874" t="s">
        <v>77</v>
      </c>
      <c r="O874" t="s">
        <v>99</v>
      </c>
      <c r="P874" t="s">
        <v>99</v>
      </c>
      <c r="Q874" t="s">
        <v>279</v>
      </c>
      <c r="R874" t="s">
        <v>300</v>
      </c>
      <c r="S874" t="s">
        <v>185</v>
      </c>
      <c r="T874" t="s">
        <v>198</v>
      </c>
      <c r="U874" t="s">
        <v>163</v>
      </c>
      <c r="V874" t="s">
        <v>164</v>
      </c>
      <c r="W874" t="s">
        <v>116</v>
      </c>
      <c r="X874" t="s">
        <v>44</v>
      </c>
      <c r="Y874" t="s">
        <v>99</v>
      </c>
      <c r="Z874" t="s">
        <v>421</v>
      </c>
      <c r="AC874" t="str">
        <f>IF(AA874="",M874,AA874)</f>
        <v>sim</v>
      </c>
      <c r="AD874" t="str">
        <f>IF(AB874="",X874,AB874)</f>
        <v>sim</v>
      </c>
      <c r="AE874" t="str">
        <f>IF(OR(Configuracao!B9="",Configuracao!B10=""),"aguardando limiar",IF(AND(K874&gt;=Configuracao!B9,K874/MAX(Reconciliacao!C2,1)&gt;=Configuracao!B10/100),"sim","não"))</f>
        <v>aguardando limiar</v>
      </c>
    </row>
    <row r="875" spans="1:31" x14ac:dyDescent="0.25">
      <c r="A875">
        <v>17720</v>
      </c>
      <c r="C875" t="s">
        <v>850</v>
      </c>
      <c r="D875" t="s">
        <v>851</v>
      </c>
      <c r="E875" t="s">
        <v>852</v>
      </c>
      <c r="F875" t="s">
        <v>248</v>
      </c>
      <c r="G875" t="s">
        <v>299</v>
      </c>
      <c r="H875" t="s">
        <v>298</v>
      </c>
      <c r="I875" t="s">
        <v>439</v>
      </c>
      <c r="J875" t="s">
        <v>439</v>
      </c>
      <c r="K875" s="4">
        <v>881.85</v>
      </c>
      <c r="L875" s="4">
        <v>881.85</v>
      </c>
      <c r="M875" t="s">
        <v>44</v>
      </c>
      <c r="N875" t="s">
        <v>77</v>
      </c>
      <c r="O875" t="s">
        <v>99</v>
      </c>
      <c r="P875" t="s">
        <v>99</v>
      </c>
      <c r="Q875" t="s">
        <v>279</v>
      </c>
      <c r="R875" t="s">
        <v>300</v>
      </c>
      <c r="S875" t="s">
        <v>185</v>
      </c>
      <c r="T875" t="s">
        <v>198</v>
      </c>
      <c r="U875" t="s">
        <v>163</v>
      </c>
      <c r="V875" t="s">
        <v>164</v>
      </c>
      <c r="W875" t="s">
        <v>116</v>
      </c>
      <c r="X875" t="s">
        <v>44</v>
      </c>
      <c r="Y875" t="s">
        <v>99</v>
      </c>
      <c r="Z875" t="s">
        <v>421</v>
      </c>
      <c r="AC875" t="str">
        <f>IF(AA875="",M875,AA875)</f>
        <v>sim</v>
      </c>
      <c r="AD875" t="str">
        <f>IF(AB875="",X875,AB875)</f>
        <v>sim</v>
      </c>
      <c r="AE875" t="str">
        <f>IF(OR(Configuracao!B9="",Configuracao!B10=""),"aguardando limiar",IF(AND(K875&gt;=Configuracao!B9,K875/MAX(Reconciliacao!C2,1)&gt;=Configuracao!B10/100),"sim","não"))</f>
        <v>aguardando limiar</v>
      </c>
    </row>
    <row r="876" spans="1:31" x14ac:dyDescent="0.25">
      <c r="A876">
        <v>12089</v>
      </c>
      <c r="C876" t="s">
        <v>853</v>
      </c>
      <c r="D876" t="s">
        <v>587</v>
      </c>
      <c r="E876" t="s">
        <v>525</v>
      </c>
      <c r="F876" t="s">
        <v>248</v>
      </c>
      <c r="G876" t="s">
        <v>299</v>
      </c>
      <c r="H876" t="s">
        <v>298</v>
      </c>
      <c r="I876" t="s">
        <v>424</v>
      </c>
      <c r="J876" t="s">
        <v>424</v>
      </c>
      <c r="K876" s="4">
        <v>1301.03</v>
      </c>
      <c r="L876" s="4">
        <v>1301.03</v>
      </c>
      <c r="M876" t="s">
        <v>44</v>
      </c>
      <c r="N876" t="s">
        <v>77</v>
      </c>
      <c r="O876" t="s">
        <v>99</v>
      </c>
      <c r="P876" t="s">
        <v>99</v>
      </c>
      <c r="Q876" t="s">
        <v>279</v>
      </c>
      <c r="R876" t="s">
        <v>300</v>
      </c>
      <c r="S876" t="s">
        <v>185</v>
      </c>
      <c r="T876" t="s">
        <v>198</v>
      </c>
      <c r="U876" t="s">
        <v>163</v>
      </c>
      <c r="V876" t="s">
        <v>164</v>
      </c>
      <c r="W876" t="s">
        <v>116</v>
      </c>
      <c r="X876" t="s">
        <v>166</v>
      </c>
      <c r="Y876" t="s">
        <v>854</v>
      </c>
      <c r="Z876" t="s">
        <v>434</v>
      </c>
      <c r="AC876" t="str">
        <f>IF(AA876="",M876,AA876)</f>
        <v>sim</v>
      </c>
      <c r="AD876" t="str">
        <f>IF(AB876="",X876,AB876)</f>
        <v>não</v>
      </c>
      <c r="AE876" t="str">
        <f>IF(OR(Configuracao!B9="",Configuracao!B10=""),"aguardando limiar",IF(AND(K876&gt;=Configuracao!B9,K876/MAX(Reconciliacao!C2,1)&gt;=Configuracao!B10/100),"sim","não"))</f>
        <v>aguardando limiar</v>
      </c>
    </row>
    <row r="877" spans="1:31" x14ac:dyDescent="0.25">
      <c r="A877">
        <v>17532</v>
      </c>
      <c r="C877" t="s">
        <v>855</v>
      </c>
      <c r="D877" t="s">
        <v>856</v>
      </c>
      <c r="E877" t="s">
        <v>465</v>
      </c>
      <c r="F877" t="s">
        <v>248</v>
      </c>
      <c r="G877" t="s">
        <v>299</v>
      </c>
      <c r="H877" t="s">
        <v>298</v>
      </c>
      <c r="I877" t="s">
        <v>442</v>
      </c>
      <c r="J877" t="s">
        <v>442</v>
      </c>
      <c r="K877" s="4">
        <v>2350.75</v>
      </c>
      <c r="L877" s="4">
        <v>2350.75</v>
      </c>
      <c r="M877" t="s">
        <v>44</v>
      </c>
      <c r="N877" t="s">
        <v>77</v>
      </c>
      <c r="O877" t="s">
        <v>99</v>
      </c>
      <c r="P877" t="s">
        <v>99</v>
      </c>
      <c r="Q877" t="s">
        <v>279</v>
      </c>
      <c r="R877" t="s">
        <v>300</v>
      </c>
      <c r="S877" t="s">
        <v>185</v>
      </c>
      <c r="T877" t="s">
        <v>198</v>
      </c>
      <c r="U877" t="s">
        <v>163</v>
      </c>
      <c r="V877" t="s">
        <v>164</v>
      </c>
      <c r="W877" t="s">
        <v>116</v>
      </c>
      <c r="X877" t="s">
        <v>166</v>
      </c>
      <c r="Y877" t="s">
        <v>857</v>
      </c>
      <c r="Z877" t="s">
        <v>434</v>
      </c>
      <c r="AC877" t="str">
        <f>IF(AA877="",M877,AA877)</f>
        <v>sim</v>
      </c>
      <c r="AD877" t="str">
        <f>IF(AB877="",X877,AB877)</f>
        <v>não</v>
      </c>
      <c r="AE877" t="str">
        <f>IF(OR(Configuracao!B9="",Configuracao!B10=""),"aguardando limiar",IF(AND(K877&gt;=Configuracao!B9,K877/MAX(Reconciliacao!C2,1)&gt;=Configuracao!B10/100),"sim","não"))</f>
        <v>aguardando limiar</v>
      </c>
    </row>
    <row r="878" spans="1:31" x14ac:dyDescent="0.25">
      <c r="A878">
        <v>11749</v>
      </c>
      <c r="C878" t="s">
        <v>858</v>
      </c>
      <c r="D878" t="s">
        <v>587</v>
      </c>
      <c r="E878" t="s">
        <v>74</v>
      </c>
      <c r="F878" t="s">
        <v>248</v>
      </c>
      <c r="G878" t="s">
        <v>247</v>
      </c>
      <c r="H878" t="s">
        <v>246</v>
      </c>
      <c r="I878" t="s">
        <v>32</v>
      </c>
      <c r="J878" t="s">
        <v>32</v>
      </c>
      <c r="K878" s="4">
        <v>60</v>
      </c>
      <c r="L878" s="4">
        <v>60</v>
      </c>
      <c r="M878" t="s">
        <v>166</v>
      </c>
      <c r="N878" t="s">
        <v>77</v>
      </c>
      <c r="O878" t="s">
        <v>76</v>
      </c>
      <c r="P878" t="s">
        <v>187</v>
      </c>
      <c r="Q878" t="s">
        <v>76</v>
      </c>
      <c r="R878" t="s">
        <v>76</v>
      </c>
      <c r="S878" t="s">
        <v>167</v>
      </c>
      <c r="T878" t="s">
        <v>167</v>
      </c>
      <c r="U878" t="s">
        <v>168</v>
      </c>
      <c r="V878" t="s">
        <v>169</v>
      </c>
      <c r="W878" t="s">
        <v>77</v>
      </c>
      <c r="X878" t="s">
        <v>44</v>
      </c>
      <c r="Y878" t="s">
        <v>99</v>
      </c>
      <c r="Z878" t="s">
        <v>421</v>
      </c>
      <c r="AC878" t="str">
        <f>IF(AA878="",M878,AA878)</f>
        <v>não</v>
      </c>
      <c r="AD878" t="str">
        <f>IF(AB878="",X878,AB878)</f>
        <v>sim</v>
      </c>
      <c r="AE878" t="str">
        <f>IF(OR(Configuracao!B9="",Configuracao!B10=""),"aguardando limiar",IF(AND(K878&gt;=Configuracao!B9,K878/MAX(Reconciliacao!C2,1)&gt;=Configuracao!B10/100),"sim","não"))</f>
        <v>aguardando limiar</v>
      </c>
    </row>
    <row r="879" spans="1:31" x14ac:dyDescent="0.25">
      <c r="A879">
        <v>12344</v>
      </c>
      <c r="C879" t="s">
        <v>859</v>
      </c>
      <c r="D879" t="s">
        <v>604</v>
      </c>
      <c r="E879" t="s">
        <v>74</v>
      </c>
      <c r="F879" t="s">
        <v>248</v>
      </c>
      <c r="G879" t="s">
        <v>247</v>
      </c>
      <c r="H879" t="s">
        <v>246</v>
      </c>
      <c r="I879" t="s">
        <v>424</v>
      </c>
      <c r="J879" t="s">
        <v>424</v>
      </c>
      <c r="K879" s="4">
        <v>65.64</v>
      </c>
      <c r="L879" s="4">
        <v>65.64</v>
      </c>
      <c r="M879" t="s">
        <v>166</v>
      </c>
      <c r="N879" t="s">
        <v>77</v>
      </c>
      <c r="O879" t="s">
        <v>76</v>
      </c>
      <c r="P879" t="s">
        <v>187</v>
      </c>
      <c r="Q879" t="s">
        <v>76</v>
      </c>
      <c r="R879" t="s">
        <v>76</v>
      </c>
      <c r="S879" t="s">
        <v>167</v>
      </c>
      <c r="T879" t="s">
        <v>167</v>
      </c>
      <c r="U879" t="s">
        <v>168</v>
      </c>
      <c r="V879" t="s">
        <v>169</v>
      </c>
      <c r="W879" t="s">
        <v>77</v>
      </c>
      <c r="X879" t="s">
        <v>44</v>
      </c>
      <c r="Y879" t="s">
        <v>99</v>
      </c>
      <c r="Z879" t="s">
        <v>421</v>
      </c>
      <c r="AC879" t="str">
        <f>IF(AA879="",M879,AA879)</f>
        <v>não</v>
      </c>
      <c r="AD879" t="str">
        <f>IF(AB879="",X879,AB879)</f>
        <v>sim</v>
      </c>
      <c r="AE879" t="str">
        <f>IF(OR(Configuracao!B9="",Configuracao!B10=""),"aguardando limiar",IF(AND(K879&gt;=Configuracao!B9,K879/MAX(Reconciliacao!C2,1)&gt;=Configuracao!B10/100),"sim","não"))</f>
        <v>aguardando limiar</v>
      </c>
    </row>
    <row r="880" spans="1:31" x14ac:dyDescent="0.25">
      <c r="A880">
        <v>16860</v>
      </c>
      <c r="C880" t="s">
        <v>860</v>
      </c>
      <c r="D880" t="s">
        <v>604</v>
      </c>
      <c r="E880" t="s">
        <v>74</v>
      </c>
      <c r="F880" t="s">
        <v>248</v>
      </c>
      <c r="G880" t="s">
        <v>247</v>
      </c>
      <c r="H880" t="s">
        <v>246</v>
      </c>
      <c r="I880" t="s">
        <v>442</v>
      </c>
      <c r="J880" t="s">
        <v>442</v>
      </c>
      <c r="K880" s="4">
        <v>80.72</v>
      </c>
      <c r="L880" s="4">
        <v>80.72</v>
      </c>
      <c r="M880" t="s">
        <v>166</v>
      </c>
      <c r="N880" t="s">
        <v>77</v>
      </c>
      <c r="O880" t="s">
        <v>76</v>
      </c>
      <c r="P880" t="s">
        <v>187</v>
      </c>
      <c r="Q880" t="s">
        <v>76</v>
      </c>
      <c r="R880" t="s">
        <v>76</v>
      </c>
      <c r="S880" t="s">
        <v>167</v>
      </c>
      <c r="T880" t="s">
        <v>167</v>
      </c>
      <c r="U880" t="s">
        <v>168</v>
      </c>
      <c r="V880" t="s">
        <v>169</v>
      </c>
      <c r="W880" t="s">
        <v>77</v>
      </c>
      <c r="X880" t="s">
        <v>44</v>
      </c>
      <c r="Y880" t="s">
        <v>99</v>
      </c>
      <c r="Z880" t="s">
        <v>421</v>
      </c>
      <c r="AC880" t="str">
        <f>IF(AA880="",M880,AA880)</f>
        <v>não</v>
      </c>
      <c r="AD880" t="str">
        <f>IF(AB880="",X880,AB880)</f>
        <v>sim</v>
      </c>
      <c r="AE880" t="str">
        <f>IF(OR(Configuracao!B9="",Configuracao!B10=""),"aguardando limiar",IF(AND(K880&gt;=Configuracao!B9,K880/MAX(Reconciliacao!C2,1)&gt;=Configuracao!B10/100),"sim","não"))</f>
        <v>aguardando limiar</v>
      </c>
    </row>
    <row r="881" spans="1:31" x14ac:dyDescent="0.25">
      <c r="A881">
        <v>16769</v>
      </c>
      <c r="C881" t="s">
        <v>861</v>
      </c>
      <c r="D881" t="s">
        <v>629</v>
      </c>
      <c r="E881" t="s">
        <v>74</v>
      </c>
      <c r="F881" t="s">
        <v>248</v>
      </c>
      <c r="G881" t="s">
        <v>247</v>
      </c>
      <c r="H881" t="s">
        <v>246</v>
      </c>
      <c r="I881" t="s">
        <v>461</v>
      </c>
      <c r="J881" t="s">
        <v>461</v>
      </c>
      <c r="K881" s="4">
        <v>124.72</v>
      </c>
      <c r="L881" s="4">
        <v>124.72</v>
      </c>
      <c r="M881" t="s">
        <v>166</v>
      </c>
      <c r="N881" t="s">
        <v>77</v>
      </c>
      <c r="O881" t="s">
        <v>76</v>
      </c>
      <c r="P881" t="s">
        <v>187</v>
      </c>
      <c r="Q881" t="s">
        <v>76</v>
      </c>
      <c r="R881" t="s">
        <v>76</v>
      </c>
      <c r="S881" t="s">
        <v>167</v>
      </c>
      <c r="T881" t="s">
        <v>167</v>
      </c>
      <c r="U881" t="s">
        <v>168</v>
      </c>
      <c r="V881" t="s">
        <v>169</v>
      </c>
      <c r="W881" t="s">
        <v>77</v>
      </c>
      <c r="X881" t="s">
        <v>44</v>
      </c>
      <c r="Y881" t="s">
        <v>99</v>
      </c>
      <c r="Z881" t="s">
        <v>421</v>
      </c>
      <c r="AC881" t="str">
        <f>IF(AA881="",M881,AA881)</f>
        <v>não</v>
      </c>
      <c r="AD881" t="str">
        <f>IF(AB881="",X881,AB881)</f>
        <v>sim</v>
      </c>
      <c r="AE881" t="str">
        <f>IF(OR(Configuracao!B9="",Configuracao!B10=""),"aguardando limiar",IF(AND(K881&gt;=Configuracao!B9,K881/MAX(Reconciliacao!C2,1)&gt;=Configuracao!B10/100),"sim","não"))</f>
        <v>aguardando limiar</v>
      </c>
    </row>
    <row r="882" spans="1:31" x14ac:dyDescent="0.25">
      <c r="A882">
        <v>17710</v>
      </c>
      <c r="C882" t="s">
        <v>862</v>
      </c>
      <c r="D882" t="s">
        <v>629</v>
      </c>
      <c r="E882" t="s">
        <v>74</v>
      </c>
      <c r="F882" t="s">
        <v>248</v>
      </c>
      <c r="G882" t="s">
        <v>247</v>
      </c>
      <c r="H882" t="s">
        <v>246</v>
      </c>
      <c r="I882" t="s">
        <v>439</v>
      </c>
      <c r="J882" t="s">
        <v>439</v>
      </c>
      <c r="K882" s="4">
        <v>124.72</v>
      </c>
      <c r="L882" s="4">
        <v>124.72</v>
      </c>
      <c r="M882" t="s">
        <v>166</v>
      </c>
      <c r="N882" t="s">
        <v>77</v>
      </c>
      <c r="O882" t="s">
        <v>76</v>
      </c>
      <c r="P882" t="s">
        <v>187</v>
      </c>
      <c r="Q882" t="s">
        <v>76</v>
      </c>
      <c r="R882" t="s">
        <v>76</v>
      </c>
      <c r="S882" t="s">
        <v>167</v>
      </c>
      <c r="T882" t="s">
        <v>167</v>
      </c>
      <c r="U882" t="s">
        <v>168</v>
      </c>
      <c r="V882" t="s">
        <v>169</v>
      </c>
      <c r="W882" t="s">
        <v>77</v>
      </c>
      <c r="X882" t="s">
        <v>44</v>
      </c>
      <c r="Y882" t="s">
        <v>99</v>
      </c>
      <c r="Z882" t="s">
        <v>421</v>
      </c>
      <c r="AC882" t="str">
        <f>IF(AA882="",M882,AA882)</f>
        <v>não</v>
      </c>
      <c r="AD882" t="str">
        <f>IF(AB882="",X882,AB882)</f>
        <v>sim</v>
      </c>
      <c r="AE882" t="str">
        <f>IF(OR(Configuracao!B9="",Configuracao!B10=""),"aguardando limiar",IF(AND(K882&gt;=Configuracao!B9,K882/MAX(Reconciliacao!C2,1)&gt;=Configuracao!B10/100),"sim","não"))</f>
        <v>aguardando limiar</v>
      </c>
    </row>
    <row r="883" spans="1:31" x14ac:dyDescent="0.25">
      <c r="A883">
        <v>13427</v>
      </c>
      <c r="C883" t="s">
        <v>863</v>
      </c>
      <c r="D883" t="s">
        <v>592</v>
      </c>
      <c r="E883" t="s">
        <v>74</v>
      </c>
      <c r="F883" t="s">
        <v>248</v>
      </c>
      <c r="G883" t="s">
        <v>247</v>
      </c>
      <c r="H883" t="s">
        <v>246</v>
      </c>
      <c r="I883" t="s">
        <v>454</v>
      </c>
      <c r="J883" t="s">
        <v>454</v>
      </c>
      <c r="K883" s="4">
        <v>127.8</v>
      </c>
      <c r="L883" s="4">
        <v>127.8</v>
      </c>
      <c r="M883" t="s">
        <v>166</v>
      </c>
      <c r="N883" t="s">
        <v>77</v>
      </c>
      <c r="O883" t="s">
        <v>76</v>
      </c>
      <c r="P883" t="s">
        <v>187</v>
      </c>
      <c r="Q883" t="s">
        <v>76</v>
      </c>
      <c r="R883" t="s">
        <v>76</v>
      </c>
      <c r="S883" t="s">
        <v>167</v>
      </c>
      <c r="T883" t="s">
        <v>167</v>
      </c>
      <c r="U883" t="s">
        <v>168</v>
      </c>
      <c r="V883" t="s">
        <v>169</v>
      </c>
      <c r="W883" t="s">
        <v>77</v>
      </c>
      <c r="X883" t="s">
        <v>44</v>
      </c>
      <c r="Y883" t="s">
        <v>99</v>
      </c>
      <c r="Z883" t="s">
        <v>421</v>
      </c>
      <c r="AC883" t="str">
        <f>IF(AA883="",M883,AA883)</f>
        <v>não</v>
      </c>
      <c r="AD883" t="str">
        <f>IF(AB883="",X883,AB883)</f>
        <v>sim</v>
      </c>
      <c r="AE883" t="str">
        <f>IF(OR(Configuracao!B9="",Configuracao!B10=""),"aguardando limiar",IF(AND(K883&gt;=Configuracao!B9,K883/MAX(Reconciliacao!C2,1)&gt;=Configuracao!B10/100),"sim","não"))</f>
        <v>aguardando limiar</v>
      </c>
    </row>
    <row r="884" spans="1:31" x14ac:dyDescent="0.25">
      <c r="A884">
        <v>18616</v>
      </c>
      <c r="C884" t="s">
        <v>864</v>
      </c>
      <c r="D884" t="s">
        <v>865</v>
      </c>
      <c r="E884" t="s">
        <v>74</v>
      </c>
      <c r="F884" t="s">
        <v>248</v>
      </c>
      <c r="G884" t="s">
        <v>247</v>
      </c>
      <c r="H884" t="s">
        <v>246</v>
      </c>
      <c r="I884" t="s">
        <v>35</v>
      </c>
      <c r="J884" t="s">
        <v>35</v>
      </c>
      <c r="K884" s="4">
        <v>127.84</v>
      </c>
      <c r="L884" s="4">
        <v>127.84</v>
      </c>
      <c r="M884" t="s">
        <v>166</v>
      </c>
      <c r="N884" t="s">
        <v>77</v>
      </c>
      <c r="O884" t="s">
        <v>76</v>
      </c>
      <c r="P884" t="s">
        <v>187</v>
      </c>
      <c r="Q884" t="s">
        <v>76</v>
      </c>
      <c r="R884" t="s">
        <v>76</v>
      </c>
      <c r="S884" t="s">
        <v>167</v>
      </c>
      <c r="T884" t="s">
        <v>167</v>
      </c>
      <c r="U884" t="s">
        <v>168</v>
      </c>
      <c r="V884" t="s">
        <v>169</v>
      </c>
      <c r="W884" t="s">
        <v>77</v>
      </c>
      <c r="X884" t="s">
        <v>44</v>
      </c>
      <c r="Y884" t="s">
        <v>99</v>
      </c>
      <c r="Z884" t="s">
        <v>421</v>
      </c>
      <c r="AC884" t="str">
        <f>IF(AA884="",M884,AA884)</f>
        <v>não</v>
      </c>
      <c r="AD884" t="str">
        <f>IF(AB884="",X884,AB884)</f>
        <v>sim</v>
      </c>
      <c r="AE884" t="str">
        <f>IF(OR(Configuracao!B9="",Configuracao!B10=""),"aguardando limiar",IF(AND(K884&gt;=Configuracao!B9,K884/MAX(Reconciliacao!C2,1)&gt;=Configuracao!B10/100),"sim","não"))</f>
        <v>aguardando limiar</v>
      </c>
    </row>
    <row r="885" spans="1:31" x14ac:dyDescent="0.25">
      <c r="A885">
        <v>18080</v>
      </c>
      <c r="C885" t="s">
        <v>866</v>
      </c>
      <c r="D885" t="s">
        <v>865</v>
      </c>
      <c r="E885" t="s">
        <v>74</v>
      </c>
      <c r="F885" t="s">
        <v>248</v>
      </c>
      <c r="G885" t="s">
        <v>247</v>
      </c>
      <c r="H885" t="s">
        <v>246</v>
      </c>
      <c r="I885" t="s">
        <v>439</v>
      </c>
      <c r="J885" t="s">
        <v>439</v>
      </c>
      <c r="K885" s="4">
        <v>127.96</v>
      </c>
      <c r="L885" s="4">
        <v>127.96</v>
      </c>
      <c r="M885" t="s">
        <v>166</v>
      </c>
      <c r="N885" t="s">
        <v>77</v>
      </c>
      <c r="O885" t="s">
        <v>76</v>
      </c>
      <c r="P885" t="s">
        <v>187</v>
      </c>
      <c r="Q885" t="s">
        <v>76</v>
      </c>
      <c r="R885" t="s">
        <v>76</v>
      </c>
      <c r="S885" t="s">
        <v>167</v>
      </c>
      <c r="T885" t="s">
        <v>167</v>
      </c>
      <c r="U885" t="s">
        <v>168</v>
      </c>
      <c r="V885" t="s">
        <v>169</v>
      </c>
      <c r="W885" t="s">
        <v>77</v>
      </c>
      <c r="X885" t="s">
        <v>44</v>
      </c>
      <c r="Y885" t="s">
        <v>99</v>
      </c>
      <c r="Z885" t="s">
        <v>421</v>
      </c>
      <c r="AC885" t="str">
        <f>IF(AA885="",M885,AA885)</f>
        <v>não</v>
      </c>
      <c r="AD885" t="str">
        <f>IF(AB885="",X885,AB885)</f>
        <v>sim</v>
      </c>
      <c r="AE885" t="str">
        <f>IF(OR(Configuracao!B9="",Configuracao!B10=""),"aguardando limiar",IF(AND(K885&gt;=Configuracao!B9,K885/MAX(Reconciliacao!C2,1)&gt;=Configuracao!B10/100),"sim","não"))</f>
        <v>aguardando limiar</v>
      </c>
    </row>
    <row r="886" spans="1:31" x14ac:dyDescent="0.25">
      <c r="A886">
        <v>17148</v>
      </c>
      <c r="C886" t="s">
        <v>867</v>
      </c>
      <c r="D886" t="s">
        <v>592</v>
      </c>
      <c r="E886" t="s">
        <v>74</v>
      </c>
      <c r="F886" t="s">
        <v>248</v>
      </c>
      <c r="G886" t="s">
        <v>247</v>
      </c>
      <c r="H886" t="s">
        <v>246</v>
      </c>
      <c r="I886" t="s">
        <v>442</v>
      </c>
      <c r="J886" t="s">
        <v>442</v>
      </c>
      <c r="K886" s="4">
        <v>135.38</v>
      </c>
      <c r="L886" s="4">
        <v>135.38</v>
      </c>
      <c r="M886" t="s">
        <v>166</v>
      </c>
      <c r="N886" t="s">
        <v>77</v>
      </c>
      <c r="O886" t="s">
        <v>76</v>
      </c>
      <c r="P886" t="s">
        <v>187</v>
      </c>
      <c r="Q886" t="s">
        <v>76</v>
      </c>
      <c r="R886" t="s">
        <v>76</v>
      </c>
      <c r="S886" t="s">
        <v>167</v>
      </c>
      <c r="T886" t="s">
        <v>167</v>
      </c>
      <c r="U886" t="s">
        <v>168</v>
      </c>
      <c r="V886" t="s">
        <v>169</v>
      </c>
      <c r="W886" t="s">
        <v>77</v>
      </c>
      <c r="X886" t="s">
        <v>44</v>
      </c>
      <c r="Y886" t="s">
        <v>99</v>
      </c>
      <c r="Z886" t="s">
        <v>421</v>
      </c>
      <c r="AC886" t="str">
        <f>IF(AA886="",M886,AA886)</f>
        <v>não</v>
      </c>
      <c r="AD886" t="str">
        <f>IF(AB886="",X886,AB886)</f>
        <v>sim</v>
      </c>
      <c r="AE886" t="str">
        <f>IF(OR(Configuracao!B9="",Configuracao!B10=""),"aguardando limiar",IF(AND(K886&gt;=Configuracao!B9,K886/MAX(Reconciliacao!C2,1)&gt;=Configuracao!B10/100),"sim","não"))</f>
        <v>aguardando limiar</v>
      </c>
    </row>
    <row r="887" spans="1:31" x14ac:dyDescent="0.25">
      <c r="A887">
        <v>16859</v>
      </c>
      <c r="C887" t="s">
        <v>868</v>
      </c>
      <c r="D887" t="s">
        <v>592</v>
      </c>
      <c r="E887" t="s">
        <v>74</v>
      </c>
      <c r="F887" t="s">
        <v>248</v>
      </c>
      <c r="G887" t="s">
        <v>247</v>
      </c>
      <c r="H887" t="s">
        <v>246</v>
      </c>
      <c r="I887" t="s">
        <v>442</v>
      </c>
      <c r="J887" t="s">
        <v>442</v>
      </c>
      <c r="K887" s="4">
        <v>135.48</v>
      </c>
      <c r="L887" s="4">
        <v>135.48</v>
      </c>
      <c r="M887" t="s">
        <v>166</v>
      </c>
      <c r="N887" t="s">
        <v>77</v>
      </c>
      <c r="O887" t="s">
        <v>76</v>
      </c>
      <c r="P887" t="s">
        <v>187</v>
      </c>
      <c r="Q887" t="s">
        <v>76</v>
      </c>
      <c r="R887" t="s">
        <v>76</v>
      </c>
      <c r="S887" t="s">
        <v>167</v>
      </c>
      <c r="T887" t="s">
        <v>167</v>
      </c>
      <c r="U887" t="s">
        <v>168</v>
      </c>
      <c r="V887" t="s">
        <v>169</v>
      </c>
      <c r="W887" t="s">
        <v>77</v>
      </c>
      <c r="X887" t="s">
        <v>44</v>
      </c>
      <c r="Y887" t="s">
        <v>99</v>
      </c>
      <c r="Z887" t="s">
        <v>421</v>
      </c>
      <c r="AC887" t="str">
        <f>IF(AA887="",M887,AA887)</f>
        <v>não</v>
      </c>
      <c r="AD887" t="str">
        <f>IF(AB887="",X887,AB887)</f>
        <v>sim</v>
      </c>
      <c r="AE887" t="str">
        <f>IF(OR(Configuracao!B9="",Configuracao!B10=""),"aguardando limiar",IF(AND(K887&gt;=Configuracao!B9,K887/MAX(Reconciliacao!C2,1)&gt;=Configuracao!B10/100),"sim","não"))</f>
        <v>aguardando limiar</v>
      </c>
    </row>
    <row r="888" spans="1:31" x14ac:dyDescent="0.25">
      <c r="A888">
        <v>18883</v>
      </c>
      <c r="C888" t="s">
        <v>869</v>
      </c>
      <c r="D888" t="s">
        <v>870</v>
      </c>
      <c r="E888" t="s">
        <v>74</v>
      </c>
      <c r="F888" t="s">
        <v>248</v>
      </c>
      <c r="G888" t="s">
        <v>247</v>
      </c>
      <c r="H888" t="s">
        <v>246</v>
      </c>
      <c r="I888" t="s">
        <v>35</v>
      </c>
      <c r="J888" t="s">
        <v>35</v>
      </c>
      <c r="K888" s="4">
        <v>141.2</v>
      </c>
      <c r="L888" s="4">
        <v>141.2</v>
      </c>
      <c r="M888" t="s">
        <v>166</v>
      </c>
      <c r="N888" t="s">
        <v>77</v>
      </c>
      <c r="O888" t="s">
        <v>76</v>
      </c>
      <c r="P888" t="s">
        <v>187</v>
      </c>
      <c r="Q888" t="s">
        <v>76</v>
      </c>
      <c r="R888" t="s">
        <v>76</v>
      </c>
      <c r="S888" t="s">
        <v>167</v>
      </c>
      <c r="T888" t="s">
        <v>167</v>
      </c>
      <c r="U888" t="s">
        <v>168</v>
      </c>
      <c r="V888" t="s">
        <v>169</v>
      </c>
      <c r="W888" t="s">
        <v>77</v>
      </c>
      <c r="X888" t="s">
        <v>44</v>
      </c>
      <c r="Y888" t="s">
        <v>99</v>
      </c>
      <c r="Z888" t="s">
        <v>421</v>
      </c>
      <c r="AC888" t="str">
        <f>IF(AA888="",M888,AA888)</f>
        <v>não</v>
      </c>
      <c r="AD888" t="str">
        <f>IF(AB888="",X888,AB888)</f>
        <v>sim</v>
      </c>
      <c r="AE888" t="str">
        <f>IF(OR(Configuracao!B9="",Configuracao!B10=""),"aguardando limiar",IF(AND(K888&gt;=Configuracao!B9,K888/MAX(Reconciliacao!C2,1)&gt;=Configuracao!B10/100),"sim","não"))</f>
        <v>aguardando limiar</v>
      </c>
    </row>
    <row r="889" spans="1:31" x14ac:dyDescent="0.25">
      <c r="A889">
        <v>17147</v>
      </c>
      <c r="C889" t="s">
        <v>871</v>
      </c>
      <c r="D889" t="s">
        <v>580</v>
      </c>
      <c r="E889" t="s">
        <v>74</v>
      </c>
      <c r="F889" t="s">
        <v>248</v>
      </c>
      <c r="G889" t="s">
        <v>247</v>
      </c>
      <c r="H889" t="s">
        <v>246</v>
      </c>
      <c r="I889" t="s">
        <v>442</v>
      </c>
      <c r="J889" t="s">
        <v>442</v>
      </c>
      <c r="K889" s="4">
        <v>141.64</v>
      </c>
      <c r="L889" s="4">
        <v>141.64</v>
      </c>
      <c r="M889" t="s">
        <v>166</v>
      </c>
      <c r="N889" t="s">
        <v>77</v>
      </c>
      <c r="O889" t="s">
        <v>76</v>
      </c>
      <c r="P889" t="s">
        <v>187</v>
      </c>
      <c r="Q889" t="s">
        <v>76</v>
      </c>
      <c r="R889" t="s">
        <v>76</v>
      </c>
      <c r="S889" t="s">
        <v>167</v>
      </c>
      <c r="T889" t="s">
        <v>167</v>
      </c>
      <c r="U889" t="s">
        <v>168</v>
      </c>
      <c r="V889" t="s">
        <v>169</v>
      </c>
      <c r="W889" t="s">
        <v>77</v>
      </c>
      <c r="X889" t="s">
        <v>44</v>
      </c>
      <c r="Y889" t="s">
        <v>99</v>
      </c>
      <c r="Z889" t="s">
        <v>421</v>
      </c>
      <c r="AC889" t="str">
        <f>IF(AA889="",M889,AA889)</f>
        <v>não</v>
      </c>
      <c r="AD889" t="str">
        <f>IF(AB889="",X889,AB889)</f>
        <v>sim</v>
      </c>
      <c r="AE889" t="str">
        <f>IF(OR(Configuracao!B9="",Configuracao!B10=""),"aguardando limiar",IF(AND(K889&gt;=Configuracao!B9,K889/MAX(Reconciliacao!C2,1)&gt;=Configuracao!B10/100),"sim","não"))</f>
        <v>aguardando limiar</v>
      </c>
    </row>
    <row r="890" spans="1:31" x14ac:dyDescent="0.25">
      <c r="A890">
        <v>16862</v>
      </c>
      <c r="C890" t="s">
        <v>872</v>
      </c>
      <c r="D890" t="s">
        <v>870</v>
      </c>
      <c r="E890" t="s">
        <v>74</v>
      </c>
      <c r="F890" t="s">
        <v>248</v>
      </c>
      <c r="G890" t="s">
        <v>247</v>
      </c>
      <c r="H890" t="s">
        <v>246</v>
      </c>
      <c r="I890" t="s">
        <v>442</v>
      </c>
      <c r="J890" t="s">
        <v>442</v>
      </c>
      <c r="K890" s="4">
        <v>153.04</v>
      </c>
      <c r="L890" s="4">
        <v>153.04</v>
      </c>
      <c r="M890" t="s">
        <v>166</v>
      </c>
      <c r="N890" t="s">
        <v>77</v>
      </c>
      <c r="O890" t="s">
        <v>76</v>
      </c>
      <c r="P890" t="s">
        <v>187</v>
      </c>
      <c r="Q890" t="s">
        <v>76</v>
      </c>
      <c r="R890" t="s">
        <v>76</v>
      </c>
      <c r="S890" t="s">
        <v>167</v>
      </c>
      <c r="T890" t="s">
        <v>167</v>
      </c>
      <c r="U890" t="s">
        <v>168</v>
      </c>
      <c r="V890" t="s">
        <v>169</v>
      </c>
      <c r="W890" t="s">
        <v>77</v>
      </c>
      <c r="X890" t="s">
        <v>44</v>
      </c>
      <c r="Y890" t="s">
        <v>99</v>
      </c>
      <c r="Z890" t="s">
        <v>421</v>
      </c>
      <c r="AC890" t="str">
        <f>IF(AA890="",M890,AA890)</f>
        <v>não</v>
      </c>
      <c r="AD890" t="str">
        <f>IF(AB890="",X890,AB890)</f>
        <v>sim</v>
      </c>
      <c r="AE890" t="str">
        <f>IF(OR(Configuracao!B9="",Configuracao!B10=""),"aguardando limiar",IF(AND(K890&gt;=Configuracao!B9,K890/MAX(Reconciliacao!C2,1)&gt;=Configuracao!B10/100),"sim","não"))</f>
        <v>aguardando limiar</v>
      </c>
    </row>
    <row r="891" spans="1:31" x14ac:dyDescent="0.25">
      <c r="A891">
        <v>15732</v>
      </c>
      <c r="C891" t="s">
        <v>873</v>
      </c>
      <c r="D891" t="s">
        <v>870</v>
      </c>
      <c r="E891" t="s">
        <v>74</v>
      </c>
      <c r="F891" t="s">
        <v>248</v>
      </c>
      <c r="G891" t="s">
        <v>247</v>
      </c>
      <c r="H891" t="s">
        <v>246</v>
      </c>
      <c r="I891" t="s">
        <v>454</v>
      </c>
      <c r="J891" t="s">
        <v>454</v>
      </c>
      <c r="K891" s="4">
        <v>153.76</v>
      </c>
      <c r="L891" s="4">
        <v>153.76</v>
      </c>
      <c r="M891" t="s">
        <v>166</v>
      </c>
      <c r="N891" t="s">
        <v>77</v>
      </c>
      <c r="O891" t="s">
        <v>76</v>
      </c>
      <c r="P891" t="s">
        <v>187</v>
      </c>
      <c r="Q891" t="s">
        <v>76</v>
      </c>
      <c r="R891" t="s">
        <v>76</v>
      </c>
      <c r="S891" t="s">
        <v>167</v>
      </c>
      <c r="T891" t="s">
        <v>167</v>
      </c>
      <c r="U891" t="s">
        <v>168</v>
      </c>
      <c r="V891" t="s">
        <v>169</v>
      </c>
      <c r="W891" t="s">
        <v>77</v>
      </c>
      <c r="X891" t="s">
        <v>44</v>
      </c>
      <c r="Y891" t="s">
        <v>99</v>
      </c>
      <c r="Z891" t="s">
        <v>421</v>
      </c>
      <c r="AC891" t="str">
        <f>IF(AA891="",M891,AA891)</f>
        <v>não</v>
      </c>
      <c r="AD891" t="str">
        <f>IF(AB891="",X891,AB891)</f>
        <v>sim</v>
      </c>
      <c r="AE891" t="str">
        <f>IF(OR(Configuracao!B9="",Configuracao!B10=""),"aguardando limiar",IF(AND(K891&gt;=Configuracao!B9,K891/MAX(Reconciliacao!C2,1)&gt;=Configuracao!B10/100),"sim","não"))</f>
        <v>aguardando limiar</v>
      </c>
    </row>
    <row r="892" spans="1:31" x14ac:dyDescent="0.25">
      <c r="A892">
        <v>16258</v>
      </c>
      <c r="C892" t="s">
        <v>874</v>
      </c>
      <c r="D892" t="s">
        <v>870</v>
      </c>
      <c r="E892" t="s">
        <v>74</v>
      </c>
      <c r="F892" t="s">
        <v>248</v>
      </c>
      <c r="G892" t="s">
        <v>247</v>
      </c>
      <c r="H892" t="s">
        <v>246</v>
      </c>
      <c r="I892" t="s">
        <v>461</v>
      </c>
      <c r="J892" t="s">
        <v>461</v>
      </c>
      <c r="K892" s="4">
        <v>153.76</v>
      </c>
      <c r="L892" s="4">
        <v>153.76</v>
      </c>
      <c r="M892" t="s">
        <v>166</v>
      </c>
      <c r="N892" t="s">
        <v>77</v>
      </c>
      <c r="O892" t="s">
        <v>76</v>
      </c>
      <c r="P892" t="s">
        <v>187</v>
      </c>
      <c r="Q892" t="s">
        <v>76</v>
      </c>
      <c r="R892" t="s">
        <v>76</v>
      </c>
      <c r="S892" t="s">
        <v>167</v>
      </c>
      <c r="T892" t="s">
        <v>167</v>
      </c>
      <c r="U892" t="s">
        <v>168</v>
      </c>
      <c r="V892" t="s">
        <v>169</v>
      </c>
      <c r="W892" t="s">
        <v>77</v>
      </c>
      <c r="X892" t="s">
        <v>44</v>
      </c>
      <c r="Y892" t="s">
        <v>99</v>
      </c>
      <c r="Z892" t="s">
        <v>421</v>
      </c>
      <c r="AC892" t="str">
        <f>IF(AA892="",M892,AA892)</f>
        <v>não</v>
      </c>
      <c r="AD892" t="str">
        <f>IF(AB892="",X892,AB892)</f>
        <v>sim</v>
      </c>
      <c r="AE892" t="str">
        <f>IF(OR(Configuracao!B9="",Configuracao!B10=""),"aguardando limiar",IF(AND(K892&gt;=Configuracao!B9,K892/MAX(Reconciliacao!C2,1)&gt;=Configuracao!B10/100),"sim","não"))</f>
        <v>aguardando limiar</v>
      </c>
    </row>
    <row r="893" spans="1:31" x14ac:dyDescent="0.25">
      <c r="A893">
        <v>17373</v>
      </c>
      <c r="C893" t="s">
        <v>875</v>
      </c>
      <c r="D893" t="s">
        <v>870</v>
      </c>
      <c r="E893" t="s">
        <v>74</v>
      </c>
      <c r="F893" t="s">
        <v>248</v>
      </c>
      <c r="G893" t="s">
        <v>247</v>
      </c>
      <c r="H893" t="s">
        <v>246</v>
      </c>
      <c r="I893" t="s">
        <v>442</v>
      </c>
      <c r="J893" t="s">
        <v>442</v>
      </c>
      <c r="K893" s="4">
        <v>156.4</v>
      </c>
      <c r="L893" s="4">
        <v>156.4</v>
      </c>
      <c r="M893" t="s">
        <v>166</v>
      </c>
      <c r="N893" t="s">
        <v>77</v>
      </c>
      <c r="O893" t="s">
        <v>76</v>
      </c>
      <c r="P893" t="s">
        <v>187</v>
      </c>
      <c r="Q893" t="s">
        <v>76</v>
      </c>
      <c r="R893" t="s">
        <v>76</v>
      </c>
      <c r="S893" t="s">
        <v>167</v>
      </c>
      <c r="T893" t="s">
        <v>167</v>
      </c>
      <c r="U893" t="s">
        <v>168</v>
      </c>
      <c r="V893" t="s">
        <v>169</v>
      </c>
      <c r="W893" t="s">
        <v>77</v>
      </c>
      <c r="X893" t="s">
        <v>44</v>
      </c>
      <c r="Y893" t="s">
        <v>99</v>
      </c>
      <c r="Z893" t="s">
        <v>421</v>
      </c>
      <c r="AC893" t="str">
        <f>IF(AA893="",M893,AA893)</f>
        <v>não</v>
      </c>
      <c r="AD893" t="str">
        <f>IF(AB893="",X893,AB893)</f>
        <v>sim</v>
      </c>
      <c r="AE893" t="str">
        <f>IF(OR(Configuracao!B9="",Configuracao!B10=""),"aguardando limiar",IF(AND(K893&gt;=Configuracao!B9,K893/MAX(Reconciliacao!C2,1)&gt;=Configuracao!B10/100),"sim","não"))</f>
        <v>aguardando limiar</v>
      </c>
    </row>
    <row r="894" spans="1:31" x14ac:dyDescent="0.25">
      <c r="A894">
        <v>12996</v>
      </c>
      <c r="C894" t="s">
        <v>876</v>
      </c>
      <c r="D894" t="s">
        <v>870</v>
      </c>
      <c r="E894" t="s">
        <v>74</v>
      </c>
      <c r="F894" t="s">
        <v>248</v>
      </c>
      <c r="G894" t="s">
        <v>247</v>
      </c>
      <c r="H894" t="s">
        <v>246</v>
      </c>
      <c r="I894" t="s">
        <v>420</v>
      </c>
      <c r="J894" t="s">
        <v>420</v>
      </c>
      <c r="K894" s="4">
        <v>157.6</v>
      </c>
      <c r="L894" s="4">
        <v>157.6</v>
      </c>
      <c r="M894" t="s">
        <v>166</v>
      </c>
      <c r="N894" t="s">
        <v>77</v>
      </c>
      <c r="O894" t="s">
        <v>76</v>
      </c>
      <c r="P894" t="s">
        <v>187</v>
      </c>
      <c r="Q894" t="s">
        <v>76</v>
      </c>
      <c r="R894" t="s">
        <v>76</v>
      </c>
      <c r="S894" t="s">
        <v>167</v>
      </c>
      <c r="T894" t="s">
        <v>167</v>
      </c>
      <c r="U894" t="s">
        <v>168</v>
      </c>
      <c r="V894" t="s">
        <v>169</v>
      </c>
      <c r="W894" t="s">
        <v>77</v>
      </c>
      <c r="X894" t="s">
        <v>44</v>
      </c>
      <c r="Y894" t="s">
        <v>99</v>
      </c>
      <c r="Z894" t="s">
        <v>421</v>
      </c>
      <c r="AC894" t="str">
        <f>IF(AA894="",M894,AA894)</f>
        <v>não</v>
      </c>
      <c r="AD894" t="str">
        <f>IF(AB894="",X894,AB894)</f>
        <v>sim</v>
      </c>
      <c r="AE894" t="str">
        <f>IF(OR(Configuracao!B9="",Configuracao!B10=""),"aguardando limiar",IF(AND(K894&gt;=Configuracao!B9,K894/MAX(Reconciliacao!C2,1)&gt;=Configuracao!B10/100),"sim","não"))</f>
        <v>aguardando limiar</v>
      </c>
    </row>
    <row r="895" spans="1:31" x14ac:dyDescent="0.25">
      <c r="A895">
        <v>18314</v>
      </c>
      <c r="C895" t="s">
        <v>877</v>
      </c>
      <c r="D895" t="s">
        <v>870</v>
      </c>
      <c r="E895" t="s">
        <v>74</v>
      </c>
      <c r="F895" t="s">
        <v>248</v>
      </c>
      <c r="G895" t="s">
        <v>247</v>
      </c>
      <c r="H895" t="s">
        <v>246</v>
      </c>
      <c r="I895" t="s">
        <v>439</v>
      </c>
      <c r="J895" t="s">
        <v>439</v>
      </c>
      <c r="K895" s="4">
        <v>158.2</v>
      </c>
      <c r="L895" s="4">
        <v>158.2</v>
      </c>
      <c r="M895" t="s">
        <v>166</v>
      </c>
      <c r="N895" t="s">
        <v>77</v>
      </c>
      <c r="O895" t="s">
        <v>76</v>
      </c>
      <c r="P895" t="s">
        <v>187</v>
      </c>
      <c r="Q895" t="s">
        <v>76</v>
      </c>
      <c r="R895" t="s">
        <v>76</v>
      </c>
      <c r="S895" t="s">
        <v>167</v>
      </c>
      <c r="T895" t="s">
        <v>167</v>
      </c>
      <c r="U895" t="s">
        <v>168</v>
      </c>
      <c r="V895" t="s">
        <v>169</v>
      </c>
      <c r="W895" t="s">
        <v>77</v>
      </c>
      <c r="X895" t="s">
        <v>44</v>
      </c>
      <c r="Y895" t="s">
        <v>99</v>
      </c>
      <c r="Z895" t="s">
        <v>421</v>
      </c>
      <c r="AC895" t="str">
        <f>IF(AA895="",M895,AA895)</f>
        <v>não</v>
      </c>
      <c r="AD895" t="str">
        <f>IF(AB895="",X895,AB895)</f>
        <v>sim</v>
      </c>
      <c r="AE895" t="str">
        <f>IF(OR(Configuracao!B9="",Configuracao!B10=""),"aguardando limiar",IF(AND(K895&gt;=Configuracao!B9,K895/MAX(Reconciliacao!C2,1)&gt;=Configuracao!B10/100),"sim","não"))</f>
        <v>aguardando limiar</v>
      </c>
    </row>
    <row r="896" spans="1:31" x14ac:dyDescent="0.25">
      <c r="A896">
        <v>16257</v>
      </c>
      <c r="C896" t="s">
        <v>878</v>
      </c>
      <c r="D896" t="s">
        <v>629</v>
      </c>
      <c r="E896" t="s">
        <v>74</v>
      </c>
      <c r="F896" t="s">
        <v>248</v>
      </c>
      <c r="G896" t="s">
        <v>247</v>
      </c>
      <c r="H896" t="s">
        <v>246</v>
      </c>
      <c r="I896" t="s">
        <v>461</v>
      </c>
      <c r="J896" t="s">
        <v>461</v>
      </c>
      <c r="K896" s="4">
        <v>173.2</v>
      </c>
      <c r="L896" s="4">
        <v>173.2</v>
      </c>
      <c r="M896" t="s">
        <v>166</v>
      </c>
      <c r="N896" t="s">
        <v>77</v>
      </c>
      <c r="O896" t="s">
        <v>76</v>
      </c>
      <c r="P896" t="s">
        <v>187</v>
      </c>
      <c r="Q896" t="s">
        <v>76</v>
      </c>
      <c r="R896" t="s">
        <v>76</v>
      </c>
      <c r="S896" t="s">
        <v>167</v>
      </c>
      <c r="T896" t="s">
        <v>167</v>
      </c>
      <c r="U896" t="s">
        <v>168</v>
      </c>
      <c r="V896" t="s">
        <v>169</v>
      </c>
      <c r="W896" t="s">
        <v>77</v>
      </c>
      <c r="X896" t="s">
        <v>44</v>
      </c>
      <c r="Y896" t="s">
        <v>99</v>
      </c>
      <c r="Z896" t="s">
        <v>421</v>
      </c>
      <c r="AC896" t="str">
        <f>IF(AA896="",M896,AA896)</f>
        <v>não</v>
      </c>
      <c r="AD896" t="str">
        <f>IF(AB896="",X896,AB896)</f>
        <v>sim</v>
      </c>
      <c r="AE896" t="str">
        <f>IF(OR(Configuracao!B9="",Configuracao!B10=""),"aguardando limiar",IF(AND(K896&gt;=Configuracao!B9,K896/MAX(Reconciliacao!C2,1)&gt;=Configuracao!B10/100),"sim","não"))</f>
        <v>aguardando limiar</v>
      </c>
    </row>
    <row r="897" spans="1:31" x14ac:dyDescent="0.25">
      <c r="A897">
        <v>17531</v>
      </c>
      <c r="C897" t="s">
        <v>879</v>
      </c>
      <c r="D897" t="s">
        <v>599</v>
      </c>
      <c r="E897" t="s">
        <v>74</v>
      </c>
      <c r="F897" t="s">
        <v>248</v>
      </c>
      <c r="G897" t="s">
        <v>247</v>
      </c>
      <c r="H897" t="s">
        <v>246</v>
      </c>
      <c r="I897" t="s">
        <v>442</v>
      </c>
      <c r="J897" t="s">
        <v>442</v>
      </c>
      <c r="K897" s="4">
        <v>182</v>
      </c>
      <c r="L897" s="4">
        <v>182</v>
      </c>
      <c r="M897" t="s">
        <v>166</v>
      </c>
      <c r="N897" t="s">
        <v>77</v>
      </c>
      <c r="O897" t="s">
        <v>76</v>
      </c>
      <c r="P897" t="s">
        <v>187</v>
      </c>
      <c r="Q897" t="s">
        <v>76</v>
      </c>
      <c r="R897" t="s">
        <v>76</v>
      </c>
      <c r="S897" t="s">
        <v>167</v>
      </c>
      <c r="T897" t="s">
        <v>167</v>
      </c>
      <c r="U897" t="s">
        <v>168</v>
      </c>
      <c r="V897" t="s">
        <v>169</v>
      </c>
      <c r="W897" t="s">
        <v>77</v>
      </c>
      <c r="X897" t="s">
        <v>44</v>
      </c>
      <c r="Y897" t="s">
        <v>99</v>
      </c>
      <c r="Z897" t="s">
        <v>421</v>
      </c>
      <c r="AC897" t="str">
        <f>IF(AA897="",M897,AA897)</f>
        <v>não</v>
      </c>
      <c r="AD897" t="str">
        <f>IF(AB897="",X897,AB897)</f>
        <v>sim</v>
      </c>
      <c r="AE897" t="str">
        <f>IF(OR(Configuracao!B9="",Configuracao!B10=""),"aguardando limiar",IF(AND(K897&gt;=Configuracao!B9,K897/MAX(Reconciliacao!C2,1)&gt;=Configuracao!B10/100),"sim","não"))</f>
        <v>aguardando limiar</v>
      </c>
    </row>
    <row r="898" spans="1:31" x14ac:dyDescent="0.25">
      <c r="A898">
        <v>17371</v>
      </c>
      <c r="C898" t="s">
        <v>880</v>
      </c>
      <c r="D898" t="s">
        <v>604</v>
      </c>
      <c r="E898" t="s">
        <v>74</v>
      </c>
      <c r="F898" t="s">
        <v>248</v>
      </c>
      <c r="G898" t="s">
        <v>247</v>
      </c>
      <c r="H898" t="s">
        <v>246</v>
      </c>
      <c r="I898" t="s">
        <v>442</v>
      </c>
      <c r="J898" t="s">
        <v>442</v>
      </c>
      <c r="K898" s="4">
        <v>191.38</v>
      </c>
      <c r="L898" s="4">
        <v>191.38</v>
      </c>
      <c r="M898" t="s">
        <v>166</v>
      </c>
      <c r="N898" t="s">
        <v>77</v>
      </c>
      <c r="O898" t="s">
        <v>76</v>
      </c>
      <c r="P898" t="s">
        <v>187</v>
      </c>
      <c r="Q898" t="s">
        <v>76</v>
      </c>
      <c r="R898" t="s">
        <v>76</v>
      </c>
      <c r="S898" t="s">
        <v>167</v>
      </c>
      <c r="T898" t="s">
        <v>167</v>
      </c>
      <c r="U898" t="s">
        <v>168</v>
      </c>
      <c r="V898" t="s">
        <v>169</v>
      </c>
      <c r="W898" t="s">
        <v>77</v>
      </c>
      <c r="X898" t="s">
        <v>44</v>
      </c>
      <c r="Y898" t="s">
        <v>99</v>
      </c>
      <c r="Z898" t="s">
        <v>421</v>
      </c>
      <c r="AC898" t="str">
        <f>IF(AA898="",M898,AA898)</f>
        <v>não</v>
      </c>
      <c r="AD898" t="str">
        <f>IF(AB898="",X898,AB898)</f>
        <v>sim</v>
      </c>
      <c r="AE898" t="str">
        <f>IF(OR(Configuracao!B9="",Configuracao!B10=""),"aguardando limiar",IF(AND(K898&gt;=Configuracao!B9,K898/MAX(Reconciliacao!C2,1)&gt;=Configuracao!B10/100),"sim","não"))</f>
        <v>aguardando limiar</v>
      </c>
    </row>
    <row r="899" spans="1:31" x14ac:dyDescent="0.25">
      <c r="A899">
        <v>12863</v>
      </c>
      <c r="C899" t="s">
        <v>881</v>
      </c>
      <c r="D899" t="s">
        <v>599</v>
      </c>
      <c r="E899" t="s">
        <v>74</v>
      </c>
      <c r="F899" t="s">
        <v>248</v>
      </c>
      <c r="G899" t="s">
        <v>247</v>
      </c>
      <c r="H899" t="s">
        <v>246</v>
      </c>
      <c r="I899" t="s">
        <v>420</v>
      </c>
      <c r="J899" t="s">
        <v>420</v>
      </c>
      <c r="K899" s="4">
        <v>191.8</v>
      </c>
      <c r="L899" s="4">
        <v>191.8</v>
      </c>
      <c r="M899" t="s">
        <v>166</v>
      </c>
      <c r="N899" t="s">
        <v>77</v>
      </c>
      <c r="O899" t="s">
        <v>76</v>
      </c>
      <c r="P899" t="s">
        <v>187</v>
      </c>
      <c r="Q899" t="s">
        <v>76</v>
      </c>
      <c r="R899" t="s">
        <v>76</v>
      </c>
      <c r="S899" t="s">
        <v>167</v>
      </c>
      <c r="T899" t="s">
        <v>167</v>
      </c>
      <c r="U899" t="s">
        <v>168</v>
      </c>
      <c r="V899" t="s">
        <v>169</v>
      </c>
      <c r="W899" t="s">
        <v>77</v>
      </c>
      <c r="X899" t="s">
        <v>44</v>
      </c>
      <c r="Y899" t="s">
        <v>99</v>
      </c>
      <c r="Z899" t="s">
        <v>421</v>
      </c>
      <c r="AC899" t="str">
        <f>IF(AA899="",M899,AA899)</f>
        <v>não</v>
      </c>
      <c r="AD899" t="str">
        <f>IF(AB899="",X899,AB899)</f>
        <v>sim</v>
      </c>
      <c r="AE899" t="str">
        <f>IF(OR(Configuracao!B9="",Configuracao!B10=""),"aguardando limiar",IF(AND(K899&gt;=Configuracao!B9,K899/MAX(Reconciliacao!C2,1)&gt;=Configuracao!B10/100),"sim","não"))</f>
        <v>aguardando limiar</v>
      </c>
    </row>
    <row r="900" spans="1:31" x14ac:dyDescent="0.25">
      <c r="A900">
        <v>16765</v>
      </c>
      <c r="C900" t="s">
        <v>882</v>
      </c>
      <c r="D900" t="s">
        <v>865</v>
      </c>
      <c r="E900" t="s">
        <v>74</v>
      </c>
      <c r="F900" t="s">
        <v>248</v>
      </c>
      <c r="G900" t="s">
        <v>247</v>
      </c>
      <c r="H900" t="s">
        <v>246</v>
      </c>
      <c r="I900" t="s">
        <v>461</v>
      </c>
      <c r="J900" t="s">
        <v>461</v>
      </c>
      <c r="K900" s="4">
        <v>202.64</v>
      </c>
      <c r="L900" s="4">
        <v>202.64</v>
      </c>
      <c r="M900" t="s">
        <v>166</v>
      </c>
      <c r="N900" t="s">
        <v>77</v>
      </c>
      <c r="O900" t="s">
        <v>76</v>
      </c>
      <c r="P900" t="s">
        <v>187</v>
      </c>
      <c r="Q900" t="s">
        <v>76</v>
      </c>
      <c r="R900" t="s">
        <v>76</v>
      </c>
      <c r="S900" t="s">
        <v>167</v>
      </c>
      <c r="T900" t="s">
        <v>167</v>
      </c>
      <c r="U900" t="s">
        <v>168</v>
      </c>
      <c r="V900" t="s">
        <v>169</v>
      </c>
      <c r="W900" t="s">
        <v>77</v>
      </c>
      <c r="X900" t="s">
        <v>44</v>
      </c>
      <c r="Y900" t="s">
        <v>99</v>
      </c>
      <c r="Z900" t="s">
        <v>421</v>
      </c>
      <c r="AC900" t="str">
        <f>IF(AA900="",M900,AA900)</f>
        <v>não</v>
      </c>
      <c r="AD900" t="str">
        <f>IF(AB900="",X900,AB900)</f>
        <v>sim</v>
      </c>
      <c r="AE900" t="str">
        <f>IF(OR(Configuracao!B9="",Configuracao!B10=""),"aguardando limiar",IF(AND(K900&gt;=Configuracao!B9,K900/MAX(Reconciliacao!C2,1)&gt;=Configuracao!B10/100),"sim","não"))</f>
        <v>aguardando limiar</v>
      </c>
    </row>
    <row r="901" spans="1:31" x14ac:dyDescent="0.25">
      <c r="A901">
        <v>13411</v>
      </c>
      <c r="C901" t="s">
        <v>883</v>
      </c>
      <c r="D901" t="s">
        <v>604</v>
      </c>
      <c r="E901" t="s">
        <v>74</v>
      </c>
      <c r="F901" t="s">
        <v>248</v>
      </c>
      <c r="G901" t="s">
        <v>247</v>
      </c>
      <c r="H901" t="s">
        <v>246</v>
      </c>
      <c r="I901" t="s">
        <v>454</v>
      </c>
      <c r="J901" t="s">
        <v>454</v>
      </c>
      <c r="K901" s="4">
        <v>228.76</v>
      </c>
      <c r="L901" s="4">
        <v>228.76</v>
      </c>
      <c r="M901" t="s">
        <v>166</v>
      </c>
      <c r="N901" t="s">
        <v>77</v>
      </c>
      <c r="O901" t="s">
        <v>76</v>
      </c>
      <c r="P901" t="s">
        <v>187</v>
      </c>
      <c r="Q901" t="s">
        <v>76</v>
      </c>
      <c r="R901" t="s">
        <v>76</v>
      </c>
      <c r="S901" t="s">
        <v>167</v>
      </c>
      <c r="T901" t="s">
        <v>167</v>
      </c>
      <c r="U901" t="s">
        <v>168</v>
      </c>
      <c r="V901" t="s">
        <v>169</v>
      </c>
      <c r="W901" t="s">
        <v>77</v>
      </c>
      <c r="X901" t="s">
        <v>44</v>
      </c>
      <c r="Y901" t="s">
        <v>99</v>
      </c>
      <c r="Z901" t="s">
        <v>421</v>
      </c>
      <c r="AC901" t="str">
        <f>IF(AA901="",M901,AA901)</f>
        <v>não</v>
      </c>
      <c r="AD901" t="str">
        <f>IF(AB901="",X901,AB901)</f>
        <v>sim</v>
      </c>
      <c r="AE901" t="str">
        <f>IF(OR(Configuracao!B9="",Configuracao!B10=""),"aguardando limiar",IF(AND(K901&gt;=Configuracao!B9,K901/MAX(Reconciliacao!C2,1)&gt;=Configuracao!B10/100),"sim","não"))</f>
        <v>aguardando limiar</v>
      </c>
    </row>
    <row r="902" spans="1:31" x14ac:dyDescent="0.25">
      <c r="A902">
        <v>18881</v>
      </c>
      <c r="C902" t="s">
        <v>884</v>
      </c>
      <c r="D902" t="s">
        <v>885</v>
      </c>
      <c r="E902" t="s">
        <v>74</v>
      </c>
      <c r="F902" t="s">
        <v>248</v>
      </c>
      <c r="G902" t="s">
        <v>247</v>
      </c>
      <c r="H902" t="s">
        <v>246</v>
      </c>
      <c r="I902" t="s">
        <v>35</v>
      </c>
      <c r="J902" t="s">
        <v>35</v>
      </c>
      <c r="K902" s="4">
        <v>241.3</v>
      </c>
      <c r="L902" s="4">
        <v>241.3</v>
      </c>
      <c r="M902" t="s">
        <v>166</v>
      </c>
      <c r="N902" t="s">
        <v>77</v>
      </c>
      <c r="O902" t="s">
        <v>76</v>
      </c>
      <c r="P902" t="s">
        <v>187</v>
      </c>
      <c r="Q902" t="s">
        <v>76</v>
      </c>
      <c r="R902" t="s">
        <v>76</v>
      </c>
      <c r="S902" t="s">
        <v>167</v>
      </c>
      <c r="T902" t="s">
        <v>167</v>
      </c>
      <c r="U902" t="s">
        <v>168</v>
      </c>
      <c r="V902" t="s">
        <v>169</v>
      </c>
      <c r="W902" t="s">
        <v>77</v>
      </c>
      <c r="X902" t="s">
        <v>44</v>
      </c>
      <c r="Y902" t="s">
        <v>99</v>
      </c>
      <c r="Z902" t="s">
        <v>421</v>
      </c>
      <c r="AC902" t="str">
        <f>IF(AA902="",M902,AA902)</f>
        <v>não</v>
      </c>
      <c r="AD902" t="str">
        <f>IF(AB902="",X902,AB902)</f>
        <v>sim</v>
      </c>
      <c r="AE902" t="str">
        <f>IF(OR(Configuracao!B9="",Configuracao!B10=""),"aguardando limiar",IF(AND(K902&gt;=Configuracao!B9,K902/MAX(Reconciliacao!C2,1)&gt;=Configuracao!B10/100),"sim","não"))</f>
        <v>aguardando limiar</v>
      </c>
    </row>
    <row r="903" spans="1:31" x14ac:dyDescent="0.25">
      <c r="A903">
        <v>12346</v>
      </c>
      <c r="C903" t="s">
        <v>886</v>
      </c>
      <c r="D903" t="s">
        <v>870</v>
      </c>
      <c r="E903" t="s">
        <v>74</v>
      </c>
      <c r="F903" t="s">
        <v>248</v>
      </c>
      <c r="G903" t="s">
        <v>247</v>
      </c>
      <c r="H903" t="s">
        <v>246</v>
      </c>
      <c r="I903" t="s">
        <v>424</v>
      </c>
      <c r="J903" t="s">
        <v>424</v>
      </c>
      <c r="K903" s="4">
        <v>251</v>
      </c>
      <c r="L903" s="4">
        <v>251</v>
      </c>
      <c r="M903" t="s">
        <v>166</v>
      </c>
      <c r="N903" t="s">
        <v>77</v>
      </c>
      <c r="O903" t="s">
        <v>76</v>
      </c>
      <c r="P903" t="s">
        <v>187</v>
      </c>
      <c r="Q903" t="s">
        <v>76</v>
      </c>
      <c r="R903" t="s">
        <v>76</v>
      </c>
      <c r="S903" t="s">
        <v>167</v>
      </c>
      <c r="T903" t="s">
        <v>167</v>
      </c>
      <c r="U903" t="s">
        <v>168</v>
      </c>
      <c r="V903" t="s">
        <v>169</v>
      </c>
      <c r="W903" t="s">
        <v>77</v>
      </c>
      <c r="X903" t="s">
        <v>44</v>
      </c>
      <c r="Y903" t="s">
        <v>99</v>
      </c>
      <c r="Z903" t="s">
        <v>421</v>
      </c>
      <c r="AC903" t="str">
        <f>IF(AA903="",M903,AA903)</f>
        <v>não</v>
      </c>
      <c r="AD903" t="str">
        <f>IF(AB903="",X903,AB903)</f>
        <v>sim</v>
      </c>
      <c r="AE903" t="str">
        <f>IF(OR(Configuracao!B9="",Configuracao!B10=""),"aguardando limiar",IF(AND(K903&gt;=Configuracao!B9,K903/MAX(Reconciliacao!C2,1)&gt;=Configuracao!B10/100),"sim","não"))</f>
        <v>aguardando limiar</v>
      </c>
    </row>
    <row r="904" spans="1:31" x14ac:dyDescent="0.25">
      <c r="A904">
        <v>13037</v>
      </c>
      <c r="C904" t="s">
        <v>887</v>
      </c>
      <c r="D904" t="s">
        <v>865</v>
      </c>
      <c r="E904" t="s">
        <v>74</v>
      </c>
      <c r="F904" t="s">
        <v>248</v>
      </c>
      <c r="G904" t="s">
        <v>247</v>
      </c>
      <c r="H904" t="s">
        <v>246</v>
      </c>
      <c r="I904" t="s">
        <v>424</v>
      </c>
      <c r="J904" t="s">
        <v>424</v>
      </c>
      <c r="K904" s="4">
        <v>259.31</v>
      </c>
      <c r="L904" s="4">
        <v>259.31</v>
      </c>
      <c r="M904" t="s">
        <v>166</v>
      </c>
      <c r="N904" t="s">
        <v>77</v>
      </c>
      <c r="O904" t="s">
        <v>76</v>
      </c>
      <c r="P904" t="s">
        <v>187</v>
      </c>
      <c r="Q904" t="s">
        <v>76</v>
      </c>
      <c r="R904" t="s">
        <v>76</v>
      </c>
      <c r="S904" t="s">
        <v>167</v>
      </c>
      <c r="T904" t="s">
        <v>167</v>
      </c>
      <c r="U904" t="s">
        <v>168</v>
      </c>
      <c r="V904" t="s">
        <v>169</v>
      </c>
      <c r="W904" t="s">
        <v>77</v>
      </c>
      <c r="X904" t="s">
        <v>44</v>
      </c>
      <c r="Y904" t="s">
        <v>99</v>
      </c>
      <c r="Z904" t="s">
        <v>421</v>
      </c>
      <c r="AC904" t="str">
        <f>IF(AA904="",M904,AA904)</f>
        <v>não</v>
      </c>
      <c r="AD904" t="str">
        <f>IF(AB904="",X904,AB904)</f>
        <v>sim</v>
      </c>
      <c r="AE904" t="str">
        <f>IF(OR(Configuracao!B9="",Configuracao!B10=""),"aguardando limiar",IF(AND(K904&gt;=Configuracao!B9,K904/MAX(Reconciliacao!C2,1)&gt;=Configuracao!B10/100),"sim","não"))</f>
        <v>aguardando limiar</v>
      </c>
    </row>
    <row r="905" spans="1:31" x14ac:dyDescent="0.25">
      <c r="A905">
        <v>13410</v>
      </c>
      <c r="C905" t="s">
        <v>888</v>
      </c>
      <c r="D905" t="s">
        <v>580</v>
      </c>
      <c r="E905" t="s">
        <v>74</v>
      </c>
      <c r="F905" t="s">
        <v>248</v>
      </c>
      <c r="G905" t="s">
        <v>247</v>
      </c>
      <c r="H905" t="s">
        <v>246</v>
      </c>
      <c r="I905" t="s">
        <v>454</v>
      </c>
      <c r="J905" t="s">
        <v>454</v>
      </c>
      <c r="K905" s="4">
        <v>260.34</v>
      </c>
      <c r="L905" s="4">
        <v>260.34</v>
      </c>
      <c r="M905" t="s">
        <v>166</v>
      </c>
      <c r="N905" t="s">
        <v>77</v>
      </c>
      <c r="O905" t="s">
        <v>76</v>
      </c>
      <c r="P905" t="s">
        <v>187</v>
      </c>
      <c r="Q905" t="s">
        <v>76</v>
      </c>
      <c r="R905" t="s">
        <v>76</v>
      </c>
      <c r="S905" t="s">
        <v>167</v>
      </c>
      <c r="T905" t="s">
        <v>167</v>
      </c>
      <c r="U905" t="s">
        <v>168</v>
      </c>
      <c r="V905" t="s">
        <v>169</v>
      </c>
      <c r="W905" t="s">
        <v>77</v>
      </c>
      <c r="X905" t="s">
        <v>44</v>
      </c>
      <c r="Y905" t="s">
        <v>99</v>
      </c>
      <c r="Z905" t="s">
        <v>421</v>
      </c>
      <c r="AC905" t="str">
        <f>IF(AA905="",M905,AA905)</f>
        <v>não</v>
      </c>
      <c r="AD905" t="str">
        <f>IF(AB905="",X905,AB905)</f>
        <v>sim</v>
      </c>
      <c r="AE905" t="str">
        <f>IF(OR(Configuracao!B9="",Configuracao!B10=""),"aguardando limiar",IF(AND(K905&gt;=Configuracao!B9,K905/MAX(Reconciliacao!C2,1)&gt;=Configuracao!B10/100),"sim","não"))</f>
        <v>aguardando limiar</v>
      </c>
    </row>
    <row r="906" spans="1:31" x14ac:dyDescent="0.25">
      <c r="A906">
        <v>15731</v>
      </c>
      <c r="C906" t="s">
        <v>889</v>
      </c>
      <c r="D906" t="s">
        <v>629</v>
      </c>
      <c r="E906" t="s">
        <v>74</v>
      </c>
      <c r="F906" t="s">
        <v>248</v>
      </c>
      <c r="G906" t="s">
        <v>247</v>
      </c>
      <c r="H906" t="s">
        <v>246</v>
      </c>
      <c r="I906" t="s">
        <v>454</v>
      </c>
      <c r="J906" t="s">
        <v>454</v>
      </c>
      <c r="K906" s="4">
        <v>261.99</v>
      </c>
      <c r="L906" s="4">
        <v>261.99</v>
      </c>
      <c r="M906" t="s">
        <v>166</v>
      </c>
      <c r="N906" t="s">
        <v>77</v>
      </c>
      <c r="O906" t="s">
        <v>76</v>
      </c>
      <c r="P906" t="s">
        <v>187</v>
      </c>
      <c r="Q906" t="s">
        <v>76</v>
      </c>
      <c r="R906" t="s">
        <v>76</v>
      </c>
      <c r="S906" t="s">
        <v>167</v>
      </c>
      <c r="T906" t="s">
        <v>167</v>
      </c>
      <c r="U906" t="s">
        <v>168</v>
      </c>
      <c r="V906" t="s">
        <v>169</v>
      </c>
      <c r="W906" t="s">
        <v>77</v>
      </c>
      <c r="X906" t="s">
        <v>44</v>
      </c>
      <c r="Y906" t="s">
        <v>99</v>
      </c>
      <c r="Z906" t="s">
        <v>421</v>
      </c>
      <c r="AC906" t="str">
        <f>IF(AA906="",M906,AA906)</f>
        <v>não</v>
      </c>
      <c r="AD906" t="str">
        <f>IF(AB906="",X906,AB906)</f>
        <v>sim</v>
      </c>
      <c r="AE906" t="str">
        <f>IF(OR(Configuracao!B9="",Configuracao!B10=""),"aguardando limiar",IF(AND(K906&gt;=Configuracao!B9,K906/MAX(Reconciliacao!C2,1)&gt;=Configuracao!B10/100),"sim","não"))</f>
        <v>aguardando limiar</v>
      </c>
    </row>
    <row r="907" spans="1:31" x14ac:dyDescent="0.25">
      <c r="A907">
        <v>17534</v>
      </c>
      <c r="C907" t="s">
        <v>890</v>
      </c>
      <c r="D907" t="s">
        <v>592</v>
      </c>
      <c r="E907" t="s">
        <v>74</v>
      </c>
      <c r="F907" t="s">
        <v>248</v>
      </c>
      <c r="G907" t="s">
        <v>247</v>
      </c>
      <c r="H907" t="s">
        <v>246</v>
      </c>
      <c r="I907" t="s">
        <v>442</v>
      </c>
      <c r="J907" t="s">
        <v>442</v>
      </c>
      <c r="K907" s="4">
        <v>266</v>
      </c>
      <c r="L907" s="4">
        <v>266</v>
      </c>
      <c r="M907" t="s">
        <v>166</v>
      </c>
      <c r="N907" t="s">
        <v>77</v>
      </c>
      <c r="O907" t="s">
        <v>76</v>
      </c>
      <c r="P907" t="s">
        <v>187</v>
      </c>
      <c r="Q907" t="s">
        <v>76</v>
      </c>
      <c r="R907" t="s">
        <v>76</v>
      </c>
      <c r="S907" t="s">
        <v>167</v>
      </c>
      <c r="T907" t="s">
        <v>167</v>
      </c>
      <c r="U907" t="s">
        <v>168</v>
      </c>
      <c r="V907" t="s">
        <v>169</v>
      </c>
      <c r="W907" t="s">
        <v>77</v>
      </c>
      <c r="X907" t="s">
        <v>44</v>
      </c>
      <c r="Y907" t="s">
        <v>99</v>
      </c>
      <c r="Z907" t="s">
        <v>421</v>
      </c>
      <c r="AC907" t="str">
        <f>IF(AA907="",M907,AA907)</f>
        <v>não</v>
      </c>
      <c r="AD907" t="str">
        <f>IF(AB907="",X907,AB907)</f>
        <v>sim</v>
      </c>
      <c r="AE907" t="str">
        <f>IF(OR(Configuracao!B9="",Configuracao!B10=""),"aguardando limiar",IF(AND(K907&gt;=Configuracao!B9,K907/MAX(Reconciliacao!C2,1)&gt;=Configuracao!B10/100),"sim","não"))</f>
        <v>aguardando limiar</v>
      </c>
    </row>
    <row r="908" spans="1:31" x14ac:dyDescent="0.25">
      <c r="A908">
        <v>18083</v>
      </c>
      <c r="C908" t="s">
        <v>891</v>
      </c>
      <c r="D908" t="s">
        <v>629</v>
      </c>
      <c r="E908" t="s">
        <v>74</v>
      </c>
      <c r="F908" t="s">
        <v>248</v>
      </c>
      <c r="G908" t="s">
        <v>247</v>
      </c>
      <c r="H908" t="s">
        <v>246</v>
      </c>
      <c r="I908" t="s">
        <v>439</v>
      </c>
      <c r="J908" t="s">
        <v>439</v>
      </c>
      <c r="K908" s="4">
        <v>275.6</v>
      </c>
      <c r="L908" s="4">
        <v>275.6</v>
      </c>
      <c r="M908" t="s">
        <v>166</v>
      </c>
      <c r="N908" t="s">
        <v>77</v>
      </c>
      <c r="O908" t="s">
        <v>76</v>
      </c>
      <c r="P908" t="s">
        <v>187</v>
      </c>
      <c r="Q908" t="s">
        <v>76</v>
      </c>
      <c r="R908" t="s">
        <v>76</v>
      </c>
      <c r="S908" t="s">
        <v>167</v>
      </c>
      <c r="T908" t="s">
        <v>167</v>
      </c>
      <c r="U908" t="s">
        <v>168</v>
      </c>
      <c r="V908" t="s">
        <v>169</v>
      </c>
      <c r="W908" t="s">
        <v>77</v>
      </c>
      <c r="X908" t="s">
        <v>44</v>
      </c>
      <c r="Y908" t="s">
        <v>99</v>
      </c>
      <c r="Z908" t="s">
        <v>421</v>
      </c>
      <c r="AC908" t="str">
        <f>IF(AA908="",M908,AA908)</f>
        <v>não</v>
      </c>
      <c r="AD908" t="str">
        <f>IF(AB908="",X908,AB908)</f>
        <v>sim</v>
      </c>
      <c r="AE908" t="str">
        <f>IF(OR(Configuracao!B9="",Configuracao!B10=""),"aguardando limiar",IF(AND(K908&gt;=Configuracao!B9,K908/MAX(Reconciliacao!C2,1)&gt;=Configuracao!B10/100),"sim","não"))</f>
        <v>aguardando limiar</v>
      </c>
    </row>
    <row r="909" spans="1:31" x14ac:dyDescent="0.25">
      <c r="A909">
        <v>16767</v>
      </c>
      <c r="C909" t="s">
        <v>892</v>
      </c>
      <c r="D909" t="s">
        <v>580</v>
      </c>
      <c r="E909" t="s">
        <v>74</v>
      </c>
      <c r="F909" t="s">
        <v>248</v>
      </c>
      <c r="G909" t="s">
        <v>247</v>
      </c>
      <c r="H909" t="s">
        <v>246</v>
      </c>
      <c r="I909" t="s">
        <v>461</v>
      </c>
      <c r="J909" t="s">
        <v>461</v>
      </c>
      <c r="K909" s="4">
        <v>285.19</v>
      </c>
      <c r="L909" s="4">
        <v>285.19</v>
      </c>
      <c r="M909" t="s">
        <v>166</v>
      </c>
      <c r="N909" t="s">
        <v>77</v>
      </c>
      <c r="O909" t="s">
        <v>76</v>
      </c>
      <c r="P909" t="s">
        <v>187</v>
      </c>
      <c r="Q909" t="s">
        <v>76</v>
      </c>
      <c r="R909" t="s">
        <v>76</v>
      </c>
      <c r="S909" t="s">
        <v>167</v>
      </c>
      <c r="T909" t="s">
        <v>167</v>
      </c>
      <c r="U909" t="s">
        <v>168</v>
      </c>
      <c r="V909" t="s">
        <v>169</v>
      </c>
      <c r="W909" t="s">
        <v>77</v>
      </c>
      <c r="X909" t="s">
        <v>44</v>
      </c>
      <c r="Y909" t="s">
        <v>99</v>
      </c>
      <c r="Z909" t="s">
        <v>421</v>
      </c>
      <c r="AC909" t="str">
        <f>IF(AA909="",M909,AA909)</f>
        <v>não</v>
      </c>
      <c r="AD909" t="str">
        <f>IF(AB909="",X909,AB909)</f>
        <v>sim</v>
      </c>
      <c r="AE909" t="str">
        <f>IF(OR(Configuracao!B9="",Configuracao!B10=""),"aguardando limiar",IF(AND(K909&gt;=Configuracao!B9,K909/MAX(Reconciliacao!C2,1)&gt;=Configuracao!B10/100),"sim","não"))</f>
        <v>aguardando limiar</v>
      </c>
    </row>
    <row r="910" spans="1:31" x14ac:dyDescent="0.25">
      <c r="A910">
        <v>13038</v>
      </c>
      <c r="C910" t="s">
        <v>893</v>
      </c>
      <c r="D910" t="s">
        <v>580</v>
      </c>
      <c r="E910" t="s">
        <v>74</v>
      </c>
      <c r="F910" t="s">
        <v>248</v>
      </c>
      <c r="G910" t="s">
        <v>247</v>
      </c>
      <c r="H910" t="s">
        <v>246</v>
      </c>
      <c r="I910" t="s">
        <v>424</v>
      </c>
      <c r="J910" t="s">
        <v>424</v>
      </c>
      <c r="K910" s="4">
        <v>305</v>
      </c>
      <c r="L910" s="4">
        <v>305</v>
      </c>
      <c r="M910" t="s">
        <v>166</v>
      </c>
      <c r="N910" t="s">
        <v>77</v>
      </c>
      <c r="O910" t="s">
        <v>76</v>
      </c>
      <c r="P910" t="s">
        <v>187</v>
      </c>
      <c r="Q910" t="s">
        <v>76</v>
      </c>
      <c r="R910" t="s">
        <v>76</v>
      </c>
      <c r="S910" t="s">
        <v>167</v>
      </c>
      <c r="T910" t="s">
        <v>167</v>
      </c>
      <c r="U910" t="s">
        <v>168</v>
      </c>
      <c r="V910" t="s">
        <v>169</v>
      </c>
      <c r="W910" t="s">
        <v>77</v>
      </c>
      <c r="X910" t="s">
        <v>44</v>
      </c>
      <c r="Y910" t="s">
        <v>99</v>
      </c>
      <c r="Z910" t="s">
        <v>421</v>
      </c>
      <c r="AC910" t="str">
        <f>IF(AA910="",M910,AA910)</f>
        <v>não</v>
      </c>
      <c r="AD910" t="str">
        <f>IF(AB910="",X910,AB910)</f>
        <v>sim</v>
      </c>
      <c r="AE910" t="str">
        <f>IF(OR(Configuracao!B9="",Configuracao!B10=""),"aguardando limiar",IF(AND(K910&gt;=Configuracao!B9,K910/MAX(Reconciliacao!C2,1)&gt;=Configuracao!B10/100),"sim","não"))</f>
        <v>aguardando limiar</v>
      </c>
    </row>
    <row r="911" spans="1:31" x14ac:dyDescent="0.25">
      <c r="A911">
        <v>18508</v>
      </c>
      <c r="C911" t="s">
        <v>894</v>
      </c>
      <c r="D911" t="s">
        <v>870</v>
      </c>
      <c r="E911" t="s">
        <v>74</v>
      </c>
      <c r="F911" t="s">
        <v>248</v>
      </c>
      <c r="G911" t="s">
        <v>247</v>
      </c>
      <c r="H911" t="s">
        <v>246</v>
      </c>
      <c r="I911" t="s">
        <v>439</v>
      </c>
      <c r="J911" t="s">
        <v>439</v>
      </c>
      <c r="K911" s="4">
        <v>312.68</v>
      </c>
      <c r="L911" s="4">
        <v>312.68</v>
      </c>
      <c r="M911" t="s">
        <v>166</v>
      </c>
      <c r="N911" t="s">
        <v>77</v>
      </c>
      <c r="O911" t="s">
        <v>76</v>
      </c>
      <c r="P911" t="s">
        <v>187</v>
      </c>
      <c r="Q911" t="s">
        <v>76</v>
      </c>
      <c r="R911" t="s">
        <v>76</v>
      </c>
      <c r="S911" t="s">
        <v>167</v>
      </c>
      <c r="T911" t="s">
        <v>167</v>
      </c>
      <c r="U911" t="s">
        <v>168</v>
      </c>
      <c r="V911" t="s">
        <v>169</v>
      </c>
      <c r="W911" t="s">
        <v>77</v>
      </c>
      <c r="X911" t="s">
        <v>44</v>
      </c>
      <c r="Y911" t="s">
        <v>99</v>
      </c>
      <c r="Z911" t="s">
        <v>421</v>
      </c>
      <c r="AC911" t="str">
        <f>IF(AA911="",M911,AA911)</f>
        <v>não</v>
      </c>
      <c r="AD911" t="str">
        <f>IF(AB911="",X911,AB911)</f>
        <v>sim</v>
      </c>
      <c r="AE911" t="str">
        <f>IF(OR(Configuracao!B9="",Configuracao!B10=""),"aguardando limiar",IF(AND(K911&gt;=Configuracao!B9,K911/MAX(Reconciliacao!C2,1)&gt;=Configuracao!B10/100),"sim","não"))</f>
        <v>aguardando limiar</v>
      </c>
    </row>
    <row r="912" spans="1:31" x14ac:dyDescent="0.25">
      <c r="A912">
        <v>18081</v>
      </c>
      <c r="C912" t="s">
        <v>895</v>
      </c>
      <c r="D912" t="s">
        <v>580</v>
      </c>
      <c r="E912" t="s">
        <v>74</v>
      </c>
      <c r="F912" t="s">
        <v>248</v>
      </c>
      <c r="G912" t="s">
        <v>247</v>
      </c>
      <c r="H912" t="s">
        <v>246</v>
      </c>
      <c r="I912" t="s">
        <v>439</v>
      </c>
      <c r="J912" t="s">
        <v>439</v>
      </c>
      <c r="K912" s="4">
        <v>314</v>
      </c>
      <c r="L912" s="4">
        <v>314</v>
      </c>
      <c r="M912" t="s">
        <v>166</v>
      </c>
      <c r="N912" t="s">
        <v>77</v>
      </c>
      <c r="O912" t="s">
        <v>76</v>
      </c>
      <c r="P912" t="s">
        <v>187</v>
      </c>
      <c r="Q912" t="s">
        <v>76</v>
      </c>
      <c r="R912" t="s">
        <v>76</v>
      </c>
      <c r="S912" t="s">
        <v>167</v>
      </c>
      <c r="T912" t="s">
        <v>167</v>
      </c>
      <c r="U912" t="s">
        <v>168</v>
      </c>
      <c r="V912" t="s">
        <v>169</v>
      </c>
      <c r="W912" t="s">
        <v>77</v>
      </c>
      <c r="X912" t="s">
        <v>44</v>
      </c>
      <c r="Y912" t="s">
        <v>99</v>
      </c>
      <c r="Z912" t="s">
        <v>421</v>
      </c>
      <c r="AC912" t="str">
        <f>IF(AA912="",M912,AA912)</f>
        <v>não</v>
      </c>
      <c r="AD912" t="str">
        <f>IF(AB912="",X912,AB912)</f>
        <v>sim</v>
      </c>
      <c r="AE912" t="str">
        <f>IF(OR(Configuracao!B9="",Configuracao!B10=""),"aguardando limiar",IF(AND(K912&gt;=Configuracao!B9,K912/MAX(Reconciliacao!C2,1)&gt;=Configuracao!B10/100),"sim","não"))</f>
        <v>aguardando limiar</v>
      </c>
    </row>
    <row r="913" spans="1:31" x14ac:dyDescent="0.25">
      <c r="A913">
        <v>15730</v>
      </c>
      <c r="C913" t="s">
        <v>896</v>
      </c>
      <c r="D913" t="s">
        <v>587</v>
      </c>
      <c r="E913" t="s">
        <v>74</v>
      </c>
      <c r="F913" t="s">
        <v>248</v>
      </c>
      <c r="G913" t="s">
        <v>247</v>
      </c>
      <c r="H913" t="s">
        <v>246</v>
      </c>
      <c r="I913" t="s">
        <v>454</v>
      </c>
      <c r="J913" t="s">
        <v>454</v>
      </c>
      <c r="K913" s="4">
        <v>338.3</v>
      </c>
      <c r="L913" s="4">
        <v>338.3</v>
      </c>
      <c r="M913" t="s">
        <v>166</v>
      </c>
      <c r="N913" t="s">
        <v>77</v>
      </c>
      <c r="O913" t="s">
        <v>76</v>
      </c>
      <c r="P913" t="s">
        <v>187</v>
      </c>
      <c r="Q913" t="s">
        <v>76</v>
      </c>
      <c r="R913" t="s">
        <v>76</v>
      </c>
      <c r="S913" t="s">
        <v>167</v>
      </c>
      <c r="T913" t="s">
        <v>167</v>
      </c>
      <c r="U913" t="s">
        <v>168</v>
      </c>
      <c r="V913" t="s">
        <v>169</v>
      </c>
      <c r="W913" t="s">
        <v>77</v>
      </c>
      <c r="X913" t="s">
        <v>44</v>
      </c>
      <c r="Y913" t="s">
        <v>99</v>
      </c>
      <c r="Z913" t="s">
        <v>421</v>
      </c>
      <c r="AC913" t="str">
        <f>IF(AA913="",M913,AA913)</f>
        <v>não</v>
      </c>
      <c r="AD913" t="str">
        <f>IF(AB913="",X913,AB913)</f>
        <v>sim</v>
      </c>
      <c r="AE913" t="str">
        <f>IF(OR(Configuracao!B9="",Configuracao!B10=""),"aguardando limiar",IF(AND(K913&gt;=Configuracao!B9,K913/MAX(Reconciliacao!C2,1)&gt;=Configuracao!B10/100),"sim","não"))</f>
        <v>aguardando limiar</v>
      </c>
    </row>
    <row r="914" spans="1:31" x14ac:dyDescent="0.25">
      <c r="A914">
        <v>16766</v>
      </c>
      <c r="C914" t="s">
        <v>897</v>
      </c>
      <c r="D914" t="s">
        <v>587</v>
      </c>
      <c r="E914" t="s">
        <v>74</v>
      </c>
      <c r="F914" t="s">
        <v>248</v>
      </c>
      <c r="G914" t="s">
        <v>247</v>
      </c>
      <c r="H914" t="s">
        <v>246</v>
      </c>
      <c r="I914" t="s">
        <v>461</v>
      </c>
      <c r="J914" t="s">
        <v>461</v>
      </c>
      <c r="K914" s="4">
        <v>347.4</v>
      </c>
      <c r="L914" s="4">
        <v>347.4</v>
      </c>
      <c r="M914" t="s">
        <v>166</v>
      </c>
      <c r="N914" t="s">
        <v>77</v>
      </c>
      <c r="O914" t="s">
        <v>76</v>
      </c>
      <c r="P914" t="s">
        <v>187</v>
      </c>
      <c r="Q914" t="s">
        <v>76</v>
      </c>
      <c r="R914" t="s">
        <v>76</v>
      </c>
      <c r="S914" t="s">
        <v>167</v>
      </c>
      <c r="T914" t="s">
        <v>167</v>
      </c>
      <c r="U914" t="s">
        <v>168</v>
      </c>
      <c r="V914" t="s">
        <v>169</v>
      </c>
      <c r="W914" t="s">
        <v>77</v>
      </c>
      <c r="X914" t="s">
        <v>44</v>
      </c>
      <c r="Y914" t="s">
        <v>99</v>
      </c>
      <c r="Z914" t="s">
        <v>421</v>
      </c>
      <c r="AC914" t="str">
        <f>IF(AA914="",M914,AA914)</f>
        <v>não</v>
      </c>
      <c r="AD914" t="str">
        <f>IF(AB914="",X914,AB914)</f>
        <v>sim</v>
      </c>
      <c r="AE914" t="str">
        <f>IF(OR(Configuracao!B9="",Configuracao!B10=""),"aguardando limiar",IF(AND(K914&gt;=Configuracao!B9,K914/MAX(Reconciliacao!C2,1)&gt;=Configuracao!B10/100),"sim","não"))</f>
        <v>aguardando limiar</v>
      </c>
    </row>
    <row r="915" spans="1:31" x14ac:dyDescent="0.25">
      <c r="A915">
        <v>12993</v>
      </c>
      <c r="C915" t="s">
        <v>898</v>
      </c>
      <c r="D915" t="s">
        <v>580</v>
      </c>
      <c r="E915" t="s">
        <v>74</v>
      </c>
      <c r="F915" t="s">
        <v>248</v>
      </c>
      <c r="G915" t="s">
        <v>247</v>
      </c>
      <c r="H915" t="s">
        <v>246</v>
      </c>
      <c r="I915" t="s">
        <v>420</v>
      </c>
      <c r="J915" t="s">
        <v>420</v>
      </c>
      <c r="K915" s="4">
        <v>357.66</v>
      </c>
      <c r="L915" s="4">
        <v>357.66</v>
      </c>
      <c r="M915" t="s">
        <v>166</v>
      </c>
      <c r="N915" t="s">
        <v>77</v>
      </c>
      <c r="O915" t="s">
        <v>76</v>
      </c>
      <c r="P915" t="s">
        <v>187</v>
      </c>
      <c r="Q915" t="s">
        <v>76</v>
      </c>
      <c r="R915" t="s">
        <v>76</v>
      </c>
      <c r="S915" t="s">
        <v>167</v>
      </c>
      <c r="T915" t="s">
        <v>167</v>
      </c>
      <c r="U915" t="s">
        <v>168</v>
      </c>
      <c r="V915" t="s">
        <v>169</v>
      </c>
      <c r="W915" t="s">
        <v>77</v>
      </c>
      <c r="X915" t="s">
        <v>44</v>
      </c>
      <c r="Y915" t="s">
        <v>99</v>
      </c>
      <c r="Z915" t="s">
        <v>421</v>
      </c>
      <c r="AC915" t="str">
        <f>IF(AA915="",M915,AA915)</f>
        <v>não</v>
      </c>
      <c r="AD915" t="str">
        <f>IF(AB915="",X915,AB915)</f>
        <v>sim</v>
      </c>
      <c r="AE915" t="str">
        <f>IF(OR(Configuracao!B9="",Configuracao!B10=""),"aguardando limiar",IF(AND(K915&gt;=Configuracao!B9,K915/MAX(Reconciliacao!C2,1)&gt;=Configuracao!B10/100),"sim","não"))</f>
        <v>aguardando limiar</v>
      </c>
    </row>
    <row r="916" spans="1:31" x14ac:dyDescent="0.25">
      <c r="A916">
        <v>14657</v>
      </c>
      <c r="C916" t="s">
        <v>899</v>
      </c>
      <c r="D916" t="s">
        <v>599</v>
      </c>
      <c r="E916" t="s">
        <v>74</v>
      </c>
      <c r="F916" t="s">
        <v>248</v>
      </c>
      <c r="G916" t="s">
        <v>247</v>
      </c>
      <c r="H916" t="s">
        <v>246</v>
      </c>
      <c r="I916" t="s">
        <v>454</v>
      </c>
      <c r="J916" t="s">
        <v>454</v>
      </c>
      <c r="K916" s="4">
        <v>364.2</v>
      </c>
      <c r="L916" s="4">
        <v>364.2</v>
      </c>
      <c r="M916" t="s">
        <v>166</v>
      </c>
      <c r="N916" t="s">
        <v>77</v>
      </c>
      <c r="O916" t="s">
        <v>76</v>
      </c>
      <c r="P916" t="s">
        <v>187</v>
      </c>
      <c r="Q916" t="s">
        <v>76</v>
      </c>
      <c r="R916" t="s">
        <v>76</v>
      </c>
      <c r="S916" t="s">
        <v>167</v>
      </c>
      <c r="T916" t="s">
        <v>167</v>
      </c>
      <c r="U916" t="s">
        <v>168</v>
      </c>
      <c r="V916" t="s">
        <v>169</v>
      </c>
      <c r="W916" t="s">
        <v>77</v>
      </c>
      <c r="X916" t="s">
        <v>44</v>
      </c>
      <c r="Y916" t="s">
        <v>99</v>
      </c>
      <c r="Z916" t="s">
        <v>421</v>
      </c>
      <c r="AC916" t="str">
        <f>IF(AA916="",M916,AA916)</f>
        <v>não</v>
      </c>
      <c r="AD916" t="str">
        <f>IF(AB916="",X916,AB916)</f>
        <v>sim</v>
      </c>
      <c r="AE916" t="str">
        <f>IF(OR(Configuracao!B9="",Configuracao!B10=""),"aguardando limiar",IF(AND(K916&gt;=Configuracao!B9,K916/MAX(Reconciliacao!C2,1)&gt;=Configuracao!B10/100),"sim","não"))</f>
        <v>aguardando limiar</v>
      </c>
    </row>
    <row r="917" spans="1:31" x14ac:dyDescent="0.25">
      <c r="A917">
        <v>18708</v>
      </c>
      <c r="C917" t="s">
        <v>900</v>
      </c>
      <c r="D917" t="s">
        <v>870</v>
      </c>
      <c r="E917" t="s">
        <v>74</v>
      </c>
      <c r="F917" t="s">
        <v>248</v>
      </c>
      <c r="G917" t="s">
        <v>247</v>
      </c>
      <c r="H917" t="s">
        <v>246</v>
      </c>
      <c r="I917" t="s">
        <v>35</v>
      </c>
      <c r="J917" t="s">
        <v>35</v>
      </c>
      <c r="K917" s="4">
        <v>368.4</v>
      </c>
      <c r="L917" s="4">
        <v>368.4</v>
      </c>
      <c r="M917" t="s">
        <v>166</v>
      </c>
      <c r="N917" t="s">
        <v>77</v>
      </c>
      <c r="O917" t="s">
        <v>76</v>
      </c>
      <c r="P917" t="s">
        <v>187</v>
      </c>
      <c r="Q917" t="s">
        <v>76</v>
      </c>
      <c r="R917" t="s">
        <v>76</v>
      </c>
      <c r="S917" t="s">
        <v>167</v>
      </c>
      <c r="T917" t="s">
        <v>167</v>
      </c>
      <c r="U917" t="s">
        <v>168</v>
      </c>
      <c r="V917" t="s">
        <v>169</v>
      </c>
      <c r="W917" t="s">
        <v>77</v>
      </c>
      <c r="X917" t="s">
        <v>44</v>
      </c>
      <c r="Y917" t="s">
        <v>99</v>
      </c>
      <c r="Z917" t="s">
        <v>421</v>
      </c>
      <c r="AC917" t="str">
        <f>IF(AA917="",M917,AA917)</f>
        <v>não</v>
      </c>
      <c r="AD917" t="str">
        <f>IF(AB917="",X917,AB917)</f>
        <v>sim</v>
      </c>
      <c r="AE917" t="str">
        <f>IF(OR(Configuracao!B9="",Configuracao!B10=""),"aguardando limiar",IF(AND(K917&gt;=Configuracao!B9,K917/MAX(Reconciliacao!C2,1)&gt;=Configuracao!B10/100),"sim","não"))</f>
        <v>aguardando limiar</v>
      </c>
    </row>
    <row r="918" spans="1:31" x14ac:dyDescent="0.25">
      <c r="A918">
        <v>12864</v>
      </c>
      <c r="C918" t="s">
        <v>901</v>
      </c>
      <c r="D918" t="s">
        <v>629</v>
      </c>
      <c r="E918" t="s">
        <v>74</v>
      </c>
      <c r="F918" t="s">
        <v>248</v>
      </c>
      <c r="G918" t="s">
        <v>247</v>
      </c>
      <c r="H918" t="s">
        <v>246</v>
      </c>
      <c r="I918" t="s">
        <v>420</v>
      </c>
      <c r="J918" t="s">
        <v>420</v>
      </c>
      <c r="K918" s="4">
        <v>374.3</v>
      </c>
      <c r="L918" s="4">
        <v>374.3</v>
      </c>
      <c r="M918" t="s">
        <v>166</v>
      </c>
      <c r="N918" t="s">
        <v>77</v>
      </c>
      <c r="O918" t="s">
        <v>76</v>
      </c>
      <c r="P918" t="s">
        <v>187</v>
      </c>
      <c r="Q918" t="s">
        <v>76</v>
      </c>
      <c r="R918" t="s">
        <v>76</v>
      </c>
      <c r="S918" t="s">
        <v>167</v>
      </c>
      <c r="T918" t="s">
        <v>167</v>
      </c>
      <c r="U918" t="s">
        <v>168</v>
      </c>
      <c r="V918" t="s">
        <v>169</v>
      </c>
      <c r="W918" t="s">
        <v>77</v>
      </c>
      <c r="X918" t="s">
        <v>44</v>
      </c>
      <c r="Y918" t="s">
        <v>99</v>
      </c>
      <c r="Z918" t="s">
        <v>421</v>
      </c>
      <c r="AC918" t="str">
        <f>IF(AA918="",M918,AA918)</f>
        <v>não</v>
      </c>
      <c r="AD918" t="str">
        <f>IF(AB918="",X918,AB918)</f>
        <v>sim</v>
      </c>
      <c r="AE918" t="str">
        <f>IF(OR(Configuracao!B9="",Configuracao!B10=""),"aguardando limiar",IF(AND(K918&gt;=Configuracao!B9,K918/MAX(Reconciliacao!C2,1)&gt;=Configuracao!B10/100),"sim","não"))</f>
        <v>aguardando limiar</v>
      </c>
    </row>
    <row r="919" spans="1:31" x14ac:dyDescent="0.25">
      <c r="A919">
        <v>16768</v>
      </c>
      <c r="C919" t="s">
        <v>902</v>
      </c>
      <c r="D919" t="s">
        <v>592</v>
      </c>
      <c r="E919" t="s">
        <v>74</v>
      </c>
      <c r="F919" t="s">
        <v>248</v>
      </c>
      <c r="G919" t="s">
        <v>247</v>
      </c>
      <c r="H919" t="s">
        <v>246</v>
      </c>
      <c r="I919" t="s">
        <v>461</v>
      </c>
      <c r="J919" t="s">
        <v>461</v>
      </c>
      <c r="K919" s="4">
        <v>396.4</v>
      </c>
      <c r="L919" s="4">
        <v>396.4</v>
      </c>
      <c r="M919" t="s">
        <v>166</v>
      </c>
      <c r="N919" t="s">
        <v>77</v>
      </c>
      <c r="O919" t="s">
        <v>76</v>
      </c>
      <c r="P919" t="s">
        <v>187</v>
      </c>
      <c r="Q919" t="s">
        <v>76</v>
      </c>
      <c r="R919" t="s">
        <v>76</v>
      </c>
      <c r="S919" t="s">
        <v>167</v>
      </c>
      <c r="T919" t="s">
        <v>167</v>
      </c>
      <c r="U919" t="s">
        <v>168</v>
      </c>
      <c r="V919" t="s">
        <v>169</v>
      </c>
      <c r="W919" t="s">
        <v>77</v>
      </c>
      <c r="X919" t="s">
        <v>44</v>
      </c>
      <c r="Y919" t="s">
        <v>99</v>
      </c>
      <c r="Z919" t="s">
        <v>421</v>
      </c>
      <c r="AC919" t="str">
        <f>IF(AA919="",M919,AA919)</f>
        <v>não</v>
      </c>
      <c r="AD919" t="str">
        <f>IF(AB919="",X919,AB919)</f>
        <v>sim</v>
      </c>
      <c r="AE919" t="str">
        <f>IF(OR(Configuracao!B9="",Configuracao!B10=""),"aguardando limiar",IF(AND(K919&gt;=Configuracao!B9,K919/MAX(Reconciliacao!C2,1)&gt;=Configuracao!B10/100),"sim","não"))</f>
        <v>aguardando limiar</v>
      </c>
    </row>
    <row r="920" spans="1:31" x14ac:dyDescent="0.25">
      <c r="A920">
        <v>13036</v>
      </c>
      <c r="C920" t="s">
        <v>903</v>
      </c>
      <c r="D920" t="s">
        <v>599</v>
      </c>
      <c r="E920" t="s">
        <v>74</v>
      </c>
      <c r="F920" t="s">
        <v>248</v>
      </c>
      <c r="G920" t="s">
        <v>247</v>
      </c>
      <c r="H920" t="s">
        <v>246</v>
      </c>
      <c r="I920" t="s">
        <v>424</v>
      </c>
      <c r="J920" t="s">
        <v>424</v>
      </c>
      <c r="K920" s="4">
        <v>404.34</v>
      </c>
      <c r="L920" s="4">
        <v>404.34</v>
      </c>
      <c r="M920" t="s">
        <v>166</v>
      </c>
      <c r="N920" t="s">
        <v>77</v>
      </c>
      <c r="O920" t="s">
        <v>76</v>
      </c>
      <c r="P920" t="s">
        <v>187</v>
      </c>
      <c r="Q920" t="s">
        <v>76</v>
      </c>
      <c r="R920" t="s">
        <v>76</v>
      </c>
      <c r="S920" t="s">
        <v>167</v>
      </c>
      <c r="T920" t="s">
        <v>167</v>
      </c>
      <c r="U920" t="s">
        <v>168</v>
      </c>
      <c r="V920" t="s">
        <v>169</v>
      </c>
      <c r="W920" t="s">
        <v>77</v>
      </c>
      <c r="X920" t="s">
        <v>44</v>
      </c>
      <c r="Y920" t="s">
        <v>99</v>
      </c>
      <c r="Z920" t="s">
        <v>421</v>
      </c>
      <c r="AC920" t="str">
        <f>IF(AA920="",M920,AA920)</f>
        <v>não</v>
      </c>
      <c r="AD920" t="str">
        <f>IF(AB920="",X920,AB920)</f>
        <v>sim</v>
      </c>
      <c r="AE920" t="str">
        <f>IF(OR(Configuracao!B9="",Configuracao!B10=""),"aguardando limiar",IF(AND(K920&gt;=Configuracao!B9,K920/MAX(Reconciliacao!C2,1)&gt;=Configuracao!B10/100),"sim","não"))</f>
        <v>aguardando limiar</v>
      </c>
    </row>
    <row r="921" spans="1:31" x14ac:dyDescent="0.25">
      <c r="A921">
        <v>12091</v>
      </c>
      <c r="C921" t="s">
        <v>904</v>
      </c>
      <c r="D921" t="s">
        <v>578</v>
      </c>
      <c r="E921" t="s">
        <v>74</v>
      </c>
      <c r="F921" t="s">
        <v>248</v>
      </c>
      <c r="G921" t="s">
        <v>247</v>
      </c>
      <c r="H921" t="s">
        <v>246</v>
      </c>
      <c r="I921" t="s">
        <v>424</v>
      </c>
      <c r="J921" t="s">
        <v>424</v>
      </c>
      <c r="K921" s="4">
        <v>418.3</v>
      </c>
      <c r="L921" s="4">
        <v>418.3</v>
      </c>
      <c r="M921" t="s">
        <v>166</v>
      </c>
      <c r="N921" t="s">
        <v>77</v>
      </c>
      <c r="O921" t="s">
        <v>76</v>
      </c>
      <c r="P921" t="s">
        <v>187</v>
      </c>
      <c r="Q921" t="s">
        <v>76</v>
      </c>
      <c r="R921" t="s">
        <v>76</v>
      </c>
      <c r="S921" t="s">
        <v>167</v>
      </c>
      <c r="T921" t="s">
        <v>167</v>
      </c>
      <c r="U921" t="s">
        <v>168</v>
      </c>
      <c r="V921" t="s">
        <v>169</v>
      </c>
      <c r="W921" t="s">
        <v>77</v>
      </c>
      <c r="X921" t="s">
        <v>44</v>
      </c>
      <c r="Y921" t="s">
        <v>99</v>
      </c>
      <c r="Z921" t="s">
        <v>421</v>
      </c>
      <c r="AC921" t="str">
        <f>IF(AA921="",M921,AA921)</f>
        <v>não</v>
      </c>
      <c r="AD921" t="str">
        <f>IF(AB921="",X921,AB921)</f>
        <v>sim</v>
      </c>
      <c r="AE921" t="str">
        <f>IF(OR(Configuracao!B9="",Configuracao!B10=""),"aguardando limiar",IF(AND(K921&gt;=Configuracao!B9,K921/MAX(Reconciliacao!C2,1)&gt;=Configuracao!B10/100),"sim","não"))</f>
        <v>aguardando limiar</v>
      </c>
    </row>
    <row r="922" spans="1:31" x14ac:dyDescent="0.25">
      <c r="A922">
        <v>16923</v>
      </c>
      <c r="C922" t="s">
        <v>905</v>
      </c>
      <c r="D922" t="s">
        <v>599</v>
      </c>
      <c r="E922" t="s">
        <v>74</v>
      </c>
      <c r="F922" t="s">
        <v>248</v>
      </c>
      <c r="G922" t="s">
        <v>247</v>
      </c>
      <c r="H922" t="s">
        <v>246</v>
      </c>
      <c r="I922" t="s">
        <v>461</v>
      </c>
      <c r="J922" t="s">
        <v>461</v>
      </c>
      <c r="K922" s="4">
        <v>422.11</v>
      </c>
      <c r="L922" s="4">
        <v>422.11</v>
      </c>
      <c r="M922" t="s">
        <v>166</v>
      </c>
      <c r="N922" t="s">
        <v>77</v>
      </c>
      <c r="O922" t="s">
        <v>76</v>
      </c>
      <c r="P922" t="s">
        <v>187</v>
      </c>
      <c r="Q922" t="s">
        <v>76</v>
      </c>
      <c r="R922" t="s">
        <v>76</v>
      </c>
      <c r="S922" t="s">
        <v>167</v>
      </c>
      <c r="T922" t="s">
        <v>167</v>
      </c>
      <c r="U922" t="s">
        <v>168</v>
      </c>
      <c r="V922" t="s">
        <v>169</v>
      </c>
      <c r="W922" t="s">
        <v>77</v>
      </c>
      <c r="X922" t="s">
        <v>44</v>
      </c>
      <c r="Y922" t="s">
        <v>99</v>
      </c>
      <c r="Z922" t="s">
        <v>421</v>
      </c>
      <c r="AC922" t="str">
        <f>IF(AA922="",M922,AA922)</f>
        <v>não</v>
      </c>
      <c r="AD922" t="str">
        <f>IF(AB922="",X922,AB922)</f>
        <v>sim</v>
      </c>
      <c r="AE922" t="str">
        <f>IF(OR(Configuracao!B9="",Configuracao!B10=""),"aguardando limiar",IF(AND(K922&gt;=Configuracao!B9,K922/MAX(Reconciliacao!C2,1)&gt;=Configuracao!B10/100),"sim","não"))</f>
        <v>aguardando limiar</v>
      </c>
    </row>
    <row r="923" spans="1:31" x14ac:dyDescent="0.25">
      <c r="A923">
        <v>12087</v>
      </c>
      <c r="C923" t="s">
        <v>906</v>
      </c>
      <c r="D923" t="s">
        <v>599</v>
      </c>
      <c r="E923" t="s">
        <v>74</v>
      </c>
      <c r="F923" t="s">
        <v>248</v>
      </c>
      <c r="G923" t="s">
        <v>247</v>
      </c>
      <c r="H923" t="s">
        <v>246</v>
      </c>
      <c r="I923" t="s">
        <v>424</v>
      </c>
      <c r="J923" t="s">
        <v>424</v>
      </c>
      <c r="K923" s="4">
        <v>426.2</v>
      </c>
      <c r="L923" s="4">
        <v>426.2</v>
      </c>
      <c r="M923" t="s">
        <v>166</v>
      </c>
      <c r="N923" t="s">
        <v>77</v>
      </c>
      <c r="O923" t="s">
        <v>76</v>
      </c>
      <c r="P923" t="s">
        <v>187</v>
      </c>
      <c r="Q923" t="s">
        <v>76</v>
      </c>
      <c r="R923" t="s">
        <v>76</v>
      </c>
      <c r="S923" t="s">
        <v>167</v>
      </c>
      <c r="T923" t="s">
        <v>167</v>
      </c>
      <c r="U923" t="s">
        <v>168</v>
      </c>
      <c r="V923" t="s">
        <v>169</v>
      </c>
      <c r="W923" t="s">
        <v>77</v>
      </c>
      <c r="X923" t="s">
        <v>44</v>
      </c>
      <c r="Y923" t="s">
        <v>99</v>
      </c>
      <c r="Z923" t="s">
        <v>421</v>
      </c>
      <c r="AC923" t="str">
        <f>IF(AA923="",M923,AA923)</f>
        <v>não</v>
      </c>
      <c r="AD923" t="str">
        <f>IF(AB923="",X923,AB923)</f>
        <v>sim</v>
      </c>
      <c r="AE923" t="str">
        <f>IF(OR(Configuracao!B9="",Configuracao!B10=""),"aguardando limiar",IF(AND(K923&gt;=Configuracao!B9,K923/MAX(Reconciliacao!C2,1)&gt;=Configuracao!B10/100),"sim","não"))</f>
        <v>aguardando limiar</v>
      </c>
    </row>
    <row r="924" spans="1:31" x14ac:dyDescent="0.25">
      <c r="A924">
        <v>18082</v>
      </c>
      <c r="C924" t="s">
        <v>907</v>
      </c>
      <c r="D924" t="s">
        <v>592</v>
      </c>
      <c r="E924" t="s">
        <v>74</v>
      </c>
      <c r="F924" t="s">
        <v>248</v>
      </c>
      <c r="G924" t="s">
        <v>247</v>
      </c>
      <c r="H924" t="s">
        <v>246</v>
      </c>
      <c r="I924" t="s">
        <v>439</v>
      </c>
      <c r="J924" t="s">
        <v>439</v>
      </c>
      <c r="K924" s="4">
        <v>429.6</v>
      </c>
      <c r="L924" s="4">
        <v>429.6</v>
      </c>
      <c r="M924" t="s">
        <v>166</v>
      </c>
      <c r="N924" t="s">
        <v>77</v>
      </c>
      <c r="O924" t="s">
        <v>76</v>
      </c>
      <c r="P924" t="s">
        <v>187</v>
      </c>
      <c r="Q924" t="s">
        <v>76</v>
      </c>
      <c r="R924" t="s">
        <v>76</v>
      </c>
      <c r="S924" t="s">
        <v>167</v>
      </c>
      <c r="T924" t="s">
        <v>167</v>
      </c>
      <c r="U924" t="s">
        <v>168</v>
      </c>
      <c r="V924" t="s">
        <v>169</v>
      </c>
      <c r="W924" t="s">
        <v>77</v>
      </c>
      <c r="X924" t="s">
        <v>44</v>
      </c>
      <c r="Y924" t="s">
        <v>99</v>
      </c>
      <c r="Z924" t="s">
        <v>421</v>
      </c>
      <c r="AC924" t="str">
        <f>IF(AA924="",M924,AA924)</f>
        <v>não</v>
      </c>
      <c r="AD924" t="str">
        <f>IF(AB924="",X924,AB924)</f>
        <v>sim</v>
      </c>
      <c r="AE924" t="str">
        <f>IF(OR(Configuracao!B9="",Configuracao!B10=""),"aguardando limiar",IF(AND(K924&gt;=Configuracao!B9,K924/MAX(Reconciliacao!C2,1)&gt;=Configuracao!B10/100),"sim","não"))</f>
        <v>aguardando limiar</v>
      </c>
    </row>
    <row r="925" spans="1:31" x14ac:dyDescent="0.25">
      <c r="A925">
        <v>17709</v>
      </c>
      <c r="C925" t="s">
        <v>908</v>
      </c>
      <c r="D925" t="s">
        <v>865</v>
      </c>
      <c r="E925" t="s">
        <v>74</v>
      </c>
      <c r="F925" t="s">
        <v>248</v>
      </c>
      <c r="G925" t="s">
        <v>247</v>
      </c>
      <c r="H925" t="s">
        <v>246</v>
      </c>
      <c r="I925" t="s">
        <v>439</v>
      </c>
      <c r="J925" t="s">
        <v>439</v>
      </c>
      <c r="K925" s="4">
        <v>429.86</v>
      </c>
      <c r="L925" s="4">
        <v>429.86</v>
      </c>
      <c r="M925" t="s">
        <v>166</v>
      </c>
      <c r="N925" t="s">
        <v>77</v>
      </c>
      <c r="O925" t="s">
        <v>76</v>
      </c>
      <c r="P925" t="s">
        <v>187</v>
      </c>
      <c r="Q925" t="s">
        <v>76</v>
      </c>
      <c r="R925" t="s">
        <v>76</v>
      </c>
      <c r="S925" t="s">
        <v>167</v>
      </c>
      <c r="T925" t="s">
        <v>167</v>
      </c>
      <c r="U925" t="s">
        <v>168</v>
      </c>
      <c r="V925" t="s">
        <v>169</v>
      </c>
      <c r="W925" t="s">
        <v>77</v>
      </c>
      <c r="X925" t="s">
        <v>44</v>
      </c>
      <c r="Y925" t="s">
        <v>99</v>
      </c>
      <c r="Z925" t="s">
        <v>421</v>
      </c>
      <c r="AC925" t="str">
        <f>IF(AA925="",M925,AA925)</f>
        <v>não</v>
      </c>
      <c r="AD925" t="str">
        <f>IF(AB925="",X925,AB925)</f>
        <v>sim</v>
      </c>
      <c r="AE925" t="str">
        <f>IF(OR(Configuracao!B9="",Configuracao!B10=""),"aguardando limiar",IF(AND(K925&gt;=Configuracao!B9,K925/MAX(Reconciliacao!C2,1)&gt;=Configuracao!B10/100),"sim","não"))</f>
        <v>aguardando limiar</v>
      </c>
    </row>
    <row r="926" spans="1:31" x14ac:dyDescent="0.25">
      <c r="A926">
        <v>16924</v>
      </c>
      <c r="C926" t="s">
        <v>909</v>
      </c>
      <c r="D926" t="s">
        <v>865</v>
      </c>
      <c r="E926" t="s">
        <v>74</v>
      </c>
      <c r="F926" t="s">
        <v>248</v>
      </c>
      <c r="G926" t="s">
        <v>247</v>
      </c>
      <c r="H926" t="s">
        <v>246</v>
      </c>
      <c r="I926" t="s">
        <v>461</v>
      </c>
      <c r="J926" t="s">
        <v>461</v>
      </c>
      <c r="K926" s="4">
        <v>430.79</v>
      </c>
      <c r="L926" s="4">
        <v>430.79</v>
      </c>
      <c r="M926" t="s">
        <v>166</v>
      </c>
      <c r="N926" t="s">
        <v>77</v>
      </c>
      <c r="O926" t="s">
        <v>76</v>
      </c>
      <c r="P926" t="s">
        <v>187</v>
      </c>
      <c r="Q926" t="s">
        <v>76</v>
      </c>
      <c r="R926" t="s">
        <v>76</v>
      </c>
      <c r="S926" t="s">
        <v>167</v>
      </c>
      <c r="T926" t="s">
        <v>167</v>
      </c>
      <c r="U926" t="s">
        <v>168</v>
      </c>
      <c r="V926" t="s">
        <v>169</v>
      </c>
      <c r="W926" t="s">
        <v>77</v>
      </c>
      <c r="X926" t="s">
        <v>44</v>
      </c>
      <c r="Y926" t="s">
        <v>99</v>
      </c>
      <c r="Z926" t="s">
        <v>421</v>
      </c>
      <c r="AC926" t="str">
        <f>IF(AA926="",M926,AA926)</f>
        <v>não</v>
      </c>
      <c r="AD926" t="str">
        <f>IF(AB926="",X926,AB926)</f>
        <v>sim</v>
      </c>
      <c r="AE926" t="str">
        <f>IF(OR(Configuracao!B9="",Configuracao!B10=""),"aguardando limiar",IF(AND(K926&gt;=Configuracao!B9,K926/MAX(Reconciliacao!C2,1)&gt;=Configuracao!B10/100),"sim","não"))</f>
        <v>aguardando limiar</v>
      </c>
    </row>
    <row r="927" spans="1:31" x14ac:dyDescent="0.25">
      <c r="A927">
        <v>12092</v>
      </c>
      <c r="C927" t="s">
        <v>910</v>
      </c>
      <c r="D927" t="s">
        <v>629</v>
      </c>
      <c r="E927" t="s">
        <v>74</v>
      </c>
      <c r="F927" t="s">
        <v>248</v>
      </c>
      <c r="G927" t="s">
        <v>247</v>
      </c>
      <c r="H927" t="s">
        <v>246</v>
      </c>
      <c r="I927" t="s">
        <v>424</v>
      </c>
      <c r="J927" t="s">
        <v>424</v>
      </c>
      <c r="K927" s="4">
        <v>433.8</v>
      </c>
      <c r="L927" s="4">
        <v>433.8</v>
      </c>
      <c r="M927" t="s">
        <v>166</v>
      </c>
      <c r="N927" t="s">
        <v>77</v>
      </c>
      <c r="O927" t="s">
        <v>76</v>
      </c>
      <c r="P927" t="s">
        <v>187</v>
      </c>
      <c r="Q927" t="s">
        <v>76</v>
      </c>
      <c r="R927" t="s">
        <v>76</v>
      </c>
      <c r="S927" t="s">
        <v>167</v>
      </c>
      <c r="T927" t="s">
        <v>167</v>
      </c>
      <c r="U927" t="s">
        <v>168</v>
      </c>
      <c r="V927" t="s">
        <v>169</v>
      </c>
      <c r="W927" t="s">
        <v>77</v>
      </c>
      <c r="X927" t="s">
        <v>44</v>
      </c>
      <c r="Y927" t="s">
        <v>99</v>
      </c>
      <c r="Z927" t="s">
        <v>421</v>
      </c>
      <c r="AC927" t="str">
        <f>IF(AA927="",M927,AA927)</f>
        <v>não</v>
      </c>
      <c r="AD927" t="str">
        <f>IF(AB927="",X927,AB927)</f>
        <v>sim</v>
      </c>
      <c r="AE927" t="str">
        <f>IF(OR(Configuracao!B9="",Configuracao!B10=""),"aguardando limiar",IF(AND(K927&gt;=Configuracao!B9,K927/MAX(Reconciliacao!C2,1)&gt;=Configuracao!B10/100),"sim","não"))</f>
        <v>aguardando limiar</v>
      </c>
    </row>
    <row r="928" spans="1:31" x14ac:dyDescent="0.25">
      <c r="A928">
        <v>16925</v>
      </c>
      <c r="C928" t="s">
        <v>911</v>
      </c>
      <c r="D928" t="s">
        <v>604</v>
      </c>
      <c r="E928" t="s">
        <v>74</v>
      </c>
      <c r="F928" t="s">
        <v>248</v>
      </c>
      <c r="G928" t="s">
        <v>247</v>
      </c>
      <c r="H928" t="s">
        <v>246</v>
      </c>
      <c r="I928" t="s">
        <v>461</v>
      </c>
      <c r="J928" t="s">
        <v>461</v>
      </c>
      <c r="K928" s="4">
        <v>438.16</v>
      </c>
      <c r="L928" s="4">
        <v>438.16</v>
      </c>
      <c r="M928" t="s">
        <v>166</v>
      </c>
      <c r="N928" t="s">
        <v>77</v>
      </c>
      <c r="O928" t="s">
        <v>76</v>
      </c>
      <c r="P928" t="s">
        <v>187</v>
      </c>
      <c r="Q928" t="s">
        <v>76</v>
      </c>
      <c r="R928" t="s">
        <v>76</v>
      </c>
      <c r="S928" t="s">
        <v>167</v>
      </c>
      <c r="T928" t="s">
        <v>167</v>
      </c>
      <c r="U928" t="s">
        <v>168</v>
      </c>
      <c r="V928" t="s">
        <v>169</v>
      </c>
      <c r="W928" t="s">
        <v>77</v>
      </c>
      <c r="X928" t="s">
        <v>44</v>
      </c>
      <c r="Y928" t="s">
        <v>99</v>
      </c>
      <c r="Z928" t="s">
        <v>421</v>
      </c>
      <c r="AC928" t="str">
        <f>IF(AA928="",M928,AA928)</f>
        <v>não</v>
      </c>
      <c r="AD928" t="str">
        <f>IF(AB928="",X928,AB928)</f>
        <v>sim</v>
      </c>
      <c r="AE928" t="str">
        <f>IF(OR(Configuracao!B9="",Configuracao!B10=""),"aguardando limiar",IF(AND(K928&gt;=Configuracao!B9,K928/MAX(Reconciliacao!C2,1)&gt;=Configuracao!B10/100),"sim","não"))</f>
        <v>aguardando limiar</v>
      </c>
    </row>
    <row r="929" spans="1:31" x14ac:dyDescent="0.25">
      <c r="A929">
        <v>16858</v>
      </c>
      <c r="C929" t="s">
        <v>912</v>
      </c>
      <c r="D929" t="s">
        <v>865</v>
      </c>
      <c r="E929" t="s">
        <v>74</v>
      </c>
      <c r="F929" t="s">
        <v>248</v>
      </c>
      <c r="G929" t="s">
        <v>247</v>
      </c>
      <c r="H929" t="s">
        <v>246</v>
      </c>
      <c r="I929" t="s">
        <v>442</v>
      </c>
      <c r="J929" t="s">
        <v>442</v>
      </c>
      <c r="K929" s="4">
        <v>442.89</v>
      </c>
      <c r="L929" s="4">
        <v>442.89</v>
      </c>
      <c r="M929" t="s">
        <v>166</v>
      </c>
      <c r="N929" t="s">
        <v>77</v>
      </c>
      <c r="O929" t="s">
        <v>76</v>
      </c>
      <c r="P929" t="s">
        <v>187</v>
      </c>
      <c r="Q929" t="s">
        <v>76</v>
      </c>
      <c r="R929" t="s">
        <v>76</v>
      </c>
      <c r="S929" t="s">
        <v>167</v>
      </c>
      <c r="T929" t="s">
        <v>167</v>
      </c>
      <c r="U929" t="s">
        <v>168</v>
      </c>
      <c r="V929" t="s">
        <v>169</v>
      </c>
      <c r="W929" t="s">
        <v>77</v>
      </c>
      <c r="X929" t="s">
        <v>44</v>
      </c>
      <c r="Y929" t="s">
        <v>99</v>
      </c>
      <c r="Z929" t="s">
        <v>421</v>
      </c>
      <c r="AC929" t="str">
        <f>IF(AA929="",M929,AA929)</f>
        <v>não</v>
      </c>
      <c r="AD929" t="str">
        <f>IF(AB929="",X929,AB929)</f>
        <v>sim</v>
      </c>
      <c r="AE929" t="str">
        <f>IF(OR(Configuracao!B9="",Configuracao!B10=""),"aguardando limiar",IF(AND(K929&gt;=Configuracao!B9,K929/MAX(Reconciliacao!C2,1)&gt;=Configuracao!B10/100),"sim","não"))</f>
        <v>aguardando limiar</v>
      </c>
    </row>
    <row r="930" spans="1:31" x14ac:dyDescent="0.25">
      <c r="A930">
        <v>12343</v>
      </c>
      <c r="C930" t="s">
        <v>913</v>
      </c>
      <c r="D930" t="s">
        <v>914</v>
      </c>
      <c r="E930" t="s">
        <v>74</v>
      </c>
      <c r="F930" t="s">
        <v>248</v>
      </c>
      <c r="G930" t="s">
        <v>247</v>
      </c>
      <c r="H930" t="s">
        <v>246</v>
      </c>
      <c r="I930" t="s">
        <v>424</v>
      </c>
      <c r="J930" t="s">
        <v>424</v>
      </c>
      <c r="K930" s="4">
        <v>449.69</v>
      </c>
      <c r="L930" s="4">
        <v>449.69</v>
      </c>
      <c r="M930" t="s">
        <v>166</v>
      </c>
      <c r="N930" t="s">
        <v>77</v>
      </c>
      <c r="O930" t="s">
        <v>76</v>
      </c>
      <c r="P930" t="s">
        <v>187</v>
      </c>
      <c r="Q930" t="s">
        <v>76</v>
      </c>
      <c r="R930" t="s">
        <v>76</v>
      </c>
      <c r="S930" t="s">
        <v>167</v>
      </c>
      <c r="T930" t="s">
        <v>167</v>
      </c>
      <c r="U930" t="s">
        <v>168</v>
      </c>
      <c r="V930" t="s">
        <v>169</v>
      </c>
      <c r="W930" t="s">
        <v>77</v>
      </c>
      <c r="X930" t="s">
        <v>44</v>
      </c>
      <c r="Y930" t="s">
        <v>99</v>
      </c>
      <c r="Z930" t="s">
        <v>421</v>
      </c>
      <c r="AC930" t="str">
        <f>IF(AA930="",M930,AA930)</f>
        <v>não</v>
      </c>
      <c r="AD930" t="str">
        <f>IF(AB930="",X930,AB930)</f>
        <v>sim</v>
      </c>
      <c r="AE930" t="str">
        <f>IF(OR(Configuracao!B9="",Configuracao!B10=""),"aguardando limiar",IF(AND(K930&gt;=Configuracao!B9,K930/MAX(Reconciliacao!C2,1)&gt;=Configuracao!B10/100),"sim","não"))</f>
        <v>aguardando limiar</v>
      </c>
    </row>
    <row r="931" spans="1:31" x14ac:dyDescent="0.25">
      <c r="A931">
        <v>12341</v>
      </c>
      <c r="C931" t="s">
        <v>915</v>
      </c>
      <c r="D931" t="s">
        <v>599</v>
      </c>
      <c r="E931" t="s">
        <v>74</v>
      </c>
      <c r="F931" t="s">
        <v>248</v>
      </c>
      <c r="G931" t="s">
        <v>247</v>
      </c>
      <c r="H931" t="s">
        <v>246</v>
      </c>
      <c r="I931" t="s">
        <v>424</v>
      </c>
      <c r="J931" t="s">
        <v>424</v>
      </c>
      <c r="K931" s="4">
        <v>480.5</v>
      </c>
      <c r="L931" s="4">
        <v>480.5</v>
      </c>
      <c r="M931" t="s">
        <v>166</v>
      </c>
      <c r="N931" t="s">
        <v>77</v>
      </c>
      <c r="O931" t="s">
        <v>76</v>
      </c>
      <c r="P931" t="s">
        <v>187</v>
      </c>
      <c r="Q931" t="s">
        <v>76</v>
      </c>
      <c r="R931" t="s">
        <v>76</v>
      </c>
      <c r="S931" t="s">
        <v>167</v>
      </c>
      <c r="T931" t="s">
        <v>167</v>
      </c>
      <c r="U931" t="s">
        <v>168</v>
      </c>
      <c r="V931" t="s">
        <v>169</v>
      </c>
      <c r="W931" t="s">
        <v>77</v>
      </c>
      <c r="X931" t="s">
        <v>44</v>
      </c>
      <c r="Y931" t="s">
        <v>99</v>
      </c>
      <c r="Z931" t="s">
        <v>421</v>
      </c>
      <c r="AC931" t="str">
        <f>IF(AA931="",M931,AA931)</f>
        <v>não</v>
      </c>
      <c r="AD931" t="str">
        <f>IF(AB931="",X931,AB931)</f>
        <v>sim</v>
      </c>
      <c r="AE931" t="str">
        <f>IF(OR(Configuracao!B9="",Configuracao!B10=""),"aguardando limiar",IF(AND(K931&gt;=Configuracao!B9,K931/MAX(Reconciliacao!C2,1)&gt;=Configuracao!B10/100),"sim","não"))</f>
        <v>aguardando limiar</v>
      </c>
    </row>
    <row r="932" spans="1:31" x14ac:dyDescent="0.25">
      <c r="A932">
        <v>12090</v>
      </c>
      <c r="C932" t="s">
        <v>916</v>
      </c>
      <c r="D932" t="s">
        <v>917</v>
      </c>
      <c r="E932" t="s">
        <v>74</v>
      </c>
      <c r="F932" t="s">
        <v>248</v>
      </c>
      <c r="G932" t="s">
        <v>247</v>
      </c>
      <c r="H932" t="s">
        <v>246</v>
      </c>
      <c r="I932" t="s">
        <v>424</v>
      </c>
      <c r="J932" t="s">
        <v>424</v>
      </c>
      <c r="K932" s="4">
        <v>486.2</v>
      </c>
      <c r="L932" s="4">
        <v>486.2</v>
      </c>
      <c r="M932" t="s">
        <v>166</v>
      </c>
      <c r="N932" t="s">
        <v>77</v>
      </c>
      <c r="O932" t="s">
        <v>76</v>
      </c>
      <c r="P932" t="s">
        <v>187</v>
      </c>
      <c r="Q932" t="s">
        <v>76</v>
      </c>
      <c r="R932" t="s">
        <v>76</v>
      </c>
      <c r="S932" t="s">
        <v>167</v>
      </c>
      <c r="T932" t="s">
        <v>167</v>
      </c>
      <c r="U932" t="s">
        <v>168</v>
      </c>
      <c r="V932" t="s">
        <v>169</v>
      </c>
      <c r="W932" t="s">
        <v>77</v>
      </c>
      <c r="X932" t="s">
        <v>44</v>
      </c>
      <c r="Y932" t="s">
        <v>99</v>
      </c>
      <c r="Z932" t="s">
        <v>421</v>
      </c>
      <c r="AC932" t="str">
        <f>IF(AA932="",M932,AA932)</f>
        <v>não</v>
      </c>
      <c r="AD932" t="str">
        <f>IF(AB932="",X932,AB932)</f>
        <v>sim</v>
      </c>
      <c r="AE932" t="str">
        <f>IF(OR(Configuracao!B9="",Configuracao!B10=""),"aguardando limiar",IF(AND(K932&gt;=Configuracao!B9,K932/MAX(Reconciliacao!C2,1)&gt;=Configuracao!B10/100),"sim","não"))</f>
        <v>aguardando limiar</v>
      </c>
    </row>
    <row r="933" spans="1:31" x14ac:dyDescent="0.25">
      <c r="A933">
        <v>12599</v>
      </c>
      <c r="C933" t="s">
        <v>918</v>
      </c>
      <c r="D933" t="s">
        <v>587</v>
      </c>
      <c r="E933" t="s">
        <v>74</v>
      </c>
      <c r="F933" t="s">
        <v>248</v>
      </c>
      <c r="G933" t="s">
        <v>247</v>
      </c>
      <c r="H933" t="s">
        <v>246</v>
      </c>
      <c r="I933" t="s">
        <v>420</v>
      </c>
      <c r="J933" t="s">
        <v>420</v>
      </c>
      <c r="K933" s="4">
        <v>489.6</v>
      </c>
      <c r="L933" s="4">
        <v>489.6</v>
      </c>
      <c r="M933" t="s">
        <v>166</v>
      </c>
      <c r="N933" t="s">
        <v>77</v>
      </c>
      <c r="O933" t="s">
        <v>76</v>
      </c>
      <c r="P933" t="s">
        <v>187</v>
      </c>
      <c r="Q933" t="s">
        <v>76</v>
      </c>
      <c r="R933" t="s">
        <v>76</v>
      </c>
      <c r="S933" t="s">
        <v>167</v>
      </c>
      <c r="T933" t="s">
        <v>167</v>
      </c>
      <c r="U933" t="s">
        <v>168</v>
      </c>
      <c r="V933" t="s">
        <v>169</v>
      </c>
      <c r="W933" t="s">
        <v>77</v>
      </c>
      <c r="X933" t="s">
        <v>44</v>
      </c>
      <c r="Y933" t="s">
        <v>99</v>
      </c>
      <c r="Z933" t="s">
        <v>421</v>
      </c>
      <c r="AC933" t="str">
        <f>IF(AA933="",M933,AA933)</f>
        <v>não</v>
      </c>
      <c r="AD933" t="str">
        <f>IF(AB933="",X933,AB933)</f>
        <v>sim</v>
      </c>
      <c r="AE933" t="str">
        <f>IF(OR(Configuracao!B9="",Configuracao!B10=""),"aguardando limiar",IF(AND(K933&gt;=Configuracao!B9,K933/MAX(Reconciliacao!C2,1)&gt;=Configuracao!B10/100),"sim","não"))</f>
        <v>aguardando limiar</v>
      </c>
    </row>
    <row r="934" spans="1:31" x14ac:dyDescent="0.25">
      <c r="A934">
        <v>19129</v>
      </c>
      <c r="C934" t="s">
        <v>919</v>
      </c>
      <c r="D934" t="s">
        <v>599</v>
      </c>
      <c r="E934" t="s">
        <v>74</v>
      </c>
      <c r="F934" t="s">
        <v>248</v>
      </c>
      <c r="G934" t="s">
        <v>247</v>
      </c>
      <c r="H934" t="s">
        <v>246</v>
      </c>
      <c r="I934" t="s">
        <v>35</v>
      </c>
      <c r="J934" t="s">
        <v>35</v>
      </c>
      <c r="K934" s="4">
        <v>524.9</v>
      </c>
      <c r="L934" s="4">
        <v>524.9</v>
      </c>
      <c r="M934" t="s">
        <v>166</v>
      </c>
      <c r="N934" t="s">
        <v>77</v>
      </c>
      <c r="O934" t="s">
        <v>76</v>
      </c>
      <c r="P934" t="s">
        <v>187</v>
      </c>
      <c r="Q934" t="s">
        <v>76</v>
      </c>
      <c r="R934" t="s">
        <v>76</v>
      </c>
      <c r="S934" t="s">
        <v>167</v>
      </c>
      <c r="T934" t="s">
        <v>167</v>
      </c>
      <c r="U934" t="s">
        <v>168</v>
      </c>
      <c r="V934" t="s">
        <v>169</v>
      </c>
      <c r="W934" t="s">
        <v>77</v>
      </c>
      <c r="X934" t="s">
        <v>44</v>
      </c>
      <c r="Y934" t="s">
        <v>99</v>
      </c>
      <c r="Z934" t="s">
        <v>421</v>
      </c>
      <c r="AC934" t="str">
        <f>IF(AA934="",M934,AA934)</f>
        <v>não</v>
      </c>
      <c r="AD934" t="str">
        <f>IF(AB934="",X934,AB934)</f>
        <v>sim</v>
      </c>
      <c r="AE934" t="str">
        <f>IF(OR(Configuracao!B9="",Configuracao!B10=""),"aguardando limiar",IF(AND(K934&gt;=Configuracao!B9,K934/MAX(Reconciliacao!C2,1)&gt;=Configuracao!B10/100),"sim","não"))</f>
        <v>aguardando limiar</v>
      </c>
    </row>
    <row r="935" spans="1:31" x14ac:dyDescent="0.25">
      <c r="A935">
        <v>16068</v>
      </c>
      <c r="C935" t="s">
        <v>920</v>
      </c>
      <c r="D935" t="s">
        <v>865</v>
      </c>
      <c r="E935" t="s">
        <v>74</v>
      </c>
      <c r="F935" t="s">
        <v>248</v>
      </c>
      <c r="G935" t="s">
        <v>247</v>
      </c>
      <c r="H935" t="s">
        <v>246</v>
      </c>
      <c r="I935" t="s">
        <v>461</v>
      </c>
      <c r="J935" t="s">
        <v>461</v>
      </c>
      <c r="K935" s="4">
        <v>542.39</v>
      </c>
      <c r="L935" s="4">
        <v>542.39</v>
      </c>
      <c r="M935" t="s">
        <v>166</v>
      </c>
      <c r="N935" t="s">
        <v>77</v>
      </c>
      <c r="O935" t="s">
        <v>76</v>
      </c>
      <c r="P935" t="s">
        <v>187</v>
      </c>
      <c r="Q935" t="s">
        <v>76</v>
      </c>
      <c r="R935" t="s">
        <v>76</v>
      </c>
      <c r="S935" t="s">
        <v>167</v>
      </c>
      <c r="T935" t="s">
        <v>167</v>
      </c>
      <c r="U935" t="s">
        <v>168</v>
      </c>
      <c r="V935" t="s">
        <v>169</v>
      </c>
      <c r="W935" t="s">
        <v>77</v>
      </c>
      <c r="X935" t="s">
        <v>44</v>
      </c>
      <c r="Y935" t="s">
        <v>99</v>
      </c>
      <c r="Z935" t="s">
        <v>421</v>
      </c>
      <c r="AC935" t="str">
        <f>IF(AA935="",M935,AA935)</f>
        <v>não</v>
      </c>
      <c r="AD935" t="str">
        <f>IF(AB935="",X935,AB935)</f>
        <v>sim</v>
      </c>
      <c r="AE935" t="str">
        <f>IF(OR(Configuracao!B9="",Configuracao!B10=""),"aguardando limiar",IF(AND(K935&gt;=Configuracao!B9,K935/MAX(Reconciliacao!C2,1)&gt;=Configuracao!B10/100),"sim","não"))</f>
        <v>aguardando limiar</v>
      </c>
    </row>
    <row r="936" spans="1:31" x14ac:dyDescent="0.25">
      <c r="A936">
        <v>12688</v>
      </c>
      <c r="C936" t="s">
        <v>921</v>
      </c>
      <c r="D936" t="s">
        <v>865</v>
      </c>
      <c r="E936" t="s">
        <v>74</v>
      </c>
      <c r="F936" t="s">
        <v>248</v>
      </c>
      <c r="G936" t="s">
        <v>247</v>
      </c>
      <c r="H936" t="s">
        <v>246</v>
      </c>
      <c r="I936" t="s">
        <v>420</v>
      </c>
      <c r="J936" t="s">
        <v>420</v>
      </c>
      <c r="K936" s="4">
        <v>580.06</v>
      </c>
      <c r="L936" s="4">
        <v>580.06</v>
      </c>
      <c r="M936" t="s">
        <v>166</v>
      </c>
      <c r="N936" t="s">
        <v>77</v>
      </c>
      <c r="O936" t="s">
        <v>76</v>
      </c>
      <c r="P936" t="s">
        <v>187</v>
      </c>
      <c r="Q936" t="s">
        <v>76</v>
      </c>
      <c r="R936" t="s">
        <v>76</v>
      </c>
      <c r="S936" t="s">
        <v>167</v>
      </c>
      <c r="T936" t="s">
        <v>167</v>
      </c>
      <c r="U936" t="s">
        <v>168</v>
      </c>
      <c r="V936" t="s">
        <v>169</v>
      </c>
      <c r="W936" t="s">
        <v>77</v>
      </c>
      <c r="X936" t="s">
        <v>44</v>
      </c>
      <c r="Y936" t="s">
        <v>99</v>
      </c>
      <c r="Z936" t="s">
        <v>421</v>
      </c>
      <c r="AC936" t="str">
        <f>IF(AA936="",M936,AA936)</f>
        <v>não</v>
      </c>
      <c r="AD936" t="str">
        <f>IF(AB936="",X936,AB936)</f>
        <v>sim</v>
      </c>
      <c r="AE936" t="str">
        <f>IF(OR(Configuracao!B9="",Configuracao!B10=""),"aguardando limiar",IF(AND(K936&gt;=Configuracao!B9,K936/MAX(Reconciliacao!C2,1)&gt;=Configuracao!B10/100),"sim","não"))</f>
        <v>aguardando limiar</v>
      </c>
    </row>
    <row r="937" spans="1:31" x14ac:dyDescent="0.25">
      <c r="A937">
        <v>12995</v>
      </c>
      <c r="C937" t="s">
        <v>922</v>
      </c>
      <c r="D937" t="s">
        <v>923</v>
      </c>
      <c r="E937" t="s">
        <v>74</v>
      </c>
      <c r="F937" t="s">
        <v>248</v>
      </c>
      <c r="G937" t="s">
        <v>247</v>
      </c>
      <c r="H937" t="s">
        <v>246</v>
      </c>
      <c r="I937" t="s">
        <v>420</v>
      </c>
      <c r="J937" t="s">
        <v>420</v>
      </c>
      <c r="K937" s="4">
        <v>600</v>
      </c>
      <c r="L937" s="4">
        <v>600</v>
      </c>
      <c r="M937" t="s">
        <v>166</v>
      </c>
      <c r="N937" t="s">
        <v>77</v>
      </c>
      <c r="O937" t="s">
        <v>76</v>
      </c>
      <c r="P937" t="s">
        <v>187</v>
      </c>
      <c r="Q937" t="s">
        <v>76</v>
      </c>
      <c r="R937" t="s">
        <v>76</v>
      </c>
      <c r="S937" t="s">
        <v>167</v>
      </c>
      <c r="T937" t="s">
        <v>167</v>
      </c>
      <c r="U937" t="s">
        <v>168</v>
      </c>
      <c r="V937" t="s">
        <v>169</v>
      </c>
      <c r="W937" t="s">
        <v>77</v>
      </c>
      <c r="X937" t="s">
        <v>44</v>
      </c>
      <c r="Y937" t="s">
        <v>99</v>
      </c>
      <c r="Z937" t="s">
        <v>421</v>
      </c>
      <c r="AC937" t="str">
        <f>IF(AA937="",M937,AA937)</f>
        <v>não</v>
      </c>
      <c r="AD937" t="str">
        <f>IF(AB937="",X937,AB937)</f>
        <v>sim</v>
      </c>
      <c r="AE937" t="str">
        <f>IF(OR(Configuracao!B9="",Configuracao!B10=""),"aguardando limiar",IF(AND(K937&gt;=Configuracao!B9,K937/MAX(Reconciliacao!C2,1)&gt;=Configuracao!B10/100),"sim","não"))</f>
        <v>aguardando limiar</v>
      </c>
    </row>
    <row r="938" spans="1:31" x14ac:dyDescent="0.25">
      <c r="A938">
        <v>17146</v>
      </c>
      <c r="C938" t="s">
        <v>924</v>
      </c>
      <c r="D938" t="s">
        <v>885</v>
      </c>
      <c r="E938" t="s">
        <v>74</v>
      </c>
      <c r="F938" t="s">
        <v>248</v>
      </c>
      <c r="G938" t="s">
        <v>247</v>
      </c>
      <c r="H938" t="s">
        <v>246</v>
      </c>
      <c r="I938" t="s">
        <v>442</v>
      </c>
      <c r="J938" t="s">
        <v>442</v>
      </c>
      <c r="K938" s="4">
        <v>750.08</v>
      </c>
      <c r="L938" s="4">
        <v>750.08</v>
      </c>
      <c r="M938" t="s">
        <v>166</v>
      </c>
      <c r="N938" t="s">
        <v>77</v>
      </c>
      <c r="O938" t="s">
        <v>76</v>
      </c>
      <c r="P938" t="s">
        <v>187</v>
      </c>
      <c r="Q938" t="s">
        <v>76</v>
      </c>
      <c r="R938" t="s">
        <v>76</v>
      </c>
      <c r="S938" t="s">
        <v>167</v>
      </c>
      <c r="T938" t="s">
        <v>167</v>
      </c>
      <c r="U938" t="s">
        <v>168</v>
      </c>
      <c r="V938" t="s">
        <v>169</v>
      </c>
      <c r="W938" t="s">
        <v>77</v>
      </c>
      <c r="X938" t="s">
        <v>44</v>
      </c>
      <c r="Y938" t="s">
        <v>99</v>
      </c>
      <c r="Z938" t="s">
        <v>421</v>
      </c>
      <c r="AC938" t="str">
        <f>IF(AA938="",M938,AA938)</f>
        <v>não</v>
      </c>
      <c r="AD938" t="str">
        <f>IF(AB938="",X938,AB938)</f>
        <v>sim</v>
      </c>
      <c r="AE938" t="str">
        <f>IF(OR(Configuracao!B9="",Configuracao!B10=""),"aguardando limiar",IF(AND(K938&gt;=Configuracao!B9,K938/MAX(Reconciliacao!C2,1)&gt;=Configuracao!B10/100),"sim","não"))</f>
        <v>aguardando limiar</v>
      </c>
    </row>
    <row r="939" spans="1:31" x14ac:dyDescent="0.25">
      <c r="A939">
        <v>16861</v>
      </c>
      <c r="C939" t="s">
        <v>925</v>
      </c>
      <c r="D939" t="s">
        <v>629</v>
      </c>
      <c r="E939" t="s">
        <v>74</v>
      </c>
      <c r="F939" t="s">
        <v>248</v>
      </c>
      <c r="G939" t="s">
        <v>247</v>
      </c>
      <c r="H939" t="s">
        <v>246</v>
      </c>
      <c r="I939" t="s">
        <v>442</v>
      </c>
      <c r="J939" t="s">
        <v>442</v>
      </c>
      <c r="K939" s="4">
        <v>788.4</v>
      </c>
      <c r="L939" s="4">
        <v>788.4</v>
      </c>
      <c r="M939" t="s">
        <v>166</v>
      </c>
      <c r="N939" t="s">
        <v>77</v>
      </c>
      <c r="O939" t="s">
        <v>76</v>
      </c>
      <c r="P939" t="s">
        <v>187</v>
      </c>
      <c r="Q939" t="s">
        <v>76</v>
      </c>
      <c r="R939" t="s">
        <v>76</v>
      </c>
      <c r="S939" t="s">
        <v>167</v>
      </c>
      <c r="T939" t="s">
        <v>167</v>
      </c>
      <c r="U939" t="s">
        <v>168</v>
      </c>
      <c r="V939" t="s">
        <v>169</v>
      </c>
      <c r="W939" t="s">
        <v>77</v>
      </c>
      <c r="X939" t="s">
        <v>44</v>
      </c>
      <c r="Y939" t="s">
        <v>99</v>
      </c>
      <c r="Z939" t="s">
        <v>421</v>
      </c>
      <c r="AC939" t="str">
        <f>IF(AA939="",M939,AA939)</f>
        <v>não</v>
      </c>
      <c r="AD939" t="str">
        <f>IF(AB939="",X939,AB939)</f>
        <v>sim</v>
      </c>
      <c r="AE939" t="str">
        <f>IF(OR(Configuracao!B9="",Configuracao!B10=""),"aguardando limiar",IF(AND(K939&gt;=Configuracao!B9,K939/MAX(Reconciliacao!C2,1)&gt;=Configuracao!B10/100),"sim","não"))</f>
        <v>aguardando limiar</v>
      </c>
    </row>
    <row r="940" spans="1:31" x14ac:dyDescent="0.25">
      <c r="A940">
        <v>11750</v>
      </c>
      <c r="C940" t="s">
        <v>926</v>
      </c>
      <c r="D940" t="s">
        <v>510</v>
      </c>
      <c r="E940" t="s">
        <v>74</v>
      </c>
      <c r="F940" t="s">
        <v>248</v>
      </c>
      <c r="G940" t="s">
        <v>247</v>
      </c>
      <c r="H940" t="s">
        <v>246</v>
      </c>
      <c r="I940" t="s">
        <v>32</v>
      </c>
      <c r="J940" t="s">
        <v>32</v>
      </c>
      <c r="K940" s="4">
        <v>824.4</v>
      </c>
      <c r="L940" s="4">
        <v>824.4</v>
      </c>
      <c r="M940" t="s">
        <v>166</v>
      </c>
      <c r="N940" t="s">
        <v>77</v>
      </c>
      <c r="O940" t="s">
        <v>76</v>
      </c>
      <c r="P940" t="s">
        <v>187</v>
      </c>
      <c r="Q940" t="s">
        <v>76</v>
      </c>
      <c r="R940" t="s">
        <v>76</v>
      </c>
      <c r="S940" t="s">
        <v>167</v>
      </c>
      <c r="T940" t="s">
        <v>167</v>
      </c>
      <c r="U940" t="s">
        <v>168</v>
      </c>
      <c r="V940" t="s">
        <v>169</v>
      </c>
      <c r="W940" t="s">
        <v>77</v>
      </c>
      <c r="X940" t="s">
        <v>44</v>
      </c>
      <c r="Y940" t="s">
        <v>99</v>
      </c>
      <c r="Z940" t="s">
        <v>421</v>
      </c>
      <c r="AC940" t="str">
        <f>IF(AA940="",M940,AA940)</f>
        <v>não</v>
      </c>
      <c r="AD940" t="str">
        <f>IF(AB940="",X940,AB940)</f>
        <v>sim</v>
      </c>
      <c r="AE940" t="str">
        <f>IF(OR(Configuracao!B9="",Configuracao!B10=""),"aguardando limiar",IF(AND(K940&gt;=Configuracao!B9,K940/MAX(Reconciliacao!C2,1)&gt;=Configuracao!B10/100),"sim","não"))</f>
        <v>aguardando limiar</v>
      </c>
    </row>
    <row r="941" spans="1:31" x14ac:dyDescent="0.25">
      <c r="A941">
        <v>17533</v>
      </c>
      <c r="C941" t="s">
        <v>927</v>
      </c>
      <c r="D941" t="s">
        <v>865</v>
      </c>
      <c r="E941" t="s">
        <v>74</v>
      </c>
      <c r="F941" t="s">
        <v>248</v>
      </c>
      <c r="G941" t="s">
        <v>247</v>
      </c>
      <c r="H941" t="s">
        <v>246</v>
      </c>
      <c r="I941" t="s">
        <v>442</v>
      </c>
      <c r="J941" t="s">
        <v>442</v>
      </c>
      <c r="K941" s="4">
        <v>841.38</v>
      </c>
      <c r="L941" s="4">
        <v>841.38</v>
      </c>
      <c r="M941" t="s">
        <v>166</v>
      </c>
      <c r="N941" t="s">
        <v>77</v>
      </c>
      <c r="O941" t="s">
        <v>76</v>
      </c>
      <c r="P941" t="s">
        <v>187</v>
      </c>
      <c r="Q941" t="s">
        <v>76</v>
      </c>
      <c r="R941" t="s">
        <v>76</v>
      </c>
      <c r="S941" t="s">
        <v>167</v>
      </c>
      <c r="T941" t="s">
        <v>167</v>
      </c>
      <c r="U941" t="s">
        <v>168</v>
      </c>
      <c r="V941" t="s">
        <v>169</v>
      </c>
      <c r="W941" t="s">
        <v>77</v>
      </c>
      <c r="X941" t="s">
        <v>44</v>
      </c>
      <c r="Y941" t="s">
        <v>99</v>
      </c>
      <c r="Z941" t="s">
        <v>421</v>
      </c>
      <c r="AC941" t="str">
        <f>IF(AA941="",M941,AA941)</f>
        <v>não</v>
      </c>
      <c r="AD941" t="str">
        <f>IF(AB941="",X941,AB941)</f>
        <v>sim</v>
      </c>
      <c r="AE941" t="str">
        <f>IF(OR(Configuracao!B9="",Configuracao!B10=""),"aguardando limiar",IF(AND(K941&gt;=Configuracao!B9,K941/MAX(Reconciliacao!C2,1)&gt;=Configuracao!B10/100),"sim","não"))</f>
        <v>aguardando limiar</v>
      </c>
    </row>
    <row r="942" spans="1:31" x14ac:dyDescent="0.25">
      <c r="A942">
        <v>17768</v>
      </c>
      <c r="C942" t="s">
        <v>928</v>
      </c>
      <c r="D942" t="s">
        <v>865</v>
      </c>
      <c r="E942" t="s">
        <v>74</v>
      </c>
      <c r="F942" t="s">
        <v>248</v>
      </c>
      <c r="G942" t="s">
        <v>247</v>
      </c>
      <c r="H942" t="s">
        <v>246</v>
      </c>
      <c r="I942" t="s">
        <v>439</v>
      </c>
      <c r="J942" t="s">
        <v>439</v>
      </c>
      <c r="K942" s="4">
        <v>853.21</v>
      </c>
      <c r="L942" s="4">
        <v>853.21</v>
      </c>
      <c r="M942" t="s">
        <v>166</v>
      </c>
      <c r="N942" t="s">
        <v>77</v>
      </c>
      <c r="O942" t="s">
        <v>76</v>
      </c>
      <c r="P942" t="s">
        <v>187</v>
      </c>
      <c r="Q942" t="s">
        <v>76</v>
      </c>
      <c r="R942" t="s">
        <v>76</v>
      </c>
      <c r="S942" t="s">
        <v>167</v>
      </c>
      <c r="T942" t="s">
        <v>167</v>
      </c>
      <c r="U942" t="s">
        <v>168</v>
      </c>
      <c r="V942" t="s">
        <v>169</v>
      </c>
      <c r="W942" t="s">
        <v>77</v>
      </c>
      <c r="X942" t="s">
        <v>44</v>
      </c>
      <c r="Y942" t="s">
        <v>99</v>
      </c>
      <c r="Z942" t="s">
        <v>421</v>
      </c>
      <c r="AC942" t="str">
        <f>IF(AA942="",M942,AA942)</f>
        <v>não</v>
      </c>
      <c r="AD942" t="str">
        <f>IF(AB942="",X942,AB942)</f>
        <v>sim</v>
      </c>
      <c r="AE942" t="str">
        <f>IF(OR(Configuracao!B9="",Configuracao!B10=""),"aguardando limiar",IF(AND(K942&gt;=Configuracao!B9,K942/MAX(Reconciliacao!C2,1)&gt;=Configuracao!B10/100),"sim","não"))</f>
        <v>aguardando limiar</v>
      </c>
    </row>
    <row r="943" spans="1:31" x14ac:dyDescent="0.25">
      <c r="A943">
        <v>15271</v>
      </c>
      <c r="C943" t="s">
        <v>929</v>
      </c>
      <c r="D943" t="s">
        <v>865</v>
      </c>
      <c r="E943" t="s">
        <v>74</v>
      </c>
      <c r="F943" t="s">
        <v>248</v>
      </c>
      <c r="G943" t="s">
        <v>247</v>
      </c>
      <c r="H943" t="s">
        <v>246</v>
      </c>
      <c r="I943" t="s">
        <v>454</v>
      </c>
      <c r="J943" t="s">
        <v>454</v>
      </c>
      <c r="K943" s="4">
        <v>869.16</v>
      </c>
      <c r="L943" s="4">
        <v>869.16</v>
      </c>
      <c r="M943" t="s">
        <v>166</v>
      </c>
      <c r="N943" t="s">
        <v>77</v>
      </c>
      <c r="O943" t="s">
        <v>76</v>
      </c>
      <c r="P943" t="s">
        <v>187</v>
      </c>
      <c r="Q943" t="s">
        <v>76</v>
      </c>
      <c r="R943" t="s">
        <v>76</v>
      </c>
      <c r="S943" t="s">
        <v>167</v>
      </c>
      <c r="T943" t="s">
        <v>167</v>
      </c>
      <c r="U943" t="s">
        <v>168</v>
      </c>
      <c r="V943" t="s">
        <v>169</v>
      </c>
      <c r="W943" t="s">
        <v>77</v>
      </c>
      <c r="X943" t="s">
        <v>44</v>
      </c>
      <c r="Y943" t="s">
        <v>99</v>
      </c>
      <c r="Z943" t="s">
        <v>421</v>
      </c>
      <c r="AC943" t="str">
        <f>IF(AA943="",M943,AA943)</f>
        <v>não</v>
      </c>
      <c r="AD943" t="str">
        <f>IF(AB943="",X943,AB943)</f>
        <v>sim</v>
      </c>
      <c r="AE943" t="str">
        <f>IF(OR(Configuracao!B9="",Configuracao!B10=""),"aguardando limiar",IF(AND(K943&gt;=Configuracao!B9,K943/MAX(Reconciliacao!C2,1)&gt;=Configuracao!B10/100),"sim","não"))</f>
        <v>aguardando limiar</v>
      </c>
    </row>
    <row r="944" spans="1:31" x14ac:dyDescent="0.25">
      <c r="A944">
        <v>16067</v>
      </c>
      <c r="C944" t="s">
        <v>930</v>
      </c>
      <c r="D944" t="s">
        <v>599</v>
      </c>
      <c r="E944" t="s">
        <v>74</v>
      </c>
      <c r="F944" t="s">
        <v>248</v>
      </c>
      <c r="G944" t="s">
        <v>247</v>
      </c>
      <c r="H944" t="s">
        <v>246</v>
      </c>
      <c r="I944" t="s">
        <v>461</v>
      </c>
      <c r="J944" t="s">
        <v>461</v>
      </c>
      <c r="K944" s="4">
        <v>1006.66</v>
      </c>
      <c r="L944" s="4">
        <v>1006.66</v>
      </c>
      <c r="M944" t="s">
        <v>166</v>
      </c>
      <c r="N944" t="s">
        <v>77</v>
      </c>
      <c r="O944" t="s">
        <v>76</v>
      </c>
      <c r="P944" t="s">
        <v>187</v>
      </c>
      <c r="Q944" t="s">
        <v>76</v>
      </c>
      <c r="R944" t="s">
        <v>76</v>
      </c>
      <c r="S944" t="s">
        <v>167</v>
      </c>
      <c r="T944" t="s">
        <v>167</v>
      </c>
      <c r="U944" t="s">
        <v>168</v>
      </c>
      <c r="V944" t="s">
        <v>169</v>
      </c>
      <c r="W944" t="s">
        <v>77</v>
      </c>
      <c r="X944" t="s">
        <v>44</v>
      </c>
      <c r="Y944" t="s">
        <v>99</v>
      </c>
      <c r="Z944" t="s">
        <v>421</v>
      </c>
      <c r="AC944" t="str">
        <f>IF(AA944="",M944,AA944)</f>
        <v>não</v>
      </c>
      <c r="AD944" t="str">
        <f>IF(AB944="",X944,AB944)</f>
        <v>sim</v>
      </c>
      <c r="AE944" t="str">
        <f>IF(OR(Configuracao!B9="",Configuracao!B10=""),"aguardando limiar",IF(AND(K944&gt;=Configuracao!B9,K944/MAX(Reconciliacao!C2,1)&gt;=Configuracao!B10/100),"sim","não"))</f>
        <v>aguardando limiar</v>
      </c>
    </row>
    <row r="945" spans="1:31" x14ac:dyDescent="0.25">
      <c r="A945">
        <v>18880</v>
      </c>
      <c r="C945" t="s">
        <v>931</v>
      </c>
      <c r="D945" t="s">
        <v>865</v>
      </c>
      <c r="E945" t="s">
        <v>74</v>
      </c>
      <c r="F945" t="s">
        <v>248</v>
      </c>
      <c r="G945" t="s">
        <v>247</v>
      </c>
      <c r="H945" t="s">
        <v>246</v>
      </c>
      <c r="I945" t="s">
        <v>35</v>
      </c>
      <c r="J945" t="s">
        <v>35</v>
      </c>
      <c r="K945" s="4">
        <v>1080.38</v>
      </c>
      <c r="L945" s="4">
        <v>1080.38</v>
      </c>
      <c r="M945" t="s">
        <v>166</v>
      </c>
      <c r="N945" t="s">
        <v>77</v>
      </c>
      <c r="O945" t="s">
        <v>76</v>
      </c>
      <c r="P945" t="s">
        <v>187</v>
      </c>
      <c r="Q945" t="s">
        <v>76</v>
      </c>
      <c r="R945" t="s">
        <v>76</v>
      </c>
      <c r="S945" t="s">
        <v>167</v>
      </c>
      <c r="T945" t="s">
        <v>167</v>
      </c>
      <c r="U945" t="s">
        <v>168</v>
      </c>
      <c r="V945" t="s">
        <v>169</v>
      </c>
      <c r="W945" t="s">
        <v>77</v>
      </c>
      <c r="X945" t="s">
        <v>44</v>
      </c>
      <c r="Y945" t="s">
        <v>99</v>
      </c>
      <c r="Z945" t="s">
        <v>421</v>
      </c>
      <c r="AC945" t="str">
        <f>IF(AA945="",M945,AA945)</f>
        <v>não</v>
      </c>
      <c r="AD945" t="str">
        <f>IF(AB945="",X945,AB945)</f>
        <v>sim</v>
      </c>
      <c r="AE945" t="str">
        <f>IF(OR(Configuracao!B9="",Configuracao!B10=""),"aguardando limiar",IF(AND(K945&gt;=Configuracao!B9,K945/MAX(Reconciliacao!C2,1)&gt;=Configuracao!B10/100),"sim","não"))</f>
        <v>aguardando limiar</v>
      </c>
    </row>
    <row r="946" spans="1:31" x14ac:dyDescent="0.25">
      <c r="A946">
        <v>16864</v>
      </c>
      <c r="C946" t="s">
        <v>932</v>
      </c>
      <c r="D946" t="s">
        <v>933</v>
      </c>
      <c r="E946" t="s">
        <v>74</v>
      </c>
      <c r="F946" t="s">
        <v>248</v>
      </c>
      <c r="G946" t="s">
        <v>247</v>
      </c>
      <c r="H946" t="s">
        <v>246</v>
      </c>
      <c r="I946" t="s">
        <v>442</v>
      </c>
      <c r="J946" t="s">
        <v>442</v>
      </c>
      <c r="K946" s="4">
        <v>1083.15</v>
      </c>
      <c r="L946" s="4">
        <v>1083.15</v>
      </c>
      <c r="M946" t="s">
        <v>166</v>
      </c>
      <c r="N946" t="s">
        <v>77</v>
      </c>
      <c r="O946" t="s">
        <v>76</v>
      </c>
      <c r="P946" t="s">
        <v>187</v>
      </c>
      <c r="Q946" t="s">
        <v>76</v>
      </c>
      <c r="R946" t="s">
        <v>76</v>
      </c>
      <c r="S946" t="s">
        <v>167</v>
      </c>
      <c r="T946" t="s">
        <v>167</v>
      </c>
      <c r="U946" t="s">
        <v>168</v>
      </c>
      <c r="V946" t="s">
        <v>169</v>
      </c>
      <c r="W946" t="s">
        <v>77</v>
      </c>
      <c r="X946" t="s">
        <v>166</v>
      </c>
      <c r="Y946" t="s">
        <v>472</v>
      </c>
      <c r="Z946" t="s">
        <v>434</v>
      </c>
      <c r="AC946" t="str">
        <f>IF(AA946="",M946,AA946)</f>
        <v>não</v>
      </c>
      <c r="AD946" t="str">
        <f>IF(AB946="",X946,AB946)</f>
        <v>não</v>
      </c>
      <c r="AE946" t="str">
        <f>IF(OR(Configuracao!B9="",Configuracao!B10=""),"aguardando limiar",IF(AND(K946&gt;=Configuracao!B9,K946/MAX(Reconciliacao!C2,1)&gt;=Configuracao!B10/100),"sim","não"))</f>
        <v>aguardando limiar</v>
      </c>
    </row>
    <row r="947" spans="1:31" x14ac:dyDescent="0.25">
      <c r="A947">
        <v>16857</v>
      </c>
      <c r="C947" t="s">
        <v>934</v>
      </c>
      <c r="D947" t="s">
        <v>599</v>
      </c>
      <c r="E947" t="s">
        <v>74</v>
      </c>
      <c r="F947" t="s">
        <v>248</v>
      </c>
      <c r="G947" t="s">
        <v>247</v>
      </c>
      <c r="H947" t="s">
        <v>246</v>
      </c>
      <c r="I947" t="s">
        <v>442</v>
      </c>
      <c r="J947" t="s">
        <v>442</v>
      </c>
      <c r="K947" s="4">
        <v>1301.43</v>
      </c>
      <c r="L947" s="4">
        <v>1301.43</v>
      </c>
      <c r="M947" t="s">
        <v>166</v>
      </c>
      <c r="N947" t="s">
        <v>77</v>
      </c>
      <c r="O947" t="s">
        <v>76</v>
      </c>
      <c r="P947" t="s">
        <v>187</v>
      </c>
      <c r="Q947" t="s">
        <v>76</v>
      </c>
      <c r="R947" t="s">
        <v>76</v>
      </c>
      <c r="S947" t="s">
        <v>167</v>
      </c>
      <c r="T947" t="s">
        <v>167</v>
      </c>
      <c r="U947" t="s">
        <v>168</v>
      </c>
      <c r="V947" t="s">
        <v>169</v>
      </c>
      <c r="W947" t="s">
        <v>77</v>
      </c>
      <c r="X947" t="s">
        <v>166</v>
      </c>
      <c r="Y947" t="s">
        <v>935</v>
      </c>
      <c r="Z947" t="s">
        <v>434</v>
      </c>
      <c r="AC947" t="str">
        <f>IF(AA947="",M947,AA947)</f>
        <v>não</v>
      </c>
      <c r="AD947" t="str">
        <f>IF(AB947="",X947,AB947)</f>
        <v>não</v>
      </c>
      <c r="AE947" t="str">
        <f>IF(OR(Configuracao!B9="",Configuracao!B10=""),"aguardando limiar",IF(AND(K947&gt;=Configuracao!B9,K947/MAX(Reconciliacao!C2,1)&gt;=Configuracao!B10/100),"sim","não"))</f>
        <v>aguardando limiar</v>
      </c>
    </row>
    <row r="948" spans="1:31" x14ac:dyDescent="0.25">
      <c r="A948">
        <v>18668</v>
      </c>
      <c r="C948" t="s">
        <v>936</v>
      </c>
      <c r="D948" t="s">
        <v>937</v>
      </c>
      <c r="E948" t="s">
        <v>451</v>
      </c>
      <c r="F948" t="s">
        <v>248</v>
      </c>
      <c r="G948" t="s">
        <v>278</v>
      </c>
      <c r="H948" t="s">
        <v>277</v>
      </c>
      <c r="I948" t="s">
        <v>35</v>
      </c>
      <c r="J948" t="s">
        <v>35</v>
      </c>
      <c r="K948" s="4">
        <v>18000</v>
      </c>
      <c r="L948" s="4">
        <v>18000</v>
      </c>
      <c r="M948" t="s">
        <v>44</v>
      </c>
      <c r="N948" t="s">
        <v>77</v>
      </c>
      <c r="O948" t="s">
        <v>99</v>
      </c>
      <c r="P948" t="s">
        <v>99</v>
      </c>
      <c r="Q948" t="s">
        <v>279</v>
      </c>
      <c r="R948" t="s">
        <v>278</v>
      </c>
      <c r="S948" t="s">
        <v>185</v>
      </c>
      <c r="T948" t="s">
        <v>198</v>
      </c>
      <c r="U948" t="s">
        <v>163</v>
      </c>
      <c r="V948" t="s">
        <v>164</v>
      </c>
      <c r="W948" t="s">
        <v>116</v>
      </c>
      <c r="X948" t="s">
        <v>166</v>
      </c>
      <c r="Y948" t="s">
        <v>472</v>
      </c>
      <c r="Z948" t="s">
        <v>434</v>
      </c>
      <c r="AC948" t="str">
        <f>IF(AA948="",M948,AA948)</f>
        <v>sim</v>
      </c>
      <c r="AD948" t="str">
        <f>IF(AB948="",X948,AB948)</f>
        <v>não</v>
      </c>
      <c r="AE948" t="str">
        <f>IF(OR(Configuracao!B9="",Configuracao!B10=""),"aguardando limiar",IF(AND(K948&gt;=Configuracao!B9,K948/MAX(Reconciliacao!C2,1)&gt;=Configuracao!B10/100),"sim","não"))</f>
        <v>aguardando limiar</v>
      </c>
    </row>
    <row r="949" spans="1:31" x14ac:dyDescent="0.25">
      <c r="A949">
        <v>17216</v>
      </c>
      <c r="C949" t="s">
        <v>938</v>
      </c>
      <c r="D949" t="s">
        <v>939</v>
      </c>
      <c r="E949" t="s">
        <v>451</v>
      </c>
      <c r="F949" t="s">
        <v>316</v>
      </c>
      <c r="G949" t="s">
        <v>315</v>
      </c>
      <c r="H949" t="s">
        <v>314</v>
      </c>
      <c r="I949" t="s">
        <v>32</v>
      </c>
      <c r="J949" t="s">
        <v>32</v>
      </c>
      <c r="K949" s="4">
        <v>7</v>
      </c>
      <c r="L949" s="4">
        <v>7</v>
      </c>
      <c r="M949" t="s">
        <v>44</v>
      </c>
      <c r="N949" t="s">
        <v>77</v>
      </c>
      <c r="O949" t="s">
        <v>99</v>
      </c>
      <c r="P949" t="s">
        <v>99</v>
      </c>
      <c r="Q949" t="s">
        <v>131</v>
      </c>
      <c r="R949" t="s">
        <v>317</v>
      </c>
      <c r="S949" t="s">
        <v>185</v>
      </c>
      <c r="T949" t="s">
        <v>162</v>
      </c>
      <c r="U949" t="s">
        <v>163</v>
      </c>
      <c r="V949" t="s">
        <v>193</v>
      </c>
      <c r="W949" t="s">
        <v>77</v>
      </c>
      <c r="X949" t="s">
        <v>44</v>
      </c>
      <c r="Y949" t="s">
        <v>99</v>
      </c>
      <c r="Z949" t="s">
        <v>421</v>
      </c>
      <c r="AC949" t="str">
        <f>IF(AA949="",M949,AA949)</f>
        <v>sim</v>
      </c>
      <c r="AD949" t="str">
        <f>IF(AB949="",X949,AB949)</f>
        <v>sim</v>
      </c>
      <c r="AE949" t="str">
        <f>IF(OR(Configuracao!B9="",Configuracao!B10=""),"aguardando limiar",IF(AND(K949&gt;=Configuracao!B9,K949/MAX(Reconciliacao!C2,1)&gt;=Configuracao!B10/100),"sim","não"))</f>
        <v>aguardando limiar</v>
      </c>
    </row>
    <row r="950" spans="1:31" x14ac:dyDescent="0.25">
      <c r="A950">
        <v>17218</v>
      </c>
      <c r="C950" t="s">
        <v>938</v>
      </c>
      <c r="D950" t="s">
        <v>939</v>
      </c>
      <c r="E950" t="s">
        <v>451</v>
      </c>
      <c r="F950" t="s">
        <v>316</v>
      </c>
      <c r="G950" t="s">
        <v>315</v>
      </c>
      <c r="H950" t="s">
        <v>314</v>
      </c>
      <c r="I950" t="s">
        <v>32</v>
      </c>
      <c r="J950" t="s">
        <v>32</v>
      </c>
      <c r="K950" s="4">
        <v>7</v>
      </c>
      <c r="L950" s="4">
        <v>7</v>
      </c>
      <c r="M950" t="s">
        <v>44</v>
      </c>
      <c r="N950" t="s">
        <v>77</v>
      </c>
      <c r="O950" t="s">
        <v>99</v>
      </c>
      <c r="P950" t="s">
        <v>99</v>
      </c>
      <c r="Q950" t="s">
        <v>131</v>
      </c>
      <c r="R950" t="s">
        <v>317</v>
      </c>
      <c r="S950" t="s">
        <v>185</v>
      </c>
      <c r="T950" t="s">
        <v>162</v>
      </c>
      <c r="U950" t="s">
        <v>163</v>
      </c>
      <c r="V950" t="s">
        <v>193</v>
      </c>
      <c r="W950" t="s">
        <v>77</v>
      </c>
      <c r="X950" t="s">
        <v>44</v>
      </c>
      <c r="Y950" t="s">
        <v>99</v>
      </c>
      <c r="Z950" t="s">
        <v>421</v>
      </c>
      <c r="AC950" t="str">
        <f>IF(AA950="",M950,AA950)</f>
        <v>sim</v>
      </c>
      <c r="AD950" t="str">
        <f>IF(AB950="",X950,AB950)</f>
        <v>sim</v>
      </c>
      <c r="AE950" t="str">
        <f>IF(OR(Configuracao!B9="",Configuracao!B10=""),"aguardando limiar",IF(AND(K950&gt;=Configuracao!B9,K950/MAX(Reconciliacao!C2,1)&gt;=Configuracao!B10/100),"sim","não"))</f>
        <v>aguardando limiar</v>
      </c>
    </row>
    <row r="951" spans="1:31" x14ac:dyDescent="0.25">
      <c r="A951">
        <v>17220</v>
      </c>
      <c r="C951" t="s">
        <v>938</v>
      </c>
      <c r="D951" t="s">
        <v>939</v>
      </c>
      <c r="E951" t="s">
        <v>451</v>
      </c>
      <c r="F951" t="s">
        <v>316</v>
      </c>
      <c r="G951" t="s">
        <v>315</v>
      </c>
      <c r="H951" t="s">
        <v>314</v>
      </c>
      <c r="I951" t="s">
        <v>32</v>
      </c>
      <c r="J951" t="s">
        <v>32</v>
      </c>
      <c r="K951" s="4">
        <v>7</v>
      </c>
      <c r="L951" s="4">
        <v>7</v>
      </c>
      <c r="M951" t="s">
        <v>44</v>
      </c>
      <c r="N951" t="s">
        <v>77</v>
      </c>
      <c r="O951" t="s">
        <v>99</v>
      </c>
      <c r="P951" t="s">
        <v>99</v>
      </c>
      <c r="Q951" t="s">
        <v>131</v>
      </c>
      <c r="R951" t="s">
        <v>317</v>
      </c>
      <c r="S951" t="s">
        <v>185</v>
      </c>
      <c r="T951" t="s">
        <v>162</v>
      </c>
      <c r="U951" t="s">
        <v>163</v>
      </c>
      <c r="V951" t="s">
        <v>193</v>
      </c>
      <c r="W951" t="s">
        <v>77</v>
      </c>
      <c r="X951" t="s">
        <v>44</v>
      </c>
      <c r="Y951" t="s">
        <v>99</v>
      </c>
      <c r="Z951" t="s">
        <v>421</v>
      </c>
      <c r="AC951" t="str">
        <f>IF(AA951="",M951,AA951)</f>
        <v>sim</v>
      </c>
      <c r="AD951" t="str">
        <f>IF(AB951="",X951,AB951)</f>
        <v>sim</v>
      </c>
      <c r="AE951" t="str">
        <f>IF(OR(Configuracao!B9="",Configuracao!B10=""),"aguardando limiar",IF(AND(K951&gt;=Configuracao!B9,K951/MAX(Reconciliacao!C2,1)&gt;=Configuracao!B10/100),"sim","não"))</f>
        <v>aguardando limiar</v>
      </c>
    </row>
    <row r="952" spans="1:31" x14ac:dyDescent="0.25">
      <c r="A952">
        <v>17221</v>
      </c>
      <c r="C952" t="s">
        <v>938</v>
      </c>
      <c r="D952" t="s">
        <v>939</v>
      </c>
      <c r="E952" t="s">
        <v>451</v>
      </c>
      <c r="F952" t="s">
        <v>316</v>
      </c>
      <c r="G952" t="s">
        <v>315</v>
      </c>
      <c r="H952" t="s">
        <v>314</v>
      </c>
      <c r="I952" t="s">
        <v>32</v>
      </c>
      <c r="J952" t="s">
        <v>32</v>
      </c>
      <c r="K952" s="4">
        <v>7</v>
      </c>
      <c r="L952" s="4">
        <v>7</v>
      </c>
      <c r="M952" t="s">
        <v>44</v>
      </c>
      <c r="N952" t="s">
        <v>77</v>
      </c>
      <c r="O952" t="s">
        <v>99</v>
      </c>
      <c r="P952" t="s">
        <v>99</v>
      </c>
      <c r="Q952" t="s">
        <v>131</v>
      </c>
      <c r="R952" t="s">
        <v>317</v>
      </c>
      <c r="S952" t="s">
        <v>185</v>
      </c>
      <c r="T952" t="s">
        <v>162</v>
      </c>
      <c r="U952" t="s">
        <v>163</v>
      </c>
      <c r="V952" t="s">
        <v>193</v>
      </c>
      <c r="W952" t="s">
        <v>77</v>
      </c>
      <c r="X952" t="s">
        <v>44</v>
      </c>
      <c r="Y952" t="s">
        <v>99</v>
      </c>
      <c r="Z952" t="s">
        <v>421</v>
      </c>
      <c r="AC952" t="str">
        <f>IF(AA952="",M952,AA952)</f>
        <v>sim</v>
      </c>
      <c r="AD952" t="str">
        <f>IF(AB952="",X952,AB952)</f>
        <v>sim</v>
      </c>
      <c r="AE952" t="str">
        <f>IF(OR(Configuracao!B9="",Configuracao!B10=""),"aguardando limiar",IF(AND(K952&gt;=Configuracao!B9,K952/MAX(Reconciliacao!C2,1)&gt;=Configuracao!B10/100),"sim","não"))</f>
        <v>aguardando limiar</v>
      </c>
    </row>
    <row r="953" spans="1:31" x14ac:dyDescent="0.25">
      <c r="A953">
        <v>17299</v>
      </c>
      <c r="C953" t="s">
        <v>938</v>
      </c>
      <c r="D953" t="s">
        <v>939</v>
      </c>
      <c r="E953" t="s">
        <v>451</v>
      </c>
      <c r="F953" t="s">
        <v>316</v>
      </c>
      <c r="G953" t="s">
        <v>315</v>
      </c>
      <c r="H953" t="s">
        <v>314</v>
      </c>
      <c r="I953" t="s">
        <v>424</v>
      </c>
      <c r="J953" t="s">
        <v>424</v>
      </c>
      <c r="K953" s="4">
        <v>7</v>
      </c>
      <c r="L953" s="4">
        <v>7</v>
      </c>
      <c r="M953" t="s">
        <v>44</v>
      </c>
      <c r="N953" t="s">
        <v>77</v>
      </c>
      <c r="O953" t="s">
        <v>99</v>
      </c>
      <c r="P953" t="s">
        <v>99</v>
      </c>
      <c r="Q953" t="s">
        <v>131</v>
      </c>
      <c r="R953" t="s">
        <v>317</v>
      </c>
      <c r="S953" t="s">
        <v>185</v>
      </c>
      <c r="T953" t="s">
        <v>162</v>
      </c>
      <c r="U953" t="s">
        <v>163</v>
      </c>
      <c r="V953" t="s">
        <v>193</v>
      </c>
      <c r="W953" t="s">
        <v>77</v>
      </c>
      <c r="X953" t="s">
        <v>44</v>
      </c>
      <c r="Y953" t="s">
        <v>99</v>
      </c>
      <c r="Z953" t="s">
        <v>421</v>
      </c>
      <c r="AC953" t="str">
        <f>IF(AA953="",M953,AA953)</f>
        <v>sim</v>
      </c>
      <c r="AD953" t="str">
        <f>IF(AB953="",X953,AB953)</f>
        <v>sim</v>
      </c>
      <c r="AE953" t="str">
        <f>IF(OR(Configuracao!B9="",Configuracao!B10=""),"aguardando limiar",IF(AND(K953&gt;=Configuracao!B9,K953/MAX(Reconciliacao!C2,1)&gt;=Configuracao!B10/100),"sim","não"))</f>
        <v>aguardando limiar</v>
      </c>
    </row>
    <row r="954" spans="1:31" x14ac:dyDescent="0.25">
      <c r="A954">
        <v>17301</v>
      </c>
      <c r="C954" t="s">
        <v>938</v>
      </c>
      <c r="D954" t="s">
        <v>939</v>
      </c>
      <c r="E954" t="s">
        <v>451</v>
      </c>
      <c r="F954" t="s">
        <v>316</v>
      </c>
      <c r="G954" t="s">
        <v>315</v>
      </c>
      <c r="H954" t="s">
        <v>314</v>
      </c>
      <c r="I954" t="s">
        <v>424</v>
      </c>
      <c r="J954" t="s">
        <v>424</v>
      </c>
      <c r="K954" s="4">
        <v>7</v>
      </c>
      <c r="L954" s="4">
        <v>7</v>
      </c>
      <c r="M954" t="s">
        <v>44</v>
      </c>
      <c r="N954" t="s">
        <v>77</v>
      </c>
      <c r="O954" t="s">
        <v>99</v>
      </c>
      <c r="P954" t="s">
        <v>99</v>
      </c>
      <c r="Q954" t="s">
        <v>131</v>
      </c>
      <c r="R954" t="s">
        <v>317</v>
      </c>
      <c r="S954" t="s">
        <v>185</v>
      </c>
      <c r="T954" t="s">
        <v>162</v>
      </c>
      <c r="U954" t="s">
        <v>163</v>
      </c>
      <c r="V954" t="s">
        <v>193</v>
      </c>
      <c r="W954" t="s">
        <v>77</v>
      </c>
      <c r="X954" t="s">
        <v>44</v>
      </c>
      <c r="Y954" t="s">
        <v>99</v>
      </c>
      <c r="Z954" t="s">
        <v>421</v>
      </c>
      <c r="AC954" t="str">
        <f>IF(AA954="",M954,AA954)</f>
        <v>sim</v>
      </c>
      <c r="AD954" t="str">
        <f>IF(AB954="",X954,AB954)</f>
        <v>sim</v>
      </c>
      <c r="AE954" t="str">
        <f>IF(OR(Configuracao!B9="",Configuracao!B10=""),"aguardando limiar",IF(AND(K954&gt;=Configuracao!B9,K954/MAX(Reconciliacao!C2,1)&gt;=Configuracao!B10/100),"sim","não"))</f>
        <v>aguardando limiar</v>
      </c>
    </row>
    <row r="955" spans="1:31" x14ac:dyDescent="0.25">
      <c r="A955">
        <v>17303</v>
      </c>
      <c r="C955" t="s">
        <v>938</v>
      </c>
      <c r="D955" t="s">
        <v>939</v>
      </c>
      <c r="E955" t="s">
        <v>451</v>
      </c>
      <c r="F955" t="s">
        <v>316</v>
      </c>
      <c r="G955" t="s">
        <v>315</v>
      </c>
      <c r="H955" t="s">
        <v>314</v>
      </c>
      <c r="I955" t="s">
        <v>424</v>
      </c>
      <c r="J955" t="s">
        <v>424</v>
      </c>
      <c r="K955" s="4">
        <v>7</v>
      </c>
      <c r="L955" s="4">
        <v>7</v>
      </c>
      <c r="M955" t="s">
        <v>44</v>
      </c>
      <c r="N955" t="s">
        <v>77</v>
      </c>
      <c r="O955" t="s">
        <v>99</v>
      </c>
      <c r="P955" t="s">
        <v>99</v>
      </c>
      <c r="Q955" t="s">
        <v>131</v>
      </c>
      <c r="R955" t="s">
        <v>317</v>
      </c>
      <c r="S955" t="s">
        <v>185</v>
      </c>
      <c r="T955" t="s">
        <v>162</v>
      </c>
      <c r="U955" t="s">
        <v>163</v>
      </c>
      <c r="V955" t="s">
        <v>193</v>
      </c>
      <c r="W955" t="s">
        <v>77</v>
      </c>
      <c r="X955" t="s">
        <v>44</v>
      </c>
      <c r="Y955" t="s">
        <v>99</v>
      </c>
      <c r="Z955" t="s">
        <v>421</v>
      </c>
      <c r="AC955" t="str">
        <f>IF(AA955="",M955,AA955)</f>
        <v>sim</v>
      </c>
      <c r="AD955" t="str">
        <f>IF(AB955="",X955,AB955)</f>
        <v>sim</v>
      </c>
      <c r="AE955" t="str">
        <f>IF(OR(Configuracao!B9="",Configuracao!B10=""),"aguardando limiar",IF(AND(K955&gt;=Configuracao!B9,K955/MAX(Reconciliacao!C2,1)&gt;=Configuracao!B10/100),"sim","não"))</f>
        <v>aguardando limiar</v>
      </c>
    </row>
    <row r="956" spans="1:31" x14ac:dyDescent="0.25">
      <c r="A956">
        <v>17305</v>
      </c>
      <c r="C956" t="s">
        <v>938</v>
      </c>
      <c r="D956" t="s">
        <v>939</v>
      </c>
      <c r="E956" t="s">
        <v>451</v>
      </c>
      <c r="F956" t="s">
        <v>316</v>
      </c>
      <c r="G956" t="s">
        <v>315</v>
      </c>
      <c r="H956" t="s">
        <v>314</v>
      </c>
      <c r="I956" t="s">
        <v>424</v>
      </c>
      <c r="J956" t="s">
        <v>424</v>
      </c>
      <c r="K956" s="4">
        <v>7</v>
      </c>
      <c r="L956" s="4">
        <v>7</v>
      </c>
      <c r="M956" t="s">
        <v>44</v>
      </c>
      <c r="N956" t="s">
        <v>77</v>
      </c>
      <c r="O956" t="s">
        <v>99</v>
      </c>
      <c r="P956" t="s">
        <v>99</v>
      </c>
      <c r="Q956" t="s">
        <v>131</v>
      </c>
      <c r="R956" t="s">
        <v>317</v>
      </c>
      <c r="S956" t="s">
        <v>185</v>
      </c>
      <c r="T956" t="s">
        <v>162</v>
      </c>
      <c r="U956" t="s">
        <v>163</v>
      </c>
      <c r="V956" t="s">
        <v>193</v>
      </c>
      <c r="W956" t="s">
        <v>77</v>
      </c>
      <c r="X956" t="s">
        <v>44</v>
      </c>
      <c r="Y956" t="s">
        <v>99</v>
      </c>
      <c r="Z956" t="s">
        <v>421</v>
      </c>
      <c r="AC956" t="str">
        <f>IF(AA956="",M956,AA956)</f>
        <v>sim</v>
      </c>
      <c r="AD956" t="str">
        <f>IF(AB956="",X956,AB956)</f>
        <v>sim</v>
      </c>
      <c r="AE956" t="str">
        <f>IF(OR(Configuracao!B9="",Configuracao!B10=""),"aguardando limiar",IF(AND(K956&gt;=Configuracao!B9,K956/MAX(Reconciliacao!C2,1)&gt;=Configuracao!B10/100),"sim","não"))</f>
        <v>aguardando limiar</v>
      </c>
    </row>
    <row r="957" spans="1:31" x14ac:dyDescent="0.25">
      <c r="A957">
        <v>17312</v>
      </c>
      <c r="C957" t="s">
        <v>938</v>
      </c>
      <c r="D957" t="s">
        <v>939</v>
      </c>
      <c r="E957" t="s">
        <v>451</v>
      </c>
      <c r="F957" t="s">
        <v>316</v>
      </c>
      <c r="G957" t="s">
        <v>315</v>
      </c>
      <c r="H957" t="s">
        <v>314</v>
      </c>
      <c r="I957" t="s">
        <v>454</v>
      </c>
      <c r="J957" t="s">
        <v>454</v>
      </c>
      <c r="K957" s="4">
        <v>7</v>
      </c>
      <c r="L957" s="4">
        <v>7</v>
      </c>
      <c r="M957" t="s">
        <v>44</v>
      </c>
      <c r="N957" t="s">
        <v>77</v>
      </c>
      <c r="O957" t="s">
        <v>99</v>
      </c>
      <c r="P957" t="s">
        <v>99</v>
      </c>
      <c r="Q957" t="s">
        <v>131</v>
      </c>
      <c r="R957" t="s">
        <v>317</v>
      </c>
      <c r="S957" t="s">
        <v>185</v>
      </c>
      <c r="T957" t="s">
        <v>162</v>
      </c>
      <c r="U957" t="s">
        <v>163</v>
      </c>
      <c r="V957" t="s">
        <v>193</v>
      </c>
      <c r="W957" t="s">
        <v>77</v>
      </c>
      <c r="X957" t="s">
        <v>44</v>
      </c>
      <c r="Y957" t="s">
        <v>99</v>
      </c>
      <c r="Z957" t="s">
        <v>421</v>
      </c>
      <c r="AC957" t="str">
        <f>IF(AA957="",M957,AA957)</f>
        <v>sim</v>
      </c>
      <c r="AD957" t="str">
        <f>IF(AB957="",X957,AB957)</f>
        <v>sim</v>
      </c>
      <c r="AE957" t="str">
        <f>IF(OR(Configuracao!B9="",Configuracao!B10=""),"aguardando limiar",IF(AND(K957&gt;=Configuracao!B9,K957/MAX(Reconciliacao!C2,1)&gt;=Configuracao!B10/100),"sim","não"))</f>
        <v>aguardando limiar</v>
      </c>
    </row>
    <row r="958" spans="1:31" x14ac:dyDescent="0.25">
      <c r="A958">
        <v>17315</v>
      </c>
      <c r="C958" t="s">
        <v>938</v>
      </c>
      <c r="D958" t="s">
        <v>939</v>
      </c>
      <c r="E958" t="s">
        <v>451</v>
      </c>
      <c r="F958" t="s">
        <v>316</v>
      </c>
      <c r="G958" t="s">
        <v>315</v>
      </c>
      <c r="H958" t="s">
        <v>314</v>
      </c>
      <c r="I958" t="s">
        <v>454</v>
      </c>
      <c r="J958" t="s">
        <v>454</v>
      </c>
      <c r="K958" s="4">
        <v>7</v>
      </c>
      <c r="L958" s="4">
        <v>7</v>
      </c>
      <c r="M958" t="s">
        <v>44</v>
      </c>
      <c r="N958" t="s">
        <v>77</v>
      </c>
      <c r="O958" t="s">
        <v>99</v>
      </c>
      <c r="P958" t="s">
        <v>99</v>
      </c>
      <c r="Q958" t="s">
        <v>131</v>
      </c>
      <c r="R958" t="s">
        <v>317</v>
      </c>
      <c r="S958" t="s">
        <v>185</v>
      </c>
      <c r="T958" t="s">
        <v>162</v>
      </c>
      <c r="U958" t="s">
        <v>163</v>
      </c>
      <c r="V958" t="s">
        <v>193</v>
      </c>
      <c r="W958" t="s">
        <v>77</v>
      </c>
      <c r="X958" t="s">
        <v>44</v>
      </c>
      <c r="Y958" t="s">
        <v>99</v>
      </c>
      <c r="Z958" t="s">
        <v>421</v>
      </c>
      <c r="AC958" t="str">
        <f>IF(AA958="",M958,AA958)</f>
        <v>sim</v>
      </c>
      <c r="AD958" t="str">
        <f>IF(AB958="",X958,AB958)</f>
        <v>sim</v>
      </c>
      <c r="AE958" t="str">
        <f>IF(OR(Configuracao!B9="",Configuracao!B10=""),"aguardando limiar",IF(AND(K958&gt;=Configuracao!B9,K958/MAX(Reconciliacao!C2,1)&gt;=Configuracao!B10/100),"sim","não"))</f>
        <v>aguardando limiar</v>
      </c>
    </row>
    <row r="959" spans="1:31" x14ac:dyDescent="0.25">
      <c r="A959">
        <v>17317</v>
      </c>
      <c r="C959" t="s">
        <v>938</v>
      </c>
      <c r="D959" t="s">
        <v>939</v>
      </c>
      <c r="E959" t="s">
        <v>451</v>
      </c>
      <c r="F959" t="s">
        <v>316</v>
      </c>
      <c r="G959" t="s">
        <v>315</v>
      </c>
      <c r="H959" t="s">
        <v>314</v>
      </c>
      <c r="I959" t="s">
        <v>454</v>
      </c>
      <c r="J959" t="s">
        <v>454</v>
      </c>
      <c r="K959" s="4">
        <v>7</v>
      </c>
      <c r="L959" s="4">
        <v>7</v>
      </c>
      <c r="M959" t="s">
        <v>44</v>
      </c>
      <c r="N959" t="s">
        <v>77</v>
      </c>
      <c r="O959" t="s">
        <v>99</v>
      </c>
      <c r="P959" t="s">
        <v>99</v>
      </c>
      <c r="Q959" t="s">
        <v>131</v>
      </c>
      <c r="R959" t="s">
        <v>317</v>
      </c>
      <c r="S959" t="s">
        <v>185</v>
      </c>
      <c r="T959" t="s">
        <v>162</v>
      </c>
      <c r="U959" t="s">
        <v>163</v>
      </c>
      <c r="V959" t="s">
        <v>193</v>
      </c>
      <c r="W959" t="s">
        <v>77</v>
      </c>
      <c r="X959" t="s">
        <v>44</v>
      </c>
      <c r="Y959" t="s">
        <v>99</v>
      </c>
      <c r="Z959" t="s">
        <v>421</v>
      </c>
      <c r="AC959" t="str">
        <f>IF(AA959="",M959,AA959)</f>
        <v>sim</v>
      </c>
      <c r="AD959" t="str">
        <f>IF(AB959="",X959,AB959)</f>
        <v>sim</v>
      </c>
      <c r="AE959" t="str">
        <f>IF(OR(Configuracao!B9="",Configuracao!B10=""),"aguardando limiar",IF(AND(K959&gt;=Configuracao!B9,K959/MAX(Reconciliacao!C2,1)&gt;=Configuracao!B10/100),"sim","não"))</f>
        <v>aguardando limiar</v>
      </c>
    </row>
    <row r="960" spans="1:31" x14ac:dyDescent="0.25">
      <c r="A960">
        <v>17321</v>
      </c>
      <c r="C960" t="s">
        <v>938</v>
      </c>
      <c r="D960" t="s">
        <v>939</v>
      </c>
      <c r="E960" t="s">
        <v>451</v>
      </c>
      <c r="F960" t="s">
        <v>316</v>
      </c>
      <c r="G960" t="s">
        <v>315</v>
      </c>
      <c r="H960" t="s">
        <v>314</v>
      </c>
      <c r="I960" t="s">
        <v>461</v>
      </c>
      <c r="J960" t="s">
        <v>461</v>
      </c>
      <c r="K960" s="4">
        <v>7</v>
      </c>
      <c r="L960" s="4">
        <v>7</v>
      </c>
      <c r="M960" t="s">
        <v>44</v>
      </c>
      <c r="N960" t="s">
        <v>77</v>
      </c>
      <c r="O960" t="s">
        <v>99</v>
      </c>
      <c r="P960" t="s">
        <v>99</v>
      </c>
      <c r="Q960" t="s">
        <v>131</v>
      </c>
      <c r="R960" t="s">
        <v>317</v>
      </c>
      <c r="S960" t="s">
        <v>185</v>
      </c>
      <c r="T960" t="s">
        <v>162</v>
      </c>
      <c r="U960" t="s">
        <v>163</v>
      </c>
      <c r="V960" t="s">
        <v>193</v>
      </c>
      <c r="W960" t="s">
        <v>77</v>
      </c>
      <c r="X960" t="s">
        <v>44</v>
      </c>
      <c r="Y960" t="s">
        <v>99</v>
      </c>
      <c r="Z960" t="s">
        <v>421</v>
      </c>
      <c r="AC960" t="str">
        <f>IF(AA960="",M960,AA960)</f>
        <v>sim</v>
      </c>
      <c r="AD960" t="str">
        <f>IF(AB960="",X960,AB960)</f>
        <v>sim</v>
      </c>
      <c r="AE960" t="str">
        <f>IF(OR(Configuracao!B9="",Configuracao!B10=""),"aguardando limiar",IF(AND(K960&gt;=Configuracao!B9,K960/MAX(Reconciliacao!C2,1)&gt;=Configuracao!B10/100),"sim","não"))</f>
        <v>aguardando limiar</v>
      </c>
    </row>
    <row r="961" spans="1:31" x14ac:dyDescent="0.25">
      <c r="A961">
        <v>17324</v>
      </c>
      <c r="C961" t="s">
        <v>938</v>
      </c>
      <c r="D961" t="s">
        <v>939</v>
      </c>
      <c r="E961" t="s">
        <v>451</v>
      </c>
      <c r="F961" t="s">
        <v>316</v>
      </c>
      <c r="G961" t="s">
        <v>315</v>
      </c>
      <c r="H961" t="s">
        <v>314</v>
      </c>
      <c r="I961" t="s">
        <v>461</v>
      </c>
      <c r="J961" t="s">
        <v>461</v>
      </c>
      <c r="K961" s="4">
        <v>7</v>
      </c>
      <c r="L961" s="4">
        <v>7</v>
      </c>
      <c r="M961" t="s">
        <v>44</v>
      </c>
      <c r="N961" t="s">
        <v>77</v>
      </c>
      <c r="O961" t="s">
        <v>99</v>
      </c>
      <c r="P961" t="s">
        <v>99</v>
      </c>
      <c r="Q961" t="s">
        <v>131</v>
      </c>
      <c r="R961" t="s">
        <v>317</v>
      </c>
      <c r="S961" t="s">
        <v>185</v>
      </c>
      <c r="T961" t="s">
        <v>162</v>
      </c>
      <c r="U961" t="s">
        <v>163</v>
      </c>
      <c r="V961" t="s">
        <v>193</v>
      </c>
      <c r="W961" t="s">
        <v>77</v>
      </c>
      <c r="X961" t="s">
        <v>44</v>
      </c>
      <c r="Y961" t="s">
        <v>99</v>
      </c>
      <c r="Z961" t="s">
        <v>421</v>
      </c>
      <c r="AC961" t="str">
        <f>IF(AA961="",M961,AA961)</f>
        <v>sim</v>
      </c>
      <c r="AD961" t="str">
        <f>IF(AB961="",X961,AB961)</f>
        <v>sim</v>
      </c>
      <c r="AE961" t="str">
        <f>IF(OR(Configuracao!B9="",Configuracao!B10=""),"aguardando limiar",IF(AND(K961&gt;=Configuracao!B9,K961/MAX(Reconciliacao!C2,1)&gt;=Configuracao!B10/100),"sim","não"))</f>
        <v>aguardando limiar</v>
      </c>
    </row>
    <row r="962" spans="1:31" x14ac:dyDescent="0.25">
      <c r="A962">
        <v>17325</v>
      </c>
      <c r="C962" t="s">
        <v>938</v>
      </c>
      <c r="D962" t="s">
        <v>939</v>
      </c>
      <c r="E962" t="s">
        <v>451</v>
      </c>
      <c r="F962" t="s">
        <v>316</v>
      </c>
      <c r="G962" t="s">
        <v>315</v>
      </c>
      <c r="H962" t="s">
        <v>314</v>
      </c>
      <c r="I962" t="s">
        <v>461</v>
      </c>
      <c r="J962" t="s">
        <v>461</v>
      </c>
      <c r="K962" s="4">
        <v>7</v>
      </c>
      <c r="L962" s="4">
        <v>7</v>
      </c>
      <c r="M962" t="s">
        <v>44</v>
      </c>
      <c r="N962" t="s">
        <v>77</v>
      </c>
      <c r="O962" t="s">
        <v>99</v>
      </c>
      <c r="P962" t="s">
        <v>99</v>
      </c>
      <c r="Q962" t="s">
        <v>131</v>
      </c>
      <c r="R962" t="s">
        <v>317</v>
      </c>
      <c r="S962" t="s">
        <v>185</v>
      </c>
      <c r="T962" t="s">
        <v>162</v>
      </c>
      <c r="U962" t="s">
        <v>163</v>
      </c>
      <c r="V962" t="s">
        <v>193</v>
      </c>
      <c r="W962" t="s">
        <v>77</v>
      </c>
      <c r="X962" t="s">
        <v>44</v>
      </c>
      <c r="Y962" t="s">
        <v>99</v>
      </c>
      <c r="Z962" t="s">
        <v>421</v>
      </c>
      <c r="AC962" t="str">
        <f>IF(AA962="",M962,AA962)</f>
        <v>sim</v>
      </c>
      <c r="AD962" t="str">
        <f>IF(AB962="",X962,AB962)</f>
        <v>sim</v>
      </c>
      <c r="AE962" t="str">
        <f>IF(OR(Configuracao!B9="",Configuracao!B10=""),"aguardando limiar",IF(AND(K962&gt;=Configuracao!B9,K962/MAX(Reconciliacao!C2,1)&gt;=Configuracao!B10/100),"sim","não"))</f>
        <v>aguardando limiar</v>
      </c>
    </row>
    <row r="963" spans="1:31" x14ac:dyDescent="0.25">
      <c r="A963">
        <v>17782</v>
      </c>
      <c r="C963" t="s">
        <v>938</v>
      </c>
      <c r="D963" t="s">
        <v>939</v>
      </c>
      <c r="E963" t="s">
        <v>451</v>
      </c>
      <c r="F963" t="s">
        <v>316</v>
      </c>
      <c r="G963" t="s">
        <v>315</v>
      </c>
      <c r="H963" t="s">
        <v>314</v>
      </c>
      <c r="I963" t="s">
        <v>439</v>
      </c>
      <c r="J963" t="s">
        <v>442</v>
      </c>
      <c r="K963" s="4">
        <v>7</v>
      </c>
      <c r="L963" s="4">
        <v>7</v>
      </c>
      <c r="M963" t="s">
        <v>44</v>
      </c>
      <c r="N963" t="s">
        <v>77</v>
      </c>
      <c r="O963" t="s">
        <v>99</v>
      </c>
      <c r="P963" t="s">
        <v>99</v>
      </c>
      <c r="Q963" t="s">
        <v>131</v>
      </c>
      <c r="R963" t="s">
        <v>317</v>
      </c>
      <c r="S963" t="s">
        <v>185</v>
      </c>
      <c r="T963" t="s">
        <v>162</v>
      </c>
      <c r="U963" t="s">
        <v>163</v>
      </c>
      <c r="V963" t="s">
        <v>193</v>
      </c>
      <c r="W963" t="s">
        <v>77</v>
      </c>
      <c r="X963" t="s">
        <v>44</v>
      </c>
      <c r="Y963" t="s">
        <v>99</v>
      </c>
      <c r="Z963" t="s">
        <v>421</v>
      </c>
      <c r="AC963" t="str">
        <f>IF(AA963="",M963,AA963)</f>
        <v>sim</v>
      </c>
      <c r="AD963" t="str">
        <f>IF(AB963="",X963,AB963)</f>
        <v>sim</v>
      </c>
      <c r="AE963" t="str">
        <f>IF(OR(Configuracao!B9="",Configuracao!B10=""),"aguardando limiar",IF(AND(K963&gt;=Configuracao!B9,K963/MAX(Reconciliacao!C2,1)&gt;=Configuracao!B10/100),"sim","não"))</f>
        <v>aguardando limiar</v>
      </c>
    </row>
    <row r="964" spans="1:31" x14ac:dyDescent="0.25">
      <c r="A964">
        <v>17783</v>
      </c>
      <c r="C964" t="s">
        <v>938</v>
      </c>
      <c r="D964" t="s">
        <v>939</v>
      </c>
      <c r="E964" t="s">
        <v>451</v>
      </c>
      <c r="F964" t="s">
        <v>316</v>
      </c>
      <c r="G964" t="s">
        <v>315</v>
      </c>
      <c r="H964" t="s">
        <v>314</v>
      </c>
      <c r="I964" t="s">
        <v>442</v>
      </c>
      <c r="J964" t="s">
        <v>442</v>
      </c>
      <c r="K964" s="4">
        <v>7</v>
      </c>
      <c r="L964" s="4">
        <v>7</v>
      </c>
      <c r="M964" t="s">
        <v>44</v>
      </c>
      <c r="N964" t="s">
        <v>77</v>
      </c>
      <c r="O964" t="s">
        <v>99</v>
      </c>
      <c r="P964" t="s">
        <v>99</v>
      </c>
      <c r="Q964" t="s">
        <v>131</v>
      </c>
      <c r="R964" t="s">
        <v>317</v>
      </c>
      <c r="S964" t="s">
        <v>185</v>
      </c>
      <c r="T964" t="s">
        <v>162</v>
      </c>
      <c r="U964" t="s">
        <v>163</v>
      </c>
      <c r="V964" t="s">
        <v>193</v>
      </c>
      <c r="W964" t="s">
        <v>77</v>
      </c>
      <c r="X964" t="s">
        <v>44</v>
      </c>
      <c r="Y964" t="s">
        <v>99</v>
      </c>
      <c r="Z964" t="s">
        <v>421</v>
      </c>
      <c r="AC964" t="str">
        <f>IF(AA964="",M964,AA964)</f>
        <v>sim</v>
      </c>
      <c r="AD964" t="str">
        <f>IF(AB964="",X964,AB964)</f>
        <v>sim</v>
      </c>
      <c r="AE964" t="str">
        <f>IF(OR(Configuracao!B9="",Configuracao!B10=""),"aguardando limiar",IF(AND(K964&gt;=Configuracao!B9,K964/MAX(Reconciliacao!C2,1)&gt;=Configuracao!B10/100),"sim","não"))</f>
        <v>aguardando limiar</v>
      </c>
    </row>
    <row r="965" spans="1:31" x14ac:dyDescent="0.25">
      <c r="A965">
        <v>17786</v>
      </c>
      <c r="C965" t="s">
        <v>938</v>
      </c>
      <c r="D965" t="s">
        <v>939</v>
      </c>
      <c r="E965" t="s">
        <v>451</v>
      </c>
      <c r="F965" t="s">
        <v>316</v>
      </c>
      <c r="G965" t="s">
        <v>315</v>
      </c>
      <c r="H965" t="s">
        <v>314</v>
      </c>
      <c r="I965" t="s">
        <v>442</v>
      </c>
      <c r="J965" t="s">
        <v>442</v>
      </c>
      <c r="K965" s="4">
        <v>7</v>
      </c>
      <c r="L965" s="4">
        <v>7</v>
      </c>
      <c r="M965" t="s">
        <v>44</v>
      </c>
      <c r="N965" t="s">
        <v>77</v>
      </c>
      <c r="O965" t="s">
        <v>99</v>
      </c>
      <c r="P965" t="s">
        <v>99</v>
      </c>
      <c r="Q965" t="s">
        <v>131</v>
      </c>
      <c r="R965" t="s">
        <v>317</v>
      </c>
      <c r="S965" t="s">
        <v>185</v>
      </c>
      <c r="T965" t="s">
        <v>162</v>
      </c>
      <c r="U965" t="s">
        <v>163</v>
      </c>
      <c r="V965" t="s">
        <v>193</v>
      </c>
      <c r="W965" t="s">
        <v>77</v>
      </c>
      <c r="X965" t="s">
        <v>44</v>
      </c>
      <c r="Y965" t="s">
        <v>99</v>
      </c>
      <c r="Z965" t="s">
        <v>421</v>
      </c>
      <c r="AC965" t="str">
        <f>IF(AA965="",M965,AA965)</f>
        <v>sim</v>
      </c>
      <c r="AD965" t="str">
        <f>IF(AB965="",X965,AB965)</f>
        <v>sim</v>
      </c>
      <c r="AE965" t="str">
        <f>IF(OR(Configuracao!B9="",Configuracao!B10=""),"aguardando limiar",IF(AND(K965&gt;=Configuracao!B9,K965/MAX(Reconciliacao!C2,1)&gt;=Configuracao!B10/100),"sim","não"))</f>
        <v>aguardando limiar</v>
      </c>
    </row>
    <row r="966" spans="1:31" x14ac:dyDescent="0.25">
      <c r="A966">
        <v>17787</v>
      </c>
      <c r="C966" t="s">
        <v>938</v>
      </c>
      <c r="D966" t="s">
        <v>939</v>
      </c>
      <c r="E966" t="s">
        <v>451</v>
      </c>
      <c r="F966" t="s">
        <v>316</v>
      </c>
      <c r="G966" t="s">
        <v>315</v>
      </c>
      <c r="H966" t="s">
        <v>314</v>
      </c>
      <c r="I966" t="s">
        <v>442</v>
      </c>
      <c r="J966" t="s">
        <v>442</v>
      </c>
      <c r="K966" s="4">
        <v>7</v>
      </c>
      <c r="L966" s="4">
        <v>7</v>
      </c>
      <c r="M966" t="s">
        <v>44</v>
      </c>
      <c r="N966" t="s">
        <v>77</v>
      </c>
      <c r="O966" t="s">
        <v>99</v>
      </c>
      <c r="P966" t="s">
        <v>99</v>
      </c>
      <c r="Q966" t="s">
        <v>131</v>
      </c>
      <c r="R966" t="s">
        <v>317</v>
      </c>
      <c r="S966" t="s">
        <v>185</v>
      </c>
      <c r="T966" t="s">
        <v>162</v>
      </c>
      <c r="U966" t="s">
        <v>163</v>
      </c>
      <c r="V966" t="s">
        <v>193</v>
      </c>
      <c r="W966" t="s">
        <v>77</v>
      </c>
      <c r="X966" t="s">
        <v>44</v>
      </c>
      <c r="Y966" t="s">
        <v>99</v>
      </c>
      <c r="Z966" t="s">
        <v>421</v>
      </c>
      <c r="AC966" t="str">
        <f>IF(AA966="",M966,AA966)</f>
        <v>sim</v>
      </c>
      <c r="AD966" t="str">
        <f>IF(AB966="",X966,AB966)</f>
        <v>sim</v>
      </c>
      <c r="AE966" t="str">
        <f>IF(OR(Configuracao!B9="",Configuracao!B10=""),"aguardando limiar",IF(AND(K966&gt;=Configuracao!B9,K966/MAX(Reconciliacao!C2,1)&gt;=Configuracao!B10/100),"sim","não"))</f>
        <v>aguardando limiar</v>
      </c>
    </row>
    <row r="967" spans="1:31" x14ac:dyDescent="0.25">
      <c r="A967">
        <v>17788</v>
      </c>
      <c r="C967" t="s">
        <v>938</v>
      </c>
      <c r="D967" t="s">
        <v>939</v>
      </c>
      <c r="E967" t="s">
        <v>451</v>
      </c>
      <c r="F967" t="s">
        <v>316</v>
      </c>
      <c r="G967" t="s">
        <v>315</v>
      </c>
      <c r="H967" t="s">
        <v>314</v>
      </c>
      <c r="I967" t="s">
        <v>442</v>
      </c>
      <c r="J967" t="s">
        <v>442</v>
      </c>
      <c r="K967" s="4">
        <v>7</v>
      </c>
      <c r="L967" s="4">
        <v>7</v>
      </c>
      <c r="M967" t="s">
        <v>44</v>
      </c>
      <c r="N967" t="s">
        <v>77</v>
      </c>
      <c r="O967" t="s">
        <v>99</v>
      </c>
      <c r="P967" t="s">
        <v>99</v>
      </c>
      <c r="Q967" t="s">
        <v>131</v>
      </c>
      <c r="R967" t="s">
        <v>317</v>
      </c>
      <c r="S967" t="s">
        <v>185</v>
      </c>
      <c r="T967" t="s">
        <v>162</v>
      </c>
      <c r="U967" t="s">
        <v>163</v>
      </c>
      <c r="V967" t="s">
        <v>193</v>
      </c>
      <c r="W967" t="s">
        <v>77</v>
      </c>
      <c r="X967" t="s">
        <v>44</v>
      </c>
      <c r="Y967" t="s">
        <v>99</v>
      </c>
      <c r="Z967" t="s">
        <v>421</v>
      </c>
      <c r="AC967" t="str">
        <f>IF(AA967="",M967,AA967)</f>
        <v>sim</v>
      </c>
      <c r="AD967" t="str">
        <f>IF(AB967="",X967,AB967)</f>
        <v>sim</v>
      </c>
      <c r="AE967" t="str">
        <f>IF(OR(Configuracao!B9="",Configuracao!B10=""),"aguardando limiar",IF(AND(K967&gt;=Configuracao!B9,K967/MAX(Reconciliacao!C2,1)&gt;=Configuracao!B10/100),"sim","não"))</f>
        <v>aguardando limiar</v>
      </c>
    </row>
    <row r="968" spans="1:31" x14ac:dyDescent="0.25">
      <c r="A968">
        <v>18569</v>
      </c>
      <c r="C968" t="s">
        <v>938</v>
      </c>
      <c r="D968" t="s">
        <v>939</v>
      </c>
      <c r="E968" t="s">
        <v>451</v>
      </c>
      <c r="F968" t="s">
        <v>316</v>
      </c>
      <c r="G968" t="s">
        <v>315</v>
      </c>
      <c r="H968" t="s">
        <v>314</v>
      </c>
      <c r="I968" t="s">
        <v>439</v>
      </c>
      <c r="J968" t="s">
        <v>439</v>
      </c>
      <c r="K968" s="4">
        <v>7</v>
      </c>
      <c r="L968" s="4">
        <v>7</v>
      </c>
      <c r="M968" t="s">
        <v>44</v>
      </c>
      <c r="N968" t="s">
        <v>77</v>
      </c>
      <c r="O968" t="s">
        <v>99</v>
      </c>
      <c r="P968" t="s">
        <v>99</v>
      </c>
      <c r="Q968" t="s">
        <v>131</v>
      </c>
      <c r="R968" t="s">
        <v>317</v>
      </c>
      <c r="S968" t="s">
        <v>185</v>
      </c>
      <c r="T968" t="s">
        <v>162</v>
      </c>
      <c r="U968" t="s">
        <v>163</v>
      </c>
      <c r="V968" t="s">
        <v>193</v>
      </c>
      <c r="W968" t="s">
        <v>77</v>
      </c>
      <c r="X968" t="s">
        <v>44</v>
      </c>
      <c r="Y968" t="s">
        <v>99</v>
      </c>
      <c r="Z968" t="s">
        <v>421</v>
      </c>
      <c r="AC968" t="str">
        <f>IF(AA968="",M968,AA968)</f>
        <v>sim</v>
      </c>
      <c r="AD968" t="str">
        <f>IF(AB968="",X968,AB968)</f>
        <v>sim</v>
      </c>
      <c r="AE968" t="str">
        <f>IF(OR(Configuracao!B9="",Configuracao!B10=""),"aguardando limiar",IF(AND(K968&gt;=Configuracao!B9,K968/MAX(Reconciliacao!C2,1)&gt;=Configuracao!B10/100),"sim","não"))</f>
        <v>aguardando limiar</v>
      </c>
    </row>
    <row r="969" spans="1:31" x14ac:dyDescent="0.25">
      <c r="A969">
        <v>18570</v>
      </c>
      <c r="C969" t="s">
        <v>938</v>
      </c>
      <c r="D969" t="s">
        <v>939</v>
      </c>
      <c r="E969" t="s">
        <v>451</v>
      </c>
      <c r="F969" t="s">
        <v>316</v>
      </c>
      <c r="G969" t="s">
        <v>315</v>
      </c>
      <c r="H969" t="s">
        <v>314</v>
      </c>
      <c r="I969" t="s">
        <v>439</v>
      </c>
      <c r="J969" t="s">
        <v>439</v>
      </c>
      <c r="K969" s="4">
        <v>7</v>
      </c>
      <c r="L969" s="4">
        <v>7</v>
      </c>
      <c r="M969" t="s">
        <v>44</v>
      </c>
      <c r="N969" t="s">
        <v>77</v>
      </c>
      <c r="O969" t="s">
        <v>99</v>
      </c>
      <c r="P969" t="s">
        <v>99</v>
      </c>
      <c r="Q969" t="s">
        <v>131</v>
      </c>
      <c r="R969" t="s">
        <v>317</v>
      </c>
      <c r="S969" t="s">
        <v>185</v>
      </c>
      <c r="T969" t="s">
        <v>162</v>
      </c>
      <c r="U969" t="s">
        <v>163</v>
      </c>
      <c r="V969" t="s">
        <v>193</v>
      </c>
      <c r="W969" t="s">
        <v>77</v>
      </c>
      <c r="X969" t="s">
        <v>44</v>
      </c>
      <c r="Y969" t="s">
        <v>99</v>
      </c>
      <c r="Z969" t="s">
        <v>421</v>
      </c>
      <c r="AC969" t="str">
        <f>IF(AA969="",M969,AA969)</f>
        <v>sim</v>
      </c>
      <c r="AD969" t="str">
        <f>IF(AB969="",X969,AB969)</f>
        <v>sim</v>
      </c>
      <c r="AE969" t="str">
        <f>IF(OR(Configuracao!B9="",Configuracao!B10=""),"aguardando limiar",IF(AND(K969&gt;=Configuracao!B9,K969/MAX(Reconciliacao!C2,1)&gt;=Configuracao!B10/100),"sim","não"))</f>
        <v>aguardando limiar</v>
      </c>
    </row>
    <row r="970" spans="1:31" x14ac:dyDescent="0.25">
      <c r="A970">
        <v>18571</v>
      </c>
      <c r="C970" t="s">
        <v>938</v>
      </c>
      <c r="D970" t="s">
        <v>939</v>
      </c>
      <c r="E970" t="s">
        <v>451</v>
      </c>
      <c r="F970" t="s">
        <v>316</v>
      </c>
      <c r="G970" t="s">
        <v>315</v>
      </c>
      <c r="H970" t="s">
        <v>314</v>
      </c>
      <c r="I970" t="s">
        <v>439</v>
      </c>
      <c r="J970" t="s">
        <v>439</v>
      </c>
      <c r="K970" s="4">
        <v>7</v>
      </c>
      <c r="L970" s="4">
        <v>7</v>
      </c>
      <c r="M970" t="s">
        <v>44</v>
      </c>
      <c r="N970" t="s">
        <v>77</v>
      </c>
      <c r="O970" t="s">
        <v>99</v>
      </c>
      <c r="P970" t="s">
        <v>99</v>
      </c>
      <c r="Q970" t="s">
        <v>131</v>
      </c>
      <c r="R970" t="s">
        <v>317</v>
      </c>
      <c r="S970" t="s">
        <v>185</v>
      </c>
      <c r="T970" t="s">
        <v>162</v>
      </c>
      <c r="U970" t="s">
        <v>163</v>
      </c>
      <c r="V970" t="s">
        <v>193</v>
      </c>
      <c r="W970" t="s">
        <v>77</v>
      </c>
      <c r="X970" t="s">
        <v>44</v>
      </c>
      <c r="Y970" t="s">
        <v>99</v>
      </c>
      <c r="Z970" t="s">
        <v>421</v>
      </c>
      <c r="AC970" t="str">
        <f>IF(AA970="",M970,AA970)</f>
        <v>sim</v>
      </c>
      <c r="AD970" t="str">
        <f>IF(AB970="",X970,AB970)</f>
        <v>sim</v>
      </c>
      <c r="AE970" t="str">
        <f>IF(OR(Configuracao!B9="",Configuracao!B10=""),"aguardando limiar",IF(AND(K970&gt;=Configuracao!B9,K970/MAX(Reconciliacao!C2,1)&gt;=Configuracao!B10/100),"sim","não"))</f>
        <v>aguardando limiar</v>
      </c>
    </row>
    <row r="971" spans="1:31" x14ac:dyDescent="0.25">
      <c r="A971">
        <v>18576</v>
      </c>
      <c r="C971" t="s">
        <v>938</v>
      </c>
      <c r="D971" t="s">
        <v>939</v>
      </c>
      <c r="E971" t="s">
        <v>451</v>
      </c>
      <c r="F971" t="s">
        <v>316</v>
      </c>
      <c r="G971" t="s">
        <v>315</v>
      </c>
      <c r="H971" t="s">
        <v>314</v>
      </c>
      <c r="I971" t="s">
        <v>439</v>
      </c>
      <c r="J971" t="s">
        <v>439</v>
      </c>
      <c r="K971" s="4">
        <v>7</v>
      </c>
      <c r="L971" s="4">
        <v>7</v>
      </c>
      <c r="M971" t="s">
        <v>44</v>
      </c>
      <c r="N971" t="s">
        <v>77</v>
      </c>
      <c r="O971" t="s">
        <v>99</v>
      </c>
      <c r="P971" t="s">
        <v>99</v>
      </c>
      <c r="Q971" t="s">
        <v>131</v>
      </c>
      <c r="R971" t="s">
        <v>317</v>
      </c>
      <c r="S971" t="s">
        <v>185</v>
      </c>
      <c r="T971" t="s">
        <v>162</v>
      </c>
      <c r="U971" t="s">
        <v>163</v>
      </c>
      <c r="V971" t="s">
        <v>193</v>
      </c>
      <c r="W971" t="s">
        <v>77</v>
      </c>
      <c r="X971" t="s">
        <v>44</v>
      </c>
      <c r="Y971" t="s">
        <v>99</v>
      </c>
      <c r="Z971" t="s">
        <v>421</v>
      </c>
      <c r="AC971" t="str">
        <f>IF(AA971="",M971,AA971)</f>
        <v>sim</v>
      </c>
      <c r="AD971" t="str">
        <f>IF(AB971="",X971,AB971)</f>
        <v>sim</v>
      </c>
      <c r="AE971" t="str">
        <f>IF(OR(Configuracao!B9="",Configuracao!B10=""),"aguardando limiar",IF(AND(K971&gt;=Configuracao!B9,K971/MAX(Reconciliacao!C2,1)&gt;=Configuracao!B10/100),"sim","não"))</f>
        <v>aguardando limiar</v>
      </c>
    </row>
    <row r="972" spans="1:31" x14ac:dyDescent="0.25">
      <c r="A972">
        <v>18577</v>
      </c>
      <c r="C972" t="s">
        <v>938</v>
      </c>
      <c r="D972" t="s">
        <v>939</v>
      </c>
      <c r="E972" t="s">
        <v>451</v>
      </c>
      <c r="F972" t="s">
        <v>316</v>
      </c>
      <c r="G972" t="s">
        <v>315</v>
      </c>
      <c r="H972" t="s">
        <v>314</v>
      </c>
      <c r="I972" t="s">
        <v>439</v>
      </c>
      <c r="J972" t="s">
        <v>439</v>
      </c>
      <c r="K972" s="4">
        <v>7</v>
      </c>
      <c r="L972" s="4">
        <v>7</v>
      </c>
      <c r="M972" t="s">
        <v>44</v>
      </c>
      <c r="N972" t="s">
        <v>77</v>
      </c>
      <c r="O972" t="s">
        <v>99</v>
      </c>
      <c r="P972" t="s">
        <v>99</v>
      </c>
      <c r="Q972" t="s">
        <v>131</v>
      </c>
      <c r="R972" t="s">
        <v>317</v>
      </c>
      <c r="S972" t="s">
        <v>185</v>
      </c>
      <c r="T972" t="s">
        <v>162</v>
      </c>
      <c r="U972" t="s">
        <v>163</v>
      </c>
      <c r="V972" t="s">
        <v>193</v>
      </c>
      <c r="W972" t="s">
        <v>77</v>
      </c>
      <c r="X972" t="s">
        <v>44</v>
      </c>
      <c r="Y972" t="s">
        <v>99</v>
      </c>
      <c r="Z972" t="s">
        <v>421</v>
      </c>
      <c r="AC972" t="str">
        <f>IF(AA972="",M972,AA972)</f>
        <v>sim</v>
      </c>
      <c r="AD972" t="str">
        <f>IF(AB972="",X972,AB972)</f>
        <v>sim</v>
      </c>
      <c r="AE972" t="str">
        <f>IF(OR(Configuracao!B9="",Configuracao!B10=""),"aguardando limiar",IF(AND(K972&gt;=Configuracao!B9,K972/MAX(Reconciliacao!C2,1)&gt;=Configuracao!B10/100),"sim","não"))</f>
        <v>aguardando limiar</v>
      </c>
    </row>
    <row r="973" spans="1:31" x14ac:dyDescent="0.25">
      <c r="A973">
        <v>18578</v>
      </c>
      <c r="C973" t="s">
        <v>938</v>
      </c>
      <c r="D973" t="s">
        <v>939</v>
      </c>
      <c r="E973" t="s">
        <v>451</v>
      </c>
      <c r="F973" t="s">
        <v>316</v>
      </c>
      <c r="G973" t="s">
        <v>315</v>
      </c>
      <c r="H973" t="s">
        <v>314</v>
      </c>
      <c r="I973" t="s">
        <v>439</v>
      </c>
      <c r="J973" t="s">
        <v>439</v>
      </c>
      <c r="K973" s="4">
        <v>7</v>
      </c>
      <c r="L973" s="4">
        <v>7</v>
      </c>
      <c r="M973" t="s">
        <v>44</v>
      </c>
      <c r="N973" t="s">
        <v>77</v>
      </c>
      <c r="O973" t="s">
        <v>99</v>
      </c>
      <c r="P973" t="s">
        <v>99</v>
      </c>
      <c r="Q973" t="s">
        <v>131</v>
      </c>
      <c r="R973" t="s">
        <v>317</v>
      </c>
      <c r="S973" t="s">
        <v>185</v>
      </c>
      <c r="T973" t="s">
        <v>162</v>
      </c>
      <c r="U973" t="s">
        <v>163</v>
      </c>
      <c r="V973" t="s">
        <v>193</v>
      </c>
      <c r="W973" t="s">
        <v>77</v>
      </c>
      <c r="X973" t="s">
        <v>44</v>
      </c>
      <c r="Y973" t="s">
        <v>99</v>
      </c>
      <c r="Z973" t="s">
        <v>421</v>
      </c>
      <c r="AC973" t="str">
        <f>IF(AA973="",M973,AA973)</f>
        <v>sim</v>
      </c>
      <c r="AD973" t="str">
        <f>IF(AB973="",X973,AB973)</f>
        <v>sim</v>
      </c>
      <c r="AE973" t="str">
        <f>IF(OR(Configuracao!B9="",Configuracao!B10=""),"aguardando limiar",IF(AND(K973&gt;=Configuracao!B9,K973/MAX(Reconciliacao!C2,1)&gt;=Configuracao!B10/100),"sim","não"))</f>
        <v>aguardando limiar</v>
      </c>
    </row>
    <row r="974" spans="1:31" x14ac:dyDescent="0.25">
      <c r="A974">
        <v>19338</v>
      </c>
      <c r="C974" t="s">
        <v>938</v>
      </c>
      <c r="D974" t="s">
        <v>939</v>
      </c>
      <c r="E974" t="s">
        <v>451</v>
      </c>
      <c r="F974" t="s">
        <v>316</v>
      </c>
      <c r="G974" t="s">
        <v>315</v>
      </c>
      <c r="H974" t="s">
        <v>314</v>
      </c>
      <c r="I974" t="s">
        <v>35</v>
      </c>
      <c r="J974" t="s">
        <v>35</v>
      </c>
      <c r="K974" s="4">
        <v>7</v>
      </c>
      <c r="L974" s="4">
        <v>7</v>
      </c>
      <c r="M974" t="s">
        <v>44</v>
      </c>
      <c r="N974" t="s">
        <v>77</v>
      </c>
      <c r="O974" t="s">
        <v>99</v>
      </c>
      <c r="P974" t="s">
        <v>99</v>
      </c>
      <c r="Q974" t="s">
        <v>131</v>
      </c>
      <c r="R974" t="s">
        <v>317</v>
      </c>
      <c r="S974" t="s">
        <v>185</v>
      </c>
      <c r="T974" t="s">
        <v>162</v>
      </c>
      <c r="U974" t="s">
        <v>163</v>
      </c>
      <c r="V974" t="s">
        <v>193</v>
      </c>
      <c r="W974" t="s">
        <v>77</v>
      </c>
      <c r="X974" t="s">
        <v>44</v>
      </c>
      <c r="Y974" t="s">
        <v>99</v>
      </c>
      <c r="Z974" t="s">
        <v>421</v>
      </c>
      <c r="AC974" t="str">
        <f>IF(AA974="",M974,AA974)</f>
        <v>sim</v>
      </c>
      <c r="AD974" t="str">
        <f>IF(AB974="",X974,AB974)</f>
        <v>sim</v>
      </c>
      <c r="AE974" t="str">
        <f>IF(OR(Configuracao!B9="",Configuracao!B10=""),"aguardando limiar",IF(AND(K974&gt;=Configuracao!B9,K974/MAX(Reconciliacao!C2,1)&gt;=Configuracao!B10/100),"sim","não"))</f>
        <v>aguardando limiar</v>
      </c>
    </row>
    <row r="975" spans="1:31" x14ac:dyDescent="0.25">
      <c r="A975">
        <v>19340</v>
      </c>
      <c r="C975" t="s">
        <v>938</v>
      </c>
      <c r="D975" t="s">
        <v>939</v>
      </c>
      <c r="E975" t="s">
        <v>451</v>
      </c>
      <c r="F975" t="s">
        <v>316</v>
      </c>
      <c r="G975" t="s">
        <v>315</v>
      </c>
      <c r="H975" t="s">
        <v>314</v>
      </c>
      <c r="I975" t="s">
        <v>35</v>
      </c>
      <c r="J975" t="s">
        <v>35</v>
      </c>
      <c r="K975" s="4">
        <v>7</v>
      </c>
      <c r="L975" s="4">
        <v>7</v>
      </c>
      <c r="M975" t="s">
        <v>44</v>
      </c>
      <c r="N975" t="s">
        <v>77</v>
      </c>
      <c r="O975" t="s">
        <v>99</v>
      </c>
      <c r="P975" t="s">
        <v>99</v>
      </c>
      <c r="Q975" t="s">
        <v>131</v>
      </c>
      <c r="R975" t="s">
        <v>317</v>
      </c>
      <c r="S975" t="s">
        <v>185</v>
      </c>
      <c r="T975" t="s">
        <v>162</v>
      </c>
      <c r="U975" t="s">
        <v>163</v>
      </c>
      <c r="V975" t="s">
        <v>193</v>
      </c>
      <c r="W975" t="s">
        <v>77</v>
      </c>
      <c r="X975" t="s">
        <v>44</v>
      </c>
      <c r="Y975" t="s">
        <v>99</v>
      </c>
      <c r="Z975" t="s">
        <v>421</v>
      </c>
      <c r="AC975" t="str">
        <f>IF(AA975="",M975,AA975)</f>
        <v>sim</v>
      </c>
      <c r="AD975" t="str">
        <f>IF(AB975="",X975,AB975)</f>
        <v>sim</v>
      </c>
      <c r="AE975" t="str">
        <f>IF(OR(Configuracao!B9="",Configuracao!B10=""),"aguardando limiar",IF(AND(K975&gt;=Configuracao!B9,K975/MAX(Reconciliacao!C2,1)&gt;=Configuracao!B10/100),"sim","não"))</f>
        <v>aguardando limiar</v>
      </c>
    </row>
    <row r="976" spans="1:31" x14ac:dyDescent="0.25">
      <c r="A976">
        <v>19341</v>
      </c>
      <c r="C976" t="s">
        <v>938</v>
      </c>
      <c r="D976" t="s">
        <v>939</v>
      </c>
      <c r="E976" t="s">
        <v>451</v>
      </c>
      <c r="F976" t="s">
        <v>316</v>
      </c>
      <c r="G976" t="s">
        <v>315</v>
      </c>
      <c r="H976" t="s">
        <v>314</v>
      </c>
      <c r="I976" t="s">
        <v>35</v>
      </c>
      <c r="J976" t="s">
        <v>35</v>
      </c>
      <c r="K976" s="4">
        <v>7</v>
      </c>
      <c r="L976" s="4">
        <v>7</v>
      </c>
      <c r="M976" t="s">
        <v>44</v>
      </c>
      <c r="N976" t="s">
        <v>77</v>
      </c>
      <c r="O976" t="s">
        <v>99</v>
      </c>
      <c r="P976" t="s">
        <v>99</v>
      </c>
      <c r="Q976" t="s">
        <v>131</v>
      </c>
      <c r="R976" t="s">
        <v>317</v>
      </c>
      <c r="S976" t="s">
        <v>185</v>
      </c>
      <c r="T976" t="s">
        <v>162</v>
      </c>
      <c r="U976" t="s">
        <v>163</v>
      </c>
      <c r="V976" t="s">
        <v>193</v>
      </c>
      <c r="W976" t="s">
        <v>77</v>
      </c>
      <c r="X976" t="s">
        <v>44</v>
      </c>
      <c r="Y976" t="s">
        <v>99</v>
      </c>
      <c r="Z976" t="s">
        <v>421</v>
      </c>
      <c r="AC976" t="str">
        <f>IF(AA976="",M976,AA976)</f>
        <v>sim</v>
      </c>
      <c r="AD976" t="str">
        <f>IF(AB976="",X976,AB976)</f>
        <v>sim</v>
      </c>
      <c r="AE976" t="str">
        <f>IF(OR(Configuracao!B9="",Configuracao!B10=""),"aguardando limiar",IF(AND(K976&gt;=Configuracao!B9,K976/MAX(Reconciliacao!C2,1)&gt;=Configuracao!B10/100),"sim","não"))</f>
        <v>aguardando limiar</v>
      </c>
    </row>
    <row r="977" spans="1:31" x14ac:dyDescent="0.25">
      <c r="A977">
        <v>12525</v>
      </c>
      <c r="C977" t="s">
        <v>938</v>
      </c>
      <c r="D977" t="s">
        <v>940</v>
      </c>
      <c r="E977" t="s">
        <v>451</v>
      </c>
      <c r="F977" t="s">
        <v>316</v>
      </c>
      <c r="G977" t="s">
        <v>315</v>
      </c>
      <c r="H977" t="s">
        <v>314</v>
      </c>
      <c r="I977" t="s">
        <v>420</v>
      </c>
      <c r="J977" t="s">
        <v>420</v>
      </c>
      <c r="K977" s="4">
        <v>9.6</v>
      </c>
      <c r="L977" s="4">
        <v>9.6</v>
      </c>
      <c r="M977" t="s">
        <v>44</v>
      </c>
      <c r="N977" t="s">
        <v>77</v>
      </c>
      <c r="O977" t="s">
        <v>99</v>
      </c>
      <c r="P977" t="s">
        <v>99</v>
      </c>
      <c r="Q977" t="s">
        <v>131</v>
      </c>
      <c r="R977" t="s">
        <v>317</v>
      </c>
      <c r="S977" t="s">
        <v>185</v>
      </c>
      <c r="T977" t="s">
        <v>162</v>
      </c>
      <c r="U977" t="s">
        <v>163</v>
      </c>
      <c r="V977" t="s">
        <v>193</v>
      </c>
      <c r="W977" t="s">
        <v>77</v>
      </c>
      <c r="X977" t="s">
        <v>44</v>
      </c>
      <c r="Y977" t="s">
        <v>99</v>
      </c>
      <c r="Z977" t="s">
        <v>421</v>
      </c>
      <c r="AC977" t="str">
        <f>IF(AA977="",M977,AA977)</f>
        <v>sim</v>
      </c>
      <c r="AD977" t="str">
        <f>IF(AB977="",X977,AB977)</f>
        <v>sim</v>
      </c>
      <c r="AE977" t="str">
        <f>IF(OR(Configuracao!B9="",Configuracao!B10=""),"aguardando limiar",IF(AND(K977&gt;=Configuracao!B9,K977/MAX(Reconciliacao!C2,1)&gt;=Configuracao!B10/100),"sim","não"))</f>
        <v>aguardando limiar</v>
      </c>
    </row>
    <row r="978" spans="1:31" x14ac:dyDescent="0.25">
      <c r="A978">
        <v>18896</v>
      </c>
      <c r="C978" t="s">
        <v>938</v>
      </c>
      <c r="D978" t="s">
        <v>940</v>
      </c>
      <c r="E978" t="s">
        <v>451</v>
      </c>
      <c r="F978" t="s">
        <v>316</v>
      </c>
      <c r="G978" t="s">
        <v>315</v>
      </c>
      <c r="H978" t="s">
        <v>314</v>
      </c>
      <c r="I978" t="s">
        <v>35</v>
      </c>
      <c r="J978" t="s">
        <v>35</v>
      </c>
      <c r="K978" s="4">
        <v>9.6</v>
      </c>
      <c r="L978" s="4">
        <v>9.6</v>
      </c>
      <c r="M978" t="s">
        <v>44</v>
      </c>
      <c r="N978" t="s">
        <v>77</v>
      </c>
      <c r="O978" t="s">
        <v>99</v>
      </c>
      <c r="P978" t="s">
        <v>99</v>
      </c>
      <c r="Q978" t="s">
        <v>131</v>
      </c>
      <c r="R978" t="s">
        <v>317</v>
      </c>
      <c r="S978" t="s">
        <v>185</v>
      </c>
      <c r="T978" t="s">
        <v>162</v>
      </c>
      <c r="U978" t="s">
        <v>163</v>
      </c>
      <c r="V978" t="s">
        <v>193</v>
      </c>
      <c r="W978" t="s">
        <v>77</v>
      </c>
      <c r="X978" t="s">
        <v>44</v>
      </c>
      <c r="Y978" t="s">
        <v>99</v>
      </c>
      <c r="Z978" t="s">
        <v>421</v>
      </c>
      <c r="AC978" t="str">
        <f>IF(AA978="",M978,AA978)</f>
        <v>sim</v>
      </c>
      <c r="AD978" t="str">
        <f>IF(AB978="",X978,AB978)</f>
        <v>sim</v>
      </c>
      <c r="AE978" t="str">
        <f>IF(OR(Configuracao!B9="",Configuracao!B10=""),"aguardando limiar",IF(AND(K978&gt;=Configuracao!B9,K978/MAX(Reconciliacao!C2,1)&gt;=Configuracao!B10/100),"sim","não"))</f>
        <v>aguardando limiar</v>
      </c>
    </row>
    <row r="979" spans="1:31" x14ac:dyDescent="0.25">
      <c r="A979">
        <v>12317</v>
      </c>
      <c r="C979" t="s">
        <v>938</v>
      </c>
      <c r="D979" t="s">
        <v>940</v>
      </c>
      <c r="E979" t="s">
        <v>451</v>
      </c>
      <c r="F979" t="s">
        <v>316</v>
      </c>
      <c r="G979" t="s">
        <v>315</v>
      </c>
      <c r="H979" t="s">
        <v>314</v>
      </c>
      <c r="I979" t="s">
        <v>424</v>
      </c>
      <c r="J979" t="s">
        <v>424</v>
      </c>
      <c r="K979" s="4">
        <v>19.2</v>
      </c>
      <c r="L979" s="4">
        <v>19.2</v>
      </c>
      <c r="M979" t="s">
        <v>44</v>
      </c>
      <c r="N979" t="s">
        <v>77</v>
      </c>
      <c r="O979" t="s">
        <v>99</v>
      </c>
      <c r="P979" t="s">
        <v>99</v>
      </c>
      <c r="Q979" t="s">
        <v>131</v>
      </c>
      <c r="R979" t="s">
        <v>317</v>
      </c>
      <c r="S979" t="s">
        <v>185</v>
      </c>
      <c r="T979" t="s">
        <v>162</v>
      </c>
      <c r="U979" t="s">
        <v>163</v>
      </c>
      <c r="V979" t="s">
        <v>193</v>
      </c>
      <c r="W979" t="s">
        <v>77</v>
      </c>
      <c r="X979" t="s">
        <v>44</v>
      </c>
      <c r="Y979" t="s">
        <v>99</v>
      </c>
      <c r="Z979" t="s">
        <v>421</v>
      </c>
      <c r="AC979" t="str">
        <f>IF(AA979="",M979,AA979)</f>
        <v>sim</v>
      </c>
      <c r="AD979" t="str">
        <f>IF(AB979="",X979,AB979)</f>
        <v>sim</v>
      </c>
      <c r="AE979" t="str">
        <f>IF(OR(Configuracao!B9="",Configuracao!B10=""),"aguardando limiar",IF(AND(K979&gt;=Configuracao!B9,K979/MAX(Reconciliacao!C2,1)&gt;=Configuracao!B10/100),"sim","não"))</f>
        <v>aguardando limiar</v>
      </c>
    </row>
    <row r="980" spans="1:31" x14ac:dyDescent="0.25">
      <c r="A980">
        <v>17928</v>
      </c>
      <c r="C980" t="s">
        <v>938</v>
      </c>
      <c r="D980" t="s">
        <v>940</v>
      </c>
      <c r="E980" t="s">
        <v>451</v>
      </c>
      <c r="F980" t="s">
        <v>316</v>
      </c>
      <c r="G980" t="s">
        <v>315</v>
      </c>
      <c r="H980" t="s">
        <v>314</v>
      </c>
      <c r="I980" t="s">
        <v>439</v>
      </c>
      <c r="J980" t="s">
        <v>439</v>
      </c>
      <c r="K980" s="4">
        <v>19.2</v>
      </c>
      <c r="L980" s="4">
        <v>19.2</v>
      </c>
      <c r="M980" t="s">
        <v>44</v>
      </c>
      <c r="N980" t="s">
        <v>77</v>
      </c>
      <c r="O980" t="s">
        <v>99</v>
      </c>
      <c r="P980" t="s">
        <v>99</v>
      </c>
      <c r="Q980" t="s">
        <v>131</v>
      </c>
      <c r="R980" t="s">
        <v>317</v>
      </c>
      <c r="S980" t="s">
        <v>185</v>
      </c>
      <c r="T980" t="s">
        <v>162</v>
      </c>
      <c r="U980" t="s">
        <v>163</v>
      </c>
      <c r="V980" t="s">
        <v>193</v>
      </c>
      <c r="W980" t="s">
        <v>77</v>
      </c>
      <c r="X980" t="s">
        <v>44</v>
      </c>
      <c r="Y980" t="s">
        <v>99</v>
      </c>
      <c r="Z980" t="s">
        <v>421</v>
      </c>
      <c r="AC980" t="str">
        <f>IF(AA980="",M980,AA980)</f>
        <v>sim</v>
      </c>
      <c r="AD980" t="str">
        <f>IF(AB980="",X980,AB980)</f>
        <v>sim</v>
      </c>
      <c r="AE980" t="str">
        <f>IF(OR(Configuracao!B9="",Configuracao!B10=""),"aguardando limiar",IF(AND(K980&gt;=Configuracao!B9,K980/MAX(Reconciliacao!C2,1)&gt;=Configuracao!B10/100),"sim","não"))</f>
        <v>aguardando limiar</v>
      </c>
    </row>
    <row r="981" spans="1:31" x14ac:dyDescent="0.25">
      <c r="A981">
        <v>11450</v>
      </c>
      <c r="C981" t="s">
        <v>938</v>
      </c>
      <c r="D981" t="s">
        <v>940</v>
      </c>
      <c r="E981" t="s">
        <v>451</v>
      </c>
      <c r="F981" t="s">
        <v>316</v>
      </c>
      <c r="G981" t="s">
        <v>315</v>
      </c>
      <c r="H981" t="s">
        <v>314</v>
      </c>
      <c r="I981" t="s">
        <v>32</v>
      </c>
      <c r="J981" t="s">
        <v>32</v>
      </c>
      <c r="K981" s="4">
        <v>28.8</v>
      </c>
      <c r="L981" s="4">
        <v>28.8</v>
      </c>
      <c r="M981" t="s">
        <v>44</v>
      </c>
      <c r="N981" t="s">
        <v>77</v>
      </c>
      <c r="O981" t="s">
        <v>99</v>
      </c>
      <c r="P981" t="s">
        <v>99</v>
      </c>
      <c r="Q981" t="s">
        <v>131</v>
      </c>
      <c r="R981" t="s">
        <v>317</v>
      </c>
      <c r="S981" t="s">
        <v>185</v>
      </c>
      <c r="T981" t="s">
        <v>162</v>
      </c>
      <c r="U981" t="s">
        <v>163</v>
      </c>
      <c r="V981" t="s">
        <v>193</v>
      </c>
      <c r="W981" t="s">
        <v>77</v>
      </c>
      <c r="X981" t="s">
        <v>44</v>
      </c>
      <c r="Y981" t="s">
        <v>99</v>
      </c>
      <c r="Z981" t="s">
        <v>421</v>
      </c>
      <c r="AC981" t="str">
        <f>IF(AA981="",M981,AA981)</f>
        <v>sim</v>
      </c>
      <c r="AD981" t="str">
        <f>IF(AB981="",X981,AB981)</f>
        <v>sim</v>
      </c>
      <c r="AE981" t="str">
        <f>IF(OR(Configuracao!B9="",Configuracao!B10=""),"aguardando limiar",IF(AND(K981&gt;=Configuracao!B9,K981/MAX(Reconciliacao!C2,1)&gt;=Configuracao!B10/100),"sim","não"))</f>
        <v>aguardando limiar</v>
      </c>
    </row>
    <row r="982" spans="1:31" x14ac:dyDescent="0.25">
      <c r="A982">
        <v>13441</v>
      </c>
      <c r="C982" t="s">
        <v>938</v>
      </c>
      <c r="D982" t="s">
        <v>940</v>
      </c>
      <c r="E982" t="s">
        <v>451</v>
      </c>
      <c r="F982" t="s">
        <v>316</v>
      </c>
      <c r="G982" t="s">
        <v>315</v>
      </c>
      <c r="H982" t="s">
        <v>314</v>
      </c>
      <c r="I982" t="s">
        <v>454</v>
      </c>
      <c r="J982" t="s">
        <v>454</v>
      </c>
      <c r="K982" s="4">
        <v>28.8</v>
      </c>
      <c r="L982" s="4">
        <v>28.8</v>
      </c>
      <c r="M982" t="s">
        <v>44</v>
      </c>
      <c r="N982" t="s">
        <v>77</v>
      </c>
      <c r="O982" t="s">
        <v>99</v>
      </c>
      <c r="P982" t="s">
        <v>99</v>
      </c>
      <c r="Q982" t="s">
        <v>131</v>
      </c>
      <c r="R982" t="s">
        <v>317</v>
      </c>
      <c r="S982" t="s">
        <v>185</v>
      </c>
      <c r="T982" t="s">
        <v>162</v>
      </c>
      <c r="U982" t="s">
        <v>163</v>
      </c>
      <c r="V982" t="s">
        <v>193</v>
      </c>
      <c r="W982" t="s">
        <v>77</v>
      </c>
      <c r="X982" t="s">
        <v>44</v>
      </c>
      <c r="Y982" t="s">
        <v>99</v>
      </c>
      <c r="Z982" t="s">
        <v>421</v>
      </c>
      <c r="AC982" t="str">
        <f>IF(AA982="",M982,AA982)</f>
        <v>sim</v>
      </c>
      <c r="AD982" t="str">
        <f>IF(AB982="",X982,AB982)</f>
        <v>sim</v>
      </c>
      <c r="AE982" t="str">
        <f>IF(OR(Configuracao!B9="",Configuracao!B10=""),"aguardando limiar",IF(AND(K982&gt;=Configuracao!B9,K982/MAX(Reconciliacao!C2,1)&gt;=Configuracao!B10/100),"sim","não"))</f>
        <v>aguardando limiar</v>
      </c>
    </row>
    <row r="983" spans="1:31" x14ac:dyDescent="0.25">
      <c r="A983">
        <v>11828</v>
      </c>
      <c r="C983" t="s">
        <v>941</v>
      </c>
      <c r="D983" t="s">
        <v>824</v>
      </c>
      <c r="E983" t="s">
        <v>451</v>
      </c>
      <c r="F983" t="s">
        <v>316</v>
      </c>
      <c r="G983" t="s">
        <v>315</v>
      </c>
      <c r="H983" t="s">
        <v>314</v>
      </c>
      <c r="I983" t="s">
        <v>32</v>
      </c>
      <c r="J983" t="s">
        <v>737</v>
      </c>
      <c r="K983" s="4">
        <v>79.9</v>
      </c>
      <c r="L983" s="4">
        <v>0</v>
      </c>
      <c r="M983" t="s">
        <v>44</v>
      </c>
      <c r="N983" t="s">
        <v>77</v>
      </c>
      <c r="O983" t="s">
        <v>99</v>
      </c>
      <c r="P983" t="s">
        <v>99</v>
      </c>
      <c r="Q983" t="s">
        <v>131</v>
      </c>
      <c r="R983" t="s">
        <v>317</v>
      </c>
      <c r="S983" t="s">
        <v>185</v>
      </c>
      <c r="T983" t="s">
        <v>162</v>
      </c>
      <c r="U983" t="s">
        <v>163</v>
      </c>
      <c r="V983" t="s">
        <v>193</v>
      </c>
      <c r="W983" t="s">
        <v>77</v>
      </c>
      <c r="X983" t="s">
        <v>44</v>
      </c>
      <c r="Y983" t="s">
        <v>99</v>
      </c>
      <c r="Z983" t="s">
        <v>421</v>
      </c>
      <c r="AC983" t="str">
        <f>IF(AA983="",M983,AA983)</f>
        <v>sim</v>
      </c>
      <c r="AD983" t="str">
        <f>IF(AB983="",X983,AB983)</f>
        <v>sim</v>
      </c>
      <c r="AE983" t="str">
        <f>IF(OR(Configuracao!B9="",Configuracao!B10=""),"aguardando limiar",IF(AND(K983&gt;=Configuracao!B9,K983/MAX(Reconciliacao!C2,1)&gt;=Configuracao!B10/100),"sim","não"))</f>
        <v>aguardando limiar</v>
      </c>
    </row>
    <row r="984" spans="1:31" x14ac:dyDescent="0.25">
      <c r="A984">
        <v>7371</v>
      </c>
      <c r="C984" t="s">
        <v>942</v>
      </c>
      <c r="D984" t="s">
        <v>943</v>
      </c>
      <c r="E984" t="s">
        <v>451</v>
      </c>
      <c r="F984" t="s">
        <v>316</v>
      </c>
      <c r="G984" t="s">
        <v>315</v>
      </c>
      <c r="H984" t="s">
        <v>314</v>
      </c>
      <c r="I984" t="s">
        <v>32</v>
      </c>
      <c r="J984" t="s">
        <v>32</v>
      </c>
      <c r="K984" s="4">
        <v>124.9</v>
      </c>
      <c r="L984" s="4">
        <v>124.9</v>
      </c>
      <c r="M984" t="s">
        <v>44</v>
      </c>
      <c r="N984" t="s">
        <v>77</v>
      </c>
      <c r="O984" t="s">
        <v>99</v>
      </c>
      <c r="P984" t="s">
        <v>99</v>
      </c>
      <c r="Q984" t="s">
        <v>131</v>
      </c>
      <c r="R984" t="s">
        <v>317</v>
      </c>
      <c r="S984" t="s">
        <v>185</v>
      </c>
      <c r="T984" t="s">
        <v>162</v>
      </c>
      <c r="U984" t="s">
        <v>163</v>
      </c>
      <c r="V984" t="s">
        <v>193</v>
      </c>
      <c r="W984" t="s">
        <v>77</v>
      </c>
      <c r="X984" t="s">
        <v>44</v>
      </c>
      <c r="Y984" t="s">
        <v>99</v>
      </c>
      <c r="Z984" t="s">
        <v>421</v>
      </c>
      <c r="AC984" t="str">
        <f>IF(AA984="",M984,AA984)</f>
        <v>sim</v>
      </c>
      <c r="AD984" t="str">
        <f>IF(AB984="",X984,AB984)</f>
        <v>sim</v>
      </c>
      <c r="AE984" t="str">
        <f>IF(OR(Configuracao!B9="",Configuracao!B10=""),"aguardando limiar",IF(AND(K984&gt;=Configuracao!B9,K984/MAX(Reconciliacao!C2,1)&gt;=Configuracao!B10/100),"sim","não"))</f>
        <v>aguardando limiar</v>
      </c>
    </row>
    <row r="985" spans="1:31" x14ac:dyDescent="0.25">
      <c r="A985">
        <v>7372</v>
      </c>
      <c r="C985" t="s">
        <v>942</v>
      </c>
      <c r="D985" t="s">
        <v>943</v>
      </c>
      <c r="E985" t="s">
        <v>451</v>
      </c>
      <c r="F985" t="s">
        <v>316</v>
      </c>
      <c r="G985" t="s">
        <v>315</v>
      </c>
      <c r="H985" t="s">
        <v>314</v>
      </c>
      <c r="I985" t="s">
        <v>424</v>
      </c>
      <c r="J985" t="s">
        <v>424</v>
      </c>
      <c r="K985" s="4">
        <v>124.9</v>
      </c>
      <c r="L985" s="4">
        <v>124.9</v>
      </c>
      <c r="M985" t="s">
        <v>44</v>
      </c>
      <c r="N985" t="s">
        <v>77</v>
      </c>
      <c r="O985" t="s">
        <v>99</v>
      </c>
      <c r="P985" t="s">
        <v>99</v>
      </c>
      <c r="Q985" t="s">
        <v>131</v>
      </c>
      <c r="R985" t="s">
        <v>317</v>
      </c>
      <c r="S985" t="s">
        <v>185</v>
      </c>
      <c r="T985" t="s">
        <v>162</v>
      </c>
      <c r="U985" t="s">
        <v>163</v>
      </c>
      <c r="V985" t="s">
        <v>193</v>
      </c>
      <c r="W985" t="s">
        <v>77</v>
      </c>
      <c r="X985" t="s">
        <v>44</v>
      </c>
      <c r="Y985" t="s">
        <v>99</v>
      </c>
      <c r="Z985" t="s">
        <v>421</v>
      </c>
      <c r="AC985" t="str">
        <f>IF(AA985="",M985,AA985)</f>
        <v>sim</v>
      </c>
      <c r="AD985" t="str">
        <f>IF(AB985="",X985,AB985)</f>
        <v>sim</v>
      </c>
      <c r="AE985" t="str">
        <f>IF(OR(Configuracao!B9="",Configuracao!B10=""),"aguardando limiar",IF(AND(K985&gt;=Configuracao!B9,K985/MAX(Reconciliacao!C2,1)&gt;=Configuracao!B10/100),"sim","não"))</f>
        <v>aguardando limiar</v>
      </c>
    </row>
    <row r="986" spans="1:31" x14ac:dyDescent="0.25">
      <c r="A986">
        <v>7373</v>
      </c>
      <c r="C986" t="s">
        <v>942</v>
      </c>
      <c r="D986" t="s">
        <v>943</v>
      </c>
      <c r="E986" t="s">
        <v>451</v>
      </c>
      <c r="F986" t="s">
        <v>316</v>
      </c>
      <c r="G986" t="s">
        <v>315</v>
      </c>
      <c r="H986" t="s">
        <v>314</v>
      </c>
      <c r="I986" t="s">
        <v>420</v>
      </c>
      <c r="J986" t="s">
        <v>420</v>
      </c>
      <c r="K986" s="4">
        <v>124.9</v>
      </c>
      <c r="L986" s="4">
        <v>124.9</v>
      </c>
      <c r="M986" t="s">
        <v>44</v>
      </c>
      <c r="N986" t="s">
        <v>77</v>
      </c>
      <c r="O986" t="s">
        <v>99</v>
      </c>
      <c r="P986" t="s">
        <v>99</v>
      </c>
      <c r="Q986" t="s">
        <v>131</v>
      </c>
      <c r="R986" t="s">
        <v>317</v>
      </c>
      <c r="S986" t="s">
        <v>185</v>
      </c>
      <c r="T986" t="s">
        <v>162</v>
      </c>
      <c r="U986" t="s">
        <v>163</v>
      </c>
      <c r="V986" t="s">
        <v>193</v>
      </c>
      <c r="W986" t="s">
        <v>77</v>
      </c>
      <c r="X986" t="s">
        <v>44</v>
      </c>
      <c r="Y986" t="s">
        <v>99</v>
      </c>
      <c r="Z986" t="s">
        <v>421</v>
      </c>
      <c r="AC986" t="str">
        <f>IF(AA986="",M986,AA986)</f>
        <v>sim</v>
      </c>
      <c r="AD986" t="str">
        <f>IF(AB986="",X986,AB986)</f>
        <v>sim</v>
      </c>
      <c r="AE986" t="str">
        <f>IF(OR(Configuracao!B9="",Configuracao!B10=""),"aguardando limiar",IF(AND(K986&gt;=Configuracao!B9,K986/MAX(Reconciliacao!C2,1)&gt;=Configuracao!B10/100),"sim","não"))</f>
        <v>aguardando limiar</v>
      </c>
    </row>
    <row r="987" spans="1:31" x14ac:dyDescent="0.25">
      <c r="A987">
        <v>7374</v>
      </c>
      <c r="C987" t="s">
        <v>942</v>
      </c>
      <c r="D987" t="s">
        <v>943</v>
      </c>
      <c r="E987" t="s">
        <v>451</v>
      </c>
      <c r="F987" t="s">
        <v>316</v>
      </c>
      <c r="G987" t="s">
        <v>315</v>
      </c>
      <c r="H987" t="s">
        <v>314</v>
      </c>
      <c r="I987" t="s">
        <v>454</v>
      </c>
      <c r="J987" t="s">
        <v>454</v>
      </c>
      <c r="K987" s="4">
        <v>124.9</v>
      </c>
      <c r="L987" s="4">
        <v>124.9</v>
      </c>
      <c r="M987" t="s">
        <v>44</v>
      </c>
      <c r="N987" t="s">
        <v>77</v>
      </c>
      <c r="O987" t="s">
        <v>99</v>
      </c>
      <c r="P987" t="s">
        <v>99</v>
      </c>
      <c r="Q987" t="s">
        <v>131</v>
      </c>
      <c r="R987" t="s">
        <v>317</v>
      </c>
      <c r="S987" t="s">
        <v>185</v>
      </c>
      <c r="T987" t="s">
        <v>162</v>
      </c>
      <c r="U987" t="s">
        <v>163</v>
      </c>
      <c r="V987" t="s">
        <v>193</v>
      </c>
      <c r="W987" t="s">
        <v>77</v>
      </c>
      <c r="X987" t="s">
        <v>44</v>
      </c>
      <c r="Y987" t="s">
        <v>99</v>
      </c>
      <c r="Z987" t="s">
        <v>421</v>
      </c>
      <c r="AC987" t="str">
        <f>IF(AA987="",M987,AA987)</f>
        <v>sim</v>
      </c>
      <c r="AD987" t="str">
        <f>IF(AB987="",X987,AB987)</f>
        <v>sim</v>
      </c>
      <c r="AE987" t="str">
        <f>IF(OR(Configuracao!B9="",Configuracao!B10=""),"aguardando limiar",IF(AND(K987&gt;=Configuracao!B9,K987/MAX(Reconciliacao!C2,1)&gt;=Configuracao!B10/100),"sim","não"))</f>
        <v>aguardando limiar</v>
      </c>
    </row>
    <row r="988" spans="1:31" x14ac:dyDescent="0.25">
      <c r="A988">
        <v>7375</v>
      </c>
      <c r="C988" t="s">
        <v>942</v>
      </c>
      <c r="D988" t="s">
        <v>943</v>
      </c>
      <c r="E988" t="s">
        <v>451</v>
      </c>
      <c r="F988" t="s">
        <v>316</v>
      </c>
      <c r="G988" t="s">
        <v>315</v>
      </c>
      <c r="H988" t="s">
        <v>314</v>
      </c>
      <c r="I988" t="s">
        <v>461</v>
      </c>
      <c r="J988" t="s">
        <v>461</v>
      </c>
      <c r="K988" s="4">
        <v>155</v>
      </c>
      <c r="L988" s="4">
        <v>155</v>
      </c>
      <c r="M988" t="s">
        <v>44</v>
      </c>
      <c r="N988" t="s">
        <v>77</v>
      </c>
      <c r="O988" t="s">
        <v>99</v>
      </c>
      <c r="P988" t="s">
        <v>99</v>
      </c>
      <c r="Q988" t="s">
        <v>131</v>
      </c>
      <c r="R988" t="s">
        <v>317</v>
      </c>
      <c r="S988" t="s">
        <v>185</v>
      </c>
      <c r="T988" t="s">
        <v>162</v>
      </c>
      <c r="U988" t="s">
        <v>163</v>
      </c>
      <c r="V988" t="s">
        <v>193</v>
      </c>
      <c r="W988" t="s">
        <v>77</v>
      </c>
      <c r="X988" t="s">
        <v>44</v>
      </c>
      <c r="Y988" t="s">
        <v>99</v>
      </c>
      <c r="Z988" t="s">
        <v>421</v>
      </c>
      <c r="AC988" t="str">
        <f>IF(AA988="",M988,AA988)</f>
        <v>sim</v>
      </c>
      <c r="AD988" t="str">
        <f>IF(AB988="",X988,AB988)</f>
        <v>sim</v>
      </c>
      <c r="AE988" t="str">
        <f>IF(OR(Configuracao!B9="",Configuracao!B10=""),"aguardando limiar",IF(AND(K988&gt;=Configuracao!B9,K988/MAX(Reconciliacao!C2,1)&gt;=Configuracao!B10/100),"sim","não"))</f>
        <v>aguardando limiar</v>
      </c>
    </row>
    <row r="989" spans="1:31" x14ac:dyDescent="0.25">
      <c r="A989">
        <v>7376</v>
      </c>
      <c r="C989" t="s">
        <v>942</v>
      </c>
      <c r="D989" t="s">
        <v>943</v>
      </c>
      <c r="E989" t="s">
        <v>451</v>
      </c>
      <c r="F989" t="s">
        <v>316</v>
      </c>
      <c r="G989" t="s">
        <v>315</v>
      </c>
      <c r="H989" t="s">
        <v>314</v>
      </c>
      <c r="I989" t="s">
        <v>442</v>
      </c>
      <c r="J989" t="s">
        <v>442</v>
      </c>
      <c r="K989" s="4">
        <v>155</v>
      </c>
      <c r="L989" s="4">
        <v>155</v>
      </c>
      <c r="M989" t="s">
        <v>44</v>
      </c>
      <c r="N989" t="s">
        <v>77</v>
      </c>
      <c r="O989" t="s">
        <v>99</v>
      </c>
      <c r="P989" t="s">
        <v>99</v>
      </c>
      <c r="Q989" t="s">
        <v>131</v>
      </c>
      <c r="R989" t="s">
        <v>317</v>
      </c>
      <c r="S989" t="s">
        <v>185</v>
      </c>
      <c r="T989" t="s">
        <v>162</v>
      </c>
      <c r="U989" t="s">
        <v>163</v>
      </c>
      <c r="V989" t="s">
        <v>193</v>
      </c>
      <c r="W989" t="s">
        <v>77</v>
      </c>
      <c r="X989" t="s">
        <v>44</v>
      </c>
      <c r="Y989" t="s">
        <v>99</v>
      </c>
      <c r="Z989" t="s">
        <v>421</v>
      </c>
      <c r="AC989" t="str">
        <f>IF(AA989="",M989,AA989)</f>
        <v>sim</v>
      </c>
      <c r="AD989" t="str">
        <f>IF(AB989="",X989,AB989)</f>
        <v>sim</v>
      </c>
      <c r="AE989" t="str">
        <f>IF(OR(Configuracao!B9="",Configuracao!B10=""),"aguardando limiar",IF(AND(K989&gt;=Configuracao!B9,K989/MAX(Reconciliacao!C2,1)&gt;=Configuracao!B10/100),"sim","não"))</f>
        <v>aguardando limiar</v>
      </c>
    </row>
    <row r="990" spans="1:31" x14ac:dyDescent="0.25">
      <c r="A990">
        <v>7377</v>
      </c>
      <c r="C990" t="s">
        <v>942</v>
      </c>
      <c r="D990" t="s">
        <v>943</v>
      </c>
      <c r="E990" t="s">
        <v>451</v>
      </c>
      <c r="F990" t="s">
        <v>316</v>
      </c>
      <c r="G990" t="s">
        <v>315</v>
      </c>
      <c r="H990" t="s">
        <v>314</v>
      </c>
      <c r="I990" t="s">
        <v>439</v>
      </c>
      <c r="J990" t="s">
        <v>439</v>
      </c>
      <c r="K990" s="4">
        <v>155</v>
      </c>
      <c r="L990" s="4">
        <v>155</v>
      </c>
      <c r="M990" t="s">
        <v>44</v>
      </c>
      <c r="N990" t="s">
        <v>77</v>
      </c>
      <c r="O990" t="s">
        <v>99</v>
      </c>
      <c r="P990" t="s">
        <v>99</v>
      </c>
      <c r="Q990" t="s">
        <v>131</v>
      </c>
      <c r="R990" t="s">
        <v>317</v>
      </c>
      <c r="S990" t="s">
        <v>185</v>
      </c>
      <c r="T990" t="s">
        <v>162</v>
      </c>
      <c r="U990" t="s">
        <v>163</v>
      </c>
      <c r="V990" t="s">
        <v>193</v>
      </c>
      <c r="W990" t="s">
        <v>77</v>
      </c>
      <c r="X990" t="s">
        <v>44</v>
      </c>
      <c r="Y990" t="s">
        <v>99</v>
      </c>
      <c r="Z990" t="s">
        <v>421</v>
      </c>
      <c r="AC990" t="str">
        <f>IF(AA990="",M990,AA990)</f>
        <v>sim</v>
      </c>
      <c r="AD990" t="str">
        <f>IF(AB990="",X990,AB990)</f>
        <v>sim</v>
      </c>
      <c r="AE990" t="str">
        <f>IF(OR(Configuracao!B9="",Configuracao!B10=""),"aguardando limiar",IF(AND(K990&gt;=Configuracao!B9,K990/MAX(Reconciliacao!C2,1)&gt;=Configuracao!B10/100),"sim","não"))</f>
        <v>aguardando limiar</v>
      </c>
    </row>
    <row r="991" spans="1:31" x14ac:dyDescent="0.25">
      <c r="A991">
        <v>7378</v>
      </c>
      <c r="C991" t="s">
        <v>942</v>
      </c>
      <c r="D991" t="s">
        <v>943</v>
      </c>
      <c r="E991" t="s">
        <v>451</v>
      </c>
      <c r="F991" t="s">
        <v>316</v>
      </c>
      <c r="G991" t="s">
        <v>315</v>
      </c>
      <c r="H991" t="s">
        <v>314</v>
      </c>
      <c r="I991" t="s">
        <v>35</v>
      </c>
      <c r="J991" t="s">
        <v>35</v>
      </c>
      <c r="K991" s="4">
        <v>155</v>
      </c>
      <c r="L991" s="4">
        <v>155</v>
      </c>
      <c r="M991" t="s">
        <v>44</v>
      </c>
      <c r="N991" t="s">
        <v>77</v>
      </c>
      <c r="O991" t="s">
        <v>99</v>
      </c>
      <c r="P991" t="s">
        <v>99</v>
      </c>
      <c r="Q991" t="s">
        <v>131</v>
      </c>
      <c r="R991" t="s">
        <v>317</v>
      </c>
      <c r="S991" t="s">
        <v>185</v>
      </c>
      <c r="T991" t="s">
        <v>162</v>
      </c>
      <c r="U991" t="s">
        <v>163</v>
      </c>
      <c r="V991" t="s">
        <v>193</v>
      </c>
      <c r="W991" t="s">
        <v>77</v>
      </c>
      <c r="X991" t="s">
        <v>44</v>
      </c>
      <c r="Y991" t="s">
        <v>99</v>
      </c>
      <c r="Z991" t="s">
        <v>421</v>
      </c>
      <c r="AC991" t="str">
        <f>IF(AA991="",M991,AA991)</f>
        <v>sim</v>
      </c>
      <c r="AD991" t="str">
        <f>IF(AB991="",X991,AB991)</f>
        <v>sim</v>
      </c>
      <c r="AE991" t="str">
        <f>IF(OR(Configuracao!B9="",Configuracao!B10=""),"aguardando limiar",IF(AND(K991&gt;=Configuracao!B9,K991/MAX(Reconciliacao!C2,1)&gt;=Configuracao!B10/100),"sim","não"))</f>
        <v>aguardando limiar</v>
      </c>
    </row>
    <row r="992" spans="1:31" x14ac:dyDescent="0.25">
      <c r="A992">
        <v>11614</v>
      </c>
      <c r="C992" t="s">
        <v>944</v>
      </c>
      <c r="D992" t="s">
        <v>945</v>
      </c>
      <c r="E992" t="s">
        <v>451</v>
      </c>
      <c r="F992" t="s">
        <v>316</v>
      </c>
      <c r="G992" t="s">
        <v>315</v>
      </c>
      <c r="H992" t="s">
        <v>314</v>
      </c>
      <c r="I992" t="s">
        <v>32</v>
      </c>
      <c r="J992" t="s">
        <v>32</v>
      </c>
      <c r="K992" s="4">
        <v>177.05</v>
      </c>
      <c r="L992" s="4">
        <v>177.05</v>
      </c>
      <c r="M992" t="s">
        <v>44</v>
      </c>
      <c r="N992" t="s">
        <v>77</v>
      </c>
      <c r="O992" t="s">
        <v>99</v>
      </c>
      <c r="P992" t="s">
        <v>99</v>
      </c>
      <c r="Q992" t="s">
        <v>131</v>
      </c>
      <c r="R992" t="s">
        <v>317</v>
      </c>
      <c r="S992" t="s">
        <v>185</v>
      </c>
      <c r="T992" t="s">
        <v>162</v>
      </c>
      <c r="U992" t="s">
        <v>163</v>
      </c>
      <c r="V992" t="s">
        <v>193</v>
      </c>
      <c r="W992" t="s">
        <v>77</v>
      </c>
      <c r="X992" t="s">
        <v>44</v>
      </c>
      <c r="Y992" t="s">
        <v>99</v>
      </c>
      <c r="Z992" t="s">
        <v>421</v>
      </c>
      <c r="AC992" t="str">
        <f>IF(AA992="",M992,AA992)</f>
        <v>sim</v>
      </c>
      <c r="AD992" t="str">
        <f>IF(AB992="",X992,AB992)</f>
        <v>sim</v>
      </c>
      <c r="AE992" t="str">
        <f>IF(OR(Configuracao!B9="",Configuracao!B10=""),"aguardando limiar",IF(AND(K992&gt;=Configuracao!B9,K992/MAX(Reconciliacao!C2,1)&gt;=Configuracao!B10/100),"sim","não"))</f>
        <v>aguardando limiar</v>
      </c>
    </row>
    <row r="993" spans="1:31" x14ac:dyDescent="0.25">
      <c r="A993">
        <v>11615</v>
      </c>
      <c r="C993" t="s">
        <v>944</v>
      </c>
      <c r="D993" t="s">
        <v>945</v>
      </c>
      <c r="E993" t="s">
        <v>451</v>
      </c>
      <c r="F993" t="s">
        <v>316</v>
      </c>
      <c r="G993" t="s">
        <v>315</v>
      </c>
      <c r="H993" t="s">
        <v>314</v>
      </c>
      <c r="I993" t="s">
        <v>424</v>
      </c>
      <c r="J993" t="s">
        <v>424</v>
      </c>
      <c r="K993" s="4">
        <v>177.05</v>
      </c>
      <c r="L993" s="4">
        <v>177.05</v>
      </c>
      <c r="M993" t="s">
        <v>44</v>
      </c>
      <c r="N993" t="s">
        <v>77</v>
      </c>
      <c r="O993" t="s">
        <v>99</v>
      </c>
      <c r="P993" t="s">
        <v>99</v>
      </c>
      <c r="Q993" t="s">
        <v>131</v>
      </c>
      <c r="R993" t="s">
        <v>317</v>
      </c>
      <c r="S993" t="s">
        <v>185</v>
      </c>
      <c r="T993" t="s">
        <v>162</v>
      </c>
      <c r="U993" t="s">
        <v>163</v>
      </c>
      <c r="V993" t="s">
        <v>193</v>
      </c>
      <c r="W993" t="s">
        <v>77</v>
      </c>
      <c r="X993" t="s">
        <v>44</v>
      </c>
      <c r="Y993" t="s">
        <v>99</v>
      </c>
      <c r="Z993" t="s">
        <v>421</v>
      </c>
      <c r="AC993" t="str">
        <f>IF(AA993="",M993,AA993)</f>
        <v>sim</v>
      </c>
      <c r="AD993" t="str">
        <f>IF(AB993="",X993,AB993)</f>
        <v>sim</v>
      </c>
      <c r="AE993" t="str">
        <f>IF(OR(Configuracao!B9="",Configuracao!B10=""),"aguardando limiar",IF(AND(K993&gt;=Configuracao!B9,K993/MAX(Reconciliacao!C2,1)&gt;=Configuracao!B10/100),"sim","não"))</f>
        <v>aguardando limiar</v>
      </c>
    </row>
    <row r="994" spans="1:31" x14ac:dyDescent="0.25">
      <c r="A994">
        <v>11616</v>
      </c>
      <c r="C994" t="s">
        <v>944</v>
      </c>
      <c r="D994" t="s">
        <v>945</v>
      </c>
      <c r="E994" t="s">
        <v>451</v>
      </c>
      <c r="F994" t="s">
        <v>316</v>
      </c>
      <c r="G994" t="s">
        <v>315</v>
      </c>
      <c r="H994" t="s">
        <v>314</v>
      </c>
      <c r="I994" t="s">
        <v>420</v>
      </c>
      <c r="J994" t="s">
        <v>420</v>
      </c>
      <c r="K994" s="4">
        <v>177.05</v>
      </c>
      <c r="L994" s="4">
        <v>177.05</v>
      </c>
      <c r="M994" t="s">
        <v>44</v>
      </c>
      <c r="N994" t="s">
        <v>77</v>
      </c>
      <c r="O994" t="s">
        <v>99</v>
      </c>
      <c r="P994" t="s">
        <v>99</v>
      </c>
      <c r="Q994" t="s">
        <v>131</v>
      </c>
      <c r="R994" t="s">
        <v>317</v>
      </c>
      <c r="S994" t="s">
        <v>185</v>
      </c>
      <c r="T994" t="s">
        <v>162</v>
      </c>
      <c r="U994" t="s">
        <v>163</v>
      </c>
      <c r="V994" t="s">
        <v>193</v>
      </c>
      <c r="W994" t="s">
        <v>77</v>
      </c>
      <c r="X994" t="s">
        <v>44</v>
      </c>
      <c r="Y994" t="s">
        <v>99</v>
      </c>
      <c r="Z994" t="s">
        <v>421</v>
      </c>
      <c r="AC994" t="str">
        <f>IF(AA994="",M994,AA994)</f>
        <v>sim</v>
      </c>
      <c r="AD994" t="str">
        <f>IF(AB994="",X994,AB994)</f>
        <v>sim</v>
      </c>
      <c r="AE994" t="str">
        <f>IF(OR(Configuracao!B9="",Configuracao!B10=""),"aguardando limiar",IF(AND(K994&gt;=Configuracao!B9,K994/MAX(Reconciliacao!C2,1)&gt;=Configuracao!B10/100),"sim","não"))</f>
        <v>aguardando limiar</v>
      </c>
    </row>
    <row r="995" spans="1:31" x14ac:dyDescent="0.25">
      <c r="A995">
        <v>7417</v>
      </c>
      <c r="C995" t="s">
        <v>946</v>
      </c>
      <c r="D995" t="s">
        <v>940</v>
      </c>
      <c r="E995" t="s">
        <v>451</v>
      </c>
      <c r="F995" t="s">
        <v>316</v>
      </c>
      <c r="G995" t="s">
        <v>315</v>
      </c>
      <c r="H995" t="s">
        <v>314</v>
      </c>
      <c r="I995" t="s">
        <v>32</v>
      </c>
      <c r="J995" t="s">
        <v>32</v>
      </c>
      <c r="K995" s="4">
        <v>179</v>
      </c>
      <c r="L995" s="4">
        <v>179</v>
      </c>
      <c r="M995" t="s">
        <v>44</v>
      </c>
      <c r="N995" t="s">
        <v>77</v>
      </c>
      <c r="O995" t="s">
        <v>99</v>
      </c>
      <c r="P995" t="s">
        <v>99</v>
      </c>
      <c r="Q995" t="s">
        <v>131</v>
      </c>
      <c r="R995" t="s">
        <v>317</v>
      </c>
      <c r="S995" t="s">
        <v>185</v>
      </c>
      <c r="T995" t="s">
        <v>162</v>
      </c>
      <c r="U995" t="s">
        <v>163</v>
      </c>
      <c r="V995" t="s">
        <v>193</v>
      </c>
      <c r="W995" t="s">
        <v>77</v>
      </c>
      <c r="X995" t="s">
        <v>44</v>
      </c>
      <c r="Y995" t="s">
        <v>99</v>
      </c>
      <c r="Z995" t="s">
        <v>421</v>
      </c>
      <c r="AC995" t="str">
        <f>IF(AA995="",M995,AA995)</f>
        <v>sim</v>
      </c>
      <c r="AD995" t="str">
        <f>IF(AB995="",X995,AB995)</f>
        <v>sim</v>
      </c>
      <c r="AE995" t="str">
        <f>IF(OR(Configuracao!B9="",Configuracao!B10=""),"aguardando limiar",IF(AND(K995&gt;=Configuracao!B9,K995/MAX(Reconciliacao!C2,1)&gt;=Configuracao!B10/100),"sim","não"))</f>
        <v>aguardando limiar</v>
      </c>
    </row>
    <row r="996" spans="1:31" x14ac:dyDescent="0.25">
      <c r="A996">
        <v>7418</v>
      </c>
      <c r="C996" t="s">
        <v>946</v>
      </c>
      <c r="D996" t="s">
        <v>940</v>
      </c>
      <c r="E996" t="s">
        <v>451</v>
      </c>
      <c r="F996" t="s">
        <v>316</v>
      </c>
      <c r="G996" t="s">
        <v>315</v>
      </c>
      <c r="H996" t="s">
        <v>314</v>
      </c>
      <c r="I996" t="s">
        <v>424</v>
      </c>
      <c r="J996" t="s">
        <v>424</v>
      </c>
      <c r="K996" s="4">
        <v>179</v>
      </c>
      <c r="L996" s="4">
        <v>179</v>
      </c>
      <c r="M996" t="s">
        <v>44</v>
      </c>
      <c r="N996" t="s">
        <v>77</v>
      </c>
      <c r="O996" t="s">
        <v>99</v>
      </c>
      <c r="P996" t="s">
        <v>99</v>
      </c>
      <c r="Q996" t="s">
        <v>131</v>
      </c>
      <c r="R996" t="s">
        <v>317</v>
      </c>
      <c r="S996" t="s">
        <v>185</v>
      </c>
      <c r="T996" t="s">
        <v>162</v>
      </c>
      <c r="U996" t="s">
        <v>163</v>
      </c>
      <c r="V996" t="s">
        <v>193</v>
      </c>
      <c r="W996" t="s">
        <v>77</v>
      </c>
      <c r="X996" t="s">
        <v>44</v>
      </c>
      <c r="Y996" t="s">
        <v>99</v>
      </c>
      <c r="Z996" t="s">
        <v>421</v>
      </c>
      <c r="AC996" t="str">
        <f>IF(AA996="",M996,AA996)</f>
        <v>sim</v>
      </c>
      <c r="AD996" t="str">
        <f>IF(AB996="",X996,AB996)</f>
        <v>sim</v>
      </c>
      <c r="AE996" t="str">
        <f>IF(OR(Configuracao!B9="",Configuracao!B10=""),"aguardando limiar",IF(AND(K996&gt;=Configuracao!B9,K996/MAX(Reconciliacao!C2,1)&gt;=Configuracao!B10/100),"sim","não"))</f>
        <v>aguardando limiar</v>
      </c>
    </row>
    <row r="997" spans="1:31" x14ac:dyDescent="0.25">
      <c r="A997">
        <v>11617</v>
      </c>
      <c r="C997" t="s">
        <v>944</v>
      </c>
      <c r="D997" t="s">
        <v>945</v>
      </c>
      <c r="E997" t="s">
        <v>451</v>
      </c>
      <c r="F997" t="s">
        <v>316</v>
      </c>
      <c r="G997" t="s">
        <v>315</v>
      </c>
      <c r="H997" t="s">
        <v>314</v>
      </c>
      <c r="I997" t="s">
        <v>454</v>
      </c>
      <c r="J997" t="s">
        <v>454</v>
      </c>
      <c r="K997" s="4">
        <v>183.6</v>
      </c>
      <c r="L997" s="4">
        <v>183.6</v>
      </c>
      <c r="M997" t="s">
        <v>44</v>
      </c>
      <c r="N997" t="s">
        <v>77</v>
      </c>
      <c r="O997" t="s">
        <v>99</v>
      </c>
      <c r="P997" t="s">
        <v>99</v>
      </c>
      <c r="Q997" t="s">
        <v>131</v>
      </c>
      <c r="R997" t="s">
        <v>317</v>
      </c>
      <c r="S997" t="s">
        <v>185</v>
      </c>
      <c r="T997" t="s">
        <v>162</v>
      </c>
      <c r="U997" t="s">
        <v>163</v>
      </c>
      <c r="V997" t="s">
        <v>193</v>
      </c>
      <c r="W997" t="s">
        <v>77</v>
      </c>
      <c r="X997" t="s">
        <v>44</v>
      </c>
      <c r="Y997" t="s">
        <v>99</v>
      </c>
      <c r="Z997" t="s">
        <v>421</v>
      </c>
      <c r="AC997" t="str">
        <f>IF(AA997="",M997,AA997)</f>
        <v>sim</v>
      </c>
      <c r="AD997" t="str">
        <f>IF(AB997="",X997,AB997)</f>
        <v>sim</v>
      </c>
      <c r="AE997" t="str">
        <f>IF(OR(Configuracao!B9="",Configuracao!B10=""),"aguardando limiar",IF(AND(K997&gt;=Configuracao!B9,K997/MAX(Reconciliacao!C2,1)&gt;=Configuracao!B10/100),"sim","não"))</f>
        <v>aguardando limiar</v>
      </c>
    </row>
    <row r="998" spans="1:31" x14ac:dyDescent="0.25">
      <c r="A998">
        <v>11618</v>
      </c>
      <c r="C998" t="s">
        <v>944</v>
      </c>
      <c r="D998" t="s">
        <v>945</v>
      </c>
      <c r="E998" t="s">
        <v>451</v>
      </c>
      <c r="F998" t="s">
        <v>316</v>
      </c>
      <c r="G998" t="s">
        <v>315</v>
      </c>
      <c r="H998" t="s">
        <v>314</v>
      </c>
      <c r="I998" t="s">
        <v>461</v>
      </c>
      <c r="J998" t="s">
        <v>461</v>
      </c>
      <c r="K998" s="4">
        <v>183.6</v>
      </c>
      <c r="L998" s="4">
        <v>183.6</v>
      </c>
      <c r="M998" t="s">
        <v>44</v>
      </c>
      <c r="N998" t="s">
        <v>77</v>
      </c>
      <c r="O998" t="s">
        <v>99</v>
      </c>
      <c r="P998" t="s">
        <v>99</v>
      </c>
      <c r="Q998" t="s">
        <v>131</v>
      </c>
      <c r="R998" t="s">
        <v>317</v>
      </c>
      <c r="S998" t="s">
        <v>185</v>
      </c>
      <c r="T998" t="s">
        <v>162</v>
      </c>
      <c r="U998" t="s">
        <v>163</v>
      </c>
      <c r="V998" t="s">
        <v>193</v>
      </c>
      <c r="W998" t="s">
        <v>77</v>
      </c>
      <c r="X998" t="s">
        <v>44</v>
      </c>
      <c r="Y998" t="s">
        <v>99</v>
      </c>
      <c r="Z998" t="s">
        <v>421</v>
      </c>
      <c r="AC998" t="str">
        <f>IF(AA998="",M998,AA998)</f>
        <v>sim</v>
      </c>
      <c r="AD998" t="str">
        <f>IF(AB998="",X998,AB998)</f>
        <v>sim</v>
      </c>
      <c r="AE998" t="str">
        <f>IF(OR(Configuracao!B9="",Configuracao!B10=""),"aguardando limiar",IF(AND(K998&gt;=Configuracao!B9,K998/MAX(Reconciliacao!C2,1)&gt;=Configuracao!B10/100),"sim","não"))</f>
        <v>aguardando limiar</v>
      </c>
    </row>
    <row r="999" spans="1:31" x14ac:dyDescent="0.25">
      <c r="A999">
        <v>11619</v>
      </c>
      <c r="C999" t="s">
        <v>944</v>
      </c>
      <c r="D999" t="s">
        <v>945</v>
      </c>
      <c r="E999" t="s">
        <v>451</v>
      </c>
      <c r="F999" t="s">
        <v>316</v>
      </c>
      <c r="G999" t="s">
        <v>315</v>
      </c>
      <c r="H999" t="s">
        <v>314</v>
      </c>
      <c r="I999" t="s">
        <v>442</v>
      </c>
      <c r="J999" t="s">
        <v>442</v>
      </c>
      <c r="K999" s="4">
        <v>183.6</v>
      </c>
      <c r="L999" s="4">
        <v>183.6</v>
      </c>
      <c r="M999" t="s">
        <v>44</v>
      </c>
      <c r="N999" t="s">
        <v>77</v>
      </c>
      <c r="O999" t="s">
        <v>99</v>
      </c>
      <c r="P999" t="s">
        <v>99</v>
      </c>
      <c r="Q999" t="s">
        <v>131</v>
      </c>
      <c r="R999" t="s">
        <v>317</v>
      </c>
      <c r="S999" t="s">
        <v>185</v>
      </c>
      <c r="T999" t="s">
        <v>162</v>
      </c>
      <c r="U999" t="s">
        <v>163</v>
      </c>
      <c r="V999" t="s">
        <v>193</v>
      </c>
      <c r="W999" t="s">
        <v>77</v>
      </c>
      <c r="X999" t="s">
        <v>44</v>
      </c>
      <c r="Y999" t="s">
        <v>99</v>
      </c>
      <c r="Z999" t="s">
        <v>421</v>
      </c>
      <c r="AC999" t="str">
        <f>IF(AA999="",M999,AA999)</f>
        <v>sim</v>
      </c>
      <c r="AD999" t="str">
        <f>IF(AB999="",X999,AB999)</f>
        <v>sim</v>
      </c>
      <c r="AE999" t="str">
        <f>IF(OR(Configuracao!B9="",Configuracao!B10=""),"aguardando limiar",IF(AND(K999&gt;=Configuracao!B9,K999/MAX(Reconciliacao!C2,1)&gt;=Configuracao!B10/100),"sim","não"))</f>
        <v>aguardando limiar</v>
      </c>
    </row>
    <row r="1000" spans="1:31" x14ac:dyDescent="0.25">
      <c r="A1000">
        <v>11620</v>
      </c>
      <c r="C1000" t="s">
        <v>944</v>
      </c>
      <c r="D1000" t="s">
        <v>945</v>
      </c>
      <c r="E1000" t="s">
        <v>451</v>
      </c>
      <c r="F1000" t="s">
        <v>316</v>
      </c>
      <c r="G1000" t="s">
        <v>315</v>
      </c>
      <c r="H1000" t="s">
        <v>314</v>
      </c>
      <c r="I1000" t="s">
        <v>439</v>
      </c>
      <c r="J1000" t="s">
        <v>439</v>
      </c>
      <c r="K1000" s="4">
        <v>183.6</v>
      </c>
      <c r="L1000" s="4">
        <v>183.6</v>
      </c>
      <c r="M1000" t="s">
        <v>44</v>
      </c>
      <c r="N1000" t="s">
        <v>77</v>
      </c>
      <c r="O1000" t="s">
        <v>99</v>
      </c>
      <c r="P1000" t="s">
        <v>99</v>
      </c>
      <c r="Q1000" t="s">
        <v>131</v>
      </c>
      <c r="R1000" t="s">
        <v>317</v>
      </c>
      <c r="S1000" t="s">
        <v>185</v>
      </c>
      <c r="T1000" t="s">
        <v>162</v>
      </c>
      <c r="U1000" t="s">
        <v>163</v>
      </c>
      <c r="V1000" t="s">
        <v>193</v>
      </c>
      <c r="W1000" t="s">
        <v>77</v>
      </c>
      <c r="X1000" t="s">
        <v>44</v>
      </c>
      <c r="Y1000" t="s">
        <v>99</v>
      </c>
      <c r="Z1000" t="s">
        <v>421</v>
      </c>
      <c r="AC1000" t="str">
        <f>IF(AA1000="",M1000,AA1000)</f>
        <v>sim</v>
      </c>
      <c r="AD1000" t="str">
        <f>IF(AB1000="",X1000,AB1000)</f>
        <v>sim</v>
      </c>
      <c r="AE1000" t="str">
        <f>IF(OR(Configuracao!B9="",Configuracao!B10=""),"aguardando limiar",IF(AND(K1000&gt;=Configuracao!B9,K1000/MAX(Reconciliacao!C2,1)&gt;=Configuracao!B10/100),"sim","não"))</f>
        <v>aguardando limiar</v>
      </c>
    </row>
    <row r="1001" spans="1:31" x14ac:dyDescent="0.25">
      <c r="A1001">
        <v>11621</v>
      </c>
      <c r="C1001" t="s">
        <v>944</v>
      </c>
      <c r="D1001" t="s">
        <v>945</v>
      </c>
      <c r="E1001" t="s">
        <v>451</v>
      </c>
      <c r="F1001" t="s">
        <v>316</v>
      </c>
      <c r="G1001" t="s">
        <v>315</v>
      </c>
      <c r="H1001" t="s">
        <v>314</v>
      </c>
      <c r="I1001" t="s">
        <v>35</v>
      </c>
      <c r="J1001" t="s">
        <v>35</v>
      </c>
      <c r="K1001" s="4">
        <v>183.6</v>
      </c>
      <c r="L1001" s="4">
        <v>183.6</v>
      </c>
      <c r="M1001" t="s">
        <v>44</v>
      </c>
      <c r="N1001" t="s">
        <v>77</v>
      </c>
      <c r="O1001" t="s">
        <v>99</v>
      </c>
      <c r="P1001" t="s">
        <v>99</v>
      </c>
      <c r="Q1001" t="s">
        <v>131</v>
      </c>
      <c r="R1001" t="s">
        <v>317</v>
      </c>
      <c r="S1001" t="s">
        <v>185</v>
      </c>
      <c r="T1001" t="s">
        <v>162</v>
      </c>
      <c r="U1001" t="s">
        <v>163</v>
      </c>
      <c r="V1001" t="s">
        <v>193</v>
      </c>
      <c r="W1001" t="s">
        <v>77</v>
      </c>
      <c r="X1001" t="s">
        <v>44</v>
      </c>
      <c r="Y1001" t="s">
        <v>99</v>
      </c>
      <c r="Z1001" t="s">
        <v>421</v>
      </c>
      <c r="AC1001" t="str">
        <f>IF(AA1001="",M1001,AA1001)</f>
        <v>sim</v>
      </c>
      <c r="AD1001" t="str">
        <f>IF(AB1001="",X1001,AB1001)</f>
        <v>sim</v>
      </c>
      <c r="AE1001" t="str">
        <f>IF(OR(Configuracao!B9="",Configuracao!B10=""),"aguardando limiar",IF(AND(K1001&gt;=Configuracao!B9,K1001/MAX(Reconciliacao!C2,1)&gt;=Configuracao!B10/100),"sim","não"))</f>
        <v>aguardando limiar</v>
      </c>
    </row>
    <row r="1002" spans="1:31" x14ac:dyDescent="0.25">
      <c r="A1002">
        <v>7419</v>
      </c>
      <c r="C1002" t="s">
        <v>946</v>
      </c>
      <c r="D1002" t="s">
        <v>940</v>
      </c>
      <c r="E1002" t="s">
        <v>451</v>
      </c>
      <c r="F1002" t="s">
        <v>316</v>
      </c>
      <c r="G1002" t="s">
        <v>315</v>
      </c>
      <c r="H1002" t="s">
        <v>314</v>
      </c>
      <c r="I1002" t="s">
        <v>420</v>
      </c>
      <c r="J1002" t="s">
        <v>420</v>
      </c>
      <c r="K1002" s="4">
        <v>189</v>
      </c>
      <c r="L1002" s="4">
        <v>189</v>
      </c>
      <c r="M1002" t="s">
        <v>44</v>
      </c>
      <c r="N1002" t="s">
        <v>77</v>
      </c>
      <c r="O1002" t="s">
        <v>99</v>
      </c>
      <c r="P1002" t="s">
        <v>99</v>
      </c>
      <c r="Q1002" t="s">
        <v>131</v>
      </c>
      <c r="R1002" t="s">
        <v>317</v>
      </c>
      <c r="S1002" t="s">
        <v>185</v>
      </c>
      <c r="T1002" t="s">
        <v>162</v>
      </c>
      <c r="U1002" t="s">
        <v>163</v>
      </c>
      <c r="V1002" t="s">
        <v>193</v>
      </c>
      <c r="W1002" t="s">
        <v>77</v>
      </c>
      <c r="X1002" t="s">
        <v>44</v>
      </c>
      <c r="Y1002" t="s">
        <v>99</v>
      </c>
      <c r="Z1002" t="s">
        <v>421</v>
      </c>
      <c r="AC1002" t="str">
        <f>IF(AA1002="",M1002,AA1002)</f>
        <v>sim</v>
      </c>
      <c r="AD1002" t="str">
        <f>IF(AB1002="",X1002,AB1002)</f>
        <v>sim</v>
      </c>
      <c r="AE1002" t="str">
        <f>IF(OR(Configuracao!B9="",Configuracao!B10=""),"aguardando limiar",IF(AND(K1002&gt;=Configuracao!B9,K1002/MAX(Reconciliacao!C2,1)&gt;=Configuracao!B10/100),"sim","não"))</f>
        <v>aguardando limiar</v>
      </c>
    </row>
    <row r="1003" spans="1:31" x14ac:dyDescent="0.25">
      <c r="A1003">
        <v>7420</v>
      </c>
      <c r="C1003" t="s">
        <v>946</v>
      </c>
      <c r="D1003" t="s">
        <v>940</v>
      </c>
      <c r="E1003" t="s">
        <v>451</v>
      </c>
      <c r="F1003" t="s">
        <v>316</v>
      </c>
      <c r="G1003" t="s">
        <v>315</v>
      </c>
      <c r="H1003" t="s">
        <v>314</v>
      </c>
      <c r="I1003" t="s">
        <v>454</v>
      </c>
      <c r="J1003" t="s">
        <v>454</v>
      </c>
      <c r="K1003" s="4">
        <v>189</v>
      </c>
      <c r="L1003" s="4">
        <v>189</v>
      </c>
      <c r="M1003" t="s">
        <v>44</v>
      </c>
      <c r="N1003" t="s">
        <v>77</v>
      </c>
      <c r="O1003" t="s">
        <v>99</v>
      </c>
      <c r="P1003" t="s">
        <v>99</v>
      </c>
      <c r="Q1003" t="s">
        <v>131</v>
      </c>
      <c r="R1003" t="s">
        <v>317</v>
      </c>
      <c r="S1003" t="s">
        <v>185</v>
      </c>
      <c r="T1003" t="s">
        <v>162</v>
      </c>
      <c r="U1003" t="s">
        <v>163</v>
      </c>
      <c r="V1003" t="s">
        <v>193</v>
      </c>
      <c r="W1003" t="s">
        <v>77</v>
      </c>
      <c r="X1003" t="s">
        <v>44</v>
      </c>
      <c r="Y1003" t="s">
        <v>99</v>
      </c>
      <c r="Z1003" t="s">
        <v>421</v>
      </c>
      <c r="AC1003" t="str">
        <f>IF(AA1003="",M1003,AA1003)</f>
        <v>sim</v>
      </c>
      <c r="AD1003" t="str">
        <f>IF(AB1003="",X1003,AB1003)</f>
        <v>sim</v>
      </c>
      <c r="AE1003" t="str">
        <f>IF(OR(Configuracao!B9="",Configuracao!B10=""),"aguardando limiar",IF(AND(K1003&gt;=Configuracao!B9,K1003/MAX(Reconciliacao!C2,1)&gt;=Configuracao!B10/100),"sim","não"))</f>
        <v>aguardando limiar</v>
      </c>
    </row>
    <row r="1004" spans="1:31" x14ac:dyDescent="0.25">
      <c r="A1004">
        <v>7421</v>
      </c>
      <c r="C1004" t="s">
        <v>946</v>
      </c>
      <c r="D1004" t="s">
        <v>940</v>
      </c>
      <c r="E1004" t="s">
        <v>451</v>
      </c>
      <c r="F1004" t="s">
        <v>316</v>
      </c>
      <c r="G1004" t="s">
        <v>315</v>
      </c>
      <c r="H1004" t="s">
        <v>314</v>
      </c>
      <c r="I1004" t="s">
        <v>461</v>
      </c>
      <c r="J1004" t="s">
        <v>461</v>
      </c>
      <c r="K1004" s="4">
        <v>189</v>
      </c>
      <c r="L1004" s="4">
        <v>189</v>
      </c>
      <c r="M1004" t="s">
        <v>44</v>
      </c>
      <c r="N1004" t="s">
        <v>77</v>
      </c>
      <c r="O1004" t="s">
        <v>99</v>
      </c>
      <c r="P1004" t="s">
        <v>99</v>
      </c>
      <c r="Q1004" t="s">
        <v>131</v>
      </c>
      <c r="R1004" t="s">
        <v>317</v>
      </c>
      <c r="S1004" t="s">
        <v>185</v>
      </c>
      <c r="T1004" t="s">
        <v>162</v>
      </c>
      <c r="U1004" t="s">
        <v>163</v>
      </c>
      <c r="V1004" t="s">
        <v>193</v>
      </c>
      <c r="W1004" t="s">
        <v>77</v>
      </c>
      <c r="X1004" t="s">
        <v>44</v>
      </c>
      <c r="Y1004" t="s">
        <v>99</v>
      </c>
      <c r="Z1004" t="s">
        <v>421</v>
      </c>
      <c r="AC1004" t="str">
        <f>IF(AA1004="",M1004,AA1004)</f>
        <v>sim</v>
      </c>
      <c r="AD1004" t="str">
        <f>IF(AB1004="",X1004,AB1004)</f>
        <v>sim</v>
      </c>
      <c r="AE1004" t="str">
        <f>IF(OR(Configuracao!B9="",Configuracao!B10=""),"aguardando limiar",IF(AND(K1004&gt;=Configuracao!B9,K1004/MAX(Reconciliacao!C2,1)&gt;=Configuracao!B10/100),"sim","não"))</f>
        <v>aguardando limiar</v>
      </c>
    </row>
    <row r="1005" spans="1:31" x14ac:dyDescent="0.25">
      <c r="A1005">
        <v>7422</v>
      </c>
      <c r="C1005" t="s">
        <v>946</v>
      </c>
      <c r="D1005" t="s">
        <v>940</v>
      </c>
      <c r="E1005" t="s">
        <v>451</v>
      </c>
      <c r="F1005" t="s">
        <v>316</v>
      </c>
      <c r="G1005" t="s">
        <v>315</v>
      </c>
      <c r="H1005" t="s">
        <v>314</v>
      </c>
      <c r="I1005" t="s">
        <v>442</v>
      </c>
      <c r="J1005" t="s">
        <v>442</v>
      </c>
      <c r="K1005" s="4">
        <v>189</v>
      </c>
      <c r="L1005" s="4">
        <v>189</v>
      </c>
      <c r="M1005" t="s">
        <v>44</v>
      </c>
      <c r="N1005" t="s">
        <v>77</v>
      </c>
      <c r="O1005" t="s">
        <v>99</v>
      </c>
      <c r="P1005" t="s">
        <v>99</v>
      </c>
      <c r="Q1005" t="s">
        <v>131</v>
      </c>
      <c r="R1005" t="s">
        <v>317</v>
      </c>
      <c r="S1005" t="s">
        <v>185</v>
      </c>
      <c r="T1005" t="s">
        <v>162</v>
      </c>
      <c r="U1005" t="s">
        <v>163</v>
      </c>
      <c r="V1005" t="s">
        <v>193</v>
      </c>
      <c r="W1005" t="s">
        <v>77</v>
      </c>
      <c r="X1005" t="s">
        <v>44</v>
      </c>
      <c r="Y1005" t="s">
        <v>99</v>
      </c>
      <c r="Z1005" t="s">
        <v>421</v>
      </c>
      <c r="AC1005" t="str">
        <f>IF(AA1005="",M1005,AA1005)</f>
        <v>sim</v>
      </c>
      <c r="AD1005" t="str">
        <f>IF(AB1005="",X1005,AB1005)</f>
        <v>sim</v>
      </c>
      <c r="AE1005" t="str">
        <f>IF(OR(Configuracao!B9="",Configuracao!B10=""),"aguardando limiar",IF(AND(K1005&gt;=Configuracao!B9,K1005/MAX(Reconciliacao!C2,1)&gt;=Configuracao!B10/100),"sim","não"))</f>
        <v>aguardando limiar</v>
      </c>
    </row>
    <row r="1006" spans="1:31" x14ac:dyDescent="0.25">
      <c r="A1006">
        <v>7423</v>
      </c>
      <c r="C1006" t="s">
        <v>946</v>
      </c>
      <c r="D1006" t="s">
        <v>940</v>
      </c>
      <c r="E1006" t="s">
        <v>451</v>
      </c>
      <c r="F1006" t="s">
        <v>316</v>
      </c>
      <c r="G1006" t="s">
        <v>315</v>
      </c>
      <c r="H1006" t="s">
        <v>314</v>
      </c>
      <c r="I1006" t="s">
        <v>439</v>
      </c>
      <c r="J1006" t="s">
        <v>439</v>
      </c>
      <c r="K1006" s="4">
        <v>189</v>
      </c>
      <c r="L1006" s="4">
        <v>189</v>
      </c>
      <c r="M1006" t="s">
        <v>44</v>
      </c>
      <c r="N1006" t="s">
        <v>77</v>
      </c>
      <c r="O1006" t="s">
        <v>99</v>
      </c>
      <c r="P1006" t="s">
        <v>99</v>
      </c>
      <c r="Q1006" t="s">
        <v>131</v>
      </c>
      <c r="R1006" t="s">
        <v>317</v>
      </c>
      <c r="S1006" t="s">
        <v>185</v>
      </c>
      <c r="T1006" t="s">
        <v>162</v>
      </c>
      <c r="U1006" t="s">
        <v>163</v>
      </c>
      <c r="V1006" t="s">
        <v>193</v>
      </c>
      <c r="W1006" t="s">
        <v>77</v>
      </c>
      <c r="X1006" t="s">
        <v>44</v>
      </c>
      <c r="Y1006" t="s">
        <v>99</v>
      </c>
      <c r="Z1006" t="s">
        <v>421</v>
      </c>
      <c r="AC1006" t="str">
        <f>IF(AA1006="",M1006,AA1006)</f>
        <v>sim</v>
      </c>
      <c r="AD1006" t="str">
        <f>IF(AB1006="",X1006,AB1006)</f>
        <v>sim</v>
      </c>
      <c r="AE1006" t="str">
        <f>IF(OR(Configuracao!B9="",Configuracao!B10=""),"aguardando limiar",IF(AND(K1006&gt;=Configuracao!B9,K1006/MAX(Reconciliacao!C2,1)&gt;=Configuracao!B10/100),"sim","não"))</f>
        <v>aguardando limiar</v>
      </c>
    </row>
    <row r="1007" spans="1:31" x14ac:dyDescent="0.25">
      <c r="A1007">
        <v>7424</v>
      </c>
      <c r="C1007" t="s">
        <v>946</v>
      </c>
      <c r="D1007" t="s">
        <v>940</v>
      </c>
      <c r="E1007" t="s">
        <v>451</v>
      </c>
      <c r="F1007" t="s">
        <v>316</v>
      </c>
      <c r="G1007" t="s">
        <v>315</v>
      </c>
      <c r="H1007" t="s">
        <v>314</v>
      </c>
      <c r="I1007" t="s">
        <v>35</v>
      </c>
      <c r="J1007" t="s">
        <v>35</v>
      </c>
      <c r="K1007" s="4">
        <v>189</v>
      </c>
      <c r="L1007" s="4">
        <v>189</v>
      </c>
      <c r="M1007" t="s">
        <v>44</v>
      </c>
      <c r="N1007" t="s">
        <v>77</v>
      </c>
      <c r="O1007" t="s">
        <v>99</v>
      </c>
      <c r="P1007" t="s">
        <v>99</v>
      </c>
      <c r="Q1007" t="s">
        <v>131</v>
      </c>
      <c r="R1007" t="s">
        <v>317</v>
      </c>
      <c r="S1007" t="s">
        <v>185</v>
      </c>
      <c r="T1007" t="s">
        <v>162</v>
      </c>
      <c r="U1007" t="s">
        <v>163</v>
      </c>
      <c r="V1007" t="s">
        <v>193</v>
      </c>
      <c r="W1007" t="s">
        <v>77</v>
      </c>
      <c r="X1007" t="s">
        <v>44</v>
      </c>
      <c r="Y1007" t="s">
        <v>99</v>
      </c>
      <c r="Z1007" t="s">
        <v>421</v>
      </c>
      <c r="AC1007" t="str">
        <f>IF(AA1007="",M1007,AA1007)</f>
        <v>sim</v>
      </c>
      <c r="AD1007" t="str">
        <f>IF(AB1007="",X1007,AB1007)</f>
        <v>sim</v>
      </c>
      <c r="AE1007" t="str">
        <f>IF(OR(Configuracao!B9="",Configuracao!B10=""),"aguardando limiar",IF(AND(K1007&gt;=Configuracao!B9,K1007/MAX(Reconciliacao!C2,1)&gt;=Configuracao!B10/100),"sim","não"))</f>
        <v>aguardando limiar</v>
      </c>
    </row>
    <row r="1008" spans="1:31" x14ac:dyDescent="0.25">
      <c r="A1008">
        <v>17306</v>
      </c>
      <c r="C1008" t="s">
        <v>947</v>
      </c>
      <c r="D1008" t="s">
        <v>939</v>
      </c>
      <c r="E1008" t="s">
        <v>451</v>
      </c>
      <c r="F1008" t="s">
        <v>316</v>
      </c>
      <c r="G1008" t="s">
        <v>315</v>
      </c>
      <c r="H1008" t="s">
        <v>314</v>
      </c>
      <c r="I1008" t="s">
        <v>424</v>
      </c>
      <c r="J1008" t="s">
        <v>424</v>
      </c>
      <c r="K1008" s="4">
        <v>400</v>
      </c>
      <c r="L1008" s="4">
        <v>400</v>
      </c>
      <c r="M1008" t="s">
        <v>44</v>
      </c>
      <c r="N1008" t="s">
        <v>77</v>
      </c>
      <c r="O1008" t="s">
        <v>99</v>
      </c>
      <c r="P1008" t="s">
        <v>99</v>
      </c>
      <c r="Q1008" t="s">
        <v>131</v>
      </c>
      <c r="R1008" t="s">
        <v>317</v>
      </c>
      <c r="S1008" t="s">
        <v>185</v>
      </c>
      <c r="T1008" t="s">
        <v>162</v>
      </c>
      <c r="U1008" t="s">
        <v>163</v>
      </c>
      <c r="V1008" t="s">
        <v>193</v>
      </c>
      <c r="W1008" t="s">
        <v>77</v>
      </c>
      <c r="X1008" t="s">
        <v>44</v>
      </c>
      <c r="Y1008" t="s">
        <v>99</v>
      </c>
      <c r="Z1008" t="s">
        <v>421</v>
      </c>
      <c r="AC1008" t="str">
        <f>IF(AA1008="",M1008,AA1008)</f>
        <v>sim</v>
      </c>
      <c r="AD1008" t="str">
        <f>IF(AB1008="",X1008,AB1008)</f>
        <v>sim</v>
      </c>
      <c r="AE1008" t="str">
        <f>IF(OR(Configuracao!B9="",Configuracao!B10=""),"aguardando limiar",IF(AND(K1008&gt;=Configuracao!B9,K1008/MAX(Reconciliacao!C2,1)&gt;=Configuracao!B10/100),"sim","não"))</f>
        <v>aguardando limiar</v>
      </c>
    </row>
    <row r="1009" spans="1:31" x14ac:dyDescent="0.25">
      <c r="A1009">
        <v>17309</v>
      </c>
      <c r="C1009" t="s">
        <v>947</v>
      </c>
      <c r="D1009" t="s">
        <v>939</v>
      </c>
      <c r="E1009" t="s">
        <v>451</v>
      </c>
      <c r="F1009" t="s">
        <v>316</v>
      </c>
      <c r="G1009" t="s">
        <v>315</v>
      </c>
      <c r="H1009" t="s">
        <v>314</v>
      </c>
      <c r="I1009" t="s">
        <v>420</v>
      </c>
      <c r="J1009" t="s">
        <v>420</v>
      </c>
      <c r="K1009" s="4">
        <v>400</v>
      </c>
      <c r="L1009" s="4">
        <v>400</v>
      </c>
      <c r="M1009" t="s">
        <v>44</v>
      </c>
      <c r="N1009" t="s">
        <v>77</v>
      </c>
      <c r="O1009" t="s">
        <v>99</v>
      </c>
      <c r="P1009" t="s">
        <v>99</v>
      </c>
      <c r="Q1009" t="s">
        <v>131</v>
      </c>
      <c r="R1009" t="s">
        <v>317</v>
      </c>
      <c r="S1009" t="s">
        <v>185</v>
      </c>
      <c r="T1009" t="s">
        <v>162</v>
      </c>
      <c r="U1009" t="s">
        <v>163</v>
      </c>
      <c r="V1009" t="s">
        <v>193</v>
      </c>
      <c r="W1009" t="s">
        <v>77</v>
      </c>
      <c r="X1009" t="s">
        <v>44</v>
      </c>
      <c r="Y1009" t="s">
        <v>99</v>
      </c>
      <c r="Z1009" t="s">
        <v>421</v>
      </c>
      <c r="AC1009" t="str">
        <f>IF(AA1009="",M1009,AA1009)</f>
        <v>sim</v>
      </c>
      <c r="AD1009" t="str">
        <f>IF(AB1009="",X1009,AB1009)</f>
        <v>sim</v>
      </c>
      <c r="AE1009" t="str">
        <f>IF(OR(Configuracao!B9="",Configuracao!B10=""),"aguardando limiar",IF(AND(K1009&gt;=Configuracao!B9,K1009/MAX(Reconciliacao!C2,1)&gt;=Configuracao!B10/100),"sim","não"))</f>
        <v>aguardando limiar</v>
      </c>
    </row>
    <row r="1010" spans="1:31" x14ac:dyDescent="0.25">
      <c r="A1010">
        <v>17310</v>
      </c>
      <c r="C1010" t="s">
        <v>947</v>
      </c>
      <c r="D1010" t="s">
        <v>939</v>
      </c>
      <c r="E1010" t="s">
        <v>451</v>
      </c>
      <c r="F1010" t="s">
        <v>316</v>
      </c>
      <c r="G1010" t="s">
        <v>315</v>
      </c>
      <c r="H1010" t="s">
        <v>314</v>
      </c>
      <c r="I1010" t="s">
        <v>420</v>
      </c>
      <c r="J1010" t="s">
        <v>420</v>
      </c>
      <c r="K1010" s="4">
        <v>400</v>
      </c>
      <c r="L1010" s="4">
        <v>400</v>
      </c>
      <c r="M1010" t="s">
        <v>44</v>
      </c>
      <c r="N1010" t="s">
        <v>77</v>
      </c>
      <c r="O1010" t="s">
        <v>99</v>
      </c>
      <c r="P1010" t="s">
        <v>99</v>
      </c>
      <c r="Q1010" t="s">
        <v>131</v>
      </c>
      <c r="R1010" t="s">
        <v>317</v>
      </c>
      <c r="S1010" t="s">
        <v>185</v>
      </c>
      <c r="T1010" t="s">
        <v>162</v>
      </c>
      <c r="U1010" t="s">
        <v>163</v>
      </c>
      <c r="V1010" t="s">
        <v>193</v>
      </c>
      <c r="W1010" t="s">
        <v>77</v>
      </c>
      <c r="X1010" t="s">
        <v>44</v>
      </c>
      <c r="Y1010" t="s">
        <v>99</v>
      </c>
      <c r="Z1010" t="s">
        <v>421</v>
      </c>
      <c r="AC1010" t="str">
        <f>IF(AA1010="",M1010,AA1010)</f>
        <v>sim</v>
      </c>
      <c r="AD1010" t="str">
        <f>IF(AB1010="",X1010,AB1010)</f>
        <v>sim</v>
      </c>
      <c r="AE1010" t="str">
        <f>IF(OR(Configuracao!B9="",Configuracao!B10=""),"aguardando limiar",IF(AND(K1010&gt;=Configuracao!B9,K1010/MAX(Reconciliacao!C2,1)&gt;=Configuracao!B10/100),"sim","não"))</f>
        <v>aguardando limiar</v>
      </c>
    </row>
    <row r="1011" spans="1:31" x14ac:dyDescent="0.25">
      <c r="A1011">
        <v>17320</v>
      </c>
      <c r="C1011" t="s">
        <v>947</v>
      </c>
      <c r="D1011" t="s">
        <v>939</v>
      </c>
      <c r="E1011" t="s">
        <v>451</v>
      </c>
      <c r="F1011" t="s">
        <v>316</v>
      </c>
      <c r="G1011" t="s">
        <v>315</v>
      </c>
      <c r="H1011" t="s">
        <v>314</v>
      </c>
      <c r="I1011" t="s">
        <v>454</v>
      </c>
      <c r="J1011" t="s">
        <v>454</v>
      </c>
      <c r="K1011" s="4">
        <v>400</v>
      </c>
      <c r="L1011" s="4">
        <v>400</v>
      </c>
      <c r="M1011" t="s">
        <v>44</v>
      </c>
      <c r="N1011" t="s">
        <v>77</v>
      </c>
      <c r="O1011" t="s">
        <v>99</v>
      </c>
      <c r="P1011" t="s">
        <v>99</v>
      </c>
      <c r="Q1011" t="s">
        <v>131</v>
      </c>
      <c r="R1011" t="s">
        <v>317</v>
      </c>
      <c r="S1011" t="s">
        <v>185</v>
      </c>
      <c r="T1011" t="s">
        <v>162</v>
      </c>
      <c r="U1011" t="s">
        <v>163</v>
      </c>
      <c r="V1011" t="s">
        <v>193</v>
      </c>
      <c r="W1011" t="s">
        <v>77</v>
      </c>
      <c r="X1011" t="s">
        <v>44</v>
      </c>
      <c r="Y1011" t="s">
        <v>99</v>
      </c>
      <c r="Z1011" t="s">
        <v>421</v>
      </c>
      <c r="AC1011" t="str">
        <f>IF(AA1011="",M1011,AA1011)</f>
        <v>sim</v>
      </c>
      <c r="AD1011" t="str">
        <f>IF(AB1011="",X1011,AB1011)</f>
        <v>sim</v>
      </c>
      <c r="AE1011" t="str">
        <f>IF(OR(Configuracao!B9="",Configuracao!B10=""),"aguardando limiar",IF(AND(K1011&gt;=Configuracao!B9,K1011/MAX(Reconciliacao!C2,1)&gt;=Configuracao!B10/100),"sim","não"))</f>
        <v>aguardando limiar</v>
      </c>
    </row>
    <row r="1012" spans="1:31" x14ac:dyDescent="0.25">
      <c r="A1012">
        <v>17328</v>
      </c>
      <c r="C1012" t="s">
        <v>947</v>
      </c>
      <c r="D1012" t="s">
        <v>939</v>
      </c>
      <c r="E1012" t="s">
        <v>451</v>
      </c>
      <c r="F1012" t="s">
        <v>316</v>
      </c>
      <c r="G1012" t="s">
        <v>315</v>
      </c>
      <c r="H1012" t="s">
        <v>314</v>
      </c>
      <c r="I1012" t="s">
        <v>461</v>
      </c>
      <c r="J1012" t="s">
        <v>461</v>
      </c>
      <c r="K1012" s="4">
        <v>400</v>
      </c>
      <c r="L1012" s="4">
        <v>400</v>
      </c>
      <c r="M1012" t="s">
        <v>44</v>
      </c>
      <c r="N1012" t="s">
        <v>77</v>
      </c>
      <c r="O1012" t="s">
        <v>99</v>
      </c>
      <c r="P1012" t="s">
        <v>99</v>
      </c>
      <c r="Q1012" t="s">
        <v>131</v>
      </c>
      <c r="R1012" t="s">
        <v>317</v>
      </c>
      <c r="S1012" t="s">
        <v>185</v>
      </c>
      <c r="T1012" t="s">
        <v>162</v>
      </c>
      <c r="U1012" t="s">
        <v>163</v>
      </c>
      <c r="V1012" t="s">
        <v>193</v>
      </c>
      <c r="W1012" t="s">
        <v>77</v>
      </c>
      <c r="X1012" t="s">
        <v>44</v>
      </c>
      <c r="Y1012" t="s">
        <v>99</v>
      </c>
      <c r="Z1012" t="s">
        <v>421</v>
      </c>
      <c r="AC1012" t="str">
        <f>IF(AA1012="",M1012,AA1012)</f>
        <v>sim</v>
      </c>
      <c r="AD1012" t="str">
        <f>IF(AB1012="",X1012,AB1012)</f>
        <v>sim</v>
      </c>
      <c r="AE1012" t="str">
        <f>IF(OR(Configuracao!B9="",Configuracao!B10=""),"aguardando limiar",IF(AND(K1012&gt;=Configuracao!B9,K1012/MAX(Reconciliacao!C2,1)&gt;=Configuracao!B10/100),"sim","não"))</f>
        <v>aguardando limiar</v>
      </c>
    </row>
    <row r="1013" spans="1:31" x14ac:dyDescent="0.25">
      <c r="A1013">
        <v>17792</v>
      </c>
      <c r="C1013" t="s">
        <v>947</v>
      </c>
      <c r="D1013" t="s">
        <v>939</v>
      </c>
      <c r="E1013" t="s">
        <v>451</v>
      </c>
      <c r="F1013" t="s">
        <v>316</v>
      </c>
      <c r="G1013" t="s">
        <v>315</v>
      </c>
      <c r="H1013" t="s">
        <v>314</v>
      </c>
      <c r="I1013" t="s">
        <v>442</v>
      </c>
      <c r="J1013" t="s">
        <v>442</v>
      </c>
      <c r="K1013" s="4">
        <v>400</v>
      </c>
      <c r="L1013" s="4">
        <v>400</v>
      </c>
      <c r="M1013" t="s">
        <v>44</v>
      </c>
      <c r="N1013" t="s">
        <v>77</v>
      </c>
      <c r="O1013" t="s">
        <v>99</v>
      </c>
      <c r="P1013" t="s">
        <v>99</v>
      </c>
      <c r="Q1013" t="s">
        <v>131</v>
      </c>
      <c r="R1013" t="s">
        <v>317</v>
      </c>
      <c r="S1013" t="s">
        <v>185</v>
      </c>
      <c r="T1013" t="s">
        <v>162</v>
      </c>
      <c r="U1013" t="s">
        <v>163</v>
      </c>
      <c r="V1013" t="s">
        <v>193</v>
      </c>
      <c r="W1013" t="s">
        <v>77</v>
      </c>
      <c r="X1013" t="s">
        <v>44</v>
      </c>
      <c r="Y1013" t="s">
        <v>99</v>
      </c>
      <c r="Z1013" t="s">
        <v>421</v>
      </c>
      <c r="AC1013" t="str">
        <f>IF(AA1013="",M1013,AA1013)</f>
        <v>sim</v>
      </c>
      <c r="AD1013" t="str">
        <f>IF(AB1013="",X1013,AB1013)</f>
        <v>sim</v>
      </c>
      <c r="AE1013" t="str">
        <f>IF(OR(Configuracao!B9="",Configuracao!B10=""),"aguardando limiar",IF(AND(K1013&gt;=Configuracao!B9,K1013/MAX(Reconciliacao!C2,1)&gt;=Configuracao!B10/100),"sim","não"))</f>
        <v>aguardando limiar</v>
      </c>
    </row>
    <row r="1014" spans="1:31" x14ac:dyDescent="0.25">
      <c r="A1014">
        <v>18583</v>
      </c>
      <c r="C1014" t="s">
        <v>947</v>
      </c>
      <c r="D1014" t="s">
        <v>939</v>
      </c>
      <c r="E1014" t="s">
        <v>451</v>
      </c>
      <c r="F1014" t="s">
        <v>316</v>
      </c>
      <c r="G1014" t="s">
        <v>315</v>
      </c>
      <c r="H1014" t="s">
        <v>314</v>
      </c>
      <c r="I1014" t="s">
        <v>439</v>
      </c>
      <c r="J1014" t="s">
        <v>439</v>
      </c>
      <c r="K1014" s="4">
        <v>400</v>
      </c>
      <c r="L1014" s="4">
        <v>400</v>
      </c>
      <c r="M1014" t="s">
        <v>44</v>
      </c>
      <c r="N1014" t="s">
        <v>77</v>
      </c>
      <c r="O1014" t="s">
        <v>99</v>
      </c>
      <c r="P1014" t="s">
        <v>99</v>
      </c>
      <c r="Q1014" t="s">
        <v>131</v>
      </c>
      <c r="R1014" t="s">
        <v>317</v>
      </c>
      <c r="S1014" t="s">
        <v>185</v>
      </c>
      <c r="T1014" t="s">
        <v>162</v>
      </c>
      <c r="U1014" t="s">
        <v>163</v>
      </c>
      <c r="V1014" t="s">
        <v>193</v>
      </c>
      <c r="W1014" t="s">
        <v>77</v>
      </c>
      <c r="X1014" t="s">
        <v>44</v>
      </c>
      <c r="Y1014" t="s">
        <v>99</v>
      </c>
      <c r="Z1014" t="s">
        <v>421</v>
      </c>
      <c r="AC1014" t="str">
        <f>IF(AA1014="",M1014,AA1014)</f>
        <v>sim</v>
      </c>
      <c r="AD1014" t="str">
        <f>IF(AB1014="",X1014,AB1014)</f>
        <v>sim</v>
      </c>
      <c r="AE1014" t="str">
        <f>IF(OR(Configuracao!B9="",Configuracao!B10=""),"aguardando limiar",IF(AND(K1014&gt;=Configuracao!B9,K1014/MAX(Reconciliacao!C2,1)&gt;=Configuracao!B10/100),"sim","não"))</f>
        <v>aguardando limiar</v>
      </c>
    </row>
    <row r="1015" spans="1:31" x14ac:dyDescent="0.25">
      <c r="A1015">
        <v>19337</v>
      </c>
      <c r="C1015" t="s">
        <v>947</v>
      </c>
      <c r="D1015" t="s">
        <v>939</v>
      </c>
      <c r="E1015" t="s">
        <v>451</v>
      </c>
      <c r="F1015" t="s">
        <v>316</v>
      </c>
      <c r="G1015" t="s">
        <v>315</v>
      </c>
      <c r="H1015" t="s">
        <v>314</v>
      </c>
      <c r="I1015" t="s">
        <v>35</v>
      </c>
      <c r="J1015" t="s">
        <v>35</v>
      </c>
      <c r="K1015" s="4">
        <v>400</v>
      </c>
      <c r="L1015" s="4">
        <v>400</v>
      </c>
      <c r="M1015" t="s">
        <v>44</v>
      </c>
      <c r="N1015" t="s">
        <v>77</v>
      </c>
      <c r="O1015" t="s">
        <v>99</v>
      </c>
      <c r="P1015" t="s">
        <v>99</v>
      </c>
      <c r="Q1015" t="s">
        <v>131</v>
      </c>
      <c r="R1015" t="s">
        <v>317</v>
      </c>
      <c r="S1015" t="s">
        <v>185</v>
      </c>
      <c r="T1015" t="s">
        <v>162</v>
      </c>
      <c r="U1015" t="s">
        <v>163</v>
      </c>
      <c r="V1015" t="s">
        <v>193</v>
      </c>
      <c r="W1015" t="s">
        <v>77</v>
      </c>
      <c r="X1015" t="s">
        <v>44</v>
      </c>
      <c r="Y1015" t="s">
        <v>99</v>
      </c>
      <c r="Z1015" t="s">
        <v>421</v>
      </c>
      <c r="AC1015" t="str">
        <f>IF(AA1015="",M1015,AA1015)</f>
        <v>sim</v>
      </c>
      <c r="AD1015" t="str">
        <f>IF(AB1015="",X1015,AB1015)</f>
        <v>sim</v>
      </c>
      <c r="AE1015" t="str">
        <f>IF(OR(Configuracao!B9="",Configuracao!B10=""),"aguardando limiar",IF(AND(K1015&gt;=Configuracao!B9,K1015/MAX(Reconciliacao!C2,1)&gt;=Configuracao!B10/100),"sim","não"))</f>
        <v>aguardando limiar</v>
      </c>
    </row>
    <row r="1016" spans="1:31" x14ac:dyDescent="0.25">
      <c r="A1016">
        <v>12322</v>
      </c>
      <c r="D1016" t="s">
        <v>945</v>
      </c>
      <c r="E1016" t="s">
        <v>451</v>
      </c>
      <c r="F1016" t="s">
        <v>316</v>
      </c>
      <c r="G1016" t="s">
        <v>371</v>
      </c>
      <c r="H1016" t="s">
        <v>370</v>
      </c>
      <c r="I1016" t="s">
        <v>424</v>
      </c>
      <c r="J1016" t="s">
        <v>424</v>
      </c>
      <c r="K1016" s="4">
        <v>0.42</v>
      </c>
      <c r="L1016" s="4">
        <v>0.42</v>
      </c>
      <c r="M1016" t="s">
        <v>44</v>
      </c>
      <c r="N1016" t="s">
        <v>77</v>
      </c>
      <c r="O1016" t="s">
        <v>99</v>
      </c>
      <c r="P1016" t="s">
        <v>99</v>
      </c>
      <c r="Q1016" t="s">
        <v>131</v>
      </c>
      <c r="R1016" t="s">
        <v>317</v>
      </c>
      <c r="S1016" t="s">
        <v>185</v>
      </c>
      <c r="T1016" t="s">
        <v>162</v>
      </c>
      <c r="U1016" t="s">
        <v>163</v>
      </c>
      <c r="V1016" t="s">
        <v>193</v>
      </c>
      <c r="W1016" t="s">
        <v>77</v>
      </c>
      <c r="X1016" t="s">
        <v>44</v>
      </c>
      <c r="Y1016" t="s">
        <v>99</v>
      </c>
      <c r="Z1016" t="s">
        <v>421</v>
      </c>
      <c r="AC1016" t="str">
        <f>IF(AA1016="",M1016,AA1016)</f>
        <v>sim</v>
      </c>
      <c r="AD1016" t="str">
        <f>IF(AB1016="",X1016,AB1016)</f>
        <v>sim</v>
      </c>
      <c r="AE1016" t="str">
        <f>IF(OR(Configuracao!B9="",Configuracao!B10=""),"aguardando limiar",IF(AND(K1016&gt;=Configuracao!B9,K1016/MAX(Reconciliacao!C2,1)&gt;=Configuracao!B10/100),"sim","não"))</f>
        <v>aguardando limiar</v>
      </c>
    </row>
    <row r="1017" spans="1:31" x14ac:dyDescent="0.25">
      <c r="A1017">
        <v>16917</v>
      </c>
      <c r="C1017" t="s">
        <v>371</v>
      </c>
      <c r="D1017" t="s">
        <v>824</v>
      </c>
      <c r="E1017" t="s">
        <v>451</v>
      </c>
      <c r="F1017" t="s">
        <v>316</v>
      </c>
      <c r="G1017" t="s">
        <v>371</v>
      </c>
      <c r="H1017" t="s">
        <v>370</v>
      </c>
      <c r="I1017" t="s">
        <v>461</v>
      </c>
      <c r="J1017" t="s">
        <v>461</v>
      </c>
      <c r="K1017" s="4">
        <v>1.86</v>
      </c>
      <c r="L1017" s="4">
        <v>1.86</v>
      </c>
      <c r="M1017" t="s">
        <v>44</v>
      </c>
      <c r="N1017" t="s">
        <v>77</v>
      </c>
      <c r="O1017" t="s">
        <v>99</v>
      </c>
      <c r="P1017" t="s">
        <v>99</v>
      </c>
      <c r="Q1017" t="s">
        <v>131</v>
      </c>
      <c r="R1017" t="s">
        <v>317</v>
      </c>
      <c r="S1017" t="s">
        <v>185</v>
      </c>
      <c r="T1017" t="s">
        <v>162</v>
      </c>
      <c r="U1017" t="s">
        <v>163</v>
      </c>
      <c r="V1017" t="s">
        <v>193</v>
      </c>
      <c r="W1017" t="s">
        <v>77</v>
      </c>
      <c r="X1017" t="s">
        <v>44</v>
      </c>
      <c r="Y1017" t="s">
        <v>99</v>
      </c>
      <c r="Z1017" t="s">
        <v>421</v>
      </c>
      <c r="AC1017" t="str">
        <f>IF(AA1017="",M1017,AA1017)</f>
        <v>sim</v>
      </c>
      <c r="AD1017" t="str">
        <f>IF(AB1017="",X1017,AB1017)</f>
        <v>sim</v>
      </c>
      <c r="AE1017" t="str">
        <f>IF(OR(Configuracao!B9="",Configuracao!B10=""),"aguardando limiar",IF(AND(K1017&gt;=Configuracao!B9,K1017/MAX(Reconciliacao!C2,1)&gt;=Configuracao!B10/100),"sim","não"))</f>
        <v>aguardando limiar</v>
      </c>
    </row>
    <row r="1018" spans="1:31" x14ac:dyDescent="0.25">
      <c r="A1018">
        <v>17650</v>
      </c>
      <c r="C1018" t="s">
        <v>371</v>
      </c>
      <c r="D1018" t="s">
        <v>824</v>
      </c>
      <c r="E1018" t="s">
        <v>451</v>
      </c>
      <c r="F1018" t="s">
        <v>316</v>
      </c>
      <c r="G1018" t="s">
        <v>371</v>
      </c>
      <c r="H1018" t="s">
        <v>370</v>
      </c>
      <c r="I1018" t="s">
        <v>442</v>
      </c>
      <c r="J1018" t="s">
        <v>442</v>
      </c>
      <c r="K1018" s="4">
        <v>1.9</v>
      </c>
      <c r="L1018" s="4">
        <v>1.9</v>
      </c>
      <c r="M1018" t="s">
        <v>44</v>
      </c>
      <c r="N1018" t="s">
        <v>77</v>
      </c>
      <c r="O1018" t="s">
        <v>99</v>
      </c>
      <c r="P1018" t="s">
        <v>99</v>
      </c>
      <c r="Q1018" t="s">
        <v>131</v>
      </c>
      <c r="R1018" t="s">
        <v>317</v>
      </c>
      <c r="S1018" t="s">
        <v>185</v>
      </c>
      <c r="T1018" t="s">
        <v>162</v>
      </c>
      <c r="U1018" t="s">
        <v>163</v>
      </c>
      <c r="V1018" t="s">
        <v>193</v>
      </c>
      <c r="W1018" t="s">
        <v>77</v>
      </c>
      <c r="X1018" t="s">
        <v>44</v>
      </c>
      <c r="Y1018" t="s">
        <v>99</v>
      </c>
      <c r="Z1018" t="s">
        <v>421</v>
      </c>
      <c r="AC1018" t="str">
        <f>IF(AA1018="",M1018,AA1018)</f>
        <v>sim</v>
      </c>
      <c r="AD1018" t="str">
        <f>IF(AB1018="",X1018,AB1018)</f>
        <v>sim</v>
      </c>
      <c r="AE1018" t="str">
        <f>IF(OR(Configuracao!B9="",Configuracao!B10=""),"aguardando limiar",IF(AND(K1018&gt;=Configuracao!B9,K1018/MAX(Reconciliacao!C2,1)&gt;=Configuracao!B10/100),"sim","não"))</f>
        <v>aguardando limiar</v>
      </c>
    </row>
    <row r="1019" spans="1:31" x14ac:dyDescent="0.25">
      <c r="A1019">
        <v>16042</v>
      </c>
      <c r="C1019" t="s">
        <v>371</v>
      </c>
      <c r="D1019" t="s">
        <v>824</v>
      </c>
      <c r="E1019" t="s">
        <v>451</v>
      </c>
      <c r="F1019" t="s">
        <v>316</v>
      </c>
      <c r="G1019" t="s">
        <v>371</v>
      </c>
      <c r="H1019" t="s">
        <v>370</v>
      </c>
      <c r="I1019" t="s">
        <v>420</v>
      </c>
      <c r="J1019" t="s">
        <v>420</v>
      </c>
      <c r="K1019" s="4">
        <v>1.92</v>
      </c>
      <c r="L1019" s="4">
        <v>1.92</v>
      </c>
      <c r="M1019" t="s">
        <v>44</v>
      </c>
      <c r="N1019" t="s">
        <v>77</v>
      </c>
      <c r="O1019" t="s">
        <v>99</v>
      </c>
      <c r="P1019" t="s">
        <v>99</v>
      </c>
      <c r="Q1019" t="s">
        <v>131</v>
      </c>
      <c r="R1019" t="s">
        <v>317</v>
      </c>
      <c r="S1019" t="s">
        <v>185</v>
      </c>
      <c r="T1019" t="s">
        <v>162</v>
      </c>
      <c r="U1019" t="s">
        <v>163</v>
      </c>
      <c r="V1019" t="s">
        <v>193</v>
      </c>
      <c r="W1019" t="s">
        <v>77</v>
      </c>
      <c r="X1019" t="s">
        <v>44</v>
      </c>
      <c r="Y1019" t="s">
        <v>99</v>
      </c>
      <c r="Z1019" t="s">
        <v>421</v>
      </c>
      <c r="AC1019" t="str">
        <f>IF(AA1019="",M1019,AA1019)</f>
        <v>sim</v>
      </c>
      <c r="AD1019" t="str">
        <f>IF(AB1019="",X1019,AB1019)</f>
        <v>sim</v>
      </c>
      <c r="AE1019" t="str">
        <f>IF(OR(Configuracao!B9="",Configuracao!B10=""),"aguardando limiar",IF(AND(K1019&gt;=Configuracao!B9,K1019/MAX(Reconciliacao!C2,1)&gt;=Configuracao!B10/100),"sim","não"))</f>
        <v>aguardando limiar</v>
      </c>
    </row>
    <row r="1020" spans="1:31" x14ac:dyDescent="0.25">
      <c r="A1020">
        <v>12227</v>
      </c>
      <c r="C1020" t="s">
        <v>948</v>
      </c>
      <c r="D1020" t="s">
        <v>945</v>
      </c>
      <c r="E1020" t="s">
        <v>451</v>
      </c>
      <c r="F1020" t="s">
        <v>316</v>
      </c>
      <c r="G1020" t="s">
        <v>371</v>
      </c>
      <c r="H1020" t="s">
        <v>370</v>
      </c>
      <c r="I1020" t="s">
        <v>424</v>
      </c>
      <c r="J1020" t="s">
        <v>424</v>
      </c>
      <c r="K1020" s="4">
        <v>3.18</v>
      </c>
      <c r="L1020" s="4">
        <v>3.18</v>
      </c>
      <c r="M1020" t="s">
        <v>44</v>
      </c>
      <c r="N1020" t="s">
        <v>77</v>
      </c>
      <c r="O1020" t="s">
        <v>99</v>
      </c>
      <c r="P1020" t="s">
        <v>99</v>
      </c>
      <c r="Q1020" t="s">
        <v>131</v>
      </c>
      <c r="R1020" t="s">
        <v>317</v>
      </c>
      <c r="S1020" t="s">
        <v>185</v>
      </c>
      <c r="T1020" t="s">
        <v>162</v>
      </c>
      <c r="U1020" t="s">
        <v>163</v>
      </c>
      <c r="V1020" t="s">
        <v>193</v>
      </c>
      <c r="W1020" t="s">
        <v>77</v>
      </c>
      <c r="X1020" t="s">
        <v>44</v>
      </c>
      <c r="Y1020" t="s">
        <v>99</v>
      </c>
      <c r="Z1020" t="s">
        <v>421</v>
      </c>
      <c r="AC1020" t="str">
        <f>IF(AA1020="",M1020,AA1020)</f>
        <v>sim</v>
      </c>
      <c r="AD1020" t="str">
        <f>IF(AB1020="",X1020,AB1020)</f>
        <v>sim</v>
      </c>
      <c r="AE1020" t="str">
        <f>IF(OR(Configuracao!B9="",Configuracao!B10=""),"aguardando limiar",IF(AND(K1020&gt;=Configuracao!B9,K1020/MAX(Reconciliacao!C2,1)&gt;=Configuracao!B10/100),"sim","não"))</f>
        <v>aguardando limiar</v>
      </c>
    </row>
    <row r="1021" spans="1:31" x14ac:dyDescent="0.25">
      <c r="A1021">
        <v>19007</v>
      </c>
      <c r="C1021" t="s">
        <v>371</v>
      </c>
      <c r="D1021" t="s">
        <v>824</v>
      </c>
      <c r="E1021" t="s">
        <v>451</v>
      </c>
      <c r="F1021" t="s">
        <v>316</v>
      </c>
      <c r="G1021" t="s">
        <v>371</v>
      </c>
      <c r="H1021" t="s">
        <v>370</v>
      </c>
      <c r="I1021" t="s">
        <v>35</v>
      </c>
      <c r="J1021" t="s">
        <v>35</v>
      </c>
      <c r="K1021" s="4">
        <v>3.82</v>
      </c>
      <c r="L1021" s="4">
        <v>3.82</v>
      </c>
      <c r="M1021" t="s">
        <v>44</v>
      </c>
      <c r="N1021" t="s">
        <v>77</v>
      </c>
      <c r="O1021" t="s">
        <v>99</v>
      </c>
      <c r="P1021" t="s">
        <v>99</v>
      </c>
      <c r="Q1021" t="s">
        <v>131</v>
      </c>
      <c r="R1021" t="s">
        <v>317</v>
      </c>
      <c r="S1021" t="s">
        <v>185</v>
      </c>
      <c r="T1021" t="s">
        <v>162</v>
      </c>
      <c r="U1021" t="s">
        <v>163</v>
      </c>
      <c r="V1021" t="s">
        <v>193</v>
      </c>
      <c r="W1021" t="s">
        <v>77</v>
      </c>
      <c r="X1021" t="s">
        <v>44</v>
      </c>
      <c r="Y1021" t="s">
        <v>99</v>
      </c>
      <c r="Z1021" t="s">
        <v>421</v>
      </c>
      <c r="AC1021" t="str">
        <f>IF(AA1021="",M1021,AA1021)</f>
        <v>sim</v>
      </c>
      <c r="AD1021" t="str">
        <f>IF(AB1021="",X1021,AB1021)</f>
        <v>sim</v>
      </c>
      <c r="AE1021" t="str">
        <f>IF(OR(Configuracao!B9="",Configuracao!B10=""),"aguardando limiar",IF(AND(K1021&gt;=Configuracao!B9,K1021/MAX(Reconciliacao!C2,1)&gt;=Configuracao!B10/100),"sim","não"))</f>
        <v>aguardando limiar</v>
      </c>
    </row>
    <row r="1022" spans="1:31" x14ac:dyDescent="0.25">
      <c r="A1022">
        <v>9511</v>
      </c>
      <c r="C1022" t="s">
        <v>948</v>
      </c>
      <c r="D1022" t="s">
        <v>945</v>
      </c>
      <c r="E1022" t="s">
        <v>451</v>
      </c>
      <c r="F1022" t="s">
        <v>316</v>
      </c>
      <c r="G1022" t="s">
        <v>371</v>
      </c>
      <c r="H1022" t="s">
        <v>370</v>
      </c>
      <c r="I1022" t="s">
        <v>424</v>
      </c>
      <c r="J1022" t="s">
        <v>424</v>
      </c>
      <c r="K1022" s="4">
        <v>4.94</v>
      </c>
      <c r="L1022" s="4">
        <v>4.94</v>
      </c>
      <c r="M1022" t="s">
        <v>44</v>
      </c>
      <c r="N1022" t="s">
        <v>77</v>
      </c>
      <c r="O1022" t="s">
        <v>99</v>
      </c>
      <c r="P1022" t="s">
        <v>99</v>
      </c>
      <c r="Q1022" t="s">
        <v>131</v>
      </c>
      <c r="R1022" t="s">
        <v>317</v>
      </c>
      <c r="S1022" t="s">
        <v>185</v>
      </c>
      <c r="T1022" t="s">
        <v>162</v>
      </c>
      <c r="U1022" t="s">
        <v>163</v>
      </c>
      <c r="V1022" t="s">
        <v>193</v>
      </c>
      <c r="W1022" t="s">
        <v>77</v>
      </c>
      <c r="X1022" t="s">
        <v>44</v>
      </c>
      <c r="Y1022" t="s">
        <v>99</v>
      </c>
      <c r="Z1022" t="s">
        <v>421</v>
      </c>
      <c r="AC1022" t="str">
        <f>IF(AA1022="",M1022,AA1022)</f>
        <v>sim</v>
      </c>
      <c r="AD1022" t="str">
        <f>IF(AB1022="",X1022,AB1022)</f>
        <v>sim</v>
      </c>
      <c r="AE1022" t="str">
        <f>IF(OR(Configuracao!B9="",Configuracao!B10=""),"aguardando limiar",IF(AND(K1022&gt;=Configuracao!B9,K1022/MAX(Reconciliacao!C2,1)&gt;=Configuracao!B10/100),"sim","não"))</f>
        <v>aguardando limiar</v>
      </c>
    </row>
    <row r="1023" spans="1:31" x14ac:dyDescent="0.25">
      <c r="A1023">
        <v>9510</v>
      </c>
      <c r="C1023" t="s">
        <v>948</v>
      </c>
      <c r="D1023" t="s">
        <v>945</v>
      </c>
      <c r="E1023" t="s">
        <v>451</v>
      </c>
      <c r="F1023" t="s">
        <v>316</v>
      </c>
      <c r="G1023" t="s">
        <v>371</v>
      </c>
      <c r="H1023" t="s">
        <v>370</v>
      </c>
      <c r="I1023" t="s">
        <v>32</v>
      </c>
      <c r="J1023" t="s">
        <v>32</v>
      </c>
      <c r="K1023" s="4">
        <v>6.15</v>
      </c>
      <c r="L1023" s="4">
        <v>6.15</v>
      </c>
      <c r="M1023" t="s">
        <v>44</v>
      </c>
      <c r="N1023" t="s">
        <v>77</v>
      </c>
      <c r="O1023" t="s">
        <v>99</v>
      </c>
      <c r="P1023" t="s">
        <v>99</v>
      </c>
      <c r="Q1023" t="s">
        <v>131</v>
      </c>
      <c r="R1023" t="s">
        <v>317</v>
      </c>
      <c r="S1023" t="s">
        <v>185</v>
      </c>
      <c r="T1023" t="s">
        <v>162</v>
      </c>
      <c r="U1023" t="s">
        <v>163</v>
      </c>
      <c r="V1023" t="s">
        <v>193</v>
      </c>
      <c r="W1023" t="s">
        <v>77</v>
      </c>
      <c r="X1023" t="s">
        <v>44</v>
      </c>
      <c r="Y1023" t="s">
        <v>99</v>
      </c>
      <c r="Z1023" t="s">
        <v>421</v>
      </c>
      <c r="AC1023" t="str">
        <f>IF(AA1023="",M1023,AA1023)</f>
        <v>sim</v>
      </c>
      <c r="AD1023" t="str">
        <f>IF(AB1023="",X1023,AB1023)</f>
        <v>sim</v>
      </c>
      <c r="AE1023" t="str">
        <f>IF(OR(Configuracao!B9="",Configuracao!B10=""),"aguardando limiar",IF(AND(K1023&gt;=Configuracao!B9,K1023/MAX(Reconciliacao!C2,1)&gt;=Configuracao!B10/100),"sim","não"))</f>
        <v>aguardando limiar</v>
      </c>
    </row>
    <row r="1024" spans="1:31" x14ac:dyDescent="0.25">
      <c r="A1024">
        <v>16043</v>
      </c>
      <c r="C1024" t="s">
        <v>371</v>
      </c>
      <c r="D1024" t="s">
        <v>824</v>
      </c>
      <c r="E1024" t="s">
        <v>451</v>
      </c>
      <c r="F1024" t="s">
        <v>316</v>
      </c>
      <c r="G1024" t="s">
        <v>371</v>
      </c>
      <c r="H1024" t="s">
        <v>370</v>
      </c>
      <c r="I1024" t="s">
        <v>420</v>
      </c>
      <c r="J1024" t="s">
        <v>420</v>
      </c>
      <c r="K1024" s="4">
        <v>6.39</v>
      </c>
      <c r="L1024" s="4">
        <v>6.39</v>
      </c>
      <c r="M1024" t="s">
        <v>44</v>
      </c>
      <c r="N1024" t="s">
        <v>77</v>
      </c>
      <c r="O1024" t="s">
        <v>99</v>
      </c>
      <c r="P1024" t="s">
        <v>99</v>
      </c>
      <c r="Q1024" t="s">
        <v>131</v>
      </c>
      <c r="R1024" t="s">
        <v>317</v>
      </c>
      <c r="S1024" t="s">
        <v>185</v>
      </c>
      <c r="T1024" t="s">
        <v>162</v>
      </c>
      <c r="U1024" t="s">
        <v>163</v>
      </c>
      <c r="V1024" t="s">
        <v>193</v>
      </c>
      <c r="W1024" t="s">
        <v>77</v>
      </c>
      <c r="X1024" t="s">
        <v>44</v>
      </c>
      <c r="Y1024" t="s">
        <v>99</v>
      </c>
      <c r="Z1024" t="s">
        <v>421</v>
      </c>
      <c r="AC1024" t="str">
        <f>IF(AA1024="",M1024,AA1024)</f>
        <v>sim</v>
      </c>
      <c r="AD1024" t="str">
        <f>IF(AB1024="",X1024,AB1024)</f>
        <v>sim</v>
      </c>
      <c r="AE1024" t="str">
        <f>IF(OR(Configuracao!B9="",Configuracao!B10=""),"aguardando limiar",IF(AND(K1024&gt;=Configuracao!B9,K1024/MAX(Reconciliacao!C2,1)&gt;=Configuracao!B10/100),"sim","não"))</f>
        <v>aguardando limiar</v>
      </c>
    </row>
    <row r="1025" spans="1:31" x14ac:dyDescent="0.25">
      <c r="A1025">
        <v>15821</v>
      </c>
      <c r="C1025" t="s">
        <v>371</v>
      </c>
      <c r="D1025" t="s">
        <v>824</v>
      </c>
      <c r="E1025" t="s">
        <v>451</v>
      </c>
      <c r="F1025" t="s">
        <v>316</v>
      </c>
      <c r="G1025" t="s">
        <v>371</v>
      </c>
      <c r="H1025" t="s">
        <v>370</v>
      </c>
      <c r="I1025" t="s">
        <v>454</v>
      </c>
      <c r="J1025" t="s">
        <v>454</v>
      </c>
      <c r="K1025" s="4">
        <v>6.7</v>
      </c>
      <c r="L1025" s="4">
        <v>6.7</v>
      </c>
      <c r="M1025" t="s">
        <v>44</v>
      </c>
      <c r="N1025" t="s">
        <v>77</v>
      </c>
      <c r="O1025" t="s">
        <v>99</v>
      </c>
      <c r="P1025" t="s">
        <v>99</v>
      </c>
      <c r="Q1025" t="s">
        <v>131</v>
      </c>
      <c r="R1025" t="s">
        <v>317</v>
      </c>
      <c r="S1025" t="s">
        <v>185</v>
      </c>
      <c r="T1025" t="s">
        <v>162</v>
      </c>
      <c r="U1025" t="s">
        <v>163</v>
      </c>
      <c r="V1025" t="s">
        <v>193</v>
      </c>
      <c r="W1025" t="s">
        <v>77</v>
      </c>
      <c r="X1025" t="s">
        <v>44</v>
      </c>
      <c r="Y1025" t="s">
        <v>99</v>
      </c>
      <c r="Z1025" t="s">
        <v>421</v>
      </c>
      <c r="AC1025" t="str">
        <f>IF(AA1025="",M1025,AA1025)</f>
        <v>sim</v>
      </c>
      <c r="AD1025" t="str">
        <f>IF(AB1025="",X1025,AB1025)</f>
        <v>sim</v>
      </c>
      <c r="AE1025" t="str">
        <f>IF(OR(Configuracao!B9="",Configuracao!B10=""),"aguardando limiar",IF(AND(K1025&gt;=Configuracao!B9,K1025/MAX(Reconciliacao!C2,1)&gt;=Configuracao!B10/100),"sim","não"))</f>
        <v>aguardando limiar</v>
      </c>
    </row>
    <row r="1026" spans="1:31" x14ac:dyDescent="0.25">
      <c r="A1026">
        <v>16033</v>
      </c>
      <c r="C1026" t="s">
        <v>371</v>
      </c>
      <c r="D1026" t="s">
        <v>824</v>
      </c>
      <c r="E1026" t="s">
        <v>451</v>
      </c>
      <c r="F1026" t="s">
        <v>316</v>
      </c>
      <c r="G1026" t="s">
        <v>371</v>
      </c>
      <c r="H1026" t="s">
        <v>370</v>
      </c>
      <c r="I1026" t="s">
        <v>420</v>
      </c>
      <c r="J1026" t="s">
        <v>420</v>
      </c>
      <c r="K1026" s="4">
        <v>6.8</v>
      </c>
      <c r="L1026" s="4">
        <v>6.8</v>
      </c>
      <c r="M1026" t="s">
        <v>44</v>
      </c>
      <c r="N1026" t="s">
        <v>77</v>
      </c>
      <c r="O1026" t="s">
        <v>99</v>
      </c>
      <c r="P1026" t="s">
        <v>99</v>
      </c>
      <c r="Q1026" t="s">
        <v>131</v>
      </c>
      <c r="R1026" t="s">
        <v>317</v>
      </c>
      <c r="S1026" t="s">
        <v>185</v>
      </c>
      <c r="T1026" t="s">
        <v>162</v>
      </c>
      <c r="U1026" t="s">
        <v>163</v>
      </c>
      <c r="V1026" t="s">
        <v>193</v>
      </c>
      <c r="W1026" t="s">
        <v>77</v>
      </c>
      <c r="X1026" t="s">
        <v>44</v>
      </c>
      <c r="Y1026" t="s">
        <v>99</v>
      </c>
      <c r="Z1026" t="s">
        <v>421</v>
      </c>
      <c r="AC1026" t="str">
        <f>IF(AA1026="",M1026,AA1026)</f>
        <v>sim</v>
      </c>
      <c r="AD1026" t="str">
        <f>IF(AB1026="",X1026,AB1026)</f>
        <v>sim</v>
      </c>
      <c r="AE1026" t="str">
        <f>IF(OR(Configuracao!B9="",Configuracao!B10=""),"aguardando limiar",IF(AND(K1026&gt;=Configuracao!B9,K1026/MAX(Reconciliacao!C2,1)&gt;=Configuracao!B10/100),"sim","não"))</f>
        <v>aguardando limiar</v>
      </c>
    </row>
    <row r="1027" spans="1:31" x14ac:dyDescent="0.25">
      <c r="A1027">
        <v>16919</v>
      </c>
      <c r="C1027" t="s">
        <v>371</v>
      </c>
      <c r="D1027" t="s">
        <v>824</v>
      </c>
      <c r="E1027" t="s">
        <v>451</v>
      </c>
      <c r="F1027" t="s">
        <v>316</v>
      </c>
      <c r="G1027" t="s">
        <v>371</v>
      </c>
      <c r="H1027" t="s">
        <v>370</v>
      </c>
      <c r="I1027" t="s">
        <v>461</v>
      </c>
      <c r="J1027" t="s">
        <v>461</v>
      </c>
      <c r="K1027" s="4">
        <v>9.02</v>
      </c>
      <c r="L1027" s="4">
        <v>9.02</v>
      </c>
      <c r="M1027" t="s">
        <v>44</v>
      </c>
      <c r="N1027" t="s">
        <v>77</v>
      </c>
      <c r="O1027" t="s">
        <v>99</v>
      </c>
      <c r="P1027" t="s">
        <v>99</v>
      </c>
      <c r="Q1027" t="s">
        <v>131</v>
      </c>
      <c r="R1027" t="s">
        <v>317</v>
      </c>
      <c r="S1027" t="s">
        <v>185</v>
      </c>
      <c r="T1027" t="s">
        <v>162</v>
      </c>
      <c r="U1027" t="s">
        <v>163</v>
      </c>
      <c r="V1027" t="s">
        <v>193</v>
      </c>
      <c r="W1027" t="s">
        <v>77</v>
      </c>
      <c r="X1027" t="s">
        <v>44</v>
      </c>
      <c r="Y1027" t="s">
        <v>99</v>
      </c>
      <c r="Z1027" t="s">
        <v>421</v>
      </c>
      <c r="AC1027" t="str">
        <f>IF(AA1027="",M1027,AA1027)</f>
        <v>sim</v>
      </c>
      <c r="AD1027" t="str">
        <f>IF(AB1027="",X1027,AB1027)</f>
        <v>sim</v>
      </c>
      <c r="AE1027" t="str">
        <f>IF(OR(Configuracao!B9="",Configuracao!B10=""),"aguardando limiar",IF(AND(K1027&gt;=Configuracao!B9,K1027/MAX(Reconciliacao!C2,1)&gt;=Configuracao!B10/100),"sim","não"))</f>
        <v>aguardando limiar</v>
      </c>
    </row>
    <row r="1028" spans="1:31" x14ac:dyDescent="0.25">
      <c r="A1028">
        <v>9512</v>
      </c>
      <c r="C1028" t="s">
        <v>948</v>
      </c>
      <c r="D1028" t="s">
        <v>945</v>
      </c>
      <c r="E1028" t="s">
        <v>451</v>
      </c>
      <c r="F1028" t="s">
        <v>316</v>
      </c>
      <c r="G1028" t="s">
        <v>371</v>
      </c>
      <c r="H1028" t="s">
        <v>370</v>
      </c>
      <c r="I1028" t="s">
        <v>420</v>
      </c>
      <c r="J1028" t="s">
        <v>420</v>
      </c>
      <c r="K1028" s="4">
        <v>10.05</v>
      </c>
      <c r="L1028" s="4">
        <v>10.05</v>
      </c>
      <c r="M1028" t="s">
        <v>44</v>
      </c>
      <c r="N1028" t="s">
        <v>77</v>
      </c>
      <c r="O1028" t="s">
        <v>99</v>
      </c>
      <c r="P1028" t="s">
        <v>99</v>
      </c>
      <c r="Q1028" t="s">
        <v>131</v>
      </c>
      <c r="R1028" t="s">
        <v>317</v>
      </c>
      <c r="S1028" t="s">
        <v>185</v>
      </c>
      <c r="T1028" t="s">
        <v>162</v>
      </c>
      <c r="U1028" t="s">
        <v>163</v>
      </c>
      <c r="V1028" t="s">
        <v>193</v>
      </c>
      <c r="W1028" t="s">
        <v>77</v>
      </c>
      <c r="X1028" t="s">
        <v>44</v>
      </c>
      <c r="Y1028" t="s">
        <v>99</v>
      </c>
      <c r="Z1028" t="s">
        <v>421</v>
      </c>
      <c r="AC1028" t="str">
        <f>IF(AA1028="",M1028,AA1028)</f>
        <v>sim</v>
      </c>
      <c r="AD1028" t="str">
        <f>IF(AB1028="",X1028,AB1028)</f>
        <v>sim</v>
      </c>
      <c r="AE1028" t="str">
        <f>IF(OR(Configuracao!B9="",Configuracao!B10=""),"aguardando limiar",IF(AND(K1028&gt;=Configuracao!B9,K1028/MAX(Reconciliacao!C2,1)&gt;=Configuracao!B10/100),"sim","não"))</f>
        <v>aguardando limiar</v>
      </c>
    </row>
    <row r="1029" spans="1:31" x14ac:dyDescent="0.25">
      <c r="A1029">
        <v>17649</v>
      </c>
      <c r="C1029" t="s">
        <v>371</v>
      </c>
      <c r="D1029" t="s">
        <v>824</v>
      </c>
      <c r="E1029" t="s">
        <v>451</v>
      </c>
      <c r="F1029" t="s">
        <v>316</v>
      </c>
      <c r="G1029" t="s">
        <v>371</v>
      </c>
      <c r="H1029" t="s">
        <v>370</v>
      </c>
      <c r="I1029" t="s">
        <v>442</v>
      </c>
      <c r="J1029" t="s">
        <v>442</v>
      </c>
      <c r="K1029" s="4">
        <v>10.29</v>
      </c>
      <c r="L1029" s="4">
        <v>10.29</v>
      </c>
      <c r="M1029" t="s">
        <v>44</v>
      </c>
      <c r="N1029" t="s">
        <v>77</v>
      </c>
      <c r="O1029" t="s">
        <v>99</v>
      </c>
      <c r="P1029" t="s">
        <v>99</v>
      </c>
      <c r="Q1029" t="s">
        <v>131</v>
      </c>
      <c r="R1029" t="s">
        <v>317</v>
      </c>
      <c r="S1029" t="s">
        <v>185</v>
      </c>
      <c r="T1029" t="s">
        <v>162</v>
      </c>
      <c r="U1029" t="s">
        <v>163</v>
      </c>
      <c r="V1029" t="s">
        <v>193</v>
      </c>
      <c r="W1029" t="s">
        <v>77</v>
      </c>
      <c r="X1029" t="s">
        <v>44</v>
      </c>
      <c r="Y1029" t="s">
        <v>99</v>
      </c>
      <c r="Z1029" t="s">
        <v>421</v>
      </c>
      <c r="AC1029" t="str">
        <f>IF(AA1029="",M1029,AA1029)</f>
        <v>sim</v>
      </c>
      <c r="AD1029" t="str">
        <f>IF(AB1029="",X1029,AB1029)</f>
        <v>sim</v>
      </c>
      <c r="AE1029" t="str">
        <f>IF(OR(Configuracao!B9="",Configuracao!B10=""),"aguardando limiar",IF(AND(K1029&gt;=Configuracao!B9,K1029/MAX(Reconciliacao!C2,1)&gt;=Configuracao!B10/100),"sim","não"))</f>
        <v>aguardando limiar</v>
      </c>
    </row>
    <row r="1030" spans="1:31" x14ac:dyDescent="0.25">
      <c r="A1030">
        <v>16918</v>
      </c>
      <c r="C1030" t="s">
        <v>371</v>
      </c>
      <c r="D1030" t="s">
        <v>824</v>
      </c>
      <c r="E1030" t="s">
        <v>451</v>
      </c>
      <c r="F1030" t="s">
        <v>316</v>
      </c>
      <c r="G1030" t="s">
        <v>371</v>
      </c>
      <c r="H1030" t="s">
        <v>370</v>
      </c>
      <c r="I1030" t="s">
        <v>461</v>
      </c>
      <c r="J1030" t="s">
        <v>461</v>
      </c>
      <c r="K1030" s="4">
        <v>12.01</v>
      </c>
      <c r="L1030" s="4">
        <v>12.01</v>
      </c>
      <c r="M1030" t="s">
        <v>44</v>
      </c>
      <c r="N1030" t="s">
        <v>77</v>
      </c>
      <c r="O1030" t="s">
        <v>99</v>
      </c>
      <c r="P1030" t="s">
        <v>99</v>
      </c>
      <c r="Q1030" t="s">
        <v>131</v>
      </c>
      <c r="R1030" t="s">
        <v>317</v>
      </c>
      <c r="S1030" t="s">
        <v>185</v>
      </c>
      <c r="T1030" t="s">
        <v>162</v>
      </c>
      <c r="U1030" t="s">
        <v>163</v>
      </c>
      <c r="V1030" t="s">
        <v>193</v>
      </c>
      <c r="W1030" t="s">
        <v>77</v>
      </c>
      <c r="X1030" t="s">
        <v>44</v>
      </c>
      <c r="Y1030" t="s">
        <v>99</v>
      </c>
      <c r="Z1030" t="s">
        <v>421</v>
      </c>
      <c r="AC1030" t="str">
        <f>IF(AA1030="",M1030,AA1030)</f>
        <v>sim</v>
      </c>
      <c r="AD1030" t="str">
        <f>IF(AB1030="",X1030,AB1030)</f>
        <v>sim</v>
      </c>
      <c r="AE1030" t="str">
        <f>IF(OR(Configuracao!B9="",Configuracao!B10=""),"aguardando limiar",IF(AND(K1030&gt;=Configuracao!B9,K1030/MAX(Reconciliacao!C2,1)&gt;=Configuracao!B10/100),"sim","não"))</f>
        <v>aguardando limiar</v>
      </c>
    </row>
    <row r="1031" spans="1:31" x14ac:dyDescent="0.25">
      <c r="A1031">
        <v>15820</v>
      </c>
      <c r="C1031" t="s">
        <v>371</v>
      </c>
      <c r="D1031" t="s">
        <v>824</v>
      </c>
      <c r="E1031" t="s">
        <v>451</v>
      </c>
      <c r="F1031" t="s">
        <v>316</v>
      </c>
      <c r="G1031" t="s">
        <v>371</v>
      </c>
      <c r="H1031" t="s">
        <v>370</v>
      </c>
      <c r="I1031" t="s">
        <v>454</v>
      </c>
      <c r="J1031" t="s">
        <v>454</v>
      </c>
      <c r="K1031" s="4">
        <v>12.06</v>
      </c>
      <c r="L1031" s="4">
        <v>12.06</v>
      </c>
      <c r="M1031" t="s">
        <v>44</v>
      </c>
      <c r="N1031" t="s">
        <v>77</v>
      </c>
      <c r="O1031" t="s">
        <v>99</v>
      </c>
      <c r="P1031" t="s">
        <v>99</v>
      </c>
      <c r="Q1031" t="s">
        <v>131</v>
      </c>
      <c r="R1031" t="s">
        <v>317</v>
      </c>
      <c r="S1031" t="s">
        <v>185</v>
      </c>
      <c r="T1031" t="s">
        <v>162</v>
      </c>
      <c r="U1031" t="s">
        <v>163</v>
      </c>
      <c r="V1031" t="s">
        <v>193</v>
      </c>
      <c r="W1031" t="s">
        <v>77</v>
      </c>
      <c r="X1031" t="s">
        <v>44</v>
      </c>
      <c r="Y1031" t="s">
        <v>99</v>
      </c>
      <c r="Z1031" t="s">
        <v>421</v>
      </c>
      <c r="AC1031" t="str">
        <f>IF(AA1031="",M1031,AA1031)</f>
        <v>sim</v>
      </c>
      <c r="AD1031" t="str">
        <f>IF(AB1031="",X1031,AB1031)</f>
        <v>sim</v>
      </c>
      <c r="AE1031" t="str">
        <f>IF(OR(Configuracao!B9="",Configuracao!B10=""),"aguardando limiar",IF(AND(K1031&gt;=Configuracao!B9,K1031/MAX(Reconciliacao!C2,1)&gt;=Configuracao!B10/100),"sim","não"))</f>
        <v>aguardando limiar</v>
      </c>
    </row>
    <row r="1032" spans="1:31" x14ac:dyDescent="0.25">
      <c r="A1032">
        <v>18249</v>
      </c>
      <c r="C1032" t="s">
        <v>371</v>
      </c>
      <c r="D1032" t="s">
        <v>824</v>
      </c>
      <c r="E1032" t="s">
        <v>451</v>
      </c>
      <c r="F1032" t="s">
        <v>316</v>
      </c>
      <c r="G1032" t="s">
        <v>371</v>
      </c>
      <c r="H1032" t="s">
        <v>370</v>
      </c>
      <c r="I1032" t="s">
        <v>439</v>
      </c>
      <c r="J1032" t="s">
        <v>439</v>
      </c>
      <c r="K1032" s="4">
        <v>12.08</v>
      </c>
      <c r="L1032" s="4">
        <v>12.08</v>
      </c>
      <c r="M1032" t="s">
        <v>44</v>
      </c>
      <c r="N1032" t="s">
        <v>77</v>
      </c>
      <c r="O1032" t="s">
        <v>99</v>
      </c>
      <c r="P1032" t="s">
        <v>99</v>
      </c>
      <c r="Q1032" t="s">
        <v>131</v>
      </c>
      <c r="R1032" t="s">
        <v>317</v>
      </c>
      <c r="S1032" t="s">
        <v>185</v>
      </c>
      <c r="T1032" t="s">
        <v>162</v>
      </c>
      <c r="U1032" t="s">
        <v>163</v>
      </c>
      <c r="V1032" t="s">
        <v>193</v>
      </c>
      <c r="W1032" t="s">
        <v>77</v>
      </c>
      <c r="X1032" t="s">
        <v>44</v>
      </c>
      <c r="Y1032" t="s">
        <v>99</v>
      </c>
      <c r="Z1032" t="s">
        <v>421</v>
      </c>
      <c r="AC1032" t="str">
        <f>IF(AA1032="",M1032,AA1032)</f>
        <v>sim</v>
      </c>
      <c r="AD1032" t="str">
        <f>IF(AB1032="",X1032,AB1032)</f>
        <v>sim</v>
      </c>
      <c r="AE1032" t="str">
        <f>IF(OR(Configuracao!B9="",Configuracao!B10=""),"aguardando limiar",IF(AND(K1032&gt;=Configuracao!B9,K1032/MAX(Reconciliacao!C2,1)&gt;=Configuracao!B10/100),"sim","não"))</f>
        <v>aguardando limiar</v>
      </c>
    </row>
    <row r="1033" spans="1:31" x14ac:dyDescent="0.25">
      <c r="A1033">
        <v>17648</v>
      </c>
      <c r="C1033" t="s">
        <v>371</v>
      </c>
      <c r="D1033" t="s">
        <v>824</v>
      </c>
      <c r="E1033" t="s">
        <v>451</v>
      </c>
      <c r="F1033" t="s">
        <v>316</v>
      </c>
      <c r="G1033" t="s">
        <v>371</v>
      </c>
      <c r="H1033" t="s">
        <v>370</v>
      </c>
      <c r="I1033" t="s">
        <v>442</v>
      </c>
      <c r="J1033" t="s">
        <v>442</v>
      </c>
      <c r="K1033" s="4">
        <v>12.1</v>
      </c>
      <c r="L1033" s="4">
        <v>12.1</v>
      </c>
      <c r="M1033" t="s">
        <v>44</v>
      </c>
      <c r="N1033" t="s">
        <v>77</v>
      </c>
      <c r="O1033" t="s">
        <v>99</v>
      </c>
      <c r="P1033" t="s">
        <v>99</v>
      </c>
      <c r="Q1033" t="s">
        <v>131</v>
      </c>
      <c r="R1033" t="s">
        <v>317</v>
      </c>
      <c r="S1033" t="s">
        <v>185</v>
      </c>
      <c r="T1033" t="s">
        <v>162</v>
      </c>
      <c r="U1033" t="s">
        <v>163</v>
      </c>
      <c r="V1033" t="s">
        <v>193</v>
      </c>
      <c r="W1033" t="s">
        <v>77</v>
      </c>
      <c r="X1033" t="s">
        <v>44</v>
      </c>
      <c r="Y1033" t="s">
        <v>99</v>
      </c>
      <c r="Z1033" t="s">
        <v>421</v>
      </c>
      <c r="AC1033" t="str">
        <f>IF(AA1033="",M1033,AA1033)</f>
        <v>sim</v>
      </c>
      <c r="AD1033" t="str">
        <f>IF(AB1033="",X1033,AB1033)</f>
        <v>sim</v>
      </c>
      <c r="AE1033" t="str">
        <f>IF(OR(Configuracao!B9="",Configuracao!B10=""),"aguardando limiar",IF(AND(K1033&gt;=Configuracao!B9,K1033/MAX(Reconciliacao!C2,1)&gt;=Configuracao!B10/100),"sim","não"))</f>
        <v>aguardando limiar</v>
      </c>
    </row>
    <row r="1034" spans="1:31" x14ac:dyDescent="0.25">
      <c r="A1034">
        <v>19008</v>
      </c>
      <c r="C1034" t="s">
        <v>371</v>
      </c>
      <c r="D1034" t="s">
        <v>824</v>
      </c>
      <c r="E1034" t="s">
        <v>451</v>
      </c>
      <c r="F1034" t="s">
        <v>316</v>
      </c>
      <c r="G1034" t="s">
        <v>371</v>
      </c>
      <c r="H1034" t="s">
        <v>370</v>
      </c>
      <c r="I1034" t="s">
        <v>35</v>
      </c>
      <c r="J1034" t="s">
        <v>35</v>
      </c>
      <c r="K1034" s="4">
        <v>12.12</v>
      </c>
      <c r="L1034" s="4">
        <v>12.12</v>
      </c>
      <c r="M1034" t="s">
        <v>44</v>
      </c>
      <c r="N1034" t="s">
        <v>77</v>
      </c>
      <c r="O1034" t="s">
        <v>99</v>
      </c>
      <c r="P1034" t="s">
        <v>99</v>
      </c>
      <c r="Q1034" t="s">
        <v>131</v>
      </c>
      <c r="R1034" t="s">
        <v>317</v>
      </c>
      <c r="S1034" t="s">
        <v>185</v>
      </c>
      <c r="T1034" t="s">
        <v>162</v>
      </c>
      <c r="U1034" t="s">
        <v>163</v>
      </c>
      <c r="V1034" t="s">
        <v>193</v>
      </c>
      <c r="W1034" t="s">
        <v>77</v>
      </c>
      <c r="X1034" t="s">
        <v>44</v>
      </c>
      <c r="Y1034" t="s">
        <v>99</v>
      </c>
      <c r="Z1034" t="s">
        <v>421</v>
      </c>
      <c r="AC1034" t="str">
        <f>IF(AA1034="",M1034,AA1034)</f>
        <v>sim</v>
      </c>
      <c r="AD1034" t="str">
        <f>IF(AB1034="",X1034,AB1034)</f>
        <v>sim</v>
      </c>
      <c r="AE1034" t="str">
        <f>IF(OR(Configuracao!B9="",Configuracao!B10=""),"aguardando limiar",IF(AND(K1034&gt;=Configuracao!B9,K1034/MAX(Reconciliacao!C2,1)&gt;=Configuracao!B10/100),"sim","não"))</f>
        <v>aguardando limiar</v>
      </c>
    </row>
    <row r="1035" spans="1:31" x14ac:dyDescent="0.25">
      <c r="A1035">
        <v>9513</v>
      </c>
      <c r="C1035" t="s">
        <v>948</v>
      </c>
      <c r="D1035" t="s">
        <v>945</v>
      </c>
      <c r="E1035" t="s">
        <v>451</v>
      </c>
      <c r="F1035" t="s">
        <v>316</v>
      </c>
      <c r="G1035" t="s">
        <v>371</v>
      </c>
      <c r="H1035" t="s">
        <v>370</v>
      </c>
      <c r="I1035" t="s">
        <v>454</v>
      </c>
      <c r="J1035" t="s">
        <v>454</v>
      </c>
      <c r="K1035" s="4">
        <v>12.32</v>
      </c>
      <c r="L1035" s="4">
        <v>12.32</v>
      </c>
      <c r="M1035" t="s">
        <v>44</v>
      </c>
      <c r="N1035" t="s">
        <v>77</v>
      </c>
      <c r="O1035" t="s">
        <v>99</v>
      </c>
      <c r="P1035" t="s">
        <v>99</v>
      </c>
      <c r="Q1035" t="s">
        <v>131</v>
      </c>
      <c r="R1035" t="s">
        <v>317</v>
      </c>
      <c r="S1035" t="s">
        <v>185</v>
      </c>
      <c r="T1035" t="s">
        <v>162</v>
      </c>
      <c r="U1035" t="s">
        <v>163</v>
      </c>
      <c r="V1035" t="s">
        <v>193</v>
      </c>
      <c r="W1035" t="s">
        <v>77</v>
      </c>
      <c r="X1035" t="s">
        <v>44</v>
      </c>
      <c r="Y1035" t="s">
        <v>99</v>
      </c>
      <c r="Z1035" t="s">
        <v>421</v>
      </c>
      <c r="AC1035" t="str">
        <f>IF(AA1035="",M1035,AA1035)</f>
        <v>sim</v>
      </c>
      <c r="AD1035" t="str">
        <f>IF(AB1035="",X1035,AB1035)</f>
        <v>sim</v>
      </c>
      <c r="AE1035" t="str">
        <f>IF(OR(Configuracao!B9="",Configuracao!B10=""),"aguardando limiar",IF(AND(K1035&gt;=Configuracao!B9,K1035/MAX(Reconciliacao!C2,1)&gt;=Configuracao!B10/100),"sim","não"))</f>
        <v>aguardando limiar</v>
      </c>
    </row>
    <row r="1036" spans="1:31" x14ac:dyDescent="0.25">
      <c r="A1036">
        <v>18250</v>
      </c>
      <c r="C1036" t="s">
        <v>371</v>
      </c>
      <c r="D1036" t="s">
        <v>824</v>
      </c>
      <c r="E1036" t="s">
        <v>451</v>
      </c>
      <c r="F1036" t="s">
        <v>316</v>
      </c>
      <c r="G1036" t="s">
        <v>371</v>
      </c>
      <c r="H1036" t="s">
        <v>370</v>
      </c>
      <c r="I1036" t="s">
        <v>439</v>
      </c>
      <c r="J1036" t="s">
        <v>439</v>
      </c>
      <c r="K1036" s="4">
        <v>13.3</v>
      </c>
      <c r="L1036" s="4">
        <v>13.3</v>
      </c>
      <c r="M1036" t="s">
        <v>44</v>
      </c>
      <c r="N1036" t="s">
        <v>77</v>
      </c>
      <c r="O1036" t="s">
        <v>99</v>
      </c>
      <c r="P1036" t="s">
        <v>99</v>
      </c>
      <c r="Q1036" t="s">
        <v>131</v>
      </c>
      <c r="R1036" t="s">
        <v>317</v>
      </c>
      <c r="S1036" t="s">
        <v>185</v>
      </c>
      <c r="T1036" t="s">
        <v>162</v>
      </c>
      <c r="U1036" t="s">
        <v>163</v>
      </c>
      <c r="V1036" t="s">
        <v>193</v>
      </c>
      <c r="W1036" t="s">
        <v>77</v>
      </c>
      <c r="X1036" t="s">
        <v>44</v>
      </c>
      <c r="Y1036" t="s">
        <v>99</v>
      </c>
      <c r="Z1036" t="s">
        <v>421</v>
      </c>
      <c r="AC1036" t="str">
        <f>IF(AA1036="",M1036,AA1036)</f>
        <v>sim</v>
      </c>
      <c r="AD1036" t="str">
        <f>IF(AB1036="",X1036,AB1036)</f>
        <v>sim</v>
      </c>
      <c r="AE1036" t="str">
        <f>IF(OR(Configuracao!B9="",Configuracao!B10=""),"aguardando limiar",IF(AND(K1036&gt;=Configuracao!B9,K1036/MAX(Reconciliacao!C2,1)&gt;=Configuracao!B10/100),"sim","não"))</f>
        <v>aguardando limiar</v>
      </c>
    </row>
    <row r="1037" spans="1:31" x14ac:dyDescent="0.25">
      <c r="A1037">
        <v>9514</v>
      </c>
      <c r="C1037" t="s">
        <v>948</v>
      </c>
      <c r="D1037" t="s">
        <v>945</v>
      </c>
      <c r="E1037" t="s">
        <v>451</v>
      </c>
      <c r="F1037" t="s">
        <v>316</v>
      </c>
      <c r="G1037" t="s">
        <v>371</v>
      </c>
      <c r="H1037" t="s">
        <v>370</v>
      </c>
      <c r="I1037" t="s">
        <v>461</v>
      </c>
      <c r="J1037" t="s">
        <v>461</v>
      </c>
      <c r="K1037" s="4">
        <v>14.69</v>
      </c>
      <c r="L1037" s="4">
        <v>14.69</v>
      </c>
      <c r="M1037" t="s">
        <v>44</v>
      </c>
      <c r="N1037" t="s">
        <v>77</v>
      </c>
      <c r="O1037" t="s">
        <v>99</v>
      </c>
      <c r="P1037" t="s">
        <v>99</v>
      </c>
      <c r="Q1037" t="s">
        <v>131</v>
      </c>
      <c r="R1037" t="s">
        <v>317</v>
      </c>
      <c r="S1037" t="s">
        <v>185</v>
      </c>
      <c r="T1037" t="s">
        <v>162</v>
      </c>
      <c r="U1037" t="s">
        <v>163</v>
      </c>
      <c r="V1037" t="s">
        <v>193</v>
      </c>
      <c r="W1037" t="s">
        <v>77</v>
      </c>
      <c r="X1037" t="s">
        <v>44</v>
      </c>
      <c r="Y1037" t="s">
        <v>99</v>
      </c>
      <c r="Z1037" t="s">
        <v>421</v>
      </c>
      <c r="AC1037" t="str">
        <f>IF(AA1037="",M1037,AA1037)</f>
        <v>sim</v>
      </c>
      <c r="AD1037" t="str">
        <f>IF(AB1037="",X1037,AB1037)</f>
        <v>sim</v>
      </c>
      <c r="AE1037" t="str">
        <f>IF(OR(Configuracao!B9="",Configuracao!B10=""),"aguardando limiar",IF(AND(K1037&gt;=Configuracao!B9,K1037/MAX(Reconciliacao!C2,1)&gt;=Configuracao!B10/100),"sim","não"))</f>
        <v>aguardando limiar</v>
      </c>
    </row>
    <row r="1038" spans="1:31" x14ac:dyDescent="0.25">
      <c r="A1038">
        <v>19009</v>
      </c>
      <c r="C1038" t="s">
        <v>371</v>
      </c>
      <c r="D1038" t="s">
        <v>824</v>
      </c>
      <c r="E1038" t="s">
        <v>451</v>
      </c>
      <c r="F1038" t="s">
        <v>316</v>
      </c>
      <c r="G1038" t="s">
        <v>371</v>
      </c>
      <c r="H1038" t="s">
        <v>370</v>
      </c>
      <c r="I1038" t="s">
        <v>35</v>
      </c>
      <c r="J1038" t="s">
        <v>35</v>
      </c>
      <c r="K1038" s="4">
        <v>16.1</v>
      </c>
      <c r="L1038" s="4">
        <v>16.1</v>
      </c>
      <c r="M1038" t="s">
        <v>44</v>
      </c>
      <c r="N1038" t="s">
        <v>77</v>
      </c>
      <c r="O1038" t="s">
        <v>99</v>
      </c>
      <c r="P1038" t="s">
        <v>99</v>
      </c>
      <c r="Q1038" t="s">
        <v>131</v>
      </c>
      <c r="R1038" t="s">
        <v>317</v>
      </c>
      <c r="S1038" t="s">
        <v>185</v>
      </c>
      <c r="T1038" t="s">
        <v>162</v>
      </c>
      <c r="U1038" t="s">
        <v>163</v>
      </c>
      <c r="V1038" t="s">
        <v>193</v>
      </c>
      <c r="W1038" t="s">
        <v>77</v>
      </c>
      <c r="X1038" t="s">
        <v>44</v>
      </c>
      <c r="Y1038" t="s">
        <v>99</v>
      </c>
      <c r="Z1038" t="s">
        <v>421</v>
      </c>
      <c r="AC1038" t="str">
        <f>IF(AA1038="",M1038,AA1038)</f>
        <v>sim</v>
      </c>
      <c r="AD1038" t="str">
        <f>IF(AB1038="",X1038,AB1038)</f>
        <v>sim</v>
      </c>
      <c r="AE1038" t="str">
        <f>IF(OR(Configuracao!B9="",Configuracao!B10=""),"aguardando limiar",IF(AND(K1038&gt;=Configuracao!B9,K1038/MAX(Reconciliacao!C2,1)&gt;=Configuracao!B10/100),"sim","não"))</f>
        <v>aguardando limiar</v>
      </c>
    </row>
    <row r="1039" spans="1:31" x14ac:dyDescent="0.25">
      <c r="A1039">
        <v>9515</v>
      </c>
      <c r="C1039" t="s">
        <v>948</v>
      </c>
      <c r="D1039" t="s">
        <v>945</v>
      </c>
      <c r="E1039" t="s">
        <v>451</v>
      </c>
      <c r="F1039" t="s">
        <v>316</v>
      </c>
      <c r="G1039" t="s">
        <v>371</v>
      </c>
      <c r="H1039" t="s">
        <v>370</v>
      </c>
      <c r="I1039" t="s">
        <v>442</v>
      </c>
      <c r="J1039" t="s">
        <v>442</v>
      </c>
      <c r="K1039" s="4">
        <v>17.31</v>
      </c>
      <c r="L1039" s="4">
        <v>17.31</v>
      </c>
      <c r="M1039" t="s">
        <v>44</v>
      </c>
      <c r="N1039" t="s">
        <v>77</v>
      </c>
      <c r="O1039" t="s">
        <v>99</v>
      </c>
      <c r="P1039" t="s">
        <v>99</v>
      </c>
      <c r="Q1039" t="s">
        <v>131</v>
      </c>
      <c r="R1039" t="s">
        <v>317</v>
      </c>
      <c r="S1039" t="s">
        <v>185</v>
      </c>
      <c r="T1039" t="s">
        <v>162</v>
      </c>
      <c r="U1039" t="s">
        <v>163</v>
      </c>
      <c r="V1039" t="s">
        <v>193</v>
      </c>
      <c r="W1039" t="s">
        <v>77</v>
      </c>
      <c r="X1039" t="s">
        <v>44</v>
      </c>
      <c r="Y1039" t="s">
        <v>99</v>
      </c>
      <c r="Z1039" t="s">
        <v>421</v>
      </c>
      <c r="AC1039" t="str">
        <f>IF(AA1039="",M1039,AA1039)</f>
        <v>sim</v>
      </c>
      <c r="AD1039" t="str">
        <f>IF(AB1039="",X1039,AB1039)</f>
        <v>sim</v>
      </c>
      <c r="AE1039" t="str">
        <f>IF(OR(Configuracao!B9="",Configuracao!B10=""),"aguardando limiar",IF(AND(K1039&gt;=Configuracao!B9,K1039/MAX(Reconciliacao!C2,1)&gt;=Configuracao!B10/100),"sim","não"))</f>
        <v>aguardando limiar</v>
      </c>
    </row>
    <row r="1040" spans="1:31" x14ac:dyDescent="0.25">
      <c r="A1040">
        <v>13084</v>
      </c>
      <c r="C1040" t="s">
        <v>371</v>
      </c>
      <c r="D1040" t="s">
        <v>824</v>
      </c>
      <c r="E1040" t="s">
        <v>451</v>
      </c>
      <c r="F1040" t="s">
        <v>316</v>
      </c>
      <c r="G1040" t="s">
        <v>371</v>
      </c>
      <c r="H1040" t="s">
        <v>370</v>
      </c>
      <c r="I1040" t="s">
        <v>424</v>
      </c>
      <c r="J1040" t="s">
        <v>424</v>
      </c>
      <c r="K1040" s="4">
        <v>18.35</v>
      </c>
      <c r="L1040" s="4">
        <v>18.35</v>
      </c>
      <c r="M1040" t="s">
        <v>44</v>
      </c>
      <c r="N1040" t="s">
        <v>77</v>
      </c>
      <c r="O1040" t="s">
        <v>99</v>
      </c>
      <c r="P1040" t="s">
        <v>99</v>
      </c>
      <c r="Q1040" t="s">
        <v>131</v>
      </c>
      <c r="R1040" t="s">
        <v>317</v>
      </c>
      <c r="S1040" t="s">
        <v>185</v>
      </c>
      <c r="T1040" t="s">
        <v>162</v>
      </c>
      <c r="U1040" t="s">
        <v>163</v>
      </c>
      <c r="V1040" t="s">
        <v>193</v>
      </c>
      <c r="W1040" t="s">
        <v>77</v>
      </c>
      <c r="X1040" t="s">
        <v>44</v>
      </c>
      <c r="Y1040" t="s">
        <v>99</v>
      </c>
      <c r="Z1040" t="s">
        <v>421</v>
      </c>
      <c r="AC1040" t="str">
        <f>IF(AA1040="",M1040,AA1040)</f>
        <v>sim</v>
      </c>
      <c r="AD1040" t="str">
        <f>IF(AB1040="",X1040,AB1040)</f>
        <v>sim</v>
      </c>
      <c r="AE1040" t="str">
        <f>IF(OR(Configuracao!B9="",Configuracao!B10=""),"aguardando limiar",IF(AND(K1040&gt;=Configuracao!B9,K1040/MAX(Reconciliacao!C2,1)&gt;=Configuracao!B10/100),"sim","não"))</f>
        <v>aguardando limiar</v>
      </c>
    </row>
    <row r="1041" spans="1:31" x14ac:dyDescent="0.25">
      <c r="A1041">
        <v>9516</v>
      </c>
      <c r="C1041" t="s">
        <v>948</v>
      </c>
      <c r="D1041" t="s">
        <v>945</v>
      </c>
      <c r="E1041" t="s">
        <v>451</v>
      </c>
      <c r="F1041" t="s">
        <v>316</v>
      </c>
      <c r="G1041" t="s">
        <v>371</v>
      </c>
      <c r="H1041" t="s">
        <v>370</v>
      </c>
      <c r="I1041" t="s">
        <v>439</v>
      </c>
      <c r="J1041" t="s">
        <v>439</v>
      </c>
      <c r="K1041" s="4">
        <v>20.04</v>
      </c>
      <c r="L1041" s="4">
        <v>20.04</v>
      </c>
      <c r="M1041" t="s">
        <v>44</v>
      </c>
      <c r="N1041" t="s">
        <v>77</v>
      </c>
      <c r="O1041" t="s">
        <v>99</v>
      </c>
      <c r="P1041" t="s">
        <v>99</v>
      </c>
      <c r="Q1041" t="s">
        <v>131</v>
      </c>
      <c r="R1041" t="s">
        <v>317</v>
      </c>
      <c r="S1041" t="s">
        <v>185</v>
      </c>
      <c r="T1041" t="s">
        <v>162</v>
      </c>
      <c r="U1041" t="s">
        <v>163</v>
      </c>
      <c r="V1041" t="s">
        <v>193</v>
      </c>
      <c r="W1041" t="s">
        <v>77</v>
      </c>
      <c r="X1041" t="s">
        <v>44</v>
      </c>
      <c r="Y1041" t="s">
        <v>99</v>
      </c>
      <c r="Z1041" t="s">
        <v>421</v>
      </c>
      <c r="AC1041" t="str">
        <f>IF(AA1041="",M1041,AA1041)</f>
        <v>sim</v>
      </c>
      <c r="AD1041" t="str">
        <f>IF(AB1041="",X1041,AB1041)</f>
        <v>sim</v>
      </c>
      <c r="AE1041" t="str">
        <f>IF(OR(Configuracao!B9="",Configuracao!B10=""),"aguardando limiar",IF(AND(K1041&gt;=Configuracao!B9,K1041/MAX(Reconciliacao!C2,1)&gt;=Configuracao!B10/100),"sim","não"))</f>
        <v>aguardando limiar</v>
      </c>
    </row>
    <row r="1042" spans="1:31" x14ac:dyDescent="0.25">
      <c r="A1042">
        <v>15819</v>
      </c>
      <c r="C1042" t="s">
        <v>371</v>
      </c>
      <c r="D1042" t="s">
        <v>824</v>
      </c>
      <c r="E1042" t="s">
        <v>451</v>
      </c>
      <c r="F1042" t="s">
        <v>316</v>
      </c>
      <c r="G1042" t="s">
        <v>371</v>
      </c>
      <c r="H1042" t="s">
        <v>370</v>
      </c>
      <c r="I1042" t="s">
        <v>454</v>
      </c>
      <c r="J1042" t="s">
        <v>454</v>
      </c>
      <c r="K1042" s="4">
        <v>22.21</v>
      </c>
      <c r="L1042" s="4">
        <v>22.21</v>
      </c>
      <c r="M1042" t="s">
        <v>44</v>
      </c>
      <c r="N1042" t="s">
        <v>77</v>
      </c>
      <c r="O1042" t="s">
        <v>99</v>
      </c>
      <c r="P1042" t="s">
        <v>99</v>
      </c>
      <c r="Q1042" t="s">
        <v>131</v>
      </c>
      <c r="R1042" t="s">
        <v>317</v>
      </c>
      <c r="S1042" t="s">
        <v>185</v>
      </c>
      <c r="T1042" t="s">
        <v>162</v>
      </c>
      <c r="U1042" t="s">
        <v>163</v>
      </c>
      <c r="V1042" t="s">
        <v>193</v>
      </c>
      <c r="W1042" t="s">
        <v>77</v>
      </c>
      <c r="X1042" t="s">
        <v>44</v>
      </c>
      <c r="Y1042" t="s">
        <v>99</v>
      </c>
      <c r="Z1042" t="s">
        <v>421</v>
      </c>
      <c r="AC1042" t="str">
        <f>IF(AA1042="",M1042,AA1042)</f>
        <v>sim</v>
      </c>
      <c r="AD1042" t="str">
        <f>IF(AB1042="",X1042,AB1042)</f>
        <v>sim</v>
      </c>
      <c r="AE1042" t="str">
        <f>IF(OR(Configuracao!B9="",Configuracao!B10=""),"aguardando limiar",IF(AND(K1042&gt;=Configuracao!B9,K1042/MAX(Reconciliacao!C2,1)&gt;=Configuracao!B10/100),"sim","não"))</f>
        <v>aguardando limiar</v>
      </c>
    </row>
    <row r="1043" spans="1:31" x14ac:dyDescent="0.25">
      <c r="A1043">
        <v>9517</v>
      </c>
      <c r="C1043" t="s">
        <v>948</v>
      </c>
      <c r="D1043" t="s">
        <v>945</v>
      </c>
      <c r="E1043" t="s">
        <v>451</v>
      </c>
      <c r="F1043" t="s">
        <v>316</v>
      </c>
      <c r="G1043" t="s">
        <v>371</v>
      </c>
      <c r="H1043" t="s">
        <v>370</v>
      </c>
      <c r="I1043" t="s">
        <v>35</v>
      </c>
      <c r="J1043" t="s">
        <v>35</v>
      </c>
      <c r="K1043" s="4">
        <v>23.05</v>
      </c>
      <c r="L1043" s="4">
        <v>23.05</v>
      </c>
      <c r="M1043" t="s">
        <v>44</v>
      </c>
      <c r="N1043" t="s">
        <v>77</v>
      </c>
      <c r="O1043" t="s">
        <v>99</v>
      </c>
      <c r="P1043" t="s">
        <v>99</v>
      </c>
      <c r="Q1043" t="s">
        <v>131</v>
      </c>
      <c r="R1043" t="s">
        <v>317</v>
      </c>
      <c r="S1043" t="s">
        <v>185</v>
      </c>
      <c r="T1043" t="s">
        <v>162</v>
      </c>
      <c r="U1043" t="s">
        <v>163</v>
      </c>
      <c r="V1043" t="s">
        <v>193</v>
      </c>
      <c r="W1043" t="s">
        <v>77</v>
      </c>
      <c r="X1043" t="s">
        <v>44</v>
      </c>
      <c r="Y1043" t="s">
        <v>99</v>
      </c>
      <c r="Z1043" t="s">
        <v>421</v>
      </c>
      <c r="AC1043" t="str">
        <f>IF(AA1043="",M1043,AA1043)</f>
        <v>sim</v>
      </c>
      <c r="AD1043" t="str">
        <f>IF(AB1043="",X1043,AB1043)</f>
        <v>sim</v>
      </c>
      <c r="AE1043" t="str">
        <f>IF(OR(Configuracao!B9="",Configuracao!B10=""),"aguardando limiar",IF(AND(K1043&gt;=Configuracao!B9,K1043/MAX(Reconciliacao!C2,1)&gt;=Configuracao!B10/100),"sim","não"))</f>
        <v>aguardando limiar</v>
      </c>
    </row>
    <row r="1044" spans="1:31" x14ac:dyDescent="0.25">
      <c r="A1044">
        <v>17647</v>
      </c>
      <c r="C1044" t="s">
        <v>371</v>
      </c>
      <c r="D1044" t="s">
        <v>824</v>
      </c>
      <c r="E1044" t="s">
        <v>451</v>
      </c>
      <c r="F1044" t="s">
        <v>316</v>
      </c>
      <c r="G1044" t="s">
        <v>371</v>
      </c>
      <c r="H1044" t="s">
        <v>370</v>
      </c>
      <c r="I1044" t="s">
        <v>442</v>
      </c>
      <c r="J1044" t="s">
        <v>442</v>
      </c>
      <c r="K1044" s="4">
        <v>25.07</v>
      </c>
      <c r="L1044" s="4">
        <v>25.07</v>
      </c>
      <c r="M1044" t="s">
        <v>44</v>
      </c>
      <c r="N1044" t="s">
        <v>77</v>
      </c>
      <c r="O1044" t="s">
        <v>99</v>
      </c>
      <c r="P1044" t="s">
        <v>99</v>
      </c>
      <c r="Q1044" t="s">
        <v>131</v>
      </c>
      <c r="R1044" t="s">
        <v>317</v>
      </c>
      <c r="S1044" t="s">
        <v>185</v>
      </c>
      <c r="T1044" t="s">
        <v>162</v>
      </c>
      <c r="U1044" t="s">
        <v>163</v>
      </c>
      <c r="V1044" t="s">
        <v>193</v>
      </c>
      <c r="W1044" t="s">
        <v>77</v>
      </c>
      <c r="X1044" t="s">
        <v>44</v>
      </c>
      <c r="Y1044" t="s">
        <v>99</v>
      </c>
      <c r="Z1044" t="s">
        <v>421</v>
      </c>
      <c r="AC1044" t="str">
        <f>IF(AA1044="",M1044,AA1044)</f>
        <v>sim</v>
      </c>
      <c r="AD1044" t="str">
        <f>IF(AB1044="",X1044,AB1044)</f>
        <v>sim</v>
      </c>
      <c r="AE1044" t="str">
        <f>IF(OR(Configuracao!B9="",Configuracao!B10=""),"aguardando limiar",IF(AND(K1044&gt;=Configuracao!B9,K1044/MAX(Reconciliacao!C2,1)&gt;=Configuracao!B10/100),"sim","não"))</f>
        <v>aguardando limiar</v>
      </c>
    </row>
    <row r="1045" spans="1:31" x14ac:dyDescent="0.25">
      <c r="A1045">
        <v>16041</v>
      </c>
      <c r="C1045" t="s">
        <v>371</v>
      </c>
      <c r="D1045" t="s">
        <v>824</v>
      </c>
      <c r="E1045" t="s">
        <v>451</v>
      </c>
      <c r="F1045" t="s">
        <v>316</v>
      </c>
      <c r="G1045" t="s">
        <v>371</v>
      </c>
      <c r="H1045" t="s">
        <v>370</v>
      </c>
      <c r="I1045" t="s">
        <v>420</v>
      </c>
      <c r="J1045" t="s">
        <v>420</v>
      </c>
      <c r="K1045" s="4">
        <v>25.66</v>
      </c>
      <c r="L1045" s="4">
        <v>25.66</v>
      </c>
      <c r="M1045" t="s">
        <v>44</v>
      </c>
      <c r="N1045" t="s">
        <v>77</v>
      </c>
      <c r="O1045" t="s">
        <v>99</v>
      </c>
      <c r="P1045" t="s">
        <v>99</v>
      </c>
      <c r="Q1045" t="s">
        <v>131</v>
      </c>
      <c r="R1045" t="s">
        <v>317</v>
      </c>
      <c r="S1045" t="s">
        <v>185</v>
      </c>
      <c r="T1045" t="s">
        <v>162</v>
      </c>
      <c r="U1045" t="s">
        <v>163</v>
      </c>
      <c r="V1045" t="s">
        <v>193</v>
      </c>
      <c r="W1045" t="s">
        <v>77</v>
      </c>
      <c r="X1045" t="s">
        <v>44</v>
      </c>
      <c r="Y1045" t="s">
        <v>99</v>
      </c>
      <c r="Z1045" t="s">
        <v>421</v>
      </c>
      <c r="AC1045" t="str">
        <f>IF(AA1045="",M1045,AA1045)</f>
        <v>sim</v>
      </c>
      <c r="AD1045" t="str">
        <f>IF(AB1045="",X1045,AB1045)</f>
        <v>sim</v>
      </c>
      <c r="AE1045" t="str">
        <f>IF(OR(Configuracao!B9="",Configuracao!B10=""),"aguardando limiar",IF(AND(K1045&gt;=Configuracao!B9,K1045/MAX(Reconciliacao!C2,1)&gt;=Configuracao!B10/100),"sim","não"))</f>
        <v>aguardando limiar</v>
      </c>
    </row>
    <row r="1046" spans="1:31" x14ac:dyDescent="0.25">
      <c r="A1046">
        <v>18248</v>
      </c>
      <c r="C1046" t="s">
        <v>371</v>
      </c>
      <c r="D1046" t="s">
        <v>824</v>
      </c>
      <c r="E1046" t="s">
        <v>451</v>
      </c>
      <c r="F1046" t="s">
        <v>316</v>
      </c>
      <c r="G1046" t="s">
        <v>371</v>
      </c>
      <c r="H1046" t="s">
        <v>370</v>
      </c>
      <c r="I1046" t="s">
        <v>439</v>
      </c>
      <c r="J1046" t="s">
        <v>439</v>
      </c>
      <c r="K1046" s="4">
        <v>26.35</v>
      </c>
      <c r="L1046" s="4">
        <v>26.35</v>
      </c>
      <c r="M1046" t="s">
        <v>44</v>
      </c>
      <c r="N1046" t="s">
        <v>77</v>
      </c>
      <c r="O1046" t="s">
        <v>99</v>
      </c>
      <c r="P1046" t="s">
        <v>99</v>
      </c>
      <c r="Q1046" t="s">
        <v>131</v>
      </c>
      <c r="R1046" t="s">
        <v>317</v>
      </c>
      <c r="S1046" t="s">
        <v>185</v>
      </c>
      <c r="T1046" t="s">
        <v>162</v>
      </c>
      <c r="U1046" t="s">
        <v>163</v>
      </c>
      <c r="V1046" t="s">
        <v>193</v>
      </c>
      <c r="W1046" t="s">
        <v>77</v>
      </c>
      <c r="X1046" t="s">
        <v>44</v>
      </c>
      <c r="Y1046" t="s">
        <v>99</v>
      </c>
      <c r="Z1046" t="s">
        <v>421</v>
      </c>
      <c r="AC1046" t="str">
        <f>IF(AA1046="",M1046,AA1046)</f>
        <v>sim</v>
      </c>
      <c r="AD1046" t="str">
        <f>IF(AB1046="",X1046,AB1046)</f>
        <v>sim</v>
      </c>
      <c r="AE1046" t="str">
        <f>IF(OR(Configuracao!B9="",Configuracao!B10=""),"aguardando limiar",IF(AND(K1046&gt;=Configuracao!B9,K1046/MAX(Reconciliacao!C2,1)&gt;=Configuracao!B10/100),"sim","não"))</f>
        <v>aguardando limiar</v>
      </c>
    </row>
    <row r="1047" spans="1:31" x14ac:dyDescent="0.25">
      <c r="A1047">
        <v>16916</v>
      </c>
      <c r="C1047" t="s">
        <v>371</v>
      </c>
      <c r="D1047" t="s">
        <v>824</v>
      </c>
      <c r="E1047" t="s">
        <v>451</v>
      </c>
      <c r="F1047" t="s">
        <v>316</v>
      </c>
      <c r="G1047" t="s">
        <v>371</v>
      </c>
      <c r="H1047" t="s">
        <v>370</v>
      </c>
      <c r="I1047" t="s">
        <v>461</v>
      </c>
      <c r="J1047" t="s">
        <v>461</v>
      </c>
      <c r="K1047" s="4">
        <v>27.71</v>
      </c>
      <c r="L1047" s="4">
        <v>27.71</v>
      </c>
      <c r="M1047" t="s">
        <v>44</v>
      </c>
      <c r="N1047" t="s">
        <v>77</v>
      </c>
      <c r="O1047" t="s">
        <v>99</v>
      </c>
      <c r="P1047" t="s">
        <v>99</v>
      </c>
      <c r="Q1047" t="s">
        <v>131</v>
      </c>
      <c r="R1047" t="s">
        <v>317</v>
      </c>
      <c r="S1047" t="s">
        <v>185</v>
      </c>
      <c r="T1047" t="s">
        <v>162</v>
      </c>
      <c r="U1047" t="s">
        <v>163</v>
      </c>
      <c r="V1047" t="s">
        <v>193</v>
      </c>
      <c r="W1047" t="s">
        <v>77</v>
      </c>
      <c r="X1047" t="s">
        <v>44</v>
      </c>
      <c r="Y1047" t="s">
        <v>99</v>
      </c>
      <c r="Z1047" t="s">
        <v>421</v>
      </c>
      <c r="AC1047" t="str">
        <f>IF(AA1047="",M1047,AA1047)</f>
        <v>sim</v>
      </c>
      <c r="AD1047" t="str">
        <f>IF(AB1047="",X1047,AB1047)</f>
        <v>sim</v>
      </c>
      <c r="AE1047" t="str">
        <f>IF(OR(Configuracao!B9="",Configuracao!B10=""),"aguardando limiar",IF(AND(K1047&gt;=Configuracao!B9,K1047/MAX(Reconciliacao!C2,1)&gt;=Configuracao!B10/100),"sim","não"))</f>
        <v>aguardando limiar</v>
      </c>
    </row>
    <row r="1048" spans="1:31" x14ac:dyDescent="0.25">
      <c r="A1048">
        <v>19006</v>
      </c>
      <c r="C1048" t="s">
        <v>371</v>
      </c>
      <c r="D1048" t="s">
        <v>824</v>
      </c>
      <c r="E1048" t="s">
        <v>451</v>
      </c>
      <c r="F1048" t="s">
        <v>316</v>
      </c>
      <c r="G1048" t="s">
        <v>371</v>
      </c>
      <c r="H1048" t="s">
        <v>370</v>
      </c>
      <c r="I1048" t="s">
        <v>35</v>
      </c>
      <c r="J1048" t="s">
        <v>35</v>
      </c>
      <c r="K1048" s="4">
        <v>54.45</v>
      </c>
      <c r="L1048" s="4">
        <v>54.45</v>
      </c>
      <c r="M1048" t="s">
        <v>44</v>
      </c>
      <c r="N1048" t="s">
        <v>77</v>
      </c>
      <c r="O1048" t="s">
        <v>99</v>
      </c>
      <c r="P1048" t="s">
        <v>99</v>
      </c>
      <c r="Q1048" t="s">
        <v>131</v>
      </c>
      <c r="R1048" t="s">
        <v>317</v>
      </c>
      <c r="S1048" t="s">
        <v>185</v>
      </c>
      <c r="T1048" t="s">
        <v>162</v>
      </c>
      <c r="U1048" t="s">
        <v>163</v>
      </c>
      <c r="V1048" t="s">
        <v>193</v>
      </c>
      <c r="W1048" t="s">
        <v>77</v>
      </c>
      <c r="X1048" t="s">
        <v>44</v>
      </c>
      <c r="Y1048" t="s">
        <v>99</v>
      </c>
      <c r="Z1048" t="s">
        <v>421</v>
      </c>
      <c r="AC1048" t="str">
        <f>IF(AA1048="",M1048,AA1048)</f>
        <v>sim</v>
      </c>
      <c r="AD1048" t="str">
        <f>IF(AB1048="",X1048,AB1048)</f>
        <v>sim</v>
      </c>
      <c r="AE1048" t="str">
        <f>IF(OR(Configuracao!B9="",Configuracao!B10=""),"aguardando limiar",IF(AND(K1048&gt;=Configuracao!B9,K1048/MAX(Reconciliacao!C2,1)&gt;=Configuracao!B10/100),"sim","não"))</f>
        <v>aguardando limiar</v>
      </c>
    </row>
    <row r="1049" spans="1:31" x14ac:dyDescent="0.25">
      <c r="A1049">
        <v>18497</v>
      </c>
      <c r="D1049" t="s">
        <v>949</v>
      </c>
      <c r="E1049" t="s">
        <v>451</v>
      </c>
      <c r="F1049" t="s">
        <v>316</v>
      </c>
      <c r="G1049" t="s">
        <v>371</v>
      </c>
      <c r="H1049" t="s">
        <v>370</v>
      </c>
      <c r="I1049" t="s">
        <v>439</v>
      </c>
      <c r="J1049" t="s">
        <v>439</v>
      </c>
      <c r="K1049" s="4">
        <v>104.25</v>
      </c>
      <c r="L1049" s="4">
        <v>104.25</v>
      </c>
      <c r="M1049" t="s">
        <v>44</v>
      </c>
      <c r="N1049" t="s">
        <v>77</v>
      </c>
      <c r="O1049" t="s">
        <v>99</v>
      </c>
      <c r="P1049" t="s">
        <v>99</v>
      </c>
      <c r="Q1049" t="s">
        <v>131</v>
      </c>
      <c r="R1049" t="s">
        <v>317</v>
      </c>
      <c r="S1049" t="s">
        <v>185</v>
      </c>
      <c r="T1049" t="s">
        <v>162</v>
      </c>
      <c r="U1049" t="s">
        <v>163</v>
      </c>
      <c r="V1049" t="s">
        <v>193</v>
      </c>
      <c r="W1049" t="s">
        <v>77</v>
      </c>
      <c r="X1049" t="s">
        <v>44</v>
      </c>
      <c r="Y1049" t="s">
        <v>99</v>
      </c>
      <c r="Z1049" t="s">
        <v>421</v>
      </c>
      <c r="AC1049" t="str">
        <f>IF(AA1049="",M1049,AA1049)</f>
        <v>sim</v>
      </c>
      <c r="AD1049" t="str">
        <f>IF(AB1049="",X1049,AB1049)</f>
        <v>sim</v>
      </c>
      <c r="AE1049" t="str">
        <f>IF(OR(Configuracao!B9="",Configuracao!B10=""),"aguardando limiar",IF(AND(K1049&gt;=Configuracao!B9,K1049/MAX(Reconciliacao!C2,1)&gt;=Configuracao!B10/100),"sim","não"))</f>
        <v>aguardando limiar</v>
      </c>
    </row>
    <row r="1050" spans="1:31" x14ac:dyDescent="0.25">
      <c r="A1050">
        <v>11872</v>
      </c>
      <c r="D1050" t="s">
        <v>949</v>
      </c>
      <c r="E1050" t="s">
        <v>451</v>
      </c>
      <c r="F1050" t="s">
        <v>316</v>
      </c>
      <c r="G1050" t="s">
        <v>371</v>
      </c>
      <c r="H1050" t="s">
        <v>370</v>
      </c>
      <c r="I1050" t="s">
        <v>32</v>
      </c>
      <c r="J1050" t="s">
        <v>32</v>
      </c>
      <c r="K1050" s="4">
        <v>106.03</v>
      </c>
      <c r="L1050" s="4">
        <v>106.03</v>
      </c>
      <c r="M1050" t="s">
        <v>44</v>
      </c>
      <c r="N1050" t="s">
        <v>77</v>
      </c>
      <c r="O1050" t="s">
        <v>99</v>
      </c>
      <c r="P1050" t="s">
        <v>99</v>
      </c>
      <c r="Q1050" t="s">
        <v>131</v>
      </c>
      <c r="R1050" t="s">
        <v>317</v>
      </c>
      <c r="S1050" t="s">
        <v>185</v>
      </c>
      <c r="T1050" t="s">
        <v>162</v>
      </c>
      <c r="U1050" t="s">
        <v>163</v>
      </c>
      <c r="V1050" t="s">
        <v>193</v>
      </c>
      <c r="W1050" t="s">
        <v>77</v>
      </c>
      <c r="X1050" t="s">
        <v>44</v>
      </c>
      <c r="Y1050" t="s">
        <v>99</v>
      </c>
      <c r="Z1050" t="s">
        <v>421</v>
      </c>
      <c r="AC1050" t="str">
        <f>IF(AA1050="",M1050,AA1050)</f>
        <v>sim</v>
      </c>
      <c r="AD1050" t="str">
        <f>IF(AB1050="",X1050,AB1050)</f>
        <v>sim</v>
      </c>
      <c r="AE1050" t="str">
        <f>IF(OR(Configuracao!B9="",Configuracao!B10=""),"aguardando limiar",IF(AND(K1050&gt;=Configuracao!B9,K1050/MAX(Reconciliacao!C2,1)&gt;=Configuracao!B10/100),"sim","não"))</f>
        <v>aguardando limiar</v>
      </c>
    </row>
    <row r="1051" spans="1:31" x14ac:dyDescent="0.25">
      <c r="A1051">
        <v>13354</v>
      </c>
      <c r="D1051" t="s">
        <v>949</v>
      </c>
      <c r="E1051" t="s">
        <v>451</v>
      </c>
      <c r="F1051" t="s">
        <v>316</v>
      </c>
      <c r="G1051" t="s">
        <v>371</v>
      </c>
      <c r="H1051" t="s">
        <v>370</v>
      </c>
      <c r="I1051" t="s">
        <v>424</v>
      </c>
      <c r="J1051" t="s">
        <v>424</v>
      </c>
      <c r="K1051" s="4">
        <v>106.03</v>
      </c>
      <c r="L1051" s="4">
        <v>106.03</v>
      </c>
      <c r="M1051" t="s">
        <v>44</v>
      </c>
      <c r="N1051" t="s">
        <v>77</v>
      </c>
      <c r="O1051" t="s">
        <v>99</v>
      </c>
      <c r="P1051" t="s">
        <v>99</v>
      </c>
      <c r="Q1051" t="s">
        <v>131</v>
      </c>
      <c r="R1051" t="s">
        <v>317</v>
      </c>
      <c r="S1051" t="s">
        <v>185</v>
      </c>
      <c r="T1051" t="s">
        <v>162</v>
      </c>
      <c r="U1051" t="s">
        <v>163</v>
      </c>
      <c r="V1051" t="s">
        <v>193</v>
      </c>
      <c r="W1051" t="s">
        <v>77</v>
      </c>
      <c r="X1051" t="s">
        <v>44</v>
      </c>
      <c r="Y1051" t="s">
        <v>99</v>
      </c>
      <c r="Z1051" t="s">
        <v>421</v>
      </c>
      <c r="AC1051" t="str">
        <f>IF(AA1051="",M1051,AA1051)</f>
        <v>sim</v>
      </c>
      <c r="AD1051" t="str">
        <f>IF(AB1051="",X1051,AB1051)</f>
        <v>sim</v>
      </c>
      <c r="AE1051" t="str">
        <f>IF(OR(Configuracao!B9="",Configuracao!B10=""),"aguardando limiar",IF(AND(K1051&gt;=Configuracao!B9,K1051/MAX(Reconciliacao!C2,1)&gt;=Configuracao!B10/100),"sim","não"))</f>
        <v>aguardando limiar</v>
      </c>
    </row>
    <row r="1052" spans="1:31" x14ac:dyDescent="0.25">
      <c r="A1052">
        <v>15827</v>
      </c>
      <c r="D1052" t="s">
        <v>949</v>
      </c>
      <c r="E1052" t="s">
        <v>451</v>
      </c>
      <c r="F1052" t="s">
        <v>316</v>
      </c>
      <c r="G1052" t="s">
        <v>371</v>
      </c>
      <c r="H1052" t="s">
        <v>370</v>
      </c>
      <c r="I1052" t="s">
        <v>454</v>
      </c>
      <c r="J1052" t="s">
        <v>454</v>
      </c>
      <c r="K1052" s="4">
        <v>106.15</v>
      </c>
      <c r="L1052" s="4">
        <v>106.15</v>
      </c>
      <c r="M1052" t="s">
        <v>44</v>
      </c>
      <c r="N1052" t="s">
        <v>77</v>
      </c>
      <c r="O1052" t="s">
        <v>99</v>
      </c>
      <c r="P1052" t="s">
        <v>99</v>
      </c>
      <c r="Q1052" t="s">
        <v>131</v>
      </c>
      <c r="R1052" t="s">
        <v>317</v>
      </c>
      <c r="S1052" t="s">
        <v>185</v>
      </c>
      <c r="T1052" t="s">
        <v>162</v>
      </c>
      <c r="U1052" t="s">
        <v>163</v>
      </c>
      <c r="V1052" t="s">
        <v>193</v>
      </c>
      <c r="W1052" t="s">
        <v>77</v>
      </c>
      <c r="X1052" t="s">
        <v>44</v>
      </c>
      <c r="Y1052" t="s">
        <v>99</v>
      </c>
      <c r="Z1052" t="s">
        <v>421</v>
      </c>
      <c r="AC1052" t="str">
        <f>IF(AA1052="",M1052,AA1052)</f>
        <v>sim</v>
      </c>
      <c r="AD1052" t="str">
        <f>IF(AB1052="",X1052,AB1052)</f>
        <v>sim</v>
      </c>
      <c r="AE1052" t="str">
        <f>IF(OR(Configuracao!B9="",Configuracao!B10=""),"aguardando limiar",IF(AND(K1052&gt;=Configuracao!B9,K1052/MAX(Reconciliacao!C2,1)&gt;=Configuracao!B10/100),"sim","não"))</f>
        <v>aguardando limiar</v>
      </c>
    </row>
    <row r="1053" spans="1:31" x14ac:dyDescent="0.25">
      <c r="A1053">
        <v>16934</v>
      </c>
      <c r="D1053" t="s">
        <v>949</v>
      </c>
      <c r="E1053" t="s">
        <v>451</v>
      </c>
      <c r="F1053" t="s">
        <v>316</v>
      </c>
      <c r="G1053" t="s">
        <v>371</v>
      </c>
      <c r="H1053" t="s">
        <v>370</v>
      </c>
      <c r="I1053" t="s">
        <v>461</v>
      </c>
      <c r="J1053" t="s">
        <v>461</v>
      </c>
      <c r="K1053" s="4">
        <v>106.15</v>
      </c>
      <c r="L1053" s="4">
        <v>106.15</v>
      </c>
      <c r="M1053" t="s">
        <v>44</v>
      </c>
      <c r="N1053" t="s">
        <v>77</v>
      </c>
      <c r="O1053" t="s">
        <v>99</v>
      </c>
      <c r="P1053" t="s">
        <v>99</v>
      </c>
      <c r="Q1053" t="s">
        <v>131</v>
      </c>
      <c r="R1053" t="s">
        <v>317</v>
      </c>
      <c r="S1053" t="s">
        <v>185</v>
      </c>
      <c r="T1053" t="s">
        <v>162</v>
      </c>
      <c r="U1053" t="s">
        <v>163</v>
      </c>
      <c r="V1053" t="s">
        <v>193</v>
      </c>
      <c r="W1053" t="s">
        <v>77</v>
      </c>
      <c r="X1053" t="s">
        <v>44</v>
      </c>
      <c r="Y1053" t="s">
        <v>99</v>
      </c>
      <c r="Z1053" t="s">
        <v>421</v>
      </c>
      <c r="AC1053" t="str">
        <f>IF(AA1053="",M1053,AA1053)</f>
        <v>sim</v>
      </c>
      <c r="AD1053" t="str">
        <f>IF(AB1053="",X1053,AB1053)</f>
        <v>sim</v>
      </c>
      <c r="AE1053" t="str">
        <f>IF(OR(Configuracao!B9="",Configuracao!B10=""),"aguardando limiar",IF(AND(K1053&gt;=Configuracao!B9,K1053/MAX(Reconciliacao!C2,1)&gt;=Configuracao!B10/100),"sim","não"))</f>
        <v>aguardando limiar</v>
      </c>
    </row>
    <row r="1054" spans="1:31" x14ac:dyDescent="0.25">
      <c r="A1054">
        <v>17687</v>
      </c>
      <c r="D1054" t="s">
        <v>949</v>
      </c>
      <c r="E1054" t="s">
        <v>451</v>
      </c>
      <c r="F1054" t="s">
        <v>316</v>
      </c>
      <c r="G1054" t="s">
        <v>371</v>
      </c>
      <c r="H1054" t="s">
        <v>370</v>
      </c>
      <c r="I1054" t="s">
        <v>442</v>
      </c>
      <c r="J1054" t="s">
        <v>442</v>
      </c>
      <c r="K1054" s="4">
        <v>106.15</v>
      </c>
      <c r="L1054" s="4">
        <v>106.15</v>
      </c>
      <c r="M1054" t="s">
        <v>44</v>
      </c>
      <c r="N1054" t="s">
        <v>77</v>
      </c>
      <c r="O1054" t="s">
        <v>99</v>
      </c>
      <c r="P1054" t="s">
        <v>99</v>
      </c>
      <c r="Q1054" t="s">
        <v>131</v>
      </c>
      <c r="R1054" t="s">
        <v>317</v>
      </c>
      <c r="S1054" t="s">
        <v>185</v>
      </c>
      <c r="T1054" t="s">
        <v>162</v>
      </c>
      <c r="U1054" t="s">
        <v>163</v>
      </c>
      <c r="V1054" t="s">
        <v>193</v>
      </c>
      <c r="W1054" t="s">
        <v>77</v>
      </c>
      <c r="X1054" t="s">
        <v>44</v>
      </c>
      <c r="Y1054" t="s">
        <v>99</v>
      </c>
      <c r="Z1054" t="s">
        <v>421</v>
      </c>
      <c r="AC1054" t="str">
        <f>IF(AA1054="",M1054,AA1054)</f>
        <v>sim</v>
      </c>
      <c r="AD1054" t="str">
        <f>IF(AB1054="",X1054,AB1054)</f>
        <v>sim</v>
      </c>
      <c r="AE1054" t="str">
        <f>IF(OR(Configuracao!B9="",Configuracao!B10=""),"aguardando limiar",IF(AND(K1054&gt;=Configuracao!B9,K1054/MAX(Reconciliacao!C2,1)&gt;=Configuracao!B10/100),"sim","não"))</f>
        <v>aguardando limiar</v>
      </c>
    </row>
    <row r="1055" spans="1:31" x14ac:dyDescent="0.25">
      <c r="A1055">
        <v>19172</v>
      </c>
      <c r="D1055" t="s">
        <v>949</v>
      </c>
      <c r="E1055" t="s">
        <v>451</v>
      </c>
      <c r="F1055" t="s">
        <v>316</v>
      </c>
      <c r="G1055" t="s">
        <v>371</v>
      </c>
      <c r="H1055" t="s">
        <v>370</v>
      </c>
      <c r="I1055" t="s">
        <v>35</v>
      </c>
      <c r="J1055" t="s">
        <v>35</v>
      </c>
      <c r="K1055" s="4">
        <v>108.05</v>
      </c>
      <c r="L1055" s="4">
        <v>108.05</v>
      </c>
      <c r="M1055" t="s">
        <v>44</v>
      </c>
      <c r="N1055" t="s">
        <v>77</v>
      </c>
      <c r="O1055" t="s">
        <v>99</v>
      </c>
      <c r="P1055" t="s">
        <v>99</v>
      </c>
      <c r="Q1055" t="s">
        <v>131</v>
      </c>
      <c r="R1055" t="s">
        <v>317</v>
      </c>
      <c r="S1055" t="s">
        <v>185</v>
      </c>
      <c r="T1055" t="s">
        <v>162</v>
      </c>
      <c r="U1055" t="s">
        <v>163</v>
      </c>
      <c r="V1055" t="s">
        <v>193</v>
      </c>
      <c r="W1055" t="s">
        <v>77</v>
      </c>
      <c r="X1055" t="s">
        <v>44</v>
      </c>
      <c r="Y1055" t="s">
        <v>99</v>
      </c>
      <c r="Z1055" t="s">
        <v>421</v>
      </c>
      <c r="AC1055" t="str">
        <f>IF(AA1055="",M1055,AA1055)</f>
        <v>sim</v>
      </c>
      <c r="AD1055" t="str">
        <f>IF(AB1055="",X1055,AB1055)</f>
        <v>sim</v>
      </c>
      <c r="AE1055" t="str">
        <f>IF(OR(Configuracao!B9="",Configuracao!B10=""),"aguardando limiar",IF(AND(K1055&gt;=Configuracao!B9,K1055/MAX(Reconciliacao!C2,1)&gt;=Configuracao!B10/100),"sim","não"))</f>
        <v>aguardando limiar</v>
      </c>
    </row>
    <row r="1056" spans="1:31" x14ac:dyDescent="0.25">
      <c r="A1056">
        <v>16091</v>
      </c>
      <c r="D1056" t="s">
        <v>949</v>
      </c>
      <c r="E1056" t="s">
        <v>451</v>
      </c>
      <c r="F1056" t="s">
        <v>316</v>
      </c>
      <c r="G1056" t="s">
        <v>371</v>
      </c>
      <c r="H1056" t="s">
        <v>370</v>
      </c>
      <c r="I1056" t="s">
        <v>420</v>
      </c>
      <c r="J1056" t="s">
        <v>420</v>
      </c>
      <c r="K1056" s="4">
        <v>127.53</v>
      </c>
      <c r="L1056" s="4">
        <v>127.53</v>
      </c>
      <c r="M1056" t="s">
        <v>44</v>
      </c>
      <c r="N1056" t="s">
        <v>77</v>
      </c>
      <c r="O1056" t="s">
        <v>99</v>
      </c>
      <c r="P1056" t="s">
        <v>99</v>
      </c>
      <c r="Q1056" t="s">
        <v>131</v>
      </c>
      <c r="R1056" t="s">
        <v>317</v>
      </c>
      <c r="S1056" t="s">
        <v>185</v>
      </c>
      <c r="T1056" t="s">
        <v>162</v>
      </c>
      <c r="U1056" t="s">
        <v>163</v>
      </c>
      <c r="V1056" t="s">
        <v>193</v>
      </c>
      <c r="W1056" t="s">
        <v>77</v>
      </c>
      <c r="X1056" t="s">
        <v>44</v>
      </c>
      <c r="Y1056" t="s">
        <v>99</v>
      </c>
      <c r="Z1056" t="s">
        <v>421</v>
      </c>
      <c r="AC1056" t="str">
        <f>IF(AA1056="",M1056,AA1056)</f>
        <v>sim</v>
      </c>
      <c r="AD1056" t="str">
        <f>IF(AB1056="",X1056,AB1056)</f>
        <v>sim</v>
      </c>
      <c r="AE1056" t="str">
        <f>IF(OR(Configuracao!B9="",Configuracao!B10=""),"aguardando limiar",IF(AND(K1056&gt;=Configuracao!B9,K1056/MAX(Reconciliacao!C2,1)&gt;=Configuracao!B10/100),"sim","não"))</f>
        <v>aguardando limiar</v>
      </c>
    </row>
    <row r="1057" spans="1:31" x14ac:dyDescent="0.25">
      <c r="A1057">
        <v>17547</v>
      </c>
      <c r="C1057" t="s">
        <v>941</v>
      </c>
      <c r="D1057" t="s">
        <v>824</v>
      </c>
      <c r="E1057" t="s">
        <v>451</v>
      </c>
      <c r="F1057" t="s">
        <v>316</v>
      </c>
      <c r="G1057" t="s">
        <v>381</v>
      </c>
      <c r="H1057" t="s">
        <v>380</v>
      </c>
      <c r="I1057" t="s">
        <v>442</v>
      </c>
      <c r="J1057" t="s">
        <v>442</v>
      </c>
      <c r="K1057" s="4">
        <v>51.92</v>
      </c>
      <c r="L1057" s="4">
        <v>51.92</v>
      </c>
      <c r="M1057" t="s">
        <v>44</v>
      </c>
      <c r="N1057" t="s">
        <v>77</v>
      </c>
      <c r="O1057" t="s">
        <v>99</v>
      </c>
      <c r="P1057" t="s">
        <v>99</v>
      </c>
      <c r="Q1057" t="s">
        <v>131</v>
      </c>
      <c r="R1057" t="s">
        <v>317</v>
      </c>
      <c r="S1057" t="s">
        <v>185</v>
      </c>
      <c r="T1057" t="s">
        <v>162</v>
      </c>
      <c r="U1057" t="s">
        <v>163</v>
      </c>
      <c r="V1057" t="s">
        <v>193</v>
      </c>
      <c r="W1057" t="s">
        <v>77</v>
      </c>
      <c r="X1057" t="s">
        <v>44</v>
      </c>
      <c r="Y1057" t="s">
        <v>99</v>
      </c>
      <c r="Z1057" t="s">
        <v>421</v>
      </c>
      <c r="AC1057" t="str">
        <f>IF(AA1057="",M1057,AA1057)</f>
        <v>sim</v>
      </c>
      <c r="AD1057" t="str">
        <f>IF(AB1057="",X1057,AB1057)</f>
        <v>sim</v>
      </c>
      <c r="AE1057" t="str">
        <f>IF(OR(Configuracao!B9="",Configuracao!B10=""),"aguardando limiar",IF(AND(K1057&gt;=Configuracao!B9,K1057/MAX(Reconciliacao!C2,1)&gt;=Configuracao!B10/100),"sim","não"))</f>
        <v>aguardando limiar</v>
      </c>
    </row>
    <row r="1058" spans="1:31" x14ac:dyDescent="0.25">
      <c r="A1058">
        <v>12509</v>
      </c>
      <c r="C1058" t="s">
        <v>941</v>
      </c>
      <c r="D1058" t="s">
        <v>824</v>
      </c>
      <c r="E1058" t="s">
        <v>451</v>
      </c>
      <c r="F1058" t="s">
        <v>316</v>
      </c>
      <c r="G1058" t="s">
        <v>381</v>
      </c>
      <c r="H1058" t="s">
        <v>380</v>
      </c>
      <c r="I1058" t="s">
        <v>32</v>
      </c>
      <c r="J1058" t="s">
        <v>32</v>
      </c>
      <c r="K1058" s="4">
        <v>79.9</v>
      </c>
      <c r="L1058" s="4">
        <v>79.9</v>
      </c>
      <c r="M1058" t="s">
        <v>44</v>
      </c>
      <c r="N1058" t="s">
        <v>77</v>
      </c>
      <c r="O1058" t="s">
        <v>99</v>
      </c>
      <c r="P1058" t="s">
        <v>99</v>
      </c>
      <c r="Q1058" t="s">
        <v>131</v>
      </c>
      <c r="R1058" t="s">
        <v>317</v>
      </c>
      <c r="S1058" t="s">
        <v>185</v>
      </c>
      <c r="T1058" t="s">
        <v>162</v>
      </c>
      <c r="U1058" t="s">
        <v>163</v>
      </c>
      <c r="V1058" t="s">
        <v>193</v>
      </c>
      <c r="W1058" t="s">
        <v>77</v>
      </c>
      <c r="X1058" t="s">
        <v>44</v>
      </c>
      <c r="Y1058" t="s">
        <v>99</v>
      </c>
      <c r="Z1058" t="s">
        <v>421</v>
      </c>
      <c r="AC1058" t="str">
        <f>IF(AA1058="",M1058,AA1058)</f>
        <v>sim</v>
      </c>
      <c r="AD1058" t="str">
        <f>IF(AB1058="",X1058,AB1058)</f>
        <v>sim</v>
      </c>
      <c r="AE1058" t="str">
        <f>IF(OR(Configuracao!B9="",Configuracao!B10=""),"aguardando limiar",IF(AND(K1058&gt;=Configuracao!B9,K1058/MAX(Reconciliacao!C2,1)&gt;=Configuracao!B10/100),"sim","não"))</f>
        <v>aguardando limiar</v>
      </c>
    </row>
    <row r="1059" spans="1:31" x14ac:dyDescent="0.25">
      <c r="A1059">
        <v>12901</v>
      </c>
      <c r="C1059" t="s">
        <v>941</v>
      </c>
      <c r="D1059" t="s">
        <v>824</v>
      </c>
      <c r="E1059" t="s">
        <v>451</v>
      </c>
      <c r="F1059" t="s">
        <v>316</v>
      </c>
      <c r="G1059" t="s">
        <v>381</v>
      </c>
      <c r="H1059" t="s">
        <v>380</v>
      </c>
      <c r="I1059" t="s">
        <v>420</v>
      </c>
      <c r="J1059" t="s">
        <v>420</v>
      </c>
      <c r="K1059" s="4">
        <v>79.9</v>
      </c>
      <c r="L1059" s="4">
        <v>79.9</v>
      </c>
      <c r="M1059" t="s">
        <v>44</v>
      </c>
      <c r="N1059" t="s">
        <v>77</v>
      </c>
      <c r="O1059" t="s">
        <v>99</v>
      </c>
      <c r="P1059" t="s">
        <v>99</v>
      </c>
      <c r="Q1059" t="s">
        <v>131</v>
      </c>
      <c r="R1059" t="s">
        <v>317</v>
      </c>
      <c r="S1059" t="s">
        <v>185</v>
      </c>
      <c r="T1059" t="s">
        <v>162</v>
      </c>
      <c r="U1059" t="s">
        <v>163</v>
      </c>
      <c r="V1059" t="s">
        <v>193</v>
      </c>
      <c r="W1059" t="s">
        <v>77</v>
      </c>
      <c r="X1059" t="s">
        <v>44</v>
      </c>
      <c r="Y1059" t="s">
        <v>99</v>
      </c>
      <c r="Z1059" t="s">
        <v>421</v>
      </c>
      <c r="AC1059" t="str">
        <f>IF(AA1059="",M1059,AA1059)</f>
        <v>sim</v>
      </c>
      <c r="AD1059" t="str">
        <f>IF(AB1059="",X1059,AB1059)</f>
        <v>sim</v>
      </c>
      <c r="AE1059" t="str">
        <f>IF(OR(Configuracao!B9="",Configuracao!B10=""),"aguardando limiar",IF(AND(K1059&gt;=Configuracao!B9,K1059/MAX(Reconciliacao!C2,1)&gt;=Configuracao!B10/100),"sim","não"))</f>
        <v>aguardando limiar</v>
      </c>
    </row>
    <row r="1060" spans="1:31" x14ac:dyDescent="0.25">
      <c r="A1060">
        <v>16922</v>
      </c>
      <c r="C1060" t="s">
        <v>941</v>
      </c>
      <c r="D1060" t="s">
        <v>824</v>
      </c>
      <c r="E1060" t="s">
        <v>451</v>
      </c>
      <c r="F1060" t="s">
        <v>316</v>
      </c>
      <c r="G1060" t="s">
        <v>381</v>
      </c>
      <c r="H1060" t="s">
        <v>380</v>
      </c>
      <c r="I1060" t="s">
        <v>461</v>
      </c>
      <c r="J1060" t="s">
        <v>461</v>
      </c>
      <c r="K1060" s="4">
        <v>79.9</v>
      </c>
      <c r="L1060" s="4">
        <v>79.9</v>
      </c>
      <c r="M1060" t="s">
        <v>44</v>
      </c>
      <c r="N1060" t="s">
        <v>77</v>
      </c>
      <c r="O1060" t="s">
        <v>99</v>
      </c>
      <c r="P1060" t="s">
        <v>99</v>
      </c>
      <c r="Q1060" t="s">
        <v>131</v>
      </c>
      <c r="R1060" t="s">
        <v>317</v>
      </c>
      <c r="S1060" t="s">
        <v>185</v>
      </c>
      <c r="T1060" t="s">
        <v>162</v>
      </c>
      <c r="U1060" t="s">
        <v>163</v>
      </c>
      <c r="V1060" t="s">
        <v>193</v>
      </c>
      <c r="W1060" t="s">
        <v>77</v>
      </c>
      <c r="X1060" t="s">
        <v>44</v>
      </c>
      <c r="Y1060" t="s">
        <v>99</v>
      </c>
      <c r="Z1060" t="s">
        <v>421</v>
      </c>
      <c r="AC1060" t="str">
        <f>IF(AA1060="",M1060,AA1060)</f>
        <v>sim</v>
      </c>
      <c r="AD1060" t="str">
        <f>IF(AB1060="",X1060,AB1060)</f>
        <v>sim</v>
      </c>
      <c r="AE1060" t="str">
        <f>IF(OR(Configuracao!B9="",Configuracao!B10=""),"aguardando limiar",IF(AND(K1060&gt;=Configuracao!B9,K1060/MAX(Reconciliacao!C2,1)&gt;=Configuracao!B10/100),"sim","não"))</f>
        <v>aguardando limiar</v>
      </c>
    </row>
    <row r="1061" spans="1:31" x14ac:dyDescent="0.25">
      <c r="A1061">
        <v>18271</v>
      </c>
      <c r="C1061" t="s">
        <v>941</v>
      </c>
      <c r="D1061" t="s">
        <v>824</v>
      </c>
      <c r="E1061" t="s">
        <v>451</v>
      </c>
      <c r="F1061" t="s">
        <v>316</v>
      </c>
      <c r="G1061" t="s">
        <v>381</v>
      </c>
      <c r="H1061" t="s">
        <v>380</v>
      </c>
      <c r="I1061" t="s">
        <v>439</v>
      </c>
      <c r="J1061" t="s">
        <v>439</v>
      </c>
      <c r="K1061" s="4">
        <v>79.9</v>
      </c>
      <c r="L1061" s="4">
        <v>79.9</v>
      </c>
      <c r="M1061" t="s">
        <v>44</v>
      </c>
      <c r="N1061" t="s">
        <v>77</v>
      </c>
      <c r="O1061" t="s">
        <v>99</v>
      </c>
      <c r="P1061" t="s">
        <v>99</v>
      </c>
      <c r="Q1061" t="s">
        <v>131</v>
      </c>
      <c r="R1061" t="s">
        <v>317</v>
      </c>
      <c r="S1061" t="s">
        <v>185</v>
      </c>
      <c r="T1061" t="s">
        <v>162</v>
      </c>
      <c r="U1061" t="s">
        <v>163</v>
      </c>
      <c r="V1061" t="s">
        <v>193</v>
      </c>
      <c r="W1061" t="s">
        <v>77</v>
      </c>
      <c r="X1061" t="s">
        <v>44</v>
      </c>
      <c r="Y1061" t="s">
        <v>99</v>
      </c>
      <c r="Z1061" t="s">
        <v>421</v>
      </c>
      <c r="AC1061" t="str">
        <f>IF(AA1061="",M1061,AA1061)</f>
        <v>sim</v>
      </c>
      <c r="AD1061" t="str">
        <f>IF(AB1061="",X1061,AB1061)</f>
        <v>sim</v>
      </c>
      <c r="AE1061" t="str">
        <f>IF(OR(Configuracao!B9="",Configuracao!B10=""),"aguardando limiar",IF(AND(K1061&gt;=Configuracao!B9,K1061/MAX(Reconciliacao!C2,1)&gt;=Configuracao!B10/100),"sim","não"))</f>
        <v>aguardando limiar</v>
      </c>
    </row>
    <row r="1062" spans="1:31" x14ac:dyDescent="0.25">
      <c r="A1062">
        <v>12243</v>
      </c>
      <c r="C1062" t="s">
        <v>941</v>
      </c>
      <c r="D1062" t="s">
        <v>824</v>
      </c>
      <c r="E1062" t="s">
        <v>451</v>
      </c>
      <c r="F1062" t="s">
        <v>316</v>
      </c>
      <c r="G1062" t="s">
        <v>381</v>
      </c>
      <c r="H1062" t="s">
        <v>380</v>
      </c>
      <c r="I1062" t="s">
        <v>424</v>
      </c>
      <c r="J1062" t="s">
        <v>424</v>
      </c>
      <c r="K1062" s="4">
        <v>81.82</v>
      </c>
      <c r="L1062" s="4">
        <v>81.82</v>
      </c>
      <c r="M1062" t="s">
        <v>44</v>
      </c>
      <c r="N1062" t="s">
        <v>77</v>
      </c>
      <c r="O1062" t="s">
        <v>99</v>
      </c>
      <c r="P1062" t="s">
        <v>99</v>
      </c>
      <c r="Q1062" t="s">
        <v>131</v>
      </c>
      <c r="R1062" t="s">
        <v>317</v>
      </c>
      <c r="S1062" t="s">
        <v>185</v>
      </c>
      <c r="T1062" t="s">
        <v>162</v>
      </c>
      <c r="U1062" t="s">
        <v>163</v>
      </c>
      <c r="V1062" t="s">
        <v>193</v>
      </c>
      <c r="W1062" t="s">
        <v>77</v>
      </c>
      <c r="X1062" t="s">
        <v>44</v>
      </c>
      <c r="Y1062" t="s">
        <v>99</v>
      </c>
      <c r="Z1062" t="s">
        <v>421</v>
      </c>
      <c r="AC1062" t="str">
        <f>IF(AA1062="",M1062,AA1062)</f>
        <v>sim</v>
      </c>
      <c r="AD1062" t="str">
        <f>IF(AB1062="",X1062,AB1062)</f>
        <v>sim</v>
      </c>
      <c r="AE1062" t="str">
        <f>IF(OR(Configuracao!B9="",Configuracao!B10=""),"aguardando limiar",IF(AND(K1062&gt;=Configuracao!B9,K1062/MAX(Reconciliacao!C2,1)&gt;=Configuracao!B10/100),"sim","não"))</f>
        <v>aguardando limiar</v>
      </c>
    </row>
    <row r="1063" spans="1:31" x14ac:dyDescent="0.25">
      <c r="A1063">
        <v>15750</v>
      </c>
      <c r="C1063" t="s">
        <v>941</v>
      </c>
      <c r="D1063" t="s">
        <v>824</v>
      </c>
      <c r="E1063" t="s">
        <v>451</v>
      </c>
      <c r="F1063" t="s">
        <v>316</v>
      </c>
      <c r="G1063" t="s">
        <v>381</v>
      </c>
      <c r="H1063" t="s">
        <v>380</v>
      </c>
      <c r="I1063" t="s">
        <v>454</v>
      </c>
      <c r="J1063" t="s">
        <v>454</v>
      </c>
      <c r="K1063" s="4">
        <v>81.82</v>
      </c>
      <c r="L1063" s="4">
        <v>81.82</v>
      </c>
      <c r="M1063" t="s">
        <v>44</v>
      </c>
      <c r="N1063" t="s">
        <v>77</v>
      </c>
      <c r="O1063" t="s">
        <v>99</v>
      </c>
      <c r="P1063" t="s">
        <v>99</v>
      </c>
      <c r="Q1063" t="s">
        <v>131</v>
      </c>
      <c r="R1063" t="s">
        <v>317</v>
      </c>
      <c r="S1063" t="s">
        <v>185</v>
      </c>
      <c r="T1063" t="s">
        <v>162</v>
      </c>
      <c r="U1063" t="s">
        <v>163</v>
      </c>
      <c r="V1063" t="s">
        <v>193</v>
      </c>
      <c r="W1063" t="s">
        <v>77</v>
      </c>
      <c r="X1063" t="s">
        <v>44</v>
      </c>
      <c r="Y1063" t="s">
        <v>99</v>
      </c>
      <c r="Z1063" t="s">
        <v>421</v>
      </c>
      <c r="AC1063" t="str">
        <f>IF(AA1063="",M1063,AA1063)</f>
        <v>sim</v>
      </c>
      <c r="AD1063" t="str">
        <f>IF(AB1063="",X1063,AB1063)</f>
        <v>sim</v>
      </c>
      <c r="AE1063" t="str">
        <f>IF(OR(Configuracao!B9="",Configuracao!B10=""),"aguardando limiar",IF(AND(K1063&gt;=Configuracao!B9,K1063/MAX(Reconciliacao!C2,1)&gt;=Configuracao!B10/100),"sim","não"))</f>
        <v>aguardando limiar</v>
      </c>
    </row>
    <row r="1064" spans="1:31" x14ac:dyDescent="0.25">
      <c r="A1064">
        <v>18963</v>
      </c>
      <c r="C1064" t="s">
        <v>941</v>
      </c>
      <c r="D1064" t="s">
        <v>824</v>
      </c>
      <c r="E1064" t="s">
        <v>451</v>
      </c>
      <c r="F1064" t="s">
        <v>316</v>
      </c>
      <c r="G1064" t="s">
        <v>381</v>
      </c>
      <c r="H1064" t="s">
        <v>380</v>
      </c>
      <c r="I1064" t="s">
        <v>35</v>
      </c>
      <c r="J1064" t="s">
        <v>35</v>
      </c>
      <c r="K1064" s="4">
        <v>81.82</v>
      </c>
      <c r="L1064" s="4">
        <v>81.82</v>
      </c>
      <c r="M1064" t="s">
        <v>44</v>
      </c>
      <c r="N1064" t="s">
        <v>77</v>
      </c>
      <c r="O1064" t="s">
        <v>99</v>
      </c>
      <c r="P1064" t="s">
        <v>99</v>
      </c>
      <c r="Q1064" t="s">
        <v>131</v>
      </c>
      <c r="R1064" t="s">
        <v>317</v>
      </c>
      <c r="S1064" t="s">
        <v>185</v>
      </c>
      <c r="T1064" t="s">
        <v>162</v>
      </c>
      <c r="U1064" t="s">
        <v>163</v>
      </c>
      <c r="V1064" t="s">
        <v>193</v>
      </c>
      <c r="W1064" t="s">
        <v>77</v>
      </c>
      <c r="X1064" t="s">
        <v>44</v>
      </c>
      <c r="Y1064" t="s">
        <v>99</v>
      </c>
      <c r="Z1064" t="s">
        <v>421</v>
      </c>
      <c r="AC1064" t="str">
        <f>IF(AA1064="",M1064,AA1064)</f>
        <v>sim</v>
      </c>
      <c r="AD1064" t="str">
        <f>IF(AB1064="",X1064,AB1064)</f>
        <v>sim</v>
      </c>
      <c r="AE1064" t="str">
        <f>IF(OR(Configuracao!B9="",Configuracao!B10=""),"aguardando limiar",IF(AND(K1064&gt;=Configuracao!B9,K1064/MAX(Reconciliacao!C2,1)&gt;=Configuracao!B10/100),"sim","não"))</f>
        <v>aguardando limiar</v>
      </c>
    </row>
    <row r="1065" spans="1:31" x14ac:dyDescent="0.25">
      <c r="A1065">
        <v>16927</v>
      </c>
      <c r="C1065" t="s">
        <v>950</v>
      </c>
      <c r="D1065" t="s">
        <v>824</v>
      </c>
      <c r="E1065" t="s">
        <v>451</v>
      </c>
      <c r="F1065" t="s">
        <v>316</v>
      </c>
      <c r="G1065" t="s">
        <v>381</v>
      </c>
      <c r="H1065" t="s">
        <v>380</v>
      </c>
      <c r="I1065" t="s">
        <v>461</v>
      </c>
      <c r="J1065" t="s">
        <v>461</v>
      </c>
      <c r="K1065" s="4">
        <v>207.78</v>
      </c>
      <c r="L1065" s="4">
        <v>207.78</v>
      </c>
      <c r="M1065" t="s">
        <v>44</v>
      </c>
      <c r="N1065" t="s">
        <v>77</v>
      </c>
      <c r="O1065" t="s">
        <v>99</v>
      </c>
      <c r="P1065" t="s">
        <v>99</v>
      </c>
      <c r="Q1065" t="s">
        <v>131</v>
      </c>
      <c r="R1065" t="s">
        <v>317</v>
      </c>
      <c r="S1065" t="s">
        <v>185</v>
      </c>
      <c r="T1065" t="s">
        <v>162</v>
      </c>
      <c r="U1065" t="s">
        <v>163</v>
      </c>
      <c r="V1065" t="s">
        <v>193</v>
      </c>
      <c r="W1065" t="s">
        <v>77</v>
      </c>
      <c r="X1065" t="s">
        <v>44</v>
      </c>
      <c r="Y1065" t="s">
        <v>99</v>
      </c>
      <c r="Z1065" t="s">
        <v>421</v>
      </c>
      <c r="AC1065" t="str">
        <f>IF(AA1065="",M1065,AA1065)</f>
        <v>sim</v>
      </c>
      <c r="AD1065" t="str">
        <f>IF(AB1065="",X1065,AB1065)</f>
        <v>sim</v>
      </c>
      <c r="AE1065" t="str">
        <f>IF(OR(Configuracao!B9="",Configuracao!B10=""),"aguardando limiar",IF(AND(K1065&gt;=Configuracao!B9,K1065/MAX(Reconciliacao!C2,1)&gt;=Configuracao!B10/100),"sim","não"))</f>
        <v>aguardando limiar</v>
      </c>
    </row>
    <row r="1066" spans="1:31" x14ac:dyDescent="0.25">
      <c r="A1066">
        <v>12235</v>
      </c>
      <c r="C1066" t="s">
        <v>951</v>
      </c>
      <c r="D1066" t="s">
        <v>824</v>
      </c>
      <c r="E1066" t="s">
        <v>451</v>
      </c>
      <c r="F1066" t="s">
        <v>316</v>
      </c>
      <c r="G1066" t="s">
        <v>383</v>
      </c>
      <c r="H1066" t="s">
        <v>382</v>
      </c>
      <c r="I1066" t="s">
        <v>424</v>
      </c>
      <c r="J1066" t="s">
        <v>424</v>
      </c>
      <c r="K1066" s="4">
        <v>3.19</v>
      </c>
      <c r="L1066" s="4">
        <v>3.19</v>
      </c>
      <c r="M1066" t="s">
        <v>44</v>
      </c>
      <c r="N1066" t="s">
        <v>77</v>
      </c>
      <c r="O1066" t="s">
        <v>99</v>
      </c>
      <c r="P1066" t="s">
        <v>99</v>
      </c>
      <c r="Q1066" t="s">
        <v>131</v>
      </c>
      <c r="R1066" t="s">
        <v>317</v>
      </c>
      <c r="S1066" t="s">
        <v>185</v>
      </c>
      <c r="T1066" t="s">
        <v>162</v>
      </c>
      <c r="U1066" t="s">
        <v>163</v>
      </c>
      <c r="V1066" t="s">
        <v>193</v>
      </c>
      <c r="W1066" t="s">
        <v>77</v>
      </c>
      <c r="X1066" t="s">
        <v>44</v>
      </c>
      <c r="Y1066" t="s">
        <v>99</v>
      </c>
      <c r="Z1066" t="s">
        <v>421</v>
      </c>
      <c r="AC1066" t="str">
        <f>IF(AA1066="",M1066,AA1066)</f>
        <v>sim</v>
      </c>
      <c r="AD1066" t="str">
        <f>IF(AB1066="",X1066,AB1066)</f>
        <v>sim</v>
      </c>
      <c r="AE1066" t="str">
        <f>IF(OR(Configuracao!B9="",Configuracao!B10=""),"aguardando limiar",IF(AND(K1066&gt;=Configuracao!B9,K1066/MAX(Reconciliacao!C2,1)&gt;=Configuracao!B10/100),"sim","não"))</f>
        <v>aguardando limiar</v>
      </c>
    </row>
    <row r="1067" spans="1:31" x14ac:dyDescent="0.25">
      <c r="A1067">
        <v>12241</v>
      </c>
      <c r="C1067" t="s">
        <v>951</v>
      </c>
      <c r="D1067" t="s">
        <v>824</v>
      </c>
      <c r="E1067" t="s">
        <v>451</v>
      </c>
      <c r="F1067" t="s">
        <v>316</v>
      </c>
      <c r="G1067" t="s">
        <v>383</v>
      </c>
      <c r="H1067" t="s">
        <v>382</v>
      </c>
      <c r="I1067" t="s">
        <v>424</v>
      </c>
      <c r="J1067" t="s">
        <v>424</v>
      </c>
      <c r="K1067" s="4">
        <v>3.19</v>
      </c>
      <c r="L1067" s="4">
        <v>3.19</v>
      </c>
      <c r="M1067" t="s">
        <v>44</v>
      </c>
      <c r="N1067" t="s">
        <v>77</v>
      </c>
      <c r="O1067" t="s">
        <v>99</v>
      </c>
      <c r="P1067" t="s">
        <v>99</v>
      </c>
      <c r="Q1067" t="s">
        <v>131</v>
      </c>
      <c r="R1067" t="s">
        <v>317</v>
      </c>
      <c r="S1067" t="s">
        <v>185</v>
      </c>
      <c r="T1067" t="s">
        <v>162</v>
      </c>
      <c r="U1067" t="s">
        <v>163</v>
      </c>
      <c r="V1067" t="s">
        <v>193</v>
      </c>
      <c r="W1067" t="s">
        <v>77</v>
      </c>
      <c r="X1067" t="s">
        <v>44</v>
      </c>
      <c r="Y1067" t="s">
        <v>99</v>
      </c>
      <c r="Z1067" t="s">
        <v>421</v>
      </c>
      <c r="AC1067" t="str">
        <f>IF(AA1067="",M1067,AA1067)</f>
        <v>sim</v>
      </c>
      <c r="AD1067" t="str">
        <f>IF(AB1067="",X1067,AB1067)</f>
        <v>sim</v>
      </c>
      <c r="AE1067" t="str">
        <f>IF(OR(Configuracao!B9="",Configuracao!B10=""),"aguardando limiar",IF(AND(K1067&gt;=Configuracao!B9,K1067/MAX(Reconciliacao!C2,1)&gt;=Configuracao!B10/100),"sim","não"))</f>
        <v>aguardando limiar</v>
      </c>
    </row>
    <row r="1068" spans="1:31" x14ac:dyDescent="0.25">
      <c r="A1068">
        <v>12362</v>
      </c>
      <c r="C1068" t="s">
        <v>951</v>
      </c>
      <c r="D1068" t="s">
        <v>824</v>
      </c>
      <c r="E1068" t="s">
        <v>451</v>
      </c>
      <c r="F1068" t="s">
        <v>316</v>
      </c>
      <c r="G1068" t="s">
        <v>383</v>
      </c>
      <c r="H1068" t="s">
        <v>382</v>
      </c>
      <c r="I1068" t="s">
        <v>32</v>
      </c>
      <c r="J1068" t="s">
        <v>32</v>
      </c>
      <c r="K1068" s="4">
        <v>3.19</v>
      </c>
      <c r="L1068" s="4">
        <v>3.19</v>
      </c>
      <c r="M1068" t="s">
        <v>44</v>
      </c>
      <c r="N1068" t="s">
        <v>77</v>
      </c>
      <c r="O1068" t="s">
        <v>99</v>
      </c>
      <c r="P1068" t="s">
        <v>99</v>
      </c>
      <c r="Q1068" t="s">
        <v>131</v>
      </c>
      <c r="R1068" t="s">
        <v>317</v>
      </c>
      <c r="S1068" t="s">
        <v>185</v>
      </c>
      <c r="T1068" t="s">
        <v>162</v>
      </c>
      <c r="U1068" t="s">
        <v>163</v>
      </c>
      <c r="V1068" t="s">
        <v>193</v>
      </c>
      <c r="W1068" t="s">
        <v>77</v>
      </c>
      <c r="X1068" t="s">
        <v>44</v>
      </c>
      <c r="Y1068" t="s">
        <v>99</v>
      </c>
      <c r="Z1068" t="s">
        <v>421</v>
      </c>
      <c r="AC1068" t="str">
        <f>IF(AA1068="",M1068,AA1068)</f>
        <v>sim</v>
      </c>
      <c r="AD1068" t="str">
        <f>IF(AB1068="",X1068,AB1068)</f>
        <v>sim</v>
      </c>
      <c r="AE1068" t="str">
        <f>IF(OR(Configuracao!B9="",Configuracao!B10=""),"aguardando limiar",IF(AND(K1068&gt;=Configuracao!B9,K1068/MAX(Reconciliacao!C2,1)&gt;=Configuracao!B10/100),"sim","não"))</f>
        <v>aguardando limiar</v>
      </c>
    </row>
    <row r="1069" spans="1:31" x14ac:dyDescent="0.25">
      <c r="A1069">
        <v>12670</v>
      </c>
      <c r="C1069" t="s">
        <v>951</v>
      </c>
      <c r="D1069" t="s">
        <v>824</v>
      </c>
      <c r="E1069" t="s">
        <v>451</v>
      </c>
      <c r="F1069" t="s">
        <v>316</v>
      </c>
      <c r="G1069" t="s">
        <v>383</v>
      </c>
      <c r="H1069" t="s">
        <v>382</v>
      </c>
      <c r="I1069" t="s">
        <v>420</v>
      </c>
      <c r="J1069" t="s">
        <v>420</v>
      </c>
      <c r="K1069" s="4">
        <v>3.19</v>
      </c>
      <c r="L1069" s="4">
        <v>3.19</v>
      </c>
      <c r="M1069" t="s">
        <v>44</v>
      </c>
      <c r="N1069" t="s">
        <v>77</v>
      </c>
      <c r="O1069" t="s">
        <v>99</v>
      </c>
      <c r="P1069" t="s">
        <v>99</v>
      </c>
      <c r="Q1069" t="s">
        <v>131</v>
      </c>
      <c r="R1069" t="s">
        <v>317</v>
      </c>
      <c r="S1069" t="s">
        <v>185</v>
      </c>
      <c r="T1069" t="s">
        <v>162</v>
      </c>
      <c r="U1069" t="s">
        <v>163</v>
      </c>
      <c r="V1069" t="s">
        <v>193</v>
      </c>
      <c r="W1069" t="s">
        <v>77</v>
      </c>
      <c r="X1069" t="s">
        <v>44</v>
      </c>
      <c r="Y1069" t="s">
        <v>99</v>
      </c>
      <c r="Z1069" t="s">
        <v>421</v>
      </c>
      <c r="AC1069" t="str">
        <f>IF(AA1069="",M1069,AA1069)</f>
        <v>sim</v>
      </c>
      <c r="AD1069" t="str">
        <f>IF(AB1069="",X1069,AB1069)</f>
        <v>sim</v>
      </c>
      <c r="AE1069" t="str">
        <f>IF(OR(Configuracao!B9="",Configuracao!B10=""),"aguardando limiar",IF(AND(K1069&gt;=Configuracao!B9,K1069/MAX(Reconciliacao!C2,1)&gt;=Configuracao!B10/100),"sim","não"))</f>
        <v>aguardando limiar</v>
      </c>
    </row>
    <row r="1070" spans="1:31" x14ac:dyDescent="0.25">
      <c r="A1070">
        <v>12671</v>
      </c>
      <c r="C1070" t="s">
        <v>951</v>
      </c>
      <c r="D1070" t="s">
        <v>824</v>
      </c>
      <c r="E1070" t="s">
        <v>451</v>
      </c>
      <c r="F1070" t="s">
        <v>316</v>
      </c>
      <c r="G1070" t="s">
        <v>383</v>
      </c>
      <c r="H1070" t="s">
        <v>382</v>
      </c>
      <c r="I1070" t="s">
        <v>420</v>
      </c>
      <c r="J1070" t="s">
        <v>420</v>
      </c>
      <c r="K1070" s="4">
        <v>3.19</v>
      </c>
      <c r="L1070" s="4">
        <v>3.19</v>
      </c>
      <c r="M1070" t="s">
        <v>44</v>
      </c>
      <c r="N1070" t="s">
        <v>77</v>
      </c>
      <c r="O1070" t="s">
        <v>99</v>
      </c>
      <c r="P1070" t="s">
        <v>99</v>
      </c>
      <c r="Q1070" t="s">
        <v>131</v>
      </c>
      <c r="R1070" t="s">
        <v>317</v>
      </c>
      <c r="S1070" t="s">
        <v>185</v>
      </c>
      <c r="T1070" t="s">
        <v>162</v>
      </c>
      <c r="U1070" t="s">
        <v>163</v>
      </c>
      <c r="V1070" t="s">
        <v>193</v>
      </c>
      <c r="W1070" t="s">
        <v>77</v>
      </c>
      <c r="X1070" t="s">
        <v>44</v>
      </c>
      <c r="Y1070" t="s">
        <v>99</v>
      </c>
      <c r="Z1070" t="s">
        <v>421</v>
      </c>
      <c r="AC1070" t="str">
        <f>IF(AA1070="",M1070,AA1070)</f>
        <v>sim</v>
      </c>
      <c r="AD1070" t="str">
        <f>IF(AB1070="",X1070,AB1070)</f>
        <v>sim</v>
      </c>
      <c r="AE1070" t="str">
        <f>IF(OR(Configuracao!B9="",Configuracao!B10=""),"aguardando limiar",IF(AND(K1070&gt;=Configuracao!B9,K1070/MAX(Reconciliacao!C2,1)&gt;=Configuracao!B10/100),"sim","não"))</f>
        <v>aguardando limiar</v>
      </c>
    </row>
    <row r="1071" spans="1:31" x14ac:dyDescent="0.25">
      <c r="A1071">
        <v>12673</v>
      </c>
      <c r="C1071" t="s">
        <v>951</v>
      </c>
      <c r="D1071" t="s">
        <v>824</v>
      </c>
      <c r="E1071" t="s">
        <v>451</v>
      </c>
      <c r="F1071" t="s">
        <v>316</v>
      </c>
      <c r="G1071" t="s">
        <v>383</v>
      </c>
      <c r="H1071" t="s">
        <v>382</v>
      </c>
      <c r="I1071" t="s">
        <v>420</v>
      </c>
      <c r="J1071" t="s">
        <v>420</v>
      </c>
      <c r="K1071" s="4">
        <v>3.19</v>
      </c>
      <c r="L1071" s="4">
        <v>3.19</v>
      </c>
      <c r="M1071" t="s">
        <v>44</v>
      </c>
      <c r="N1071" t="s">
        <v>77</v>
      </c>
      <c r="O1071" t="s">
        <v>99</v>
      </c>
      <c r="P1071" t="s">
        <v>99</v>
      </c>
      <c r="Q1071" t="s">
        <v>131</v>
      </c>
      <c r="R1071" t="s">
        <v>317</v>
      </c>
      <c r="S1071" t="s">
        <v>185</v>
      </c>
      <c r="T1071" t="s">
        <v>162</v>
      </c>
      <c r="U1071" t="s">
        <v>163</v>
      </c>
      <c r="V1071" t="s">
        <v>193</v>
      </c>
      <c r="W1071" t="s">
        <v>77</v>
      </c>
      <c r="X1071" t="s">
        <v>44</v>
      </c>
      <c r="Y1071" t="s">
        <v>99</v>
      </c>
      <c r="Z1071" t="s">
        <v>421</v>
      </c>
      <c r="AC1071" t="str">
        <f>IF(AA1071="",M1071,AA1071)</f>
        <v>sim</v>
      </c>
      <c r="AD1071" t="str">
        <f>IF(AB1071="",X1071,AB1071)</f>
        <v>sim</v>
      </c>
      <c r="AE1071" t="str">
        <f>IF(OR(Configuracao!B9="",Configuracao!B10=""),"aguardando limiar",IF(AND(K1071&gt;=Configuracao!B9,K1071/MAX(Reconciliacao!C2,1)&gt;=Configuracao!B10/100),"sim","não"))</f>
        <v>aguardando limiar</v>
      </c>
    </row>
    <row r="1072" spans="1:31" x14ac:dyDescent="0.25">
      <c r="A1072">
        <v>12679</v>
      </c>
      <c r="C1072" t="s">
        <v>951</v>
      </c>
      <c r="D1072" t="s">
        <v>824</v>
      </c>
      <c r="E1072" t="s">
        <v>451</v>
      </c>
      <c r="F1072" t="s">
        <v>316</v>
      </c>
      <c r="G1072" t="s">
        <v>383</v>
      </c>
      <c r="H1072" t="s">
        <v>382</v>
      </c>
      <c r="I1072" t="s">
        <v>420</v>
      </c>
      <c r="J1072" t="s">
        <v>420</v>
      </c>
      <c r="K1072" s="4">
        <v>3.19</v>
      </c>
      <c r="L1072" s="4">
        <v>3.19</v>
      </c>
      <c r="M1072" t="s">
        <v>44</v>
      </c>
      <c r="N1072" t="s">
        <v>77</v>
      </c>
      <c r="O1072" t="s">
        <v>99</v>
      </c>
      <c r="P1072" t="s">
        <v>99</v>
      </c>
      <c r="Q1072" t="s">
        <v>131</v>
      </c>
      <c r="R1072" t="s">
        <v>317</v>
      </c>
      <c r="S1072" t="s">
        <v>185</v>
      </c>
      <c r="T1072" t="s">
        <v>162</v>
      </c>
      <c r="U1072" t="s">
        <v>163</v>
      </c>
      <c r="V1072" t="s">
        <v>193</v>
      </c>
      <c r="W1072" t="s">
        <v>77</v>
      </c>
      <c r="X1072" t="s">
        <v>44</v>
      </c>
      <c r="Y1072" t="s">
        <v>99</v>
      </c>
      <c r="Z1072" t="s">
        <v>421</v>
      </c>
      <c r="AC1072" t="str">
        <f>IF(AA1072="",M1072,AA1072)</f>
        <v>sim</v>
      </c>
      <c r="AD1072" t="str">
        <f>IF(AB1072="",X1072,AB1072)</f>
        <v>sim</v>
      </c>
      <c r="AE1072" t="str">
        <f>IF(OR(Configuracao!B9="",Configuracao!B10=""),"aguardando limiar",IF(AND(K1072&gt;=Configuracao!B9,K1072/MAX(Reconciliacao!C2,1)&gt;=Configuracao!B10/100),"sim","não"))</f>
        <v>aguardando limiar</v>
      </c>
    </row>
    <row r="1073" spans="1:31" x14ac:dyDescent="0.25">
      <c r="A1073">
        <v>12906</v>
      </c>
      <c r="C1073" t="s">
        <v>951</v>
      </c>
      <c r="D1073" t="s">
        <v>824</v>
      </c>
      <c r="E1073" t="s">
        <v>451</v>
      </c>
      <c r="F1073" t="s">
        <v>316</v>
      </c>
      <c r="G1073" t="s">
        <v>383</v>
      </c>
      <c r="H1073" t="s">
        <v>382</v>
      </c>
      <c r="I1073" t="s">
        <v>420</v>
      </c>
      <c r="J1073" t="s">
        <v>420</v>
      </c>
      <c r="K1073" s="4">
        <v>3.19</v>
      </c>
      <c r="L1073" s="4">
        <v>3.19</v>
      </c>
      <c r="M1073" t="s">
        <v>44</v>
      </c>
      <c r="N1073" t="s">
        <v>77</v>
      </c>
      <c r="O1073" t="s">
        <v>99</v>
      </c>
      <c r="P1073" t="s">
        <v>99</v>
      </c>
      <c r="Q1073" t="s">
        <v>131</v>
      </c>
      <c r="R1073" t="s">
        <v>317</v>
      </c>
      <c r="S1073" t="s">
        <v>185</v>
      </c>
      <c r="T1073" t="s">
        <v>162</v>
      </c>
      <c r="U1073" t="s">
        <v>163</v>
      </c>
      <c r="V1073" t="s">
        <v>193</v>
      </c>
      <c r="W1073" t="s">
        <v>77</v>
      </c>
      <c r="X1073" t="s">
        <v>44</v>
      </c>
      <c r="Y1073" t="s">
        <v>99</v>
      </c>
      <c r="Z1073" t="s">
        <v>421</v>
      </c>
      <c r="AC1073" t="str">
        <f>IF(AA1073="",M1073,AA1073)</f>
        <v>sim</v>
      </c>
      <c r="AD1073" t="str">
        <f>IF(AB1073="",X1073,AB1073)</f>
        <v>sim</v>
      </c>
      <c r="AE1073" t="str">
        <f>IF(OR(Configuracao!B9="",Configuracao!B10=""),"aguardando limiar",IF(AND(K1073&gt;=Configuracao!B9,K1073/MAX(Reconciliacao!C2,1)&gt;=Configuracao!B10/100),"sim","não"))</f>
        <v>aguardando limiar</v>
      </c>
    </row>
    <row r="1074" spans="1:31" x14ac:dyDescent="0.25">
      <c r="A1074">
        <v>13035</v>
      </c>
      <c r="C1074" t="s">
        <v>951</v>
      </c>
      <c r="D1074" t="s">
        <v>824</v>
      </c>
      <c r="E1074" t="s">
        <v>451</v>
      </c>
      <c r="F1074" t="s">
        <v>316</v>
      </c>
      <c r="G1074" t="s">
        <v>383</v>
      </c>
      <c r="H1074" t="s">
        <v>382</v>
      </c>
      <c r="I1074" t="s">
        <v>424</v>
      </c>
      <c r="J1074" t="s">
        <v>424</v>
      </c>
      <c r="K1074" s="4">
        <v>3.19</v>
      </c>
      <c r="L1074" s="4">
        <v>3.19</v>
      </c>
      <c r="M1074" t="s">
        <v>44</v>
      </c>
      <c r="N1074" t="s">
        <v>77</v>
      </c>
      <c r="O1074" t="s">
        <v>99</v>
      </c>
      <c r="P1074" t="s">
        <v>99</v>
      </c>
      <c r="Q1074" t="s">
        <v>131</v>
      </c>
      <c r="R1074" t="s">
        <v>317</v>
      </c>
      <c r="S1074" t="s">
        <v>185</v>
      </c>
      <c r="T1074" t="s">
        <v>162</v>
      </c>
      <c r="U1074" t="s">
        <v>163</v>
      </c>
      <c r="V1074" t="s">
        <v>193</v>
      </c>
      <c r="W1074" t="s">
        <v>77</v>
      </c>
      <c r="X1074" t="s">
        <v>44</v>
      </c>
      <c r="Y1074" t="s">
        <v>99</v>
      </c>
      <c r="Z1074" t="s">
        <v>421</v>
      </c>
      <c r="AC1074" t="str">
        <f>IF(AA1074="",M1074,AA1074)</f>
        <v>sim</v>
      </c>
      <c r="AD1074" t="str">
        <f>IF(AB1074="",X1074,AB1074)</f>
        <v>sim</v>
      </c>
      <c r="AE1074" t="str">
        <f>IF(OR(Configuracao!B9="",Configuracao!B10=""),"aguardando limiar",IF(AND(K1074&gt;=Configuracao!B9,K1074/MAX(Reconciliacao!C2,1)&gt;=Configuracao!B10/100),"sim","não"))</f>
        <v>aguardando limiar</v>
      </c>
    </row>
    <row r="1075" spans="1:31" x14ac:dyDescent="0.25">
      <c r="A1075">
        <v>13398</v>
      </c>
      <c r="C1075" t="s">
        <v>951</v>
      </c>
      <c r="D1075" t="s">
        <v>824</v>
      </c>
      <c r="E1075" t="s">
        <v>451</v>
      </c>
      <c r="F1075" t="s">
        <v>316</v>
      </c>
      <c r="G1075" t="s">
        <v>383</v>
      </c>
      <c r="H1075" t="s">
        <v>382</v>
      </c>
      <c r="I1075" t="s">
        <v>420</v>
      </c>
      <c r="J1075" t="s">
        <v>420</v>
      </c>
      <c r="K1075" s="4">
        <v>3.19</v>
      </c>
      <c r="L1075" s="4">
        <v>3.19</v>
      </c>
      <c r="M1075" t="s">
        <v>44</v>
      </c>
      <c r="N1075" t="s">
        <v>77</v>
      </c>
      <c r="O1075" t="s">
        <v>99</v>
      </c>
      <c r="P1075" t="s">
        <v>99</v>
      </c>
      <c r="Q1075" t="s">
        <v>131</v>
      </c>
      <c r="R1075" t="s">
        <v>317</v>
      </c>
      <c r="S1075" t="s">
        <v>185</v>
      </c>
      <c r="T1075" t="s">
        <v>162</v>
      </c>
      <c r="U1075" t="s">
        <v>163</v>
      </c>
      <c r="V1075" t="s">
        <v>193</v>
      </c>
      <c r="W1075" t="s">
        <v>77</v>
      </c>
      <c r="X1075" t="s">
        <v>44</v>
      </c>
      <c r="Y1075" t="s">
        <v>99</v>
      </c>
      <c r="Z1075" t="s">
        <v>421</v>
      </c>
      <c r="AC1075" t="str">
        <f>IF(AA1075="",M1075,AA1075)</f>
        <v>sim</v>
      </c>
      <c r="AD1075" t="str">
        <f>IF(AB1075="",X1075,AB1075)</f>
        <v>sim</v>
      </c>
      <c r="AE1075" t="str">
        <f>IF(OR(Configuracao!B9="",Configuracao!B10=""),"aguardando limiar",IF(AND(K1075&gt;=Configuracao!B9,K1075/MAX(Reconciliacao!C2,1)&gt;=Configuracao!B10/100),"sim","não"))</f>
        <v>aguardando limiar</v>
      </c>
    </row>
    <row r="1076" spans="1:31" x14ac:dyDescent="0.25">
      <c r="A1076">
        <v>14189</v>
      </c>
      <c r="C1076" t="s">
        <v>951</v>
      </c>
      <c r="D1076" t="s">
        <v>824</v>
      </c>
      <c r="E1076" t="s">
        <v>451</v>
      </c>
      <c r="F1076" t="s">
        <v>316</v>
      </c>
      <c r="G1076" t="s">
        <v>383</v>
      </c>
      <c r="H1076" t="s">
        <v>382</v>
      </c>
      <c r="I1076" t="s">
        <v>454</v>
      </c>
      <c r="J1076" t="s">
        <v>454</v>
      </c>
      <c r="K1076" s="4">
        <v>3.19</v>
      </c>
      <c r="L1076" s="4">
        <v>3.19</v>
      </c>
      <c r="M1076" t="s">
        <v>44</v>
      </c>
      <c r="N1076" t="s">
        <v>77</v>
      </c>
      <c r="O1076" t="s">
        <v>99</v>
      </c>
      <c r="P1076" t="s">
        <v>99</v>
      </c>
      <c r="Q1076" t="s">
        <v>131</v>
      </c>
      <c r="R1076" t="s">
        <v>317</v>
      </c>
      <c r="S1076" t="s">
        <v>185</v>
      </c>
      <c r="T1076" t="s">
        <v>162</v>
      </c>
      <c r="U1076" t="s">
        <v>163</v>
      </c>
      <c r="V1076" t="s">
        <v>193</v>
      </c>
      <c r="W1076" t="s">
        <v>77</v>
      </c>
      <c r="X1076" t="s">
        <v>44</v>
      </c>
      <c r="Y1076" t="s">
        <v>99</v>
      </c>
      <c r="Z1076" t="s">
        <v>421</v>
      </c>
      <c r="AC1076" t="str">
        <f>IF(AA1076="",M1076,AA1076)</f>
        <v>sim</v>
      </c>
      <c r="AD1076" t="str">
        <f>IF(AB1076="",X1076,AB1076)</f>
        <v>sim</v>
      </c>
      <c r="AE1076" t="str">
        <f>IF(OR(Configuracao!B9="",Configuracao!B10=""),"aguardando limiar",IF(AND(K1076&gt;=Configuracao!B9,K1076/MAX(Reconciliacao!C2,1)&gt;=Configuracao!B10/100),"sim","não"))</f>
        <v>aguardando limiar</v>
      </c>
    </row>
    <row r="1077" spans="1:31" x14ac:dyDescent="0.25">
      <c r="A1077">
        <v>14190</v>
      </c>
      <c r="C1077" t="s">
        <v>951</v>
      </c>
      <c r="D1077" t="s">
        <v>824</v>
      </c>
      <c r="E1077" t="s">
        <v>451</v>
      </c>
      <c r="F1077" t="s">
        <v>316</v>
      </c>
      <c r="G1077" t="s">
        <v>383</v>
      </c>
      <c r="H1077" t="s">
        <v>382</v>
      </c>
      <c r="I1077" t="s">
        <v>454</v>
      </c>
      <c r="J1077" t="s">
        <v>454</v>
      </c>
      <c r="K1077" s="4">
        <v>3.19</v>
      </c>
      <c r="L1077" s="4">
        <v>3.19</v>
      </c>
      <c r="M1077" t="s">
        <v>44</v>
      </c>
      <c r="N1077" t="s">
        <v>77</v>
      </c>
      <c r="O1077" t="s">
        <v>99</v>
      </c>
      <c r="P1077" t="s">
        <v>99</v>
      </c>
      <c r="Q1077" t="s">
        <v>131</v>
      </c>
      <c r="R1077" t="s">
        <v>317</v>
      </c>
      <c r="S1077" t="s">
        <v>185</v>
      </c>
      <c r="T1077" t="s">
        <v>162</v>
      </c>
      <c r="U1077" t="s">
        <v>163</v>
      </c>
      <c r="V1077" t="s">
        <v>193</v>
      </c>
      <c r="W1077" t="s">
        <v>77</v>
      </c>
      <c r="X1077" t="s">
        <v>44</v>
      </c>
      <c r="Y1077" t="s">
        <v>99</v>
      </c>
      <c r="Z1077" t="s">
        <v>421</v>
      </c>
      <c r="AC1077" t="str">
        <f>IF(AA1077="",M1077,AA1077)</f>
        <v>sim</v>
      </c>
      <c r="AD1077" t="str">
        <f>IF(AB1077="",X1077,AB1077)</f>
        <v>sim</v>
      </c>
      <c r="AE1077" t="str">
        <f>IF(OR(Configuracao!B9="",Configuracao!B10=""),"aguardando limiar",IF(AND(K1077&gt;=Configuracao!B9,K1077/MAX(Reconciliacao!C2,1)&gt;=Configuracao!B10/100),"sim","não"))</f>
        <v>aguardando limiar</v>
      </c>
    </row>
    <row r="1078" spans="1:31" x14ac:dyDescent="0.25">
      <c r="A1078">
        <v>14572</v>
      </c>
      <c r="C1078" t="s">
        <v>951</v>
      </c>
      <c r="D1078" t="s">
        <v>824</v>
      </c>
      <c r="E1078" t="s">
        <v>451</v>
      </c>
      <c r="F1078" t="s">
        <v>316</v>
      </c>
      <c r="G1078" t="s">
        <v>383</v>
      </c>
      <c r="H1078" t="s">
        <v>382</v>
      </c>
      <c r="I1078" t="s">
        <v>454</v>
      </c>
      <c r="J1078" t="s">
        <v>454</v>
      </c>
      <c r="K1078" s="4">
        <v>3.19</v>
      </c>
      <c r="L1078" s="4">
        <v>3.19</v>
      </c>
      <c r="M1078" t="s">
        <v>44</v>
      </c>
      <c r="N1078" t="s">
        <v>77</v>
      </c>
      <c r="O1078" t="s">
        <v>99</v>
      </c>
      <c r="P1078" t="s">
        <v>99</v>
      </c>
      <c r="Q1078" t="s">
        <v>131</v>
      </c>
      <c r="R1078" t="s">
        <v>317</v>
      </c>
      <c r="S1078" t="s">
        <v>185</v>
      </c>
      <c r="T1078" t="s">
        <v>162</v>
      </c>
      <c r="U1078" t="s">
        <v>163</v>
      </c>
      <c r="V1078" t="s">
        <v>193</v>
      </c>
      <c r="W1078" t="s">
        <v>77</v>
      </c>
      <c r="X1078" t="s">
        <v>44</v>
      </c>
      <c r="Y1078" t="s">
        <v>99</v>
      </c>
      <c r="Z1078" t="s">
        <v>421</v>
      </c>
      <c r="AC1078" t="str">
        <f>IF(AA1078="",M1078,AA1078)</f>
        <v>sim</v>
      </c>
      <c r="AD1078" t="str">
        <f>IF(AB1078="",X1078,AB1078)</f>
        <v>sim</v>
      </c>
      <c r="AE1078" t="str">
        <f>IF(OR(Configuracao!B9="",Configuracao!B10=""),"aguardando limiar",IF(AND(K1078&gt;=Configuracao!B9,K1078/MAX(Reconciliacao!C2,1)&gt;=Configuracao!B10/100),"sim","não"))</f>
        <v>aguardando limiar</v>
      </c>
    </row>
    <row r="1079" spans="1:31" x14ac:dyDescent="0.25">
      <c r="A1079">
        <v>14898</v>
      </c>
      <c r="C1079" t="s">
        <v>951</v>
      </c>
      <c r="D1079" t="s">
        <v>824</v>
      </c>
      <c r="E1079" t="s">
        <v>451</v>
      </c>
      <c r="F1079" t="s">
        <v>316</v>
      </c>
      <c r="G1079" t="s">
        <v>383</v>
      </c>
      <c r="H1079" t="s">
        <v>382</v>
      </c>
      <c r="I1079" t="s">
        <v>454</v>
      </c>
      <c r="J1079" t="s">
        <v>454</v>
      </c>
      <c r="K1079" s="4">
        <v>3.19</v>
      </c>
      <c r="L1079" s="4">
        <v>3.19</v>
      </c>
      <c r="M1079" t="s">
        <v>44</v>
      </c>
      <c r="N1079" t="s">
        <v>77</v>
      </c>
      <c r="O1079" t="s">
        <v>99</v>
      </c>
      <c r="P1079" t="s">
        <v>99</v>
      </c>
      <c r="Q1079" t="s">
        <v>131</v>
      </c>
      <c r="R1079" t="s">
        <v>317</v>
      </c>
      <c r="S1079" t="s">
        <v>185</v>
      </c>
      <c r="T1079" t="s">
        <v>162</v>
      </c>
      <c r="U1079" t="s">
        <v>163</v>
      </c>
      <c r="V1079" t="s">
        <v>193</v>
      </c>
      <c r="W1079" t="s">
        <v>77</v>
      </c>
      <c r="X1079" t="s">
        <v>44</v>
      </c>
      <c r="Y1079" t="s">
        <v>99</v>
      </c>
      <c r="Z1079" t="s">
        <v>421</v>
      </c>
      <c r="AC1079" t="str">
        <f>IF(AA1079="",M1079,AA1079)</f>
        <v>sim</v>
      </c>
      <c r="AD1079" t="str">
        <f>IF(AB1079="",X1079,AB1079)</f>
        <v>sim</v>
      </c>
      <c r="AE1079" t="str">
        <f>IF(OR(Configuracao!B9="",Configuracao!B10=""),"aguardando limiar",IF(AND(K1079&gt;=Configuracao!B9,K1079/MAX(Reconciliacao!C2,1)&gt;=Configuracao!B10/100),"sim","não"))</f>
        <v>aguardando limiar</v>
      </c>
    </row>
    <row r="1080" spans="1:31" x14ac:dyDescent="0.25">
      <c r="A1080">
        <v>15822</v>
      </c>
      <c r="C1080" t="s">
        <v>951</v>
      </c>
      <c r="D1080" t="s">
        <v>824</v>
      </c>
      <c r="E1080" t="s">
        <v>451</v>
      </c>
      <c r="F1080" t="s">
        <v>316</v>
      </c>
      <c r="G1080" t="s">
        <v>383</v>
      </c>
      <c r="H1080" t="s">
        <v>382</v>
      </c>
      <c r="I1080" t="s">
        <v>454</v>
      </c>
      <c r="J1080" t="s">
        <v>454</v>
      </c>
      <c r="K1080" s="4">
        <v>3.19</v>
      </c>
      <c r="L1080" s="4">
        <v>3.19</v>
      </c>
      <c r="M1080" t="s">
        <v>44</v>
      </c>
      <c r="N1080" t="s">
        <v>77</v>
      </c>
      <c r="O1080" t="s">
        <v>99</v>
      </c>
      <c r="P1080" t="s">
        <v>99</v>
      </c>
      <c r="Q1080" t="s">
        <v>131</v>
      </c>
      <c r="R1080" t="s">
        <v>317</v>
      </c>
      <c r="S1080" t="s">
        <v>185</v>
      </c>
      <c r="T1080" t="s">
        <v>162</v>
      </c>
      <c r="U1080" t="s">
        <v>163</v>
      </c>
      <c r="V1080" t="s">
        <v>193</v>
      </c>
      <c r="W1080" t="s">
        <v>77</v>
      </c>
      <c r="X1080" t="s">
        <v>44</v>
      </c>
      <c r="Y1080" t="s">
        <v>99</v>
      </c>
      <c r="Z1080" t="s">
        <v>421</v>
      </c>
      <c r="AC1080" t="str">
        <f>IF(AA1080="",M1080,AA1080)</f>
        <v>sim</v>
      </c>
      <c r="AD1080" t="str">
        <f>IF(AB1080="",X1080,AB1080)</f>
        <v>sim</v>
      </c>
      <c r="AE1080" t="str">
        <f>IF(OR(Configuracao!B9="",Configuracao!B10=""),"aguardando limiar",IF(AND(K1080&gt;=Configuracao!B9,K1080/MAX(Reconciliacao!C2,1)&gt;=Configuracao!B10/100),"sim","não"))</f>
        <v>aguardando limiar</v>
      </c>
    </row>
    <row r="1081" spans="1:31" x14ac:dyDescent="0.25">
      <c r="A1081">
        <v>16141</v>
      </c>
      <c r="C1081" t="s">
        <v>951</v>
      </c>
      <c r="D1081" t="s">
        <v>824</v>
      </c>
      <c r="E1081" t="s">
        <v>451</v>
      </c>
      <c r="F1081" t="s">
        <v>316</v>
      </c>
      <c r="G1081" t="s">
        <v>383</v>
      </c>
      <c r="H1081" t="s">
        <v>382</v>
      </c>
      <c r="I1081" t="s">
        <v>461</v>
      </c>
      <c r="J1081" t="s">
        <v>461</v>
      </c>
      <c r="K1081" s="4">
        <v>3.19</v>
      </c>
      <c r="L1081" s="4">
        <v>3.19</v>
      </c>
      <c r="M1081" t="s">
        <v>44</v>
      </c>
      <c r="N1081" t="s">
        <v>77</v>
      </c>
      <c r="O1081" t="s">
        <v>99</v>
      </c>
      <c r="P1081" t="s">
        <v>99</v>
      </c>
      <c r="Q1081" t="s">
        <v>131</v>
      </c>
      <c r="R1081" t="s">
        <v>317</v>
      </c>
      <c r="S1081" t="s">
        <v>185</v>
      </c>
      <c r="T1081" t="s">
        <v>162</v>
      </c>
      <c r="U1081" t="s">
        <v>163</v>
      </c>
      <c r="V1081" t="s">
        <v>193</v>
      </c>
      <c r="W1081" t="s">
        <v>77</v>
      </c>
      <c r="X1081" t="s">
        <v>44</v>
      </c>
      <c r="Y1081" t="s">
        <v>99</v>
      </c>
      <c r="Z1081" t="s">
        <v>421</v>
      </c>
      <c r="AC1081" t="str">
        <f>IF(AA1081="",M1081,AA1081)</f>
        <v>sim</v>
      </c>
      <c r="AD1081" t="str">
        <f>IF(AB1081="",X1081,AB1081)</f>
        <v>sim</v>
      </c>
      <c r="AE1081" t="str">
        <f>IF(OR(Configuracao!B9="",Configuracao!B10=""),"aguardando limiar",IF(AND(K1081&gt;=Configuracao!B9,K1081/MAX(Reconciliacao!C2,1)&gt;=Configuracao!B10/100),"sim","não"))</f>
        <v>aguardando limiar</v>
      </c>
    </row>
    <row r="1082" spans="1:31" x14ac:dyDescent="0.25">
      <c r="A1082">
        <v>16150</v>
      </c>
      <c r="C1082" t="s">
        <v>951</v>
      </c>
      <c r="D1082" t="s">
        <v>824</v>
      </c>
      <c r="E1082" t="s">
        <v>451</v>
      </c>
      <c r="F1082" t="s">
        <v>316</v>
      </c>
      <c r="G1082" t="s">
        <v>383</v>
      </c>
      <c r="H1082" t="s">
        <v>382</v>
      </c>
      <c r="I1082" t="s">
        <v>461</v>
      </c>
      <c r="J1082" t="s">
        <v>461</v>
      </c>
      <c r="K1082" s="4">
        <v>3.19</v>
      </c>
      <c r="L1082" s="4">
        <v>3.19</v>
      </c>
      <c r="M1082" t="s">
        <v>44</v>
      </c>
      <c r="N1082" t="s">
        <v>77</v>
      </c>
      <c r="O1082" t="s">
        <v>99</v>
      </c>
      <c r="P1082" t="s">
        <v>99</v>
      </c>
      <c r="Q1082" t="s">
        <v>131</v>
      </c>
      <c r="R1082" t="s">
        <v>317</v>
      </c>
      <c r="S1082" t="s">
        <v>185</v>
      </c>
      <c r="T1082" t="s">
        <v>162</v>
      </c>
      <c r="U1082" t="s">
        <v>163</v>
      </c>
      <c r="V1082" t="s">
        <v>193</v>
      </c>
      <c r="W1082" t="s">
        <v>77</v>
      </c>
      <c r="X1082" t="s">
        <v>44</v>
      </c>
      <c r="Y1082" t="s">
        <v>99</v>
      </c>
      <c r="Z1082" t="s">
        <v>421</v>
      </c>
      <c r="AC1082" t="str">
        <f>IF(AA1082="",M1082,AA1082)</f>
        <v>sim</v>
      </c>
      <c r="AD1082" t="str">
        <f>IF(AB1082="",X1082,AB1082)</f>
        <v>sim</v>
      </c>
      <c r="AE1082" t="str">
        <f>IF(OR(Configuracao!B9="",Configuracao!B10=""),"aguardando limiar",IF(AND(K1082&gt;=Configuracao!B9,K1082/MAX(Reconciliacao!C2,1)&gt;=Configuracao!B10/100),"sim","não"))</f>
        <v>aguardando limiar</v>
      </c>
    </row>
    <row r="1083" spans="1:31" x14ac:dyDescent="0.25">
      <c r="A1083">
        <v>16210</v>
      </c>
      <c r="C1083" t="s">
        <v>951</v>
      </c>
      <c r="D1083" t="s">
        <v>824</v>
      </c>
      <c r="E1083" t="s">
        <v>451</v>
      </c>
      <c r="F1083" t="s">
        <v>316</v>
      </c>
      <c r="G1083" t="s">
        <v>383</v>
      </c>
      <c r="H1083" t="s">
        <v>382</v>
      </c>
      <c r="I1083" t="s">
        <v>461</v>
      </c>
      <c r="J1083" t="s">
        <v>461</v>
      </c>
      <c r="K1083" s="4">
        <v>3.19</v>
      </c>
      <c r="L1083" s="4">
        <v>3.19</v>
      </c>
      <c r="M1083" t="s">
        <v>44</v>
      </c>
      <c r="N1083" t="s">
        <v>77</v>
      </c>
      <c r="O1083" t="s">
        <v>99</v>
      </c>
      <c r="P1083" t="s">
        <v>99</v>
      </c>
      <c r="Q1083" t="s">
        <v>131</v>
      </c>
      <c r="R1083" t="s">
        <v>317</v>
      </c>
      <c r="S1083" t="s">
        <v>185</v>
      </c>
      <c r="T1083" t="s">
        <v>162</v>
      </c>
      <c r="U1083" t="s">
        <v>163</v>
      </c>
      <c r="V1083" t="s">
        <v>193</v>
      </c>
      <c r="W1083" t="s">
        <v>77</v>
      </c>
      <c r="X1083" t="s">
        <v>44</v>
      </c>
      <c r="Y1083" t="s">
        <v>99</v>
      </c>
      <c r="Z1083" t="s">
        <v>421</v>
      </c>
      <c r="AC1083" t="str">
        <f>IF(AA1083="",M1083,AA1083)</f>
        <v>sim</v>
      </c>
      <c r="AD1083" t="str">
        <f>IF(AB1083="",X1083,AB1083)</f>
        <v>sim</v>
      </c>
      <c r="AE1083" t="str">
        <f>IF(OR(Configuracao!B9="",Configuracao!B10=""),"aguardando limiar",IF(AND(K1083&gt;=Configuracao!B9,K1083/MAX(Reconciliacao!C2,1)&gt;=Configuracao!B10/100),"sim","não"))</f>
        <v>aguardando limiar</v>
      </c>
    </row>
    <row r="1084" spans="1:31" x14ac:dyDescent="0.25">
      <c r="A1084">
        <v>16223</v>
      </c>
      <c r="C1084" t="s">
        <v>951</v>
      </c>
      <c r="D1084" t="s">
        <v>824</v>
      </c>
      <c r="E1084" t="s">
        <v>451</v>
      </c>
      <c r="F1084" t="s">
        <v>316</v>
      </c>
      <c r="G1084" t="s">
        <v>383</v>
      </c>
      <c r="H1084" t="s">
        <v>382</v>
      </c>
      <c r="I1084" t="s">
        <v>461</v>
      </c>
      <c r="J1084" t="s">
        <v>461</v>
      </c>
      <c r="K1084" s="4">
        <v>3.19</v>
      </c>
      <c r="L1084" s="4">
        <v>3.19</v>
      </c>
      <c r="M1084" t="s">
        <v>44</v>
      </c>
      <c r="N1084" t="s">
        <v>77</v>
      </c>
      <c r="O1084" t="s">
        <v>99</v>
      </c>
      <c r="P1084" t="s">
        <v>99</v>
      </c>
      <c r="Q1084" t="s">
        <v>131</v>
      </c>
      <c r="R1084" t="s">
        <v>317</v>
      </c>
      <c r="S1084" t="s">
        <v>185</v>
      </c>
      <c r="T1084" t="s">
        <v>162</v>
      </c>
      <c r="U1084" t="s">
        <v>163</v>
      </c>
      <c r="V1084" t="s">
        <v>193</v>
      </c>
      <c r="W1084" t="s">
        <v>77</v>
      </c>
      <c r="X1084" t="s">
        <v>44</v>
      </c>
      <c r="Y1084" t="s">
        <v>99</v>
      </c>
      <c r="Z1084" t="s">
        <v>421</v>
      </c>
      <c r="AC1084" t="str">
        <f>IF(AA1084="",M1084,AA1084)</f>
        <v>sim</v>
      </c>
      <c r="AD1084" t="str">
        <f>IF(AB1084="",X1084,AB1084)</f>
        <v>sim</v>
      </c>
      <c r="AE1084" t="str">
        <f>IF(OR(Configuracao!B9="",Configuracao!B10=""),"aguardando limiar",IF(AND(K1084&gt;=Configuracao!B9,K1084/MAX(Reconciliacao!C2,1)&gt;=Configuracao!B10/100),"sim","não"))</f>
        <v>aguardando limiar</v>
      </c>
    </row>
    <row r="1085" spans="1:31" x14ac:dyDescent="0.25">
      <c r="A1085">
        <v>16668</v>
      </c>
      <c r="C1085" t="s">
        <v>951</v>
      </c>
      <c r="D1085" t="s">
        <v>824</v>
      </c>
      <c r="E1085" t="s">
        <v>451</v>
      </c>
      <c r="F1085" t="s">
        <v>316</v>
      </c>
      <c r="G1085" t="s">
        <v>383</v>
      </c>
      <c r="H1085" t="s">
        <v>382</v>
      </c>
      <c r="I1085" t="s">
        <v>461</v>
      </c>
      <c r="J1085" t="s">
        <v>461</v>
      </c>
      <c r="K1085" s="4">
        <v>3.19</v>
      </c>
      <c r="L1085" s="4">
        <v>3.19</v>
      </c>
      <c r="M1085" t="s">
        <v>44</v>
      </c>
      <c r="N1085" t="s">
        <v>77</v>
      </c>
      <c r="O1085" t="s">
        <v>99</v>
      </c>
      <c r="P1085" t="s">
        <v>99</v>
      </c>
      <c r="Q1085" t="s">
        <v>131</v>
      </c>
      <c r="R1085" t="s">
        <v>317</v>
      </c>
      <c r="S1085" t="s">
        <v>185</v>
      </c>
      <c r="T1085" t="s">
        <v>162</v>
      </c>
      <c r="U1085" t="s">
        <v>163</v>
      </c>
      <c r="V1085" t="s">
        <v>193</v>
      </c>
      <c r="W1085" t="s">
        <v>77</v>
      </c>
      <c r="X1085" t="s">
        <v>44</v>
      </c>
      <c r="Y1085" t="s">
        <v>99</v>
      </c>
      <c r="Z1085" t="s">
        <v>421</v>
      </c>
      <c r="AC1085" t="str">
        <f>IF(AA1085="",M1085,AA1085)</f>
        <v>sim</v>
      </c>
      <c r="AD1085" t="str">
        <f>IF(AB1085="",X1085,AB1085)</f>
        <v>sim</v>
      </c>
      <c r="AE1085" t="str">
        <f>IF(OR(Configuracao!B9="",Configuracao!B10=""),"aguardando limiar",IF(AND(K1085&gt;=Configuracao!B9,K1085/MAX(Reconciliacao!C2,1)&gt;=Configuracao!B10/100),"sim","não"))</f>
        <v>aguardando limiar</v>
      </c>
    </row>
    <row r="1086" spans="1:31" x14ac:dyDescent="0.25">
      <c r="A1086">
        <v>16671</v>
      </c>
      <c r="C1086" t="s">
        <v>951</v>
      </c>
      <c r="D1086" t="s">
        <v>824</v>
      </c>
      <c r="E1086" t="s">
        <v>451</v>
      </c>
      <c r="F1086" t="s">
        <v>316</v>
      </c>
      <c r="G1086" t="s">
        <v>383</v>
      </c>
      <c r="H1086" t="s">
        <v>382</v>
      </c>
      <c r="I1086" t="s">
        <v>461</v>
      </c>
      <c r="J1086" t="s">
        <v>461</v>
      </c>
      <c r="K1086" s="4">
        <v>3.19</v>
      </c>
      <c r="L1086" s="4">
        <v>3.19</v>
      </c>
      <c r="M1086" t="s">
        <v>44</v>
      </c>
      <c r="N1086" t="s">
        <v>77</v>
      </c>
      <c r="O1086" t="s">
        <v>99</v>
      </c>
      <c r="P1086" t="s">
        <v>99</v>
      </c>
      <c r="Q1086" t="s">
        <v>131</v>
      </c>
      <c r="R1086" t="s">
        <v>317</v>
      </c>
      <c r="S1086" t="s">
        <v>185</v>
      </c>
      <c r="T1086" t="s">
        <v>162</v>
      </c>
      <c r="U1086" t="s">
        <v>163</v>
      </c>
      <c r="V1086" t="s">
        <v>193</v>
      </c>
      <c r="W1086" t="s">
        <v>77</v>
      </c>
      <c r="X1086" t="s">
        <v>44</v>
      </c>
      <c r="Y1086" t="s">
        <v>99</v>
      </c>
      <c r="Z1086" t="s">
        <v>421</v>
      </c>
      <c r="AC1086" t="str">
        <f>IF(AA1086="",M1086,AA1086)</f>
        <v>sim</v>
      </c>
      <c r="AD1086" t="str">
        <f>IF(AB1086="",X1086,AB1086)</f>
        <v>sim</v>
      </c>
      <c r="AE1086" t="str">
        <f>IF(OR(Configuracao!B9="",Configuracao!B10=""),"aguardando limiar",IF(AND(K1086&gt;=Configuracao!B9,K1086/MAX(Reconciliacao!C2,1)&gt;=Configuracao!B10/100),"sim","não"))</f>
        <v>aguardando limiar</v>
      </c>
    </row>
    <row r="1087" spans="1:31" x14ac:dyDescent="0.25">
      <c r="A1087">
        <v>17085</v>
      </c>
      <c r="C1087" t="s">
        <v>951</v>
      </c>
      <c r="D1087" t="s">
        <v>824</v>
      </c>
      <c r="E1087" t="s">
        <v>451</v>
      </c>
      <c r="F1087" t="s">
        <v>316</v>
      </c>
      <c r="G1087" t="s">
        <v>383</v>
      </c>
      <c r="H1087" t="s">
        <v>382</v>
      </c>
      <c r="I1087" t="s">
        <v>442</v>
      </c>
      <c r="J1087" t="s">
        <v>442</v>
      </c>
      <c r="K1087" s="4">
        <v>3.19</v>
      </c>
      <c r="L1087" s="4">
        <v>3.19</v>
      </c>
      <c r="M1087" t="s">
        <v>44</v>
      </c>
      <c r="N1087" t="s">
        <v>77</v>
      </c>
      <c r="O1087" t="s">
        <v>99</v>
      </c>
      <c r="P1087" t="s">
        <v>99</v>
      </c>
      <c r="Q1087" t="s">
        <v>131</v>
      </c>
      <c r="R1087" t="s">
        <v>317</v>
      </c>
      <c r="S1087" t="s">
        <v>185</v>
      </c>
      <c r="T1087" t="s">
        <v>162</v>
      </c>
      <c r="U1087" t="s">
        <v>163</v>
      </c>
      <c r="V1087" t="s">
        <v>193</v>
      </c>
      <c r="W1087" t="s">
        <v>77</v>
      </c>
      <c r="X1087" t="s">
        <v>44</v>
      </c>
      <c r="Y1087" t="s">
        <v>99</v>
      </c>
      <c r="Z1087" t="s">
        <v>421</v>
      </c>
      <c r="AC1087" t="str">
        <f>IF(AA1087="",M1087,AA1087)</f>
        <v>sim</v>
      </c>
      <c r="AD1087" t="str">
        <f>IF(AB1087="",X1087,AB1087)</f>
        <v>sim</v>
      </c>
      <c r="AE1087" t="str">
        <f>IF(OR(Configuracao!B9="",Configuracao!B10=""),"aguardando limiar",IF(AND(K1087&gt;=Configuracao!B9,K1087/MAX(Reconciliacao!C2,1)&gt;=Configuracao!B10/100),"sim","não"))</f>
        <v>aguardando limiar</v>
      </c>
    </row>
    <row r="1088" spans="1:31" x14ac:dyDescent="0.25">
      <c r="A1088">
        <v>17154</v>
      </c>
      <c r="C1088" t="s">
        <v>951</v>
      </c>
      <c r="D1088" t="s">
        <v>824</v>
      </c>
      <c r="E1088" t="s">
        <v>451</v>
      </c>
      <c r="F1088" t="s">
        <v>316</v>
      </c>
      <c r="G1088" t="s">
        <v>383</v>
      </c>
      <c r="H1088" t="s">
        <v>382</v>
      </c>
      <c r="I1088" t="s">
        <v>442</v>
      </c>
      <c r="J1088" t="s">
        <v>442</v>
      </c>
      <c r="K1088" s="4">
        <v>3.19</v>
      </c>
      <c r="L1088" s="4">
        <v>3.19</v>
      </c>
      <c r="M1088" t="s">
        <v>44</v>
      </c>
      <c r="N1088" t="s">
        <v>77</v>
      </c>
      <c r="O1088" t="s">
        <v>99</v>
      </c>
      <c r="P1088" t="s">
        <v>99</v>
      </c>
      <c r="Q1088" t="s">
        <v>131</v>
      </c>
      <c r="R1088" t="s">
        <v>317</v>
      </c>
      <c r="S1088" t="s">
        <v>185</v>
      </c>
      <c r="T1088" t="s">
        <v>162</v>
      </c>
      <c r="U1088" t="s">
        <v>163</v>
      </c>
      <c r="V1088" t="s">
        <v>193</v>
      </c>
      <c r="W1088" t="s">
        <v>77</v>
      </c>
      <c r="X1088" t="s">
        <v>44</v>
      </c>
      <c r="Y1088" t="s">
        <v>99</v>
      </c>
      <c r="Z1088" t="s">
        <v>421</v>
      </c>
      <c r="AC1088" t="str">
        <f>IF(AA1088="",M1088,AA1088)</f>
        <v>sim</v>
      </c>
      <c r="AD1088" t="str">
        <f>IF(AB1088="",X1088,AB1088)</f>
        <v>sim</v>
      </c>
      <c r="AE1088" t="str">
        <f>IF(OR(Configuracao!B9="",Configuracao!B10=""),"aguardando limiar",IF(AND(K1088&gt;=Configuracao!B9,K1088/MAX(Reconciliacao!C2,1)&gt;=Configuracao!B10/100),"sim","não"))</f>
        <v>aguardando limiar</v>
      </c>
    </row>
    <row r="1089" spans="1:31" x14ac:dyDescent="0.25">
      <c r="A1089">
        <v>17158</v>
      </c>
      <c r="C1089" t="s">
        <v>951</v>
      </c>
      <c r="D1089" t="s">
        <v>824</v>
      </c>
      <c r="E1089" t="s">
        <v>451</v>
      </c>
      <c r="F1089" t="s">
        <v>316</v>
      </c>
      <c r="G1089" t="s">
        <v>383</v>
      </c>
      <c r="H1089" t="s">
        <v>382</v>
      </c>
      <c r="I1089" t="s">
        <v>442</v>
      </c>
      <c r="J1089" t="s">
        <v>442</v>
      </c>
      <c r="K1089" s="4">
        <v>3.19</v>
      </c>
      <c r="L1089" s="4">
        <v>3.19</v>
      </c>
      <c r="M1089" t="s">
        <v>44</v>
      </c>
      <c r="N1089" t="s">
        <v>77</v>
      </c>
      <c r="O1089" t="s">
        <v>99</v>
      </c>
      <c r="P1089" t="s">
        <v>99</v>
      </c>
      <c r="Q1089" t="s">
        <v>131</v>
      </c>
      <c r="R1089" t="s">
        <v>317</v>
      </c>
      <c r="S1089" t="s">
        <v>185</v>
      </c>
      <c r="T1089" t="s">
        <v>162</v>
      </c>
      <c r="U1089" t="s">
        <v>163</v>
      </c>
      <c r="V1089" t="s">
        <v>193</v>
      </c>
      <c r="W1089" t="s">
        <v>77</v>
      </c>
      <c r="X1089" t="s">
        <v>44</v>
      </c>
      <c r="Y1089" t="s">
        <v>99</v>
      </c>
      <c r="Z1089" t="s">
        <v>421</v>
      </c>
      <c r="AC1089" t="str">
        <f>IF(AA1089="",M1089,AA1089)</f>
        <v>sim</v>
      </c>
      <c r="AD1089" t="str">
        <f>IF(AB1089="",X1089,AB1089)</f>
        <v>sim</v>
      </c>
      <c r="AE1089" t="str">
        <f>IF(OR(Configuracao!B9="",Configuracao!B10=""),"aguardando limiar",IF(AND(K1089&gt;=Configuracao!B9,K1089/MAX(Reconciliacao!C2,1)&gt;=Configuracao!B10/100),"sim","não"))</f>
        <v>aguardando limiar</v>
      </c>
    </row>
    <row r="1090" spans="1:31" x14ac:dyDescent="0.25">
      <c r="A1090">
        <v>17382</v>
      </c>
      <c r="C1090" t="s">
        <v>951</v>
      </c>
      <c r="D1090" t="s">
        <v>824</v>
      </c>
      <c r="E1090" t="s">
        <v>451</v>
      </c>
      <c r="F1090" t="s">
        <v>316</v>
      </c>
      <c r="G1090" t="s">
        <v>383</v>
      </c>
      <c r="H1090" t="s">
        <v>382</v>
      </c>
      <c r="I1090" t="s">
        <v>442</v>
      </c>
      <c r="J1090" t="s">
        <v>442</v>
      </c>
      <c r="K1090" s="4">
        <v>3.19</v>
      </c>
      <c r="L1090" s="4">
        <v>3.19</v>
      </c>
      <c r="M1090" t="s">
        <v>44</v>
      </c>
      <c r="N1090" t="s">
        <v>77</v>
      </c>
      <c r="O1090" t="s">
        <v>99</v>
      </c>
      <c r="P1090" t="s">
        <v>99</v>
      </c>
      <c r="Q1090" t="s">
        <v>131</v>
      </c>
      <c r="R1090" t="s">
        <v>317</v>
      </c>
      <c r="S1090" t="s">
        <v>185</v>
      </c>
      <c r="T1090" t="s">
        <v>162</v>
      </c>
      <c r="U1090" t="s">
        <v>163</v>
      </c>
      <c r="V1090" t="s">
        <v>193</v>
      </c>
      <c r="W1090" t="s">
        <v>77</v>
      </c>
      <c r="X1090" t="s">
        <v>44</v>
      </c>
      <c r="Y1090" t="s">
        <v>99</v>
      </c>
      <c r="Z1090" t="s">
        <v>421</v>
      </c>
      <c r="AC1090" t="str">
        <f>IF(AA1090="",M1090,AA1090)</f>
        <v>sim</v>
      </c>
      <c r="AD1090" t="str">
        <f>IF(AB1090="",X1090,AB1090)</f>
        <v>sim</v>
      </c>
      <c r="AE1090" t="str">
        <f>IF(OR(Configuracao!B9="",Configuracao!B10=""),"aguardando limiar",IF(AND(K1090&gt;=Configuracao!B9,K1090/MAX(Reconciliacao!C2,1)&gt;=Configuracao!B10/100),"sim","não"))</f>
        <v>aguardando limiar</v>
      </c>
    </row>
    <row r="1091" spans="1:31" x14ac:dyDescent="0.25">
      <c r="A1091">
        <v>17383</v>
      </c>
      <c r="C1091" t="s">
        <v>951</v>
      </c>
      <c r="D1091" t="s">
        <v>824</v>
      </c>
      <c r="E1091" t="s">
        <v>451</v>
      </c>
      <c r="F1091" t="s">
        <v>316</v>
      </c>
      <c r="G1091" t="s">
        <v>383</v>
      </c>
      <c r="H1091" t="s">
        <v>382</v>
      </c>
      <c r="I1091" t="s">
        <v>442</v>
      </c>
      <c r="J1091" t="s">
        <v>442</v>
      </c>
      <c r="K1091" s="4">
        <v>3.19</v>
      </c>
      <c r="L1091" s="4">
        <v>3.19</v>
      </c>
      <c r="M1091" t="s">
        <v>44</v>
      </c>
      <c r="N1091" t="s">
        <v>77</v>
      </c>
      <c r="O1091" t="s">
        <v>99</v>
      </c>
      <c r="P1091" t="s">
        <v>99</v>
      </c>
      <c r="Q1091" t="s">
        <v>131</v>
      </c>
      <c r="R1091" t="s">
        <v>317</v>
      </c>
      <c r="S1091" t="s">
        <v>185</v>
      </c>
      <c r="T1091" t="s">
        <v>162</v>
      </c>
      <c r="U1091" t="s">
        <v>163</v>
      </c>
      <c r="V1091" t="s">
        <v>193</v>
      </c>
      <c r="W1091" t="s">
        <v>77</v>
      </c>
      <c r="X1091" t="s">
        <v>44</v>
      </c>
      <c r="Y1091" t="s">
        <v>99</v>
      </c>
      <c r="Z1091" t="s">
        <v>421</v>
      </c>
      <c r="AC1091" t="str">
        <f>IF(AA1091="",M1091,AA1091)</f>
        <v>sim</v>
      </c>
      <c r="AD1091" t="str">
        <f>IF(AB1091="",X1091,AB1091)</f>
        <v>sim</v>
      </c>
      <c r="AE1091" t="str">
        <f>IF(OR(Configuracao!B9="",Configuracao!B10=""),"aguardando limiar",IF(AND(K1091&gt;=Configuracao!B9,K1091/MAX(Reconciliacao!C2,1)&gt;=Configuracao!B10/100),"sim","não"))</f>
        <v>aguardando limiar</v>
      </c>
    </row>
    <row r="1092" spans="1:31" x14ac:dyDescent="0.25">
      <c r="A1092">
        <v>17675</v>
      </c>
      <c r="C1092" t="s">
        <v>951</v>
      </c>
      <c r="D1092" t="s">
        <v>824</v>
      </c>
      <c r="E1092" t="s">
        <v>451</v>
      </c>
      <c r="F1092" t="s">
        <v>316</v>
      </c>
      <c r="G1092" t="s">
        <v>383</v>
      </c>
      <c r="H1092" t="s">
        <v>382</v>
      </c>
      <c r="I1092" t="s">
        <v>442</v>
      </c>
      <c r="J1092" t="s">
        <v>442</v>
      </c>
      <c r="K1092" s="4">
        <v>3.19</v>
      </c>
      <c r="L1092" s="4">
        <v>3.19</v>
      </c>
      <c r="M1092" t="s">
        <v>44</v>
      </c>
      <c r="N1092" t="s">
        <v>77</v>
      </c>
      <c r="O1092" t="s">
        <v>99</v>
      </c>
      <c r="P1092" t="s">
        <v>99</v>
      </c>
      <c r="Q1092" t="s">
        <v>131</v>
      </c>
      <c r="R1092" t="s">
        <v>317</v>
      </c>
      <c r="S1092" t="s">
        <v>185</v>
      </c>
      <c r="T1092" t="s">
        <v>162</v>
      </c>
      <c r="U1092" t="s">
        <v>163</v>
      </c>
      <c r="V1092" t="s">
        <v>193</v>
      </c>
      <c r="W1092" t="s">
        <v>77</v>
      </c>
      <c r="X1092" t="s">
        <v>44</v>
      </c>
      <c r="Y1092" t="s">
        <v>99</v>
      </c>
      <c r="Z1092" t="s">
        <v>421</v>
      </c>
      <c r="AC1092" t="str">
        <f>IF(AA1092="",M1092,AA1092)</f>
        <v>sim</v>
      </c>
      <c r="AD1092" t="str">
        <f>IF(AB1092="",X1092,AB1092)</f>
        <v>sim</v>
      </c>
      <c r="AE1092" t="str">
        <f>IF(OR(Configuracao!B9="",Configuracao!B10=""),"aguardando limiar",IF(AND(K1092&gt;=Configuracao!B9,K1092/MAX(Reconciliacao!C2,1)&gt;=Configuracao!B10/100),"sim","não"))</f>
        <v>aguardando limiar</v>
      </c>
    </row>
    <row r="1093" spans="1:31" x14ac:dyDescent="0.25">
      <c r="A1093">
        <v>17678</v>
      </c>
      <c r="C1093" t="s">
        <v>951</v>
      </c>
      <c r="D1093" t="s">
        <v>824</v>
      </c>
      <c r="E1093" t="s">
        <v>451</v>
      </c>
      <c r="F1093" t="s">
        <v>316</v>
      </c>
      <c r="G1093" t="s">
        <v>383</v>
      </c>
      <c r="H1093" t="s">
        <v>382</v>
      </c>
      <c r="I1093" t="s">
        <v>442</v>
      </c>
      <c r="J1093" t="s">
        <v>442</v>
      </c>
      <c r="K1093" s="4">
        <v>3.19</v>
      </c>
      <c r="L1093" s="4">
        <v>3.19</v>
      </c>
      <c r="M1093" t="s">
        <v>44</v>
      </c>
      <c r="N1093" t="s">
        <v>77</v>
      </c>
      <c r="O1093" t="s">
        <v>99</v>
      </c>
      <c r="P1093" t="s">
        <v>99</v>
      </c>
      <c r="Q1093" t="s">
        <v>131</v>
      </c>
      <c r="R1093" t="s">
        <v>317</v>
      </c>
      <c r="S1093" t="s">
        <v>185</v>
      </c>
      <c r="T1093" t="s">
        <v>162</v>
      </c>
      <c r="U1093" t="s">
        <v>163</v>
      </c>
      <c r="V1093" t="s">
        <v>193</v>
      </c>
      <c r="W1093" t="s">
        <v>77</v>
      </c>
      <c r="X1093" t="s">
        <v>44</v>
      </c>
      <c r="Y1093" t="s">
        <v>99</v>
      </c>
      <c r="Z1093" t="s">
        <v>421</v>
      </c>
      <c r="AC1093" t="str">
        <f>IF(AA1093="",M1093,AA1093)</f>
        <v>sim</v>
      </c>
      <c r="AD1093" t="str">
        <f>IF(AB1093="",X1093,AB1093)</f>
        <v>sim</v>
      </c>
      <c r="AE1093" t="str">
        <f>IF(OR(Configuracao!B9="",Configuracao!B10=""),"aguardando limiar",IF(AND(K1093&gt;=Configuracao!B9,K1093/MAX(Reconciliacao!C2,1)&gt;=Configuracao!B10/100),"sim","não"))</f>
        <v>aguardando limiar</v>
      </c>
    </row>
    <row r="1094" spans="1:31" x14ac:dyDescent="0.25">
      <c r="A1094">
        <v>17981</v>
      </c>
      <c r="C1094" t="s">
        <v>951</v>
      </c>
      <c r="D1094" t="s">
        <v>824</v>
      </c>
      <c r="E1094" t="s">
        <v>451</v>
      </c>
      <c r="F1094" t="s">
        <v>316</v>
      </c>
      <c r="G1094" t="s">
        <v>383</v>
      </c>
      <c r="H1094" t="s">
        <v>382</v>
      </c>
      <c r="I1094" t="s">
        <v>439</v>
      </c>
      <c r="J1094" t="s">
        <v>439</v>
      </c>
      <c r="K1094" s="4">
        <v>3.19</v>
      </c>
      <c r="L1094" s="4">
        <v>3.19</v>
      </c>
      <c r="M1094" t="s">
        <v>44</v>
      </c>
      <c r="N1094" t="s">
        <v>77</v>
      </c>
      <c r="O1094" t="s">
        <v>99</v>
      </c>
      <c r="P1094" t="s">
        <v>99</v>
      </c>
      <c r="Q1094" t="s">
        <v>131</v>
      </c>
      <c r="R1094" t="s">
        <v>317</v>
      </c>
      <c r="S1094" t="s">
        <v>185</v>
      </c>
      <c r="T1094" t="s">
        <v>162</v>
      </c>
      <c r="U1094" t="s">
        <v>163</v>
      </c>
      <c r="V1094" t="s">
        <v>193</v>
      </c>
      <c r="W1094" t="s">
        <v>77</v>
      </c>
      <c r="X1094" t="s">
        <v>44</v>
      </c>
      <c r="Y1094" t="s">
        <v>99</v>
      </c>
      <c r="Z1094" t="s">
        <v>421</v>
      </c>
      <c r="AC1094" t="str">
        <f>IF(AA1094="",M1094,AA1094)</f>
        <v>sim</v>
      </c>
      <c r="AD1094" t="str">
        <f>IF(AB1094="",X1094,AB1094)</f>
        <v>sim</v>
      </c>
      <c r="AE1094" t="str">
        <f>IF(OR(Configuracao!B9="",Configuracao!B10=""),"aguardando limiar",IF(AND(K1094&gt;=Configuracao!B9,K1094/MAX(Reconciliacao!C2,1)&gt;=Configuracao!B10/100),"sim","não"))</f>
        <v>aguardando limiar</v>
      </c>
    </row>
    <row r="1095" spans="1:31" x14ac:dyDescent="0.25">
      <c r="A1095">
        <v>18048</v>
      </c>
      <c r="C1095" t="s">
        <v>951</v>
      </c>
      <c r="D1095" t="s">
        <v>824</v>
      </c>
      <c r="E1095" t="s">
        <v>451</v>
      </c>
      <c r="F1095" t="s">
        <v>316</v>
      </c>
      <c r="G1095" t="s">
        <v>383</v>
      </c>
      <c r="H1095" t="s">
        <v>382</v>
      </c>
      <c r="I1095" t="s">
        <v>439</v>
      </c>
      <c r="J1095" t="s">
        <v>439</v>
      </c>
      <c r="K1095" s="4">
        <v>3.19</v>
      </c>
      <c r="L1095" s="4">
        <v>3.19</v>
      </c>
      <c r="M1095" t="s">
        <v>44</v>
      </c>
      <c r="N1095" t="s">
        <v>77</v>
      </c>
      <c r="O1095" t="s">
        <v>99</v>
      </c>
      <c r="P1095" t="s">
        <v>99</v>
      </c>
      <c r="Q1095" t="s">
        <v>131</v>
      </c>
      <c r="R1095" t="s">
        <v>317</v>
      </c>
      <c r="S1095" t="s">
        <v>185</v>
      </c>
      <c r="T1095" t="s">
        <v>162</v>
      </c>
      <c r="U1095" t="s">
        <v>163</v>
      </c>
      <c r="V1095" t="s">
        <v>193</v>
      </c>
      <c r="W1095" t="s">
        <v>77</v>
      </c>
      <c r="X1095" t="s">
        <v>44</v>
      </c>
      <c r="Y1095" t="s">
        <v>99</v>
      </c>
      <c r="Z1095" t="s">
        <v>421</v>
      </c>
      <c r="AC1095" t="str">
        <f>IF(AA1095="",M1095,AA1095)</f>
        <v>sim</v>
      </c>
      <c r="AD1095" t="str">
        <f>IF(AB1095="",X1095,AB1095)</f>
        <v>sim</v>
      </c>
      <c r="AE1095" t="str">
        <f>IF(OR(Configuracao!B9="",Configuracao!B10=""),"aguardando limiar",IF(AND(K1095&gt;=Configuracao!B9,K1095/MAX(Reconciliacao!C2,1)&gt;=Configuracao!B10/100),"sim","não"))</f>
        <v>aguardando limiar</v>
      </c>
    </row>
    <row r="1096" spans="1:31" x14ac:dyDescent="0.25">
      <c r="A1096">
        <v>18269</v>
      </c>
      <c r="C1096" t="s">
        <v>951</v>
      </c>
      <c r="D1096" t="s">
        <v>824</v>
      </c>
      <c r="E1096" t="s">
        <v>451</v>
      </c>
      <c r="F1096" t="s">
        <v>316</v>
      </c>
      <c r="G1096" t="s">
        <v>383</v>
      </c>
      <c r="H1096" t="s">
        <v>382</v>
      </c>
      <c r="I1096" t="s">
        <v>439</v>
      </c>
      <c r="J1096" t="s">
        <v>439</v>
      </c>
      <c r="K1096" s="4">
        <v>3.19</v>
      </c>
      <c r="L1096" s="4">
        <v>3.19</v>
      </c>
      <c r="M1096" t="s">
        <v>44</v>
      </c>
      <c r="N1096" t="s">
        <v>77</v>
      </c>
      <c r="O1096" t="s">
        <v>99</v>
      </c>
      <c r="P1096" t="s">
        <v>99</v>
      </c>
      <c r="Q1096" t="s">
        <v>131</v>
      </c>
      <c r="R1096" t="s">
        <v>317</v>
      </c>
      <c r="S1096" t="s">
        <v>185</v>
      </c>
      <c r="T1096" t="s">
        <v>162</v>
      </c>
      <c r="U1096" t="s">
        <v>163</v>
      </c>
      <c r="V1096" t="s">
        <v>193</v>
      </c>
      <c r="W1096" t="s">
        <v>77</v>
      </c>
      <c r="X1096" t="s">
        <v>44</v>
      </c>
      <c r="Y1096" t="s">
        <v>99</v>
      </c>
      <c r="Z1096" t="s">
        <v>421</v>
      </c>
      <c r="AC1096" t="str">
        <f>IF(AA1096="",M1096,AA1096)</f>
        <v>sim</v>
      </c>
      <c r="AD1096" t="str">
        <f>IF(AB1096="",X1096,AB1096)</f>
        <v>sim</v>
      </c>
      <c r="AE1096" t="str">
        <f>IF(OR(Configuracao!B9="",Configuracao!B10=""),"aguardando limiar",IF(AND(K1096&gt;=Configuracao!B9,K1096/MAX(Reconciliacao!C2,1)&gt;=Configuracao!B10/100),"sim","não"))</f>
        <v>aguardando limiar</v>
      </c>
    </row>
    <row r="1097" spans="1:31" x14ac:dyDescent="0.25">
      <c r="A1097">
        <v>18273</v>
      </c>
      <c r="C1097" t="s">
        <v>951</v>
      </c>
      <c r="D1097" t="s">
        <v>824</v>
      </c>
      <c r="E1097" t="s">
        <v>451</v>
      </c>
      <c r="F1097" t="s">
        <v>316</v>
      </c>
      <c r="G1097" t="s">
        <v>383</v>
      </c>
      <c r="H1097" t="s">
        <v>382</v>
      </c>
      <c r="I1097" t="s">
        <v>439</v>
      </c>
      <c r="J1097" t="s">
        <v>439</v>
      </c>
      <c r="K1097" s="4">
        <v>3.19</v>
      </c>
      <c r="L1097" s="4">
        <v>3.19</v>
      </c>
      <c r="M1097" t="s">
        <v>44</v>
      </c>
      <c r="N1097" t="s">
        <v>77</v>
      </c>
      <c r="O1097" t="s">
        <v>99</v>
      </c>
      <c r="P1097" t="s">
        <v>99</v>
      </c>
      <c r="Q1097" t="s">
        <v>131</v>
      </c>
      <c r="R1097" t="s">
        <v>317</v>
      </c>
      <c r="S1097" t="s">
        <v>185</v>
      </c>
      <c r="T1097" t="s">
        <v>162</v>
      </c>
      <c r="U1097" t="s">
        <v>163</v>
      </c>
      <c r="V1097" t="s">
        <v>193</v>
      </c>
      <c r="W1097" t="s">
        <v>77</v>
      </c>
      <c r="X1097" t="s">
        <v>44</v>
      </c>
      <c r="Y1097" t="s">
        <v>99</v>
      </c>
      <c r="Z1097" t="s">
        <v>421</v>
      </c>
      <c r="AC1097" t="str">
        <f>IF(AA1097="",M1097,AA1097)</f>
        <v>sim</v>
      </c>
      <c r="AD1097" t="str">
        <f>IF(AB1097="",X1097,AB1097)</f>
        <v>sim</v>
      </c>
      <c r="AE1097" t="str">
        <f>IF(OR(Configuracao!B9="",Configuracao!B10=""),"aguardando limiar",IF(AND(K1097&gt;=Configuracao!B9,K1097/MAX(Reconciliacao!C2,1)&gt;=Configuracao!B10/100),"sim","não"))</f>
        <v>aguardando limiar</v>
      </c>
    </row>
    <row r="1098" spans="1:31" x14ac:dyDescent="0.25">
      <c r="A1098">
        <v>18647</v>
      </c>
      <c r="C1098" t="s">
        <v>951</v>
      </c>
      <c r="D1098" t="s">
        <v>824</v>
      </c>
      <c r="E1098" t="s">
        <v>451</v>
      </c>
      <c r="F1098" t="s">
        <v>316</v>
      </c>
      <c r="G1098" t="s">
        <v>383</v>
      </c>
      <c r="H1098" t="s">
        <v>382</v>
      </c>
      <c r="I1098" t="s">
        <v>35</v>
      </c>
      <c r="J1098" t="s">
        <v>35</v>
      </c>
      <c r="K1098" s="4">
        <v>3.19</v>
      </c>
      <c r="L1098" s="4">
        <v>3.19</v>
      </c>
      <c r="M1098" t="s">
        <v>44</v>
      </c>
      <c r="N1098" t="s">
        <v>77</v>
      </c>
      <c r="O1098" t="s">
        <v>99</v>
      </c>
      <c r="P1098" t="s">
        <v>99</v>
      </c>
      <c r="Q1098" t="s">
        <v>131</v>
      </c>
      <c r="R1098" t="s">
        <v>317</v>
      </c>
      <c r="S1098" t="s">
        <v>185</v>
      </c>
      <c r="T1098" t="s">
        <v>162</v>
      </c>
      <c r="U1098" t="s">
        <v>163</v>
      </c>
      <c r="V1098" t="s">
        <v>193</v>
      </c>
      <c r="W1098" t="s">
        <v>77</v>
      </c>
      <c r="X1098" t="s">
        <v>44</v>
      </c>
      <c r="Y1098" t="s">
        <v>99</v>
      </c>
      <c r="Z1098" t="s">
        <v>421</v>
      </c>
      <c r="AC1098" t="str">
        <f>IF(AA1098="",M1098,AA1098)</f>
        <v>sim</v>
      </c>
      <c r="AD1098" t="str">
        <f>IF(AB1098="",X1098,AB1098)</f>
        <v>sim</v>
      </c>
      <c r="AE1098" t="str">
        <f>IF(OR(Configuracao!B9="",Configuracao!B10=""),"aguardando limiar",IF(AND(K1098&gt;=Configuracao!B9,K1098/MAX(Reconciliacao!C2,1)&gt;=Configuracao!B10/100),"sim","não"))</f>
        <v>aguardando limiar</v>
      </c>
    </row>
    <row r="1099" spans="1:31" x14ac:dyDescent="0.25">
      <c r="A1099">
        <v>18832</v>
      </c>
      <c r="C1099" t="s">
        <v>951</v>
      </c>
      <c r="D1099" t="s">
        <v>824</v>
      </c>
      <c r="E1099" t="s">
        <v>451</v>
      </c>
      <c r="F1099" t="s">
        <v>316</v>
      </c>
      <c r="G1099" t="s">
        <v>383</v>
      </c>
      <c r="H1099" t="s">
        <v>382</v>
      </c>
      <c r="I1099" t="s">
        <v>35</v>
      </c>
      <c r="J1099" t="s">
        <v>35</v>
      </c>
      <c r="K1099" s="4">
        <v>3.19</v>
      </c>
      <c r="L1099" s="4">
        <v>3.19</v>
      </c>
      <c r="M1099" t="s">
        <v>44</v>
      </c>
      <c r="N1099" t="s">
        <v>77</v>
      </c>
      <c r="O1099" t="s">
        <v>99</v>
      </c>
      <c r="P1099" t="s">
        <v>99</v>
      </c>
      <c r="Q1099" t="s">
        <v>131</v>
      </c>
      <c r="R1099" t="s">
        <v>317</v>
      </c>
      <c r="S1099" t="s">
        <v>185</v>
      </c>
      <c r="T1099" t="s">
        <v>162</v>
      </c>
      <c r="U1099" t="s">
        <v>163</v>
      </c>
      <c r="V1099" t="s">
        <v>193</v>
      </c>
      <c r="W1099" t="s">
        <v>77</v>
      </c>
      <c r="X1099" t="s">
        <v>44</v>
      </c>
      <c r="Y1099" t="s">
        <v>99</v>
      </c>
      <c r="Z1099" t="s">
        <v>421</v>
      </c>
      <c r="AC1099" t="str">
        <f>IF(AA1099="",M1099,AA1099)</f>
        <v>sim</v>
      </c>
      <c r="AD1099" t="str">
        <f>IF(AB1099="",X1099,AB1099)</f>
        <v>sim</v>
      </c>
      <c r="AE1099" t="str">
        <f>IF(OR(Configuracao!B9="",Configuracao!B10=""),"aguardando limiar",IF(AND(K1099&gt;=Configuracao!B9,K1099/MAX(Reconciliacao!C2,1)&gt;=Configuracao!B10/100),"sim","não"))</f>
        <v>aguardando limiar</v>
      </c>
    </row>
    <row r="1100" spans="1:31" x14ac:dyDescent="0.25">
      <c r="A1100">
        <v>18872</v>
      </c>
      <c r="C1100" t="s">
        <v>951</v>
      </c>
      <c r="D1100" t="s">
        <v>824</v>
      </c>
      <c r="E1100" t="s">
        <v>451</v>
      </c>
      <c r="F1100" t="s">
        <v>316</v>
      </c>
      <c r="G1100" t="s">
        <v>383</v>
      </c>
      <c r="H1100" t="s">
        <v>382</v>
      </c>
      <c r="I1100" t="s">
        <v>35</v>
      </c>
      <c r="J1100" t="s">
        <v>35</v>
      </c>
      <c r="K1100" s="4">
        <v>3.19</v>
      </c>
      <c r="L1100" s="4">
        <v>3.19</v>
      </c>
      <c r="M1100" t="s">
        <v>44</v>
      </c>
      <c r="N1100" t="s">
        <v>77</v>
      </c>
      <c r="O1100" t="s">
        <v>99</v>
      </c>
      <c r="P1100" t="s">
        <v>99</v>
      </c>
      <c r="Q1100" t="s">
        <v>131</v>
      </c>
      <c r="R1100" t="s">
        <v>317</v>
      </c>
      <c r="S1100" t="s">
        <v>185</v>
      </c>
      <c r="T1100" t="s">
        <v>162</v>
      </c>
      <c r="U1100" t="s">
        <v>163</v>
      </c>
      <c r="V1100" t="s">
        <v>193</v>
      </c>
      <c r="W1100" t="s">
        <v>77</v>
      </c>
      <c r="X1100" t="s">
        <v>44</v>
      </c>
      <c r="Y1100" t="s">
        <v>99</v>
      </c>
      <c r="Z1100" t="s">
        <v>421</v>
      </c>
      <c r="AC1100" t="str">
        <f>IF(AA1100="",M1100,AA1100)</f>
        <v>sim</v>
      </c>
      <c r="AD1100" t="str">
        <f>IF(AB1100="",X1100,AB1100)</f>
        <v>sim</v>
      </c>
      <c r="AE1100" t="str">
        <f>IF(OR(Configuracao!B9="",Configuracao!B10=""),"aguardando limiar",IF(AND(K1100&gt;=Configuracao!B9,K1100/MAX(Reconciliacao!C2,1)&gt;=Configuracao!B10/100),"sim","não"))</f>
        <v>aguardando limiar</v>
      </c>
    </row>
    <row r="1101" spans="1:31" x14ac:dyDescent="0.25">
      <c r="A1101">
        <v>18890</v>
      </c>
      <c r="C1101" t="s">
        <v>951</v>
      </c>
      <c r="D1101" t="s">
        <v>824</v>
      </c>
      <c r="E1101" t="s">
        <v>451</v>
      </c>
      <c r="F1101" t="s">
        <v>316</v>
      </c>
      <c r="G1101" t="s">
        <v>383</v>
      </c>
      <c r="H1101" t="s">
        <v>382</v>
      </c>
      <c r="I1101" t="s">
        <v>35</v>
      </c>
      <c r="J1101" t="s">
        <v>35</v>
      </c>
      <c r="K1101" s="4">
        <v>3.19</v>
      </c>
      <c r="L1101" s="4">
        <v>3.19</v>
      </c>
      <c r="M1101" t="s">
        <v>44</v>
      </c>
      <c r="N1101" t="s">
        <v>77</v>
      </c>
      <c r="O1101" t="s">
        <v>99</v>
      </c>
      <c r="P1101" t="s">
        <v>99</v>
      </c>
      <c r="Q1101" t="s">
        <v>131</v>
      </c>
      <c r="R1101" t="s">
        <v>317</v>
      </c>
      <c r="S1101" t="s">
        <v>185</v>
      </c>
      <c r="T1101" t="s">
        <v>162</v>
      </c>
      <c r="U1101" t="s">
        <v>163</v>
      </c>
      <c r="V1101" t="s">
        <v>193</v>
      </c>
      <c r="W1101" t="s">
        <v>77</v>
      </c>
      <c r="X1101" t="s">
        <v>44</v>
      </c>
      <c r="Y1101" t="s">
        <v>99</v>
      </c>
      <c r="Z1101" t="s">
        <v>421</v>
      </c>
      <c r="AC1101" t="str">
        <f>IF(AA1101="",M1101,AA1101)</f>
        <v>sim</v>
      </c>
      <c r="AD1101" t="str">
        <f>IF(AB1101="",X1101,AB1101)</f>
        <v>sim</v>
      </c>
      <c r="AE1101" t="str">
        <f>IF(OR(Configuracao!B9="",Configuracao!B10=""),"aguardando limiar",IF(AND(K1101&gt;=Configuracao!B9,K1101/MAX(Reconciliacao!C2,1)&gt;=Configuracao!B10/100),"sim","não"))</f>
        <v>aguardando limiar</v>
      </c>
    </row>
    <row r="1102" spans="1:31" x14ac:dyDescent="0.25">
      <c r="A1102">
        <v>18892</v>
      </c>
      <c r="C1102" t="s">
        <v>951</v>
      </c>
      <c r="D1102" t="s">
        <v>824</v>
      </c>
      <c r="E1102" t="s">
        <v>451</v>
      </c>
      <c r="F1102" t="s">
        <v>316</v>
      </c>
      <c r="G1102" t="s">
        <v>383</v>
      </c>
      <c r="H1102" t="s">
        <v>382</v>
      </c>
      <c r="I1102" t="s">
        <v>35</v>
      </c>
      <c r="J1102" t="s">
        <v>35</v>
      </c>
      <c r="K1102" s="4">
        <v>3.19</v>
      </c>
      <c r="L1102" s="4">
        <v>3.19</v>
      </c>
      <c r="M1102" t="s">
        <v>44</v>
      </c>
      <c r="N1102" t="s">
        <v>77</v>
      </c>
      <c r="O1102" t="s">
        <v>99</v>
      </c>
      <c r="P1102" t="s">
        <v>99</v>
      </c>
      <c r="Q1102" t="s">
        <v>131</v>
      </c>
      <c r="R1102" t="s">
        <v>317</v>
      </c>
      <c r="S1102" t="s">
        <v>185</v>
      </c>
      <c r="T1102" t="s">
        <v>162</v>
      </c>
      <c r="U1102" t="s">
        <v>163</v>
      </c>
      <c r="V1102" t="s">
        <v>193</v>
      </c>
      <c r="W1102" t="s">
        <v>77</v>
      </c>
      <c r="X1102" t="s">
        <v>44</v>
      </c>
      <c r="Y1102" t="s">
        <v>99</v>
      </c>
      <c r="Z1102" t="s">
        <v>421</v>
      </c>
      <c r="AC1102" t="str">
        <f>IF(AA1102="",M1102,AA1102)</f>
        <v>sim</v>
      </c>
      <c r="AD1102" t="str">
        <f>IF(AB1102="",X1102,AB1102)</f>
        <v>sim</v>
      </c>
      <c r="AE1102" t="str">
        <f>IF(OR(Configuracao!B9="",Configuracao!B10=""),"aguardando limiar",IF(AND(K1102&gt;=Configuracao!B9,K1102/MAX(Reconciliacao!C2,1)&gt;=Configuracao!B10/100),"sim","não"))</f>
        <v>aguardando limiar</v>
      </c>
    </row>
    <row r="1103" spans="1:31" x14ac:dyDescent="0.25">
      <c r="A1103">
        <v>18964</v>
      </c>
      <c r="C1103" t="s">
        <v>951</v>
      </c>
      <c r="D1103" t="s">
        <v>824</v>
      </c>
      <c r="E1103" t="s">
        <v>451</v>
      </c>
      <c r="F1103" t="s">
        <v>316</v>
      </c>
      <c r="G1103" t="s">
        <v>383</v>
      </c>
      <c r="H1103" t="s">
        <v>382</v>
      </c>
      <c r="I1103" t="s">
        <v>35</v>
      </c>
      <c r="J1103" t="s">
        <v>35</v>
      </c>
      <c r="K1103" s="4">
        <v>3.19</v>
      </c>
      <c r="L1103" s="4">
        <v>3.19</v>
      </c>
      <c r="M1103" t="s">
        <v>44</v>
      </c>
      <c r="N1103" t="s">
        <v>77</v>
      </c>
      <c r="O1103" t="s">
        <v>99</v>
      </c>
      <c r="P1103" t="s">
        <v>99</v>
      </c>
      <c r="Q1103" t="s">
        <v>131</v>
      </c>
      <c r="R1103" t="s">
        <v>317</v>
      </c>
      <c r="S1103" t="s">
        <v>185</v>
      </c>
      <c r="T1103" t="s">
        <v>162</v>
      </c>
      <c r="U1103" t="s">
        <v>163</v>
      </c>
      <c r="V1103" t="s">
        <v>193</v>
      </c>
      <c r="W1103" t="s">
        <v>77</v>
      </c>
      <c r="X1103" t="s">
        <v>44</v>
      </c>
      <c r="Y1103" t="s">
        <v>99</v>
      </c>
      <c r="Z1103" t="s">
        <v>421</v>
      </c>
      <c r="AC1103" t="str">
        <f>IF(AA1103="",M1103,AA1103)</f>
        <v>sim</v>
      </c>
      <c r="AD1103" t="str">
        <f>IF(AB1103="",X1103,AB1103)</f>
        <v>sim</v>
      </c>
      <c r="AE1103" t="str">
        <f>IF(OR(Configuracao!B9="",Configuracao!B10=""),"aguardando limiar",IF(AND(K1103&gt;=Configuracao!B9,K1103/MAX(Reconciliacao!C2,1)&gt;=Configuracao!B10/100),"sim","não"))</f>
        <v>aguardando limiar</v>
      </c>
    </row>
    <row r="1104" spans="1:31" x14ac:dyDescent="0.25">
      <c r="A1104">
        <v>19194</v>
      </c>
      <c r="C1104" t="s">
        <v>951</v>
      </c>
      <c r="D1104" t="s">
        <v>824</v>
      </c>
      <c r="E1104" t="s">
        <v>451</v>
      </c>
      <c r="F1104" t="s">
        <v>316</v>
      </c>
      <c r="G1104" t="s">
        <v>383</v>
      </c>
      <c r="H1104" t="s">
        <v>382</v>
      </c>
      <c r="I1104" t="s">
        <v>35</v>
      </c>
      <c r="J1104" t="s">
        <v>35</v>
      </c>
      <c r="K1104" s="4">
        <v>3.19</v>
      </c>
      <c r="L1104" s="4">
        <v>3.19</v>
      </c>
      <c r="M1104" t="s">
        <v>44</v>
      </c>
      <c r="N1104" t="s">
        <v>77</v>
      </c>
      <c r="O1104" t="s">
        <v>99</v>
      </c>
      <c r="P1104" t="s">
        <v>99</v>
      </c>
      <c r="Q1104" t="s">
        <v>131</v>
      </c>
      <c r="R1104" t="s">
        <v>317</v>
      </c>
      <c r="S1104" t="s">
        <v>185</v>
      </c>
      <c r="T1104" t="s">
        <v>162</v>
      </c>
      <c r="U1104" t="s">
        <v>163</v>
      </c>
      <c r="V1104" t="s">
        <v>193</v>
      </c>
      <c r="W1104" t="s">
        <v>77</v>
      </c>
      <c r="X1104" t="s">
        <v>44</v>
      </c>
      <c r="Y1104" t="s">
        <v>99</v>
      </c>
      <c r="Z1104" t="s">
        <v>421</v>
      </c>
      <c r="AC1104" t="str">
        <f>IF(AA1104="",M1104,AA1104)</f>
        <v>sim</v>
      </c>
      <c r="AD1104" t="str">
        <f>IF(AB1104="",X1104,AB1104)</f>
        <v>sim</v>
      </c>
      <c r="AE1104" t="str">
        <f>IF(OR(Configuracao!B9="",Configuracao!B10=""),"aguardando limiar",IF(AND(K1104&gt;=Configuracao!B9,K1104/MAX(Reconciliacao!C2,1)&gt;=Configuracao!B10/100),"sim","não"))</f>
        <v>aguardando limiar</v>
      </c>
    </row>
    <row r="1105" spans="1:31" x14ac:dyDescent="0.25">
      <c r="A1105">
        <v>17212</v>
      </c>
      <c r="C1105" t="s">
        <v>952</v>
      </c>
      <c r="D1105" t="s">
        <v>824</v>
      </c>
      <c r="E1105" t="s">
        <v>451</v>
      </c>
      <c r="F1105" t="s">
        <v>316</v>
      </c>
      <c r="G1105" t="s">
        <v>383</v>
      </c>
      <c r="H1105" t="s">
        <v>382</v>
      </c>
      <c r="I1105" t="s">
        <v>442</v>
      </c>
      <c r="J1105" t="s">
        <v>442</v>
      </c>
      <c r="K1105" s="4">
        <v>3.23</v>
      </c>
      <c r="L1105" s="4">
        <v>3.23</v>
      </c>
      <c r="M1105" t="s">
        <v>44</v>
      </c>
      <c r="N1105" t="s">
        <v>77</v>
      </c>
      <c r="O1105" t="s">
        <v>99</v>
      </c>
      <c r="P1105" t="s">
        <v>99</v>
      </c>
      <c r="Q1105" t="s">
        <v>131</v>
      </c>
      <c r="R1105" t="s">
        <v>317</v>
      </c>
      <c r="S1105" t="s">
        <v>185</v>
      </c>
      <c r="T1105" t="s">
        <v>162</v>
      </c>
      <c r="U1105" t="s">
        <v>163</v>
      </c>
      <c r="V1105" t="s">
        <v>193</v>
      </c>
      <c r="W1105" t="s">
        <v>77</v>
      </c>
      <c r="X1105" t="s">
        <v>44</v>
      </c>
      <c r="Y1105" t="s">
        <v>99</v>
      </c>
      <c r="Z1105" t="s">
        <v>421</v>
      </c>
      <c r="AC1105" t="str">
        <f>IF(AA1105="",M1105,AA1105)</f>
        <v>sim</v>
      </c>
      <c r="AD1105" t="str">
        <f>IF(AB1105="",X1105,AB1105)</f>
        <v>sim</v>
      </c>
      <c r="AE1105" t="str">
        <f>IF(OR(Configuracao!B9="",Configuracao!B10=""),"aguardando limiar",IF(AND(K1105&gt;=Configuracao!B9,K1105/MAX(Reconciliacao!C2,1)&gt;=Configuracao!B10/100),"sim","não"))</f>
        <v>aguardando limiar</v>
      </c>
    </row>
    <row r="1106" spans="1:31" x14ac:dyDescent="0.25">
      <c r="A1106">
        <v>17359</v>
      </c>
      <c r="C1106" t="s">
        <v>952</v>
      </c>
      <c r="D1106" t="s">
        <v>824</v>
      </c>
      <c r="E1106" t="s">
        <v>451</v>
      </c>
      <c r="F1106" t="s">
        <v>316</v>
      </c>
      <c r="G1106" t="s">
        <v>383</v>
      </c>
      <c r="H1106" t="s">
        <v>382</v>
      </c>
      <c r="I1106" t="s">
        <v>442</v>
      </c>
      <c r="J1106" t="s">
        <v>442</v>
      </c>
      <c r="K1106" s="4">
        <v>3.23</v>
      </c>
      <c r="L1106" s="4">
        <v>3.23</v>
      </c>
      <c r="M1106" t="s">
        <v>44</v>
      </c>
      <c r="N1106" t="s">
        <v>77</v>
      </c>
      <c r="O1106" t="s">
        <v>99</v>
      </c>
      <c r="P1106" t="s">
        <v>99</v>
      </c>
      <c r="Q1106" t="s">
        <v>131</v>
      </c>
      <c r="R1106" t="s">
        <v>317</v>
      </c>
      <c r="S1106" t="s">
        <v>185</v>
      </c>
      <c r="T1106" t="s">
        <v>162</v>
      </c>
      <c r="U1106" t="s">
        <v>163</v>
      </c>
      <c r="V1106" t="s">
        <v>193</v>
      </c>
      <c r="W1106" t="s">
        <v>77</v>
      </c>
      <c r="X1106" t="s">
        <v>44</v>
      </c>
      <c r="Y1106" t="s">
        <v>99</v>
      </c>
      <c r="Z1106" t="s">
        <v>421</v>
      </c>
      <c r="AC1106" t="str">
        <f>IF(AA1106="",M1106,AA1106)</f>
        <v>sim</v>
      </c>
      <c r="AD1106" t="str">
        <f>IF(AB1106="",X1106,AB1106)</f>
        <v>sim</v>
      </c>
      <c r="AE1106" t="str">
        <f>IF(OR(Configuracao!B9="",Configuracao!B10=""),"aguardando limiar",IF(AND(K1106&gt;=Configuracao!B9,K1106/MAX(Reconciliacao!C2,1)&gt;=Configuracao!B10/100),"sim","não"))</f>
        <v>aguardando limiar</v>
      </c>
    </row>
    <row r="1107" spans="1:31" x14ac:dyDescent="0.25">
      <c r="A1107">
        <v>17379</v>
      </c>
      <c r="C1107" t="s">
        <v>952</v>
      </c>
      <c r="D1107" t="s">
        <v>824</v>
      </c>
      <c r="E1107" t="s">
        <v>451</v>
      </c>
      <c r="F1107" t="s">
        <v>316</v>
      </c>
      <c r="G1107" t="s">
        <v>383</v>
      </c>
      <c r="H1107" t="s">
        <v>382</v>
      </c>
      <c r="I1107" t="s">
        <v>442</v>
      </c>
      <c r="J1107" t="s">
        <v>442</v>
      </c>
      <c r="K1107" s="4">
        <v>3.23</v>
      </c>
      <c r="L1107" s="4">
        <v>3.23</v>
      </c>
      <c r="M1107" t="s">
        <v>44</v>
      </c>
      <c r="N1107" t="s">
        <v>77</v>
      </c>
      <c r="O1107" t="s">
        <v>99</v>
      </c>
      <c r="P1107" t="s">
        <v>99</v>
      </c>
      <c r="Q1107" t="s">
        <v>131</v>
      </c>
      <c r="R1107" t="s">
        <v>317</v>
      </c>
      <c r="S1107" t="s">
        <v>185</v>
      </c>
      <c r="T1107" t="s">
        <v>162</v>
      </c>
      <c r="U1107" t="s">
        <v>163</v>
      </c>
      <c r="V1107" t="s">
        <v>193</v>
      </c>
      <c r="W1107" t="s">
        <v>77</v>
      </c>
      <c r="X1107" t="s">
        <v>44</v>
      </c>
      <c r="Y1107" t="s">
        <v>99</v>
      </c>
      <c r="Z1107" t="s">
        <v>421</v>
      </c>
      <c r="AC1107" t="str">
        <f>IF(AA1107="",M1107,AA1107)</f>
        <v>sim</v>
      </c>
      <c r="AD1107" t="str">
        <f>IF(AB1107="",X1107,AB1107)</f>
        <v>sim</v>
      </c>
      <c r="AE1107" t="str">
        <f>IF(OR(Configuracao!B9="",Configuracao!B10=""),"aguardando limiar",IF(AND(K1107&gt;=Configuracao!B9,K1107/MAX(Reconciliacao!C2,1)&gt;=Configuracao!B10/100),"sim","não"))</f>
        <v>aguardando limiar</v>
      </c>
    </row>
    <row r="1108" spans="1:31" x14ac:dyDescent="0.25">
      <c r="A1108">
        <v>17381</v>
      </c>
      <c r="C1108" t="s">
        <v>952</v>
      </c>
      <c r="D1108" t="s">
        <v>824</v>
      </c>
      <c r="E1108" t="s">
        <v>451</v>
      </c>
      <c r="F1108" t="s">
        <v>316</v>
      </c>
      <c r="G1108" t="s">
        <v>383</v>
      </c>
      <c r="H1108" t="s">
        <v>382</v>
      </c>
      <c r="I1108" t="s">
        <v>442</v>
      </c>
      <c r="J1108" t="s">
        <v>442</v>
      </c>
      <c r="K1108" s="4">
        <v>3.23</v>
      </c>
      <c r="L1108" s="4">
        <v>3.23</v>
      </c>
      <c r="M1108" t="s">
        <v>44</v>
      </c>
      <c r="N1108" t="s">
        <v>77</v>
      </c>
      <c r="O1108" t="s">
        <v>99</v>
      </c>
      <c r="P1108" t="s">
        <v>99</v>
      </c>
      <c r="Q1108" t="s">
        <v>131</v>
      </c>
      <c r="R1108" t="s">
        <v>317</v>
      </c>
      <c r="S1108" t="s">
        <v>185</v>
      </c>
      <c r="T1108" t="s">
        <v>162</v>
      </c>
      <c r="U1108" t="s">
        <v>163</v>
      </c>
      <c r="V1108" t="s">
        <v>193</v>
      </c>
      <c r="W1108" t="s">
        <v>77</v>
      </c>
      <c r="X1108" t="s">
        <v>44</v>
      </c>
      <c r="Y1108" t="s">
        <v>99</v>
      </c>
      <c r="Z1108" t="s">
        <v>421</v>
      </c>
      <c r="AC1108" t="str">
        <f>IF(AA1108="",M1108,AA1108)</f>
        <v>sim</v>
      </c>
      <c r="AD1108" t="str">
        <f>IF(AB1108="",X1108,AB1108)</f>
        <v>sim</v>
      </c>
      <c r="AE1108" t="str">
        <f>IF(OR(Configuracao!B9="",Configuracao!B10=""),"aguardando limiar",IF(AND(K1108&gt;=Configuracao!B9,K1108/MAX(Reconciliacao!C2,1)&gt;=Configuracao!B10/100),"sim","não"))</f>
        <v>aguardando limiar</v>
      </c>
    </row>
    <row r="1109" spans="1:31" x14ac:dyDescent="0.25">
      <c r="A1109">
        <v>17697</v>
      </c>
      <c r="C1109" t="s">
        <v>952</v>
      </c>
      <c r="D1109" t="s">
        <v>824</v>
      </c>
      <c r="E1109" t="s">
        <v>451</v>
      </c>
      <c r="F1109" t="s">
        <v>316</v>
      </c>
      <c r="G1109" t="s">
        <v>383</v>
      </c>
      <c r="H1109" t="s">
        <v>382</v>
      </c>
      <c r="I1109" t="s">
        <v>442</v>
      </c>
      <c r="J1109" t="s">
        <v>442</v>
      </c>
      <c r="K1109" s="4">
        <v>3.23</v>
      </c>
      <c r="L1109" s="4">
        <v>3.23</v>
      </c>
      <c r="M1109" t="s">
        <v>44</v>
      </c>
      <c r="N1109" t="s">
        <v>77</v>
      </c>
      <c r="O1109" t="s">
        <v>99</v>
      </c>
      <c r="P1109" t="s">
        <v>99</v>
      </c>
      <c r="Q1109" t="s">
        <v>131</v>
      </c>
      <c r="R1109" t="s">
        <v>317</v>
      </c>
      <c r="S1109" t="s">
        <v>185</v>
      </c>
      <c r="T1109" t="s">
        <v>162</v>
      </c>
      <c r="U1109" t="s">
        <v>163</v>
      </c>
      <c r="V1109" t="s">
        <v>193</v>
      </c>
      <c r="W1109" t="s">
        <v>77</v>
      </c>
      <c r="X1109" t="s">
        <v>44</v>
      </c>
      <c r="Y1109" t="s">
        <v>99</v>
      </c>
      <c r="Z1109" t="s">
        <v>421</v>
      </c>
      <c r="AC1109" t="str">
        <f>IF(AA1109="",M1109,AA1109)</f>
        <v>sim</v>
      </c>
      <c r="AD1109" t="str">
        <f>IF(AB1109="",X1109,AB1109)</f>
        <v>sim</v>
      </c>
      <c r="AE1109" t="str">
        <f>IF(OR(Configuracao!B9="",Configuracao!B10=""),"aguardando limiar",IF(AND(K1109&gt;=Configuracao!B9,K1109/MAX(Reconciliacao!C2,1)&gt;=Configuracao!B10/100),"sim","não"))</f>
        <v>aguardando limiar</v>
      </c>
    </row>
    <row r="1110" spans="1:31" x14ac:dyDescent="0.25">
      <c r="A1110">
        <v>17821</v>
      </c>
      <c r="C1110" t="s">
        <v>952</v>
      </c>
      <c r="D1110" t="s">
        <v>824</v>
      </c>
      <c r="E1110" t="s">
        <v>451</v>
      </c>
      <c r="F1110" t="s">
        <v>316</v>
      </c>
      <c r="G1110" t="s">
        <v>383</v>
      </c>
      <c r="H1110" t="s">
        <v>382</v>
      </c>
      <c r="I1110" t="s">
        <v>439</v>
      </c>
      <c r="J1110" t="s">
        <v>439</v>
      </c>
      <c r="K1110" s="4">
        <v>3.23</v>
      </c>
      <c r="L1110" s="4">
        <v>3.23</v>
      </c>
      <c r="M1110" t="s">
        <v>44</v>
      </c>
      <c r="N1110" t="s">
        <v>77</v>
      </c>
      <c r="O1110" t="s">
        <v>99</v>
      </c>
      <c r="P1110" t="s">
        <v>99</v>
      </c>
      <c r="Q1110" t="s">
        <v>131</v>
      </c>
      <c r="R1110" t="s">
        <v>317</v>
      </c>
      <c r="S1110" t="s">
        <v>185</v>
      </c>
      <c r="T1110" t="s">
        <v>162</v>
      </c>
      <c r="U1110" t="s">
        <v>163</v>
      </c>
      <c r="V1110" t="s">
        <v>193</v>
      </c>
      <c r="W1110" t="s">
        <v>77</v>
      </c>
      <c r="X1110" t="s">
        <v>44</v>
      </c>
      <c r="Y1110" t="s">
        <v>99</v>
      </c>
      <c r="Z1110" t="s">
        <v>421</v>
      </c>
      <c r="AC1110" t="str">
        <f>IF(AA1110="",M1110,AA1110)</f>
        <v>sim</v>
      </c>
      <c r="AD1110" t="str">
        <f>IF(AB1110="",X1110,AB1110)</f>
        <v>sim</v>
      </c>
      <c r="AE1110" t="str">
        <f>IF(OR(Configuracao!B9="",Configuracao!B10=""),"aguardando limiar",IF(AND(K1110&gt;=Configuracao!B9,K1110/MAX(Reconciliacao!C2,1)&gt;=Configuracao!B10/100),"sim","não"))</f>
        <v>aguardando limiar</v>
      </c>
    </row>
    <row r="1111" spans="1:31" x14ac:dyDescent="0.25">
      <c r="A1111">
        <v>17824</v>
      </c>
      <c r="C1111" t="s">
        <v>952</v>
      </c>
      <c r="D1111" t="s">
        <v>824</v>
      </c>
      <c r="E1111" t="s">
        <v>451</v>
      </c>
      <c r="F1111" t="s">
        <v>316</v>
      </c>
      <c r="G1111" t="s">
        <v>383</v>
      </c>
      <c r="H1111" t="s">
        <v>382</v>
      </c>
      <c r="I1111" t="s">
        <v>439</v>
      </c>
      <c r="J1111" t="s">
        <v>439</v>
      </c>
      <c r="K1111" s="4">
        <v>3.23</v>
      </c>
      <c r="L1111" s="4">
        <v>3.23</v>
      </c>
      <c r="M1111" t="s">
        <v>44</v>
      </c>
      <c r="N1111" t="s">
        <v>77</v>
      </c>
      <c r="O1111" t="s">
        <v>99</v>
      </c>
      <c r="P1111" t="s">
        <v>99</v>
      </c>
      <c r="Q1111" t="s">
        <v>131</v>
      </c>
      <c r="R1111" t="s">
        <v>317</v>
      </c>
      <c r="S1111" t="s">
        <v>185</v>
      </c>
      <c r="T1111" t="s">
        <v>162</v>
      </c>
      <c r="U1111" t="s">
        <v>163</v>
      </c>
      <c r="V1111" t="s">
        <v>193</v>
      </c>
      <c r="W1111" t="s">
        <v>77</v>
      </c>
      <c r="X1111" t="s">
        <v>44</v>
      </c>
      <c r="Y1111" t="s">
        <v>99</v>
      </c>
      <c r="Z1111" t="s">
        <v>421</v>
      </c>
      <c r="AC1111" t="str">
        <f>IF(AA1111="",M1111,AA1111)</f>
        <v>sim</v>
      </c>
      <c r="AD1111" t="str">
        <f>IF(AB1111="",X1111,AB1111)</f>
        <v>sim</v>
      </c>
      <c r="AE1111" t="str">
        <f>IF(OR(Configuracao!B9="",Configuracao!B10=""),"aguardando limiar",IF(AND(K1111&gt;=Configuracao!B9,K1111/MAX(Reconciliacao!C2,1)&gt;=Configuracao!B10/100),"sim","não"))</f>
        <v>aguardando limiar</v>
      </c>
    </row>
    <row r="1112" spans="1:31" x14ac:dyDescent="0.25">
      <c r="A1112">
        <v>18646</v>
      </c>
      <c r="C1112" t="s">
        <v>952</v>
      </c>
      <c r="D1112" t="s">
        <v>824</v>
      </c>
      <c r="E1112" t="s">
        <v>451</v>
      </c>
      <c r="F1112" t="s">
        <v>316</v>
      </c>
      <c r="G1112" t="s">
        <v>383</v>
      </c>
      <c r="H1112" t="s">
        <v>382</v>
      </c>
      <c r="I1112" t="s">
        <v>35</v>
      </c>
      <c r="J1112" t="s">
        <v>35</v>
      </c>
      <c r="K1112" s="4">
        <v>3.23</v>
      </c>
      <c r="L1112" s="4">
        <v>3.23</v>
      </c>
      <c r="M1112" t="s">
        <v>44</v>
      </c>
      <c r="N1112" t="s">
        <v>77</v>
      </c>
      <c r="O1112" t="s">
        <v>99</v>
      </c>
      <c r="P1112" t="s">
        <v>99</v>
      </c>
      <c r="Q1112" t="s">
        <v>131</v>
      </c>
      <c r="R1112" t="s">
        <v>317</v>
      </c>
      <c r="S1112" t="s">
        <v>185</v>
      </c>
      <c r="T1112" t="s">
        <v>162</v>
      </c>
      <c r="U1112" t="s">
        <v>163</v>
      </c>
      <c r="V1112" t="s">
        <v>193</v>
      </c>
      <c r="W1112" t="s">
        <v>77</v>
      </c>
      <c r="X1112" t="s">
        <v>44</v>
      </c>
      <c r="Y1112" t="s">
        <v>99</v>
      </c>
      <c r="Z1112" t="s">
        <v>421</v>
      </c>
      <c r="AC1112" t="str">
        <f>IF(AA1112="",M1112,AA1112)</f>
        <v>sim</v>
      </c>
      <c r="AD1112" t="str">
        <f>IF(AB1112="",X1112,AB1112)</f>
        <v>sim</v>
      </c>
      <c r="AE1112" t="str">
        <f>IF(OR(Configuracao!B9="",Configuracao!B10=""),"aguardando limiar",IF(AND(K1112&gt;=Configuracao!B9,K1112/MAX(Reconciliacao!C2,1)&gt;=Configuracao!B10/100),"sim","não"))</f>
        <v>aguardando limiar</v>
      </c>
    </row>
    <row r="1113" spans="1:31" x14ac:dyDescent="0.25">
      <c r="A1113">
        <v>18772</v>
      </c>
      <c r="C1113" t="s">
        <v>952</v>
      </c>
      <c r="D1113" t="s">
        <v>824</v>
      </c>
      <c r="E1113" t="s">
        <v>451</v>
      </c>
      <c r="F1113" t="s">
        <v>316</v>
      </c>
      <c r="G1113" t="s">
        <v>383</v>
      </c>
      <c r="H1113" t="s">
        <v>382</v>
      </c>
      <c r="I1113" t="s">
        <v>35</v>
      </c>
      <c r="J1113" t="s">
        <v>35</v>
      </c>
      <c r="K1113" s="4">
        <v>3.23</v>
      </c>
      <c r="L1113" s="4">
        <v>3.23</v>
      </c>
      <c r="M1113" t="s">
        <v>44</v>
      </c>
      <c r="N1113" t="s">
        <v>77</v>
      </c>
      <c r="O1113" t="s">
        <v>99</v>
      </c>
      <c r="P1113" t="s">
        <v>99</v>
      </c>
      <c r="Q1113" t="s">
        <v>131</v>
      </c>
      <c r="R1113" t="s">
        <v>317</v>
      </c>
      <c r="S1113" t="s">
        <v>185</v>
      </c>
      <c r="T1113" t="s">
        <v>162</v>
      </c>
      <c r="U1113" t="s">
        <v>163</v>
      </c>
      <c r="V1113" t="s">
        <v>193</v>
      </c>
      <c r="W1113" t="s">
        <v>77</v>
      </c>
      <c r="X1113" t="s">
        <v>44</v>
      </c>
      <c r="Y1113" t="s">
        <v>99</v>
      </c>
      <c r="Z1113" t="s">
        <v>421</v>
      </c>
      <c r="AC1113" t="str">
        <f>IF(AA1113="",M1113,AA1113)</f>
        <v>sim</v>
      </c>
      <c r="AD1113" t="str">
        <f>IF(AB1113="",X1113,AB1113)</f>
        <v>sim</v>
      </c>
      <c r="AE1113" t="str">
        <f>IF(OR(Configuracao!B9="",Configuracao!B10=""),"aguardando limiar",IF(AND(K1113&gt;=Configuracao!B9,K1113/MAX(Reconciliacao!C2,1)&gt;=Configuracao!B10/100),"sim","não"))</f>
        <v>aguardando limiar</v>
      </c>
    </row>
    <row r="1114" spans="1:31" x14ac:dyDescent="0.25">
      <c r="A1114">
        <v>19134</v>
      </c>
      <c r="C1114" t="s">
        <v>952</v>
      </c>
      <c r="D1114" t="s">
        <v>824</v>
      </c>
      <c r="E1114" t="s">
        <v>451</v>
      </c>
      <c r="F1114" t="s">
        <v>316</v>
      </c>
      <c r="G1114" t="s">
        <v>383</v>
      </c>
      <c r="H1114" t="s">
        <v>382</v>
      </c>
      <c r="I1114" t="s">
        <v>35</v>
      </c>
      <c r="J1114" t="s">
        <v>35</v>
      </c>
      <c r="K1114" s="4">
        <v>3.23</v>
      </c>
      <c r="L1114" s="4">
        <v>3.23</v>
      </c>
      <c r="M1114" t="s">
        <v>44</v>
      </c>
      <c r="N1114" t="s">
        <v>77</v>
      </c>
      <c r="O1114" t="s">
        <v>99</v>
      </c>
      <c r="P1114" t="s">
        <v>99</v>
      </c>
      <c r="Q1114" t="s">
        <v>131</v>
      </c>
      <c r="R1114" t="s">
        <v>317</v>
      </c>
      <c r="S1114" t="s">
        <v>185</v>
      </c>
      <c r="T1114" t="s">
        <v>162</v>
      </c>
      <c r="U1114" t="s">
        <v>163</v>
      </c>
      <c r="V1114" t="s">
        <v>193</v>
      </c>
      <c r="W1114" t="s">
        <v>77</v>
      </c>
      <c r="X1114" t="s">
        <v>44</v>
      </c>
      <c r="Y1114" t="s">
        <v>99</v>
      </c>
      <c r="Z1114" t="s">
        <v>421</v>
      </c>
      <c r="AC1114" t="str">
        <f>IF(AA1114="",M1114,AA1114)</f>
        <v>sim</v>
      </c>
      <c r="AD1114" t="str">
        <f>IF(AB1114="",X1114,AB1114)</f>
        <v>sim</v>
      </c>
      <c r="AE1114" t="str">
        <f>IF(OR(Configuracao!B9="",Configuracao!B10=""),"aguardando limiar",IF(AND(K1114&gt;=Configuracao!B9,K1114/MAX(Reconciliacao!C2,1)&gt;=Configuracao!B10/100),"sim","não"))</f>
        <v>aguardando limiar</v>
      </c>
    </row>
    <row r="1115" spans="1:31" x14ac:dyDescent="0.25">
      <c r="A1115">
        <v>14899</v>
      </c>
      <c r="C1115" t="s">
        <v>953</v>
      </c>
      <c r="D1115" t="s">
        <v>824</v>
      </c>
      <c r="E1115" t="s">
        <v>451</v>
      </c>
      <c r="F1115" t="s">
        <v>316</v>
      </c>
      <c r="G1115" t="s">
        <v>383</v>
      </c>
      <c r="H1115" t="s">
        <v>382</v>
      </c>
      <c r="I1115" t="s">
        <v>454</v>
      </c>
      <c r="J1115" t="s">
        <v>454</v>
      </c>
      <c r="K1115" s="4">
        <v>3.49</v>
      </c>
      <c r="L1115" s="4">
        <v>3.49</v>
      </c>
      <c r="M1115" t="s">
        <v>44</v>
      </c>
      <c r="N1115" t="s">
        <v>77</v>
      </c>
      <c r="O1115" t="s">
        <v>99</v>
      </c>
      <c r="P1115" t="s">
        <v>99</v>
      </c>
      <c r="Q1115" t="s">
        <v>131</v>
      </c>
      <c r="R1115" t="s">
        <v>317</v>
      </c>
      <c r="S1115" t="s">
        <v>185</v>
      </c>
      <c r="T1115" t="s">
        <v>162</v>
      </c>
      <c r="U1115" t="s">
        <v>163</v>
      </c>
      <c r="V1115" t="s">
        <v>193</v>
      </c>
      <c r="W1115" t="s">
        <v>77</v>
      </c>
      <c r="X1115" t="s">
        <v>44</v>
      </c>
      <c r="Y1115" t="s">
        <v>99</v>
      </c>
      <c r="Z1115" t="s">
        <v>421</v>
      </c>
      <c r="AC1115" t="str">
        <f>IF(AA1115="",M1115,AA1115)</f>
        <v>sim</v>
      </c>
      <c r="AD1115" t="str">
        <f>IF(AB1115="",X1115,AB1115)</f>
        <v>sim</v>
      </c>
      <c r="AE1115" t="str">
        <f>IF(OR(Configuracao!B9="",Configuracao!B10=""),"aguardando limiar",IF(AND(K1115&gt;=Configuracao!B9,K1115/MAX(Reconciliacao!C2,1)&gt;=Configuracao!B10/100),"sim","não"))</f>
        <v>aguardando limiar</v>
      </c>
    </row>
    <row r="1116" spans="1:31" x14ac:dyDescent="0.25">
      <c r="A1116">
        <v>17157</v>
      </c>
      <c r="C1116" t="s">
        <v>954</v>
      </c>
      <c r="D1116" t="s">
        <v>824</v>
      </c>
      <c r="E1116" t="s">
        <v>451</v>
      </c>
      <c r="F1116" t="s">
        <v>316</v>
      </c>
      <c r="G1116" t="s">
        <v>383</v>
      </c>
      <c r="H1116" t="s">
        <v>382</v>
      </c>
      <c r="I1116" t="s">
        <v>442</v>
      </c>
      <c r="J1116" t="s">
        <v>442</v>
      </c>
      <c r="K1116" s="4">
        <v>3.49</v>
      </c>
      <c r="L1116" s="4">
        <v>3.49</v>
      </c>
      <c r="M1116" t="s">
        <v>44</v>
      </c>
      <c r="N1116" t="s">
        <v>77</v>
      </c>
      <c r="O1116" t="s">
        <v>99</v>
      </c>
      <c r="P1116" t="s">
        <v>99</v>
      </c>
      <c r="Q1116" t="s">
        <v>131</v>
      </c>
      <c r="R1116" t="s">
        <v>317</v>
      </c>
      <c r="S1116" t="s">
        <v>185</v>
      </c>
      <c r="T1116" t="s">
        <v>162</v>
      </c>
      <c r="U1116" t="s">
        <v>163</v>
      </c>
      <c r="V1116" t="s">
        <v>193</v>
      </c>
      <c r="W1116" t="s">
        <v>77</v>
      </c>
      <c r="X1116" t="s">
        <v>44</v>
      </c>
      <c r="Y1116" t="s">
        <v>99</v>
      </c>
      <c r="Z1116" t="s">
        <v>421</v>
      </c>
      <c r="AC1116" t="str">
        <f>IF(AA1116="",M1116,AA1116)</f>
        <v>sim</v>
      </c>
      <c r="AD1116" t="str">
        <f>IF(AB1116="",X1116,AB1116)</f>
        <v>sim</v>
      </c>
      <c r="AE1116" t="str">
        <f>IF(OR(Configuracao!B9="",Configuracao!B10=""),"aguardando limiar",IF(AND(K1116&gt;=Configuracao!B9,K1116/MAX(Reconciliacao!C2,1)&gt;=Configuracao!B10/100),"sim","não"))</f>
        <v>aguardando limiar</v>
      </c>
    </row>
    <row r="1117" spans="1:31" x14ac:dyDescent="0.25">
      <c r="A1117">
        <v>17380</v>
      </c>
      <c r="C1117" t="s">
        <v>953</v>
      </c>
      <c r="D1117" t="s">
        <v>824</v>
      </c>
      <c r="E1117" t="s">
        <v>451</v>
      </c>
      <c r="F1117" t="s">
        <v>316</v>
      </c>
      <c r="G1117" t="s">
        <v>383</v>
      </c>
      <c r="H1117" t="s">
        <v>382</v>
      </c>
      <c r="I1117" t="s">
        <v>442</v>
      </c>
      <c r="J1117" t="s">
        <v>442</v>
      </c>
      <c r="K1117" s="4">
        <v>3.49</v>
      </c>
      <c r="L1117" s="4">
        <v>3.49</v>
      </c>
      <c r="M1117" t="s">
        <v>44</v>
      </c>
      <c r="N1117" t="s">
        <v>77</v>
      </c>
      <c r="O1117" t="s">
        <v>99</v>
      </c>
      <c r="P1117" t="s">
        <v>99</v>
      </c>
      <c r="Q1117" t="s">
        <v>131</v>
      </c>
      <c r="R1117" t="s">
        <v>317</v>
      </c>
      <c r="S1117" t="s">
        <v>185</v>
      </c>
      <c r="T1117" t="s">
        <v>162</v>
      </c>
      <c r="U1117" t="s">
        <v>163</v>
      </c>
      <c r="V1117" t="s">
        <v>193</v>
      </c>
      <c r="W1117" t="s">
        <v>77</v>
      </c>
      <c r="X1117" t="s">
        <v>44</v>
      </c>
      <c r="Y1117" t="s">
        <v>99</v>
      </c>
      <c r="Z1117" t="s">
        <v>421</v>
      </c>
      <c r="AC1117" t="str">
        <f>IF(AA1117="",M1117,AA1117)</f>
        <v>sim</v>
      </c>
      <c r="AD1117" t="str">
        <f>IF(AB1117="",X1117,AB1117)</f>
        <v>sim</v>
      </c>
      <c r="AE1117" t="str">
        <f>IF(OR(Configuracao!B9="",Configuracao!B10=""),"aguardando limiar",IF(AND(K1117&gt;=Configuracao!B9,K1117/MAX(Reconciliacao!C2,1)&gt;=Configuracao!B10/100),"sim","não"))</f>
        <v>aguardando limiar</v>
      </c>
    </row>
    <row r="1118" spans="1:31" x14ac:dyDescent="0.25">
      <c r="A1118">
        <v>17676</v>
      </c>
      <c r="C1118" t="s">
        <v>954</v>
      </c>
      <c r="D1118" t="s">
        <v>824</v>
      </c>
      <c r="E1118" t="s">
        <v>451</v>
      </c>
      <c r="F1118" t="s">
        <v>316</v>
      </c>
      <c r="G1118" t="s">
        <v>383</v>
      </c>
      <c r="H1118" t="s">
        <v>382</v>
      </c>
      <c r="I1118" t="s">
        <v>442</v>
      </c>
      <c r="J1118" t="s">
        <v>442</v>
      </c>
      <c r="K1118" s="4">
        <v>3.49</v>
      </c>
      <c r="L1118" s="4">
        <v>3.49</v>
      </c>
      <c r="M1118" t="s">
        <v>44</v>
      </c>
      <c r="N1118" t="s">
        <v>77</v>
      </c>
      <c r="O1118" t="s">
        <v>99</v>
      </c>
      <c r="P1118" t="s">
        <v>99</v>
      </c>
      <c r="Q1118" t="s">
        <v>131</v>
      </c>
      <c r="R1118" t="s">
        <v>317</v>
      </c>
      <c r="S1118" t="s">
        <v>185</v>
      </c>
      <c r="T1118" t="s">
        <v>162</v>
      </c>
      <c r="U1118" t="s">
        <v>163</v>
      </c>
      <c r="V1118" t="s">
        <v>193</v>
      </c>
      <c r="W1118" t="s">
        <v>77</v>
      </c>
      <c r="X1118" t="s">
        <v>44</v>
      </c>
      <c r="Y1118" t="s">
        <v>99</v>
      </c>
      <c r="Z1118" t="s">
        <v>421</v>
      </c>
      <c r="AC1118" t="str">
        <f>IF(AA1118="",M1118,AA1118)</f>
        <v>sim</v>
      </c>
      <c r="AD1118" t="str">
        <f>IF(AB1118="",X1118,AB1118)</f>
        <v>sim</v>
      </c>
      <c r="AE1118" t="str">
        <f>IF(OR(Configuracao!B9="",Configuracao!B10=""),"aguardando limiar",IF(AND(K1118&gt;=Configuracao!B9,K1118/MAX(Reconciliacao!C2,1)&gt;=Configuracao!B10/100),"sim","não"))</f>
        <v>aguardando limiar</v>
      </c>
    </row>
    <row r="1119" spans="1:31" x14ac:dyDescent="0.25">
      <c r="A1119">
        <v>17986</v>
      </c>
      <c r="C1119" t="s">
        <v>953</v>
      </c>
      <c r="D1119" t="s">
        <v>824</v>
      </c>
      <c r="E1119" t="s">
        <v>451</v>
      </c>
      <c r="F1119" t="s">
        <v>316</v>
      </c>
      <c r="G1119" t="s">
        <v>383</v>
      </c>
      <c r="H1119" t="s">
        <v>382</v>
      </c>
      <c r="I1119" t="s">
        <v>439</v>
      </c>
      <c r="J1119" t="s">
        <v>439</v>
      </c>
      <c r="K1119" s="4">
        <v>3.49</v>
      </c>
      <c r="L1119" s="4">
        <v>3.49</v>
      </c>
      <c r="M1119" t="s">
        <v>44</v>
      </c>
      <c r="N1119" t="s">
        <v>77</v>
      </c>
      <c r="O1119" t="s">
        <v>99</v>
      </c>
      <c r="P1119" t="s">
        <v>99</v>
      </c>
      <c r="Q1119" t="s">
        <v>131</v>
      </c>
      <c r="R1119" t="s">
        <v>317</v>
      </c>
      <c r="S1119" t="s">
        <v>185</v>
      </c>
      <c r="T1119" t="s">
        <v>162</v>
      </c>
      <c r="U1119" t="s">
        <v>163</v>
      </c>
      <c r="V1119" t="s">
        <v>193</v>
      </c>
      <c r="W1119" t="s">
        <v>77</v>
      </c>
      <c r="X1119" t="s">
        <v>44</v>
      </c>
      <c r="Y1119" t="s">
        <v>99</v>
      </c>
      <c r="Z1119" t="s">
        <v>421</v>
      </c>
      <c r="AC1119" t="str">
        <f>IF(AA1119="",M1119,AA1119)</f>
        <v>sim</v>
      </c>
      <c r="AD1119" t="str">
        <f>IF(AB1119="",X1119,AB1119)</f>
        <v>sim</v>
      </c>
      <c r="AE1119" t="str">
        <f>IF(OR(Configuracao!B9="",Configuracao!B10=""),"aguardando limiar",IF(AND(K1119&gt;=Configuracao!B9,K1119/MAX(Reconciliacao!C2,1)&gt;=Configuracao!B10/100),"sim","não"))</f>
        <v>aguardando limiar</v>
      </c>
    </row>
    <row r="1120" spans="1:31" x14ac:dyDescent="0.25">
      <c r="A1120">
        <v>18565</v>
      </c>
      <c r="C1120" t="s">
        <v>953</v>
      </c>
      <c r="D1120" t="s">
        <v>824</v>
      </c>
      <c r="E1120" t="s">
        <v>451</v>
      </c>
      <c r="F1120" t="s">
        <v>316</v>
      </c>
      <c r="G1120" t="s">
        <v>383</v>
      </c>
      <c r="H1120" t="s">
        <v>382</v>
      </c>
      <c r="I1120" t="s">
        <v>439</v>
      </c>
      <c r="J1120" t="s">
        <v>439</v>
      </c>
      <c r="K1120" s="4">
        <v>3.49</v>
      </c>
      <c r="L1120" s="4">
        <v>3.49</v>
      </c>
      <c r="M1120" t="s">
        <v>44</v>
      </c>
      <c r="N1120" t="s">
        <v>77</v>
      </c>
      <c r="O1120" t="s">
        <v>99</v>
      </c>
      <c r="P1120" t="s">
        <v>99</v>
      </c>
      <c r="Q1120" t="s">
        <v>131</v>
      </c>
      <c r="R1120" t="s">
        <v>317</v>
      </c>
      <c r="S1120" t="s">
        <v>185</v>
      </c>
      <c r="T1120" t="s">
        <v>162</v>
      </c>
      <c r="U1120" t="s">
        <v>163</v>
      </c>
      <c r="V1120" t="s">
        <v>193</v>
      </c>
      <c r="W1120" t="s">
        <v>77</v>
      </c>
      <c r="X1120" t="s">
        <v>44</v>
      </c>
      <c r="Y1120" t="s">
        <v>99</v>
      </c>
      <c r="Z1120" t="s">
        <v>421</v>
      </c>
      <c r="AC1120" t="str">
        <f>IF(AA1120="",M1120,AA1120)</f>
        <v>sim</v>
      </c>
      <c r="AD1120" t="str">
        <f>IF(AB1120="",X1120,AB1120)</f>
        <v>sim</v>
      </c>
      <c r="AE1120" t="str">
        <f>IF(OR(Configuracao!B9="",Configuracao!B10=""),"aguardando limiar",IF(AND(K1120&gt;=Configuracao!B9,K1120/MAX(Reconciliacao!C2,1)&gt;=Configuracao!B10/100),"sim","não"))</f>
        <v>aguardando limiar</v>
      </c>
    </row>
    <row r="1121" spans="1:31" x14ac:dyDescent="0.25">
      <c r="A1121">
        <v>18760</v>
      </c>
      <c r="C1121" t="s">
        <v>954</v>
      </c>
      <c r="D1121" t="s">
        <v>824</v>
      </c>
      <c r="E1121" t="s">
        <v>451</v>
      </c>
      <c r="F1121" t="s">
        <v>316</v>
      </c>
      <c r="G1121" t="s">
        <v>383</v>
      </c>
      <c r="H1121" t="s">
        <v>382</v>
      </c>
      <c r="I1121" t="s">
        <v>35</v>
      </c>
      <c r="J1121" t="s">
        <v>35</v>
      </c>
      <c r="K1121" s="4">
        <v>3.49</v>
      </c>
      <c r="L1121" s="4">
        <v>3.49</v>
      </c>
      <c r="M1121" t="s">
        <v>44</v>
      </c>
      <c r="N1121" t="s">
        <v>77</v>
      </c>
      <c r="O1121" t="s">
        <v>99</v>
      </c>
      <c r="P1121" t="s">
        <v>99</v>
      </c>
      <c r="Q1121" t="s">
        <v>131</v>
      </c>
      <c r="R1121" t="s">
        <v>317</v>
      </c>
      <c r="S1121" t="s">
        <v>185</v>
      </c>
      <c r="T1121" t="s">
        <v>162</v>
      </c>
      <c r="U1121" t="s">
        <v>163</v>
      </c>
      <c r="V1121" t="s">
        <v>193</v>
      </c>
      <c r="W1121" t="s">
        <v>77</v>
      </c>
      <c r="X1121" t="s">
        <v>44</v>
      </c>
      <c r="Y1121" t="s">
        <v>99</v>
      </c>
      <c r="Z1121" t="s">
        <v>421</v>
      </c>
      <c r="AC1121" t="str">
        <f>IF(AA1121="",M1121,AA1121)</f>
        <v>sim</v>
      </c>
      <c r="AD1121" t="str">
        <f>IF(AB1121="",X1121,AB1121)</f>
        <v>sim</v>
      </c>
      <c r="AE1121" t="str">
        <f>IF(OR(Configuracao!B9="",Configuracao!B10=""),"aguardando limiar",IF(AND(K1121&gt;=Configuracao!B9,K1121/MAX(Reconciliacao!C2,1)&gt;=Configuracao!B10/100),"sim","não"))</f>
        <v>aguardando limiar</v>
      </c>
    </row>
    <row r="1122" spans="1:31" x14ac:dyDescent="0.25">
      <c r="A1122">
        <v>18833</v>
      </c>
      <c r="C1122" t="s">
        <v>954</v>
      </c>
      <c r="D1122" t="s">
        <v>824</v>
      </c>
      <c r="E1122" t="s">
        <v>451</v>
      </c>
      <c r="F1122" t="s">
        <v>316</v>
      </c>
      <c r="G1122" t="s">
        <v>383</v>
      </c>
      <c r="H1122" t="s">
        <v>382</v>
      </c>
      <c r="I1122" t="s">
        <v>35</v>
      </c>
      <c r="J1122" t="s">
        <v>35</v>
      </c>
      <c r="K1122" s="4">
        <v>3.49</v>
      </c>
      <c r="L1122" s="4">
        <v>3.49</v>
      </c>
      <c r="M1122" t="s">
        <v>44</v>
      </c>
      <c r="N1122" t="s">
        <v>77</v>
      </c>
      <c r="O1122" t="s">
        <v>99</v>
      </c>
      <c r="P1122" t="s">
        <v>99</v>
      </c>
      <c r="Q1122" t="s">
        <v>131</v>
      </c>
      <c r="R1122" t="s">
        <v>317</v>
      </c>
      <c r="S1122" t="s">
        <v>185</v>
      </c>
      <c r="T1122" t="s">
        <v>162</v>
      </c>
      <c r="U1122" t="s">
        <v>163</v>
      </c>
      <c r="V1122" t="s">
        <v>193</v>
      </c>
      <c r="W1122" t="s">
        <v>77</v>
      </c>
      <c r="X1122" t="s">
        <v>44</v>
      </c>
      <c r="Y1122" t="s">
        <v>99</v>
      </c>
      <c r="Z1122" t="s">
        <v>421</v>
      </c>
      <c r="AC1122" t="str">
        <f>IF(AA1122="",M1122,AA1122)</f>
        <v>sim</v>
      </c>
      <c r="AD1122" t="str">
        <f>IF(AB1122="",X1122,AB1122)</f>
        <v>sim</v>
      </c>
      <c r="AE1122" t="str">
        <f>IF(OR(Configuracao!B9="",Configuracao!B10=""),"aguardando limiar",IF(AND(K1122&gt;=Configuracao!B9,K1122/MAX(Reconciliacao!C2,1)&gt;=Configuracao!B10/100),"sim","não"))</f>
        <v>aguardando limiar</v>
      </c>
    </row>
    <row r="1123" spans="1:31" x14ac:dyDescent="0.25">
      <c r="A1123">
        <v>11987</v>
      </c>
      <c r="C1123" t="s">
        <v>951</v>
      </c>
      <c r="D1123" t="s">
        <v>824</v>
      </c>
      <c r="E1123" t="s">
        <v>451</v>
      </c>
      <c r="F1123" t="s">
        <v>316</v>
      </c>
      <c r="G1123" t="s">
        <v>383</v>
      </c>
      <c r="H1123" t="s">
        <v>382</v>
      </c>
      <c r="I1123" t="s">
        <v>32</v>
      </c>
      <c r="J1123" t="s">
        <v>32</v>
      </c>
      <c r="K1123" s="4">
        <v>6.38</v>
      </c>
      <c r="L1123" s="4">
        <v>6.38</v>
      </c>
      <c r="M1123" t="s">
        <v>44</v>
      </c>
      <c r="N1123" t="s">
        <v>77</v>
      </c>
      <c r="O1123" t="s">
        <v>99</v>
      </c>
      <c r="P1123" t="s">
        <v>99</v>
      </c>
      <c r="Q1123" t="s">
        <v>131</v>
      </c>
      <c r="R1123" t="s">
        <v>317</v>
      </c>
      <c r="S1123" t="s">
        <v>185</v>
      </c>
      <c r="T1123" t="s">
        <v>162</v>
      </c>
      <c r="U1123" t="s">
        <v>163</v>
      </c>
      <c r="V1123" t="s">
        <v>193</v>
      </c>
      <c r="W1123" t="s">
        <v>77</v>
      </c>
      <c r="X1123" t="s">
        <v>44</v>
      </c>
      <c r="Y1123" t="s">
        <v>99</v>
      </c>
      <c r="Z1123" t="s">
        <v>421</v>
      </c>
      <c r="AC1123" t="str">
        <f>IF(AA1123="",M1123,AA1123)</f>
        <v>sim</v>
      </c>
      <c r="AD1123" t="str">
        <f>IF(AB1123="",X1123,AB1123)</f>
        <v>sim</v>
      </c>
      <c r="AE1123" t="str">
        <f>IF(OR(Configuracao!B9="",Configuracao!B10=""),"aguardando limiar",IF(AND(K1123&gt;=Configuracao!B9,K1123/MAX(Reconciliacao!C2,1)&gt;=Configuracao!B10/100),"sim","não"))</f>
        <v>aguardando limiar</v>
      </c>
    </row>
    <row r="1124" spans="1:31" x14ac:dyDescent="0.25">
      <c r="A1124">
        <v>12174</v>
      </c>
      <c r="C1124" t="s">
        <v>951</v>
      </c>
      <c r="D1124" t="s">
        <v>824</v>
      </c>
      <c r="E1124" t="s">
        <v>451</v>
      </c>
      <c r="F1124" t="s">
        <v>316</v>
      </c>
      <c r="G1124" t="s">
        <v>383</v>
      </c>
      <c r="H1124" t="s">
        <v>382</v>
      </c>
      <c r="I1124" t="s">
        <v>424</v>
      </c>
      <c r="J1124" t="s">
        <v>424</v>
      </c>
      <c r="K1124" s="4">
        <v>6.38</v>
      </c>
      <c r="L1124" s="4">
        <v>6.38</v>
      </c>
      <c r="M1124" t="s">
        <v>44</v>
      </c>
      <c r="N1124" t="s">
        <v>77</v>
      </c>
      <c r="O1124" t="s">
        <v>99</v>
      </c>
      <c r="P1124" t="s">
        <v>99</v>
      </c>
      <c r="Q1124" t="s">
        <v>131</v>
      </c>
      <c r="R1124" t="s">
        <v>317</v>
      </c>
      <c r="S1124" t="s">
        <v>185</v>
      </c>
      <c r="T1124" t="s">
        <v>162</v>
      </c>
      <c r="U1124" t="s">
        <v>163</v>
      </c>
      <c r="V1124" t="s">
        <v>193</v>
      </c>
      <c r="W1124" t="s">
        <v>77</v>
      </c>
      <c r="X1124" t="s">
        <v>44</v>
      </c>
      <c r="Y1124" t="s">
        <v>99</v>
      </c>
      <c r="Z1124" t="s">
        <v>421</v>
      </c>
      <c r="AC1124" t="str">
        <f>IF(AA1124="",M1124,AA1124)</f>
        <v>sim</v>
      </c>
      <c r="AD1124" t="str">
        <f>IF(AB1124="",X1124,AB1124)</f>
        <v>sim</v>
      </c>
      <c r="AE1124" t="str">
        <f>IF(OR(Configuracao!B9="",Configuracao!B10=""),"aguardando limiar",IF(AND(K1124&gt;=Configuracao!B9,K1124/MAX(Reconciliacao!C2,1)&gt;=Configuracao!B10/100),"sim","não"))</f>
        <v>aguardando limiar</v>
      </c>
    </row>
    <row r="1125" spans="1:31" x14ac:dyDescent="0.25">
      <c r="A1125">
        <v>12422</v>
      </c>
      <c r="C1125" t="s">
        <v>951</v>
      </c>
      <c r="D1125" t="s">
        <v>824</v>
      </c>
      <c r="E1125" t="s">
        <v>451</v>
      </c>
      <c r="F1125" t="s">
        <v>316</v>
      </c>
      <c r="G1125" t="s">
        <v>383</v>
      </c>
      <c r="H1125" t="s">
        <v>382</v>
      </c>
      <c r="I1125" t="s">
        <v>424</v>
      </c>
      <c r="J1125" t="s">
        <v>424</v>
      </c>
      <c r="K1125" s="4">
        <v>6.38</v>
      </c>
      <c r="L1125" s="4">
        <v>6.38</v>
      </c>
      <c r="M1125" t="s">
        <v>44</v>
      </c>
      <c r="N1125" t="s">
        <v>77</v>
      </c>
      <c r="O1125" t="s">
        <v>99</v>
      </c>
      <c r="P1125" t="s">
        <v>99</v>
      </c>
      <c r="Q1125" t="s">
        <v>131</v>
      </c>
      <c r="R1125" t="s">
        <v>317</v>
      </c>
      <c r="S1125" t="s">
        <v>185</v>
      </c>
      <c r="T1125" t="s">
        <v>162</v>
      </c>
      <c r="U1125" t="s">
        <v>163</v>
      </c>
      <c r="V1125" t="s">
        <v>193</v>
      </c>
      <c r="W1125" t="s">
        <v>77</v>
      </c>
      <c r="X1125" t="s">
        <v>44</v>
      </c>
      <c r="Y1125" t="s">
        <v>99</v>
      </c>
      <c r="Z1125" t="s">
        <v>421</v>
      </c>
      <c r="AC1125" t="str">
        <f>IF(AA1125="",M1125,AA1125)</f>
        <v>sim</v>
      </c>
      <c r="AD1125" t="str">
        <f>IF(AB1125="",X1125,AB1125)</f>
        <v>sim</v>
      </c>
      <c r="AE1125" t="str">
        <f>IF(OR(Configuracao!B9="",Configuracao!B10=""),"aguardando limiar",IF(AND(K1125&gt;=Configuracao!B9,K1125/MAX(Reconciliacao!C2,1)&gt;=Configuracao!B10/100),"sim","não"))</f>
        <v>aguardando limiar</v>
      </c>
    </row>
    <row r="1126" spans="1:31" x14ac:dyDescent="0.25">
      <c r="A1126">
        <v>14576</v>
      </c>
      <c r="C1126" t="s">
        <v>951</v>
      </c>
      <c r="D1126" t="s">
        <v>824</v>
      </c>
      <c r="E1126" t="s">
        <v>451</v>
      </c>
      <c r="F1126" t="s">
        <v>316</v>
      </c>
      <c r="G1126" t="s">
        <v>383</v>
      </c>
      <c r="H1126" t="s">
        <v>382</v>
      </c>
      <c r="I1126" t="s">
        <v>454</v>
      </c>
      <c r="J1126" t="s">
        <v>454</v>
      </c>
      <c r="K1126" s="4">
        <v>6.38</v>
      </c>
      <c r="L1126" s="4">
        <v>6.38</v>
      </c>
      <c r="M1126" t="s">
        <v>44</v>
      </c>
      <c r="N1126" t="s">
        <v>77</v>
      </c>
      <c r="O1126" t="s">
        <v>99</v>
      </c>
      <c r="P1126" t="s">
        <v>99</v>
      </c>
      <c r="Q1126" t="s">
        <v>131</v>
      </c>
      <c r="R1126" t="s">
        <v>317</v>
      </c>
      <c r="S1126" t="s">
        <v>185</v>
      </c>
      <c r="T1126" t="s">
        <v>162</v>
      </c>
      <c r="U1126" t="s">
        <v>163</v>
      </c>
      <c r="V1126" t="s">
        <v>193</v>
      </c>
      <c r="W1126" t="s">
        <v>77</v>
      </c>
      <c r="X1126" t="s">
        <v>44</v>
      </c>
      <c r="Y1126" t="s">
        <v>99</v>
      </c>
      <c r="Z1126" t="s">
        <v>421</v>
      </c>
      <c r="AC1126" t="str">
        <f>IF(AA1126="",M1126,AA1126)</f>
        <v>sim</v>
      </c>
      <c r="AD1126" t="str">
        <f>IF(AB1126="",X1126,AB1126)</f>
        <v>sim</v>
      </c>
      <c r="AE1126" t="str">
        <f>IF(OR(Configuracao!B9="",Configuracao!B10=""),"aguardando limiar",IF(AND(K1126&gt;=Configuracao!B9,K1126/MAX(Reconciliacao!C2,1)&gt;=Configuracao!B10/100),"sim","não"))</f>
        <v>aguardando limiar</v>
      </c>
    </row>
    <row r="1127" spans="1:31" x14ac:dyDescent="0.25">
      <c r="A1127">
        <v>15847</v>
      </c>
      <c r="C1127" t="s">
        <v>951</v>
      </c>
      <c r="D1127" t="s">
        <v>824</v>
      </c>
      <c r="E1127" t="s">
        <v>451</v>
      </c>
      <c r="F1127" t="s">
        <v>316</v>
      </c>
      <c r="G1127" t="s">
        <v>383</v>
      </c>
      <c r="H1127" t="s">
        <v>382</v>
      </c>
      <c r="I1127" t="s">
        <v>454</v>
      </c>
      <c r="J1127" t="s">
        <v>454</v>
      </c>
      <c r="K1127" s="4">
        <v>6.38</v>
      </c>
      <c r="L1127" s="4">
        <v>6.38</v>
      </c>
      <c r="M1127" t="s">
        <v>44</v>
      </c>
      <c r="N1127" t="s">
        <v>77</v>
      </c>
      <c r="O1127" t="s">
        <v>99</v>
      </c>
      <c r="P1127" t="s">
        <v>99</v>
      </c>
      <c r="Q1127" t="s">
        <v>131</v>
      </c>
      <c r="R1127" t="s">
        <v>317</v>
      </c>
      <c r="S1127" t="s">
        <v>185</v>
      </c>
      <c r="T1127" t="s">
        <v>162</v>
      </c>
      <c r="U1127" t="s">
        <v>163</v>
      </c>
      <c r="V1127" t="s">
        <v>193</v>
      </c>
      <c r="W1127" t="s">
        <v>77</v>
      </c>
      <c r="X1127" t="s">
        <v>44</v>
      </c>
      <c r="Y1127" t="s">
        <v>99</v>
      </c>
      <c r="Z1127" t="s">
        <v>421</v>
      </c>
      <c r="AC1127" t="str">
        <f>IF(AA1127="",M1127,AA1127)</f>
        <v>sim</v>
      </c>
      <c r="AD1127" t="str">
        <f>IF(AB1127="",X1127,AB1127)</f>
        <v>sim</v>
      </c>
      <c r="AE1127" t="str">
        <f>IF(OR(Configuracao!B9="",Configuracao!B10=""),"aguardando limiar",IF(AND(K1127&gt;=Configuracao!B9,K1127/MAX(Reconciliacao!C2,1)&gt;=Configuracao!B10/100),"sim","não"))</f>
        <v>aguardando limiar</v>
      </c>
    </row>
    <row r="1128" spans="1:31" x14ac:dyDescent="0.25">
      <c r="A1128">
        <v>16667</v>
      </c>
      <c r="C1128" t="s">
        <v>951</v>
      </c>
      <c r="D1128" t="s">
        <v>824</v>
      </c>
      <c r="E1128" t="s">
        <v>451</v>
      </c>
      <c r="F1128" t="s">
        <v>316</v>
      </c>
      <c r="G1128" t="s">
        <v>383</v>
      </c>
      <c r="H1128" t="s">
        <v>382</v>
      </c>
      <c r="I1128" t="s">
        <v>461</v>
      </c>
      <c r="J1128" t="s">
        <v>461</v>
      </c>
      <c r="K1128" s="4">
        <v>6.38</v>
      </c>
      <c r="L1128" s="4">
        <v>6.38</v>
      </c>
      <c r="M1128" t="s">
        <v>44</v>
      </c>
      <c r="N1128" t="s">
        <v>77</v>
      </c>
      <c r="O1128" t="s">
        <v>99</v>
      </c>
      <c r="P1128" t="s">
        <v>99</v>
      </c>
      <c r="Q1128" t="s">
        <v>131</v>
      </c>
      <c r="R1128" t="s">
        <v>317</v>
      </c>
      <c r="S1128" t="s">
        <v>185</v>
      </c>
      <c r="T1128" t="s">
        <v>162</v>
      </c>
      <c r="U1128" t="s">
        <v>163</v>
      </c>
      <c r="V1128" t="s">
        <v>193</v>
      </c>
      <c r="W1128" t="s">
        <v>77</v>
      </c>
      <c r="X1128" t="s">
        <v>44</v>
      </c>
      <c r="Y1128" t="s">
        <v>99</v>
      </c>
      <c r="Z1128" t="s">
        <v>421</v>
      </c>
      <c r="AC1128" t="str">
        <f>IF(AA1128="",M1128,AA1128)</f>
        <v>sim</v>
      </c>
      <c r="AD1128" t="str">
        <f>IF(AB1128="",X1128,AB1128)</f>
        <v>sim</v>
      </c>
      <c r="AE1128" t="str">
        <f>IF(OR(Configuracao!B9="",Configuracao!B10=""),"aguardando limiar",IF(AND(K1128&gt;=Configuracao!B9,K1128/MAX(Reconciliacao!C2,1)&gt;=Configuracao!B10/100),"sim","não"))</f>
        <v>aguardando limiar</v>
      </c>
    </row>
    <row r="1129" spans="1:31" x14ac:dyDescent="0.25">
      <c r="A1129">
        <v>17180</v>
      </c>
      <c r="C1129" t="s">
        <v>951</v>
      </c>
      <c r="D1129" t="s">
        <v>824</v>
      </c>
      <c r="E1129" t="s">
        <v>451</v>
      </c>
      <c r="F1129" t="s">
        <v>316</v>
      </c>
      <c r="G1129" t="s">
        <v>383</v>
      </c>
      <c r="H1129" t="s">
        <v>382</v>
      </c>
      <c r="I1129" t="s">
        <v>442</v>
      </c>
      <c r="J1129" t="s">
        <v>442</v>
      </c>
      <c r="K1129" s="4">
        <v>6.38</v>
      </c>
      <c r="L1129" s="4">
        <v>6.38</v>
      </c>
      <c r="M1129" t="s">
        <v>44</v>
      </c>
      <c r="N1129" t="s">
        <v>77</v>
      </c>
      <c r="O1129" t="s">
        <v>99</v>
      </c>
      <c r="P1129" t="s">
        <v>99</v>
      </c>
      <c r="Q1129" t="s">
        <v>131</v>
      </c>
      <c r="R1129" t="s">
        <v>317</v>
      </c>
      <c r="S1129" t="s">
        <v>185</v>
      </c>
      <c r="T1129" t="s">
        <v>162</v>
      </c>
      <c r="U1129" t="s">
        <v>163</v>
      </c>
      <c r="V1129" t="s">
        <v>193</v>
      </c>
      <c r="W1129" t="s">
        <v>77</v>
      </c>
      <c r="X1129" t="s">
        <v>44</v>
      </c>
      <c r="Y1129" t="s">
        <v>99</v>
      </c>
      <c r="Z1129" t="s">
        <v>421</v>
      </c>
      <c r="AC1129" t="str">
        <f>IF(AA1129="",M1129,AA1129)</f>
        <v>sim</v>
      </c>
      <c r="AD1129" t="str">
        <f>IF(AB1129="",X1129,AB1129)</f>
        <v>sim</v>
      </c>
      <c r="AE1129" t="str">
        <f>IF(OR(Configuracao!B9="",Configuracao!B10=""),"aguardando limiar",IF(AND(K1129&gt;=Configuracao!B9,K1129/MAX(Reconciliacao!C2,1)&gt;=Configuracao!B10/100),"sim","não"))</f>
        <v>aguardando limiar</v>
      </c>
    </row>
    <row r="1130" spans="1:31" x14ac:dyDescent="0.25">
      <c r="A1130">
        <v>17222</v>
      </c>
      <c r="C1130" t="s">
        <v>951</v>
      </c>
      <c r="D1130" t="s">
        <v>824</v>
      </c>
      <c r="E1130" t="s">
        <v>451</v>
      </c>
      <c r="F1130" t="s">
        <v>316</v>
      </c>
      <c r="G1130" t="s">
        <v>383</v>
      </c>
      <c r="H1130" t="s">
        <v>382</v>
      </c>
      <c r="I1130" t="s">
        <v>442</v>
      </c>
      <c r="J1130" t="s">
        <v>442</v>
      </c>
      <c r="K1130" s="4">
        <v>6.38</v>
      </c>
      <c r="L1130" s="4">
        <v>6.38</v>
      </c>
      <c r="M1130" t="s">
        <v>44</v>
      </c>
      <c r="N1130" t="s">
        <v>77</v>
      </c>
      <c r="O1130" t="s">
        <v>99</v>
      </c>
      <c r="P1130" t="s">
        <v>99</v>
      </c>
      <c r="Q1130" t="s">
        <v>131</v>
      </c>
      <c r="R1130" t="s">
        <v>317</v>
      </c>
      <c r="S1130" t="s">
        <v>185</v>
      </c>
      <c r="T1130" t="s">
        <v>162</v>
      </c>
      <c r="U1130" t="s">
        <v>163</v>
      </c>
      <c r="V1130" t="s">
        <v>193</v>
      </c>
      <c r="W1130" t="s">
        <v>77</v>
      </c>
      <c r="X1130" t="s">
        <v>44</v>
      </c>
      <c r="Y1130" t="s">
        <v>99</v>
      </c>
      <c r="Z1130" t="s">
        <v>421</v>
      </c>
      <c r="AC1130" t="str">
        <f>IF(AA1130="",M1130,AA1130)</f>
        <v>sim</v>
      </c>
      <c r="AD1130" t="str">
        <f>IF(AB1130="",X1130,AB1130)</f>
        <v>sim</v>
      </c>
      <c r="AE1130" t="str">
        <f>IF(OR(Configuracao!B9="",Configuracao!B10=""),"aguardando limiar",IF(AND(K1130&gt;=Configuracao!B9,K1130/MAX(Reconciliacao!C2,1)&gt;=Configuracao!B10/100),"sim","não"))</f>
        <v>aguardando limiar</v>
      </c>
    </row>
    <row r="1131" spans="1:31" x14ac:dyDescent="0.25">
      <c r="A1131">
        <v>17690</v>
      </c>
      <c r="C1131" t="s">
        <v>951</v>
      </c>
      <c r="D1131" t="s">
        <v>824</v>
      </c>
      <c r="E1131" t="s">
        <v>451</v>
      </c>
      <c r="F1131" t="s">
        <v>316</v>
      </c>
      <c r="G1131" t="s">
        <v>383</v>
      </c>
      <c r="H1131" t="s">
        <v>382</v>
      </c>
      <c r="I1131" t="s">
        <v>442</v>
      </c>
      <c r="J1131" t="s">
        <v>442</v>
      </c>
      <c r="K1131" s="4">
        <v>6.38</v>
      </c>
      <c r="L1131" s="4">
        <v>6.38</v>
      </c>
      <c r="M1131" t="s">
        <v>44</v>
      </c>
      <c r="N1131" t="s">
        <v>77</v>
      </c>
      <c r="O1131" t="s">
        <v>99</v>
      </c>
      <c r="P1131" t="s">
        <v>99</v>
      </c>
      <c r="Q1131" t="s">
        <v>131</v>
      </c>
      <c r="R1131" t="s">
        <v>317</v>
      </c>
      <c r="S1131" t="s">
        <v>185</v>
      </c>
      <c r="T1131" t="s">
        <v>162</v>
      </c>
      <c r="U1131" t="s">
        <v>163</v>
      </c>
      <c r="V1131" t="s">
        <v>193</v>
      </c>
      <c r="W1131" t="s">
        <v>77</v>
      </c>
      <c r="X1131" t="s">
        <v>44</v>
      </c>
      <c r="Y1131" t="s">
        <v>99</v>
      </c>
      <c r="Z1131" t="s">
        <v>421</v>
      </c>
      <c r="AC1131" t="str">
        <f>IF(AA1131="",M1131,AA1131)</f>
        <v>sim</v>
      </c>
      <c r="AD1131" t="str">
        <f>IF(AB1131="",X1131,AB1131)</f>
        <v>sim</v>
      </c>
      <c r="AE1131" t="str">
        <f>IF(OR(Configuracao!B9="",Configuracao!B10=""),"aguardando limiar",IF(AND(K1131&gt;=Configuracao!B9,K1131/MAX(Reconciliacao!C2,1)&gt;=Configuracao!B10/100),"sim","não"))</f>
        <v>aguardando limiar</v>
      </c>
    </row>
    <row r="1132" spans="1:31" x14ac:dyDescent="0.25">
      <c r="A1132">
        <v>17987</v>
      </c>
      <c r="C1132" t="s">
        <v>951</v>
      </c>
      <c r="D1132" t="s">
        <v>824</v>
      </c>
      <c r="E1132" t="s">
        <v>451</v>
      </c>
      <c r="F1132" t="s">
        <v>316</v>
      </c>
      <c r="G1132" t="s">
        <v>383</v>
      </c>
      <c r="H1132" t="s">
        <v>382</v>
      </c>
      <c r="I1132" t="s">
        <v>439</v>
      </c>
      <c r="J1132" t="s">
        <v>439</v>
      </c>
      <c r="K1132" s="4">
        <v>6.38</v>
      </c>
      <c r="L1132" s="4">
        <v>6.38</v>
      </c>
      <c r="M1132" t="s">
        <v>44</v>
      </c>
      <c r="N1132" t="s">
        <v>77</v>
      </c>
      <c r="O1132" t="s">
        <v>99</v>
      </c>
      <c r="P1132" t="s">
        <v>99</v>
      </c>
      <c r="Q1132" t="s">
        <v>131</v>
      </c>
      <c r="R1132" t="s">
        <v>317</v>
      </c>
      <c r="S1132" t="s">
        <v>185</v>
      </c>
      <c r="T1132" t="s">
        <v>162</v>
      </c>
      <c r="U1132" t="s">
        <v>163</v>
      </c>
      <c r="V1132" t="s">
        <v>193</v>
      </c>
      <c r="W1132" t="s">
        <v>77</v>
      </c>
      <c r="X1132" t="s">
        <v>44</v>
      </c>
      <c r="Y1132" t="s">
        <v>99</v>
      </c>
      <c r="Z1132" t="s">
        <v>421</v>
      </c>
      <c r="AC1132" t="str">
        <f>IF(AA1132="",M1132,AA1132)</f>
        <v>sim</v>
      </c>
      <c r="AD1132" t="str">
        <f>IF(AB1132="",X1132,AB1132)</f>
        <v>sim</v>
      </c>
      <c r="AE1132" t="str">
        <f>IF(OR(Configuracao!B9="",Configuracao!B10=""),"aguardando limiar",IF(AND(K1132&gt;=Configuracao!B9,K1132/MAX(Reconciliacao!C2,1)&gt;=Configuracao!B10/100),"sim","não"))</f>
        <v>aguardando limiar</v>
      </c>
    </row>
    <row r="1133" spans="1:31" x14ac:dyDescent="0.25">
      <c r="A1133">
        <v>18272</v>
      </c>
      <c r="C1133" t="s">
        <v>951</v>
      </c>
      <c r="D1133" t="s">
        <v>824</v>
      </c>
      <c r="E1133" t="s">
        <v>451</v>
      </c>
      <c r="F1133" t="s">
        <v>316</v>
      </c>
      <c r="G1133" t="s">
        <v>383</v>
      </c>
      <c r="H1133" t="s">
        <v>382</v>
      </c>
      <c r="I1133" t="s">
        <v>439</v>
      </c>
      <c r="J1133" t="s">
        <v>439</v>
      </c>
      <c r="K1133" s="4">
        <v>6.38</v>
      </c>
      <c r="L1133" s="4">
        <v>6.38</v>
      </c>
      <c r="M1133" t="s">
        <v>44</v>
      </c>
      <c r="N1133" t="s">
        <v>77</v>
      </c>
      <c r="O1133" t="s">
        <v>99</v>
      </c>
      <c r="P1133" t="s">
        <v>99</v>
      </c>
      <c r="Q1133" t="s">
        <v>131</v>
      </c>
      <c r="R1133" t="s">
        <v>317</v>
      </c>
      <c r="S1133" t="s">
        <v>185</v>
      </c>
      <c r="T1133" t="s">
        <v>162</v>
      </c>
      <c r="U1133" t="s">
        <v>163</v>
      </c>
      <c r="V1133" t="s">
        <v>193</v>
      </c>
      <c r="W1133" t="s">
        <v>77</v>
      </c>
      <c r="X1133" t="s">
        <v>44</v>
      </c>
      <c r="Y1133" t="s">
        <v>99</v>
      </c>
      <c r="Z1133" t="s">
        <v>421</v>
      </c>
      <c r="AC1133" t="str">
        <f>IF(AA1133="",M1133,AA1133)</f>
        <v>sim</v>
      </c>
      <c r="AD1133" t="str">
        <f>IF(AB1133="",X1133,AB1133)</f>
        <v>sim</v>
      </c>
      <c r="AE1133" t="str">
        <f>IF(OR(Configuracao!B9="",Configuracao!B10=""),"aguardando limiar",IF(AND(K1133&gt;=Configuracao!B9,K1133/MAX(Reconciliacao!C2,1)&gt;=Configuracao!B10/100),"sim","não"))</f>
        <v>aguardando limiar</v>
      </c>
    </row>
    <row r="1134" spans="1:31" x14ac:dyDescent="0.25">
      <c r="A1134">
        <v>18274</v>
      </c>
      <c r="C1134" t="s">
        <v>951</v>
      </c>
      <c r="D1134" t="s">
        <v>824</v>
      </c>
      <c r="E1134" t="s">
        <v>451</v>
      </c>
      <c r="F1134" t="s">
        <v>316</v>
      </c>
      <c r="G1134" t="s">
        <v>383</v>
      </c>
      <c r="H1134" t="s">
        <v>382</v>
      </c>
      <c r="I1134" t="s">
        <v>439</v>
      </c>
      <c r="J1134" t="s">
        <v>439</v>
      </c>
      <c r="K1134" s="4">
        <v>6.38</v>
      </c>
      <c r="L1134" s="4">
        <v>6.38</v>
      </c>
      <c r="M1134" t="s">
        <v>44</v>
      </c>
      <c r="N1134" t="s">
        <v>77</v>
      </c>
      <c r="O1134" t="s">
        <v>99</v>
      </c>
      <c r="P1134" t="s">
        <v>99</v>
      </c>
      <c r="Q1134" t="s">
        <v>131</v>
      </c>
      <c r="R1134" t="s">
        <v>317</v>
      </c>
      <c r="S1134" t="s">
        <v>185</v>
      </c>
      <c r="T1134" t="s">
        <v>162</v>
      </c>
      <c r="U1134" t="s">
        <v>163</v>
      </c>
      <c r="V1134" t="s">
        <v>193</v>
      </c>
      <c r="W1134" t="s">
        <v>77</v>
      </c>
      <c r="X1134" t="s">
        <v>44</v>
      </c>
      <c r="Y1134" t="s">
        <v>99</v>
      </c>
      <c r="Z1134" t="s">
        <v>421</v>
      </c>
      <c r="AC1134" t="str">
        <f>IF(AA1134="",M1134,AA1134)</f>
        <v>sim</v>
      </c>
      <c r="AD1134" t="str">
        <f>IF(AB1134="",X1134,AB1134)</f>
        <v>sim</v>
      </c>
      <c r="AE1134" t="str">
        <f>IF(OR(Configuracao!B9="",Configuracao!B10=""),"aguardando limiar",IF(AND(K1134&gt;=Configuracao!B9,K1134/MAX(Reconciliacao!C2,1)&gt;=Configuracao!B10/100),"sim","não"))</f>
        <v>aguardando limiar</v>
      </c>
    </row>
    <row r="1135" spans="1:31" x14ac:dyDescent="0.25">
      <c r="A1135">
        <v>18493</v>
      </c>
      <c r="C1135" t="s">
        <v>951</v>
      </c>
      <c r="D1135" t="s">
        <v>824</v>
      </c>
      <c r="E1135" t="s">
        <v>451</v>
      </c>
      <c r="F1135" t="s">
        <v>316</v>
      </c>
      <c r="G1135" t="s">
        <v>383</v>
      </c>
      <c r="H1135" t="s">
        <v>382</v>
      </c>
      <c r="I1135" t="s">
        <v>439</v>
      </c>
      <c r="J1135" t="s">
        <v>439</v>
      </c>
      <c r="K1135" s="4">
        <v>6.38</v>
      </c>
      <c r="L1135" s="4">
        <v>6.38</v>
      </c>
      <c r="M1135" t="s">
        <v>44</v>
      </c>
      <c r="N1135" t="s">
        <v>77</v>
      </c>
      <c r="O1135" t="s">
        <v>99</v>
      </c>
      <c r="P1135" t="s">
        <v>99</v>
      </c>
      <c r="Q1135" t="s">
        <v>131</v>
      </c>
      <c r="R1135" t="s">
        <v>317</v>
      </c>
      <c r="S1135" t="s">
        <v>185</v>
      </c>
      <c r="T1135" t="s">
        <v>162</v>
      </c>
      <c r="U1135" t="s">
        <v>163</v>
      </c>
      <c r="V1135" t="s">
        <v>193</v>
      </c>
      <c r="W1135" t="s">
        <v>77</v>
      </c>
      <c r="X1135" t="s">
        <v>44</v>
      </c>
      <c r="Y1135" t="s">
        <v>99</v>
      </c>
      <c r="Z1135" t="s">
        <v>421</v>
      </c>
      <c r="AC1135" t="str">
        <f>IF(AA1135="",M1135,AA1135)</f>
        <v>sim</v>
      </c>
      <c r="AD1135" t="str">
        <f>IF(AB1135="",X1135,AB1135)</f>
        <v>sim</v>
      </c>
      <c r="AE1135" t="str">
        <f>IF(OR(Configuracao!B9="",Configuracao!B10=""),"aguardando limiar",IF(AND(K1135&gt;=Configuracao!B9,K1135/MAX(Reconciliacao!C2,1)&gt;=Configuracao!B10/100),"sim","não"))</f>
        <v>aguardando limiar</v>
      </c>
    </row>
    <row r="1136" spans="1:31" x14ac:dyDescent="0.25">
      <c r="A1136">
        <v>18501</v>
      </c>
      <c r="C1136" t="s">
        <v>951</v>
      </c>
      <c r="D1136" t="s">
        <v>824</v>
      </c>
      <c r="E1136" t="s">
        <v>451</v>
      </c>
      <c r="F1136" t="s">
        <v>316</v>
      </c>
      <c r="G1136" t="s">
        <v>383</v>
      </c>
      <c r="H1136" t="s">
        <v>382</v>
      </c>
      <c r="I1136" t="s">
        <v>439</v>
      </c>
      <c r="J1136" t="s">
        <v>439</v>
      </c>
      <c r="K1136" s="4">
        <v>6.38</v>
      </c>
      <c r="L1136" s="4">
        <v>6.38</v>
      </c>
      <c r="M1136" t="s">
        <v>44</v>
      </c>
      <c r="N1136" t="s">
        <v>77</v>
      </c>
      <c r="O1136" t="s">
        <v>99</v>
      </c>
      <c r="P1136" t="s">
        <v>99</v>
      </c>
      <c r="Q1136" t="s">
        <v>131</v>
      </c>
      <c r="R1136" t="s">
        <v>317</v>
      </c>
      <c r="S1136" t="s">
        <v>185</v>
      </c>
      <c r="T1136" t="s">
        <v>162</v>
      </c>
      <c r="U1136" t="s">
        <v>163</v>
      </c>
      <c r="V1136" t="s">
        <v>193</v>
      </c>
      <c r="W1136" t="s">
        <v>77</v>
      </c>
      <c r="X1136" t="s">
        <v>44</v>
      </c>
      <c r="Y1136" t="s">
        <v>99</v>
      </c>
      <c r="Z1136" t="s">
        <v>421</v>
      </c>
      <c r="AC1136" t="str">
        <f>IF(AA1136="",M1136,AA1136)</f>
        <v>sim</v>
      </c>
      <c r="AD1136" t="str">
        <f>IF(AB1136="",X1136,AB1136)</f>
        <v>sim</v>
      </c>
      <c r="AE1136" t="str">
        <f>IF(OR(Configuracao!B9="",Configuracao!B10=""),"aguardando limiar",IF(AND(K1136&gt;=Configuracao!B9,K1136/MAX(Reconciliacao!C2,1)&gt;=Configuracao!B10/100),"sim","não"))</f>
        <v>aguardando limiar</v>
      </c>
    </row>
    <row r="1137" spans="1:31" x14ac:dyDescent="0.25">
      <c r="A1137">
        <v>18544</v>
      </c>
      <c r="C1137" t="s">
        <v>951</v>
      </c>
      <c r="D1137" t="s">
        <v>824</v>
      </c>
      <c r="E1137" t="s">
        <v>451</v>
      </c>
      <c r="F1137" t="s">
        <v>316</v>
      </c>
      <c r="G1137" t="s">
        <v>383</v>
      </c>
      <c r="H1137" t="s">
        <v>382</v>
      </c>
      <c r="I1137" t="s">
        <v>439</v>
      </c>
      <c r="J1137" t="s">
        <v>439</v>
      </c>
      <c r="K1137" s="4">
        <v>6.38</v>
      </c>
      <c r="L1137" s="4">
        <v>6.38</v>
      </c>
      <c r="M1137" t="s">
        <v>44</v>
      </c>
      <c r="N1137" t="s">
        <v>77</v>
      </c>
      <c r="O1137" t="s">
        <v>99</v>
      </c>
      <c r="P1137" t="s">
        <v>99</v>
      </c>
      <c r="Q1137" t="s">
        <v>131</v>
      </c>
      <c r="R1137" t="s">
        <v>317</v>
      </c>
      <c r="S1137" t="s">
        <v>185</v>
      </c>
      <c r="T1137" t="s">
        <v>162</v>
      </c>
      <c r="U1137" t="s">
        <v>163</v>
      </c>
      <c r="V1137" t="s">
        <v>193</v>
      </c>
      <c r="W1137" t="s">
        <v>77</v>
      </c>
      <c r="X1137" t="s">
        <v>44</v>
      </c>
      <c r="Y1137" t="s">
        <v>99</v>
      </c>
      <c r="Z1137" t="s">
        <v>421</v>
      </c>
      <c r="AC1137" t="str">
        <f>IF(AA1137="",M1137,AA1137)</f>
        <v>sim</v>
      </c>
      <c r="AD1137" t="str">
        <f>IF(AB1137="",X1137,AB1137)</f>
        <v>sim</v>
      </c>
      <c r="AE1137" t="str">
        <f>IF(OR(Configuracao!B9="",Configuracao!B10=""),"aguardando limiar",IF(AND(K1137&gt;=Configuracao!B9,K1137/MAX(Reconciliacao!C2,1)&gt;=Configuracao!B10/100),"sim","não"))</f>
        <v>aguardando limiar</v>
      </c>
    </row>
    <row r="1138" spans="1:31" x14ac:dyDescent="0.25">
      <c r="A1138">
        <v>18961</v>
      </c>
      <c r="C1138" t="s">
        <v>951</v>
      </c>
      <c r="D1138" t="s">
        <v>824</v>
      </c>
      <c r="E1138" t="s">
        <v>451</v>
      </c>
      <c r="F1138" t="s">
        <v>316</v>
      </c>
      <c r="G1138" t="s">
        <v>383</v>
      </c>
      <c r="H1138" t="s">
        <v>382</v>
      </c>
      <c r="I1138" t="s">
        <v>35</v>
      </c>
      <c r="J1138" t="s">
        <v>35</v>
      </c>
      <c r="K1138" s="4">
        <v>6.38</v>
      </c>
      <c r="L1138" s="4">
        <v>6.38</v>
      </c>
      <c r="M1138" t="s">
        <v>44</v>
      </c>
      <c r="N1138" t="s">
        <v>77</v>
      </c>
      <c r="O1138" t="s">
        <v>99</v>
      </c>
      <c r="P1138" t="s">
        <v>99</v>
      </c>
      <c r="Q1138" t="s">
        <v>131</v>
      </c>
      <c r="R1138" t="s">
        <v>317</v>
      </c>
      <c r="S1138" t="s">
        <v>185</v>
      </c>
      <c r="T1138" t="s">
        <v>162</v>
      </c>
      <c r="U1138" t="s">
        <v>163</v>
      </c>
      <c r="V1138" t="s">
        <v>193</v>
      </c>
      <c r="W1138" t="s">
        <v>77</v>
      </c>
      <c r="X1138" t="s">
        <v>44</v>
      </c>
      <c r="Y1138" t="s">
        <v>99</v>
      </c>
      <c r="Z1138" t="s">
        <v>421</v>
      </c>
      <c r="AC1138" t="str">
        <f>IF(AA1138="",M1138,AA1138)</f>
        <v>sim</v>
      </c>
      <c r="AD1138" t="str">
        <f>IF(AB1138="",X1138,AB1138)</f>
        <v>sim</v>
      </c>
      <c r="AE1138" t="str">
        <f>IF(OR(Configuracao!B9="",Configuracao!B10=""),"aguardando limiar",IF(AND(K1138&gt;=Configuracao!B9,K1138/MAX(Reconciliacao!C2,1)&gt;=Configuracao!B10/100),"sim","não"))</f>
        <v>aguardando limiar</v>
      </c>
    </row>
    <row r="1139" spans="1:31" x14ac:dyDescent="0.25">
      <c r="A1139">
        <v>19079</v>
      </c>
      <c r="C1139" t="s">
        <v>951</v>
      </c>
      <c r="D1139" t="s">
        <v>824</v>
      </c>
      <c r="E1139" t="s">
        <v>451</v>
      </c>
      <c r="F1139" t="s">
        <v>316</v>
      </c>
      <c r="G1139" t="s">
        <v>383</v>
      </c>
      <c r="H1139" t="s">
        <v>382</v>
      </c>
      <c r="I1139" t="s">
        <v>35</v>
      </c>
      <c r="J1139" t="s">
        <v>35</v>
      </c>
      <c r="K1139" s="4">
        <v>6.38</v>
      </c>
      <c r="L1139" s="4">
        <v>6.38</v>
      </c>
      <c r="M1139" t="s">
        <v>44</v>
      </c>
      <c r="N1139" t="s">
        <v>77</v>
      </c>
      <c r="O1139" t="s">
        <v>99</v>
      </c>
      <c r="P1139" t="s">
        <v>99</v>
      </c>
      <c r="Q1139" t="s">
        <v>131</v>
      </c>
      <c r="R1139" t="s">
        <v>317</v>
      </c>
      <c r="S1139" t="s">
        <v>185</v>
      </c>
      <c r="T1139" t="s">
        <v>162</v>
      </c>
      <c r="U1139" t="s">
        <v>163</v>
      </c>
      <c r="V1139" t="s">
        <v>193</v>
      </c>
      <c r="W1139" t="s">
        <v>77</v>
      </c>
      <c r="X1139" t="s">
        <v>44</v>
      </c>
      <c r="Y1139" t="s">
        <v>99</v>
      </c>
      <c r="Z1139" t="s">
        <v>421</v>
      </c>
      <c r="AC1139" t="str">
        <f>IF(AA1139="",M1139,AA1139)</f>
        <v>sim</v>
      </c>
      <c r="AD1139" t="str">
        <f>IF(AB1139="",X1139,AB1139)</f>
        <v>sim</v>
      </c>
      <c r="AE1139" t="str">
        <f>IF(OR(Configuracao!B9="",Configuracao!B10=""),"aguardando limiar",IF(AND(K1139&gt;=Configuracao!B9,K1139/MAX(Reconciliacao!C2,1)&gt;=Configuracao!B10/100),"sim","não"))</f>
        <v>aguardando limiar</v>
      </c>
    </row>
    <row r="1140" spans="1:31" x14ac:dyDescent="0.25">
      <c r="A1140">
        <v>18490</v>
      </c>
      <c r="C1140" t="s">
        <v>954</v>
      </c>
      <c r="D1140" t="s">
        <v>824</v>
      </c>
      <c r="E1140" t="s">
        <v>451</v>
      </c>
      <c r="F1140" t="s">
        <v>316</v>
      </c>
      <c r="G1140" t="s">
        <v>383</v>
      </c>
      <c r="H1140" t="s">
        <v>382</v>
      </c>
      <c r="I1140" t="s">
        <v>439</v>
      </c>
      <c r="J1140" t="s">
        <v>439</v>
      </c>
      <c r="K1140" s="4">
        <v>6.98</v>
      </c>
      <c r="L1140" s="4">
        <v>6.98</v>
      </c>
      <c r="M1140" t="s">
        <v>44</v>
      </c>
      <c r="N1140" t="s">
        <v>77</v>
      </c>
      <c r="O1140" t="s">
        <v>99</v>
      </c>
      <c r="P1140" t="s">
        <v>99</v>
      </c>
      <c r="Q1140" t="s">
        <v>131</v>
      </c>
      <c r="R1140" t="s">
        <v>317</v>
      </c>
      <c r="S1140" t="s">
        <v>185</v>
      </c>
      <c r="T1140" t="s">
        <v>162</v>
      </c>
      <c r="U1140" t="s">
        <v>163</v>
      </c>
      <c r="V1140" t="s">
        <v>193</v>
      </c>
      <c r="W1140" t="s">
        <v>77</v>
      </c>
      <c r="X1140" t="s">
        <v>44</v>
      </c>
      <c r="Y1140" t="s">
        <v>99</v>
      </c>
      <c r="Z1140" t="s">
        <v>421</v>
      </c>
      <c r="AC1140" t="str">
        <f>IF(AA1140="",M1140,AA1140)</f>
        <v>sim</v>
      </c>
      <c r="AD1140" t="str">
        <f>IF(AB1140="",X1140,AB1140)</f>
        <v>sim</v>
      </c>
      <c r="AE1140" t="str">
        <f>IF(OR(Configuracao!B9="",Configuracao!B10=""),"aguardando limiar",IF(AND(K1140&gt;=Configuracao!B9,K1140/MAX(Reconciliacao!C2,1)&gt;=Configuracao!B10/100),"sim","não"))</f>
        <v>aguardando limiar</v>
      </c>
    </row>
    <row r="1141" spans="1:31" x14ac:dyDescent="0.25">
      <c r="A1141">
        <v>18962</v>
      </c>
      <c r="C1141" t="s">
        <v>954</v>
      </c>
      <c r="D1141" t="s">
        <v>824</v>
      </c>
      <c r="E1141" t="s">
        <v>451</v>
      </c>
      <c r="F1141" t="s">
        <v>316</v>
      </c>
      <c r="G1141" t="s">
        <v>383</v>
      </c>
      <c r="H1141" t="s">
        <v>382</v>
      </c>
      <c r="I1141" t="s">
        <v>35</v>
      </c>
      <c r="J1141" t="s">
        <v>35</v>
      </c>
      <c r="K1141" s="4">
        <v>6.98</v>
      </c>
      <c r="L1141" s="4">
        <v>6.98</v>
      </c>
      <c r="M1141" t="s">
        <v>44</v>
      </c>
      <c r="N1141" t="s">
        <v>77</v>
      </c>
      <c r="O1141" t="s">
        <v>99</v>
      </c>
      <c r="P1141" t="s">
        <v>99</v>
      </c>
      <c r="Q1141" t="s">
        <v>131</v>
      </c>
      <c r="R1141" t="s">
        <v>317</v>
      </c>
      <c r="S1141" t="s">
        <v>185</v>
      </c>
      <c r="T1141" t="s">
        <v>162</v>
      </c>
      <c r="U1141" t="s">
        <v>163</v>
      </c>
      <c r="V1141" t="s">
        <v>193</v>
      </c>
      <c r="W1141" t="s">
        <v>77</v>
      </c>
      <c r="X1141" t="s">
        <v>44</v>
      </c>
      <c r="Y1141" t="s">
        <v>99</v>
      </c>
      <c r="Z1141" t="s">
        <v>421</v>
      </c>
      <c r="AC1141" t="str">
        <f>IF(AA1141="",M1141,AA1141)</f>
        <v>sim</v>
      </c>
      <c r="AD1141" t="str">
        <f>IF(AB1141="",X1141,AB1141)</f>
        <v>sim</v>
      </c>
      <c r="AE1141" t="str">
        <f>IF(OR(Configuracao!B9="",Configuracao!B10=""),"aguardando limiar",IF(AND(K1141&gt;=Configuracao!B9,K1141/MAX(Reconciliacao!C2,1)&gt;=Configuracao!B10/100),"sim","não"))</f>
        <v>aguardando limiar</v>
      </c>
    </row>
    <row r="1142" spans="1:31" x14ac:dyDescent="0.25">
      <c r="A1142">
        <v>16142</v>
      </c>
      <c r="C1142" t="s">
        <v>951</v>
      </c>
      <c r="D1142" t="s">
        <v>824</v>
      </c>
      <c r="E1142" t="s">
        <v>451</v>
      </c>
      <c r="F1142" t="s">
        <v>316</v>
      </c>
      <c r="G1142" t="s">
        <v>383</v>
      </c>
      <c r="H1142" t="s">
        <v>382</v>
      </c>
      <c r="I1142" t="s">
        <v>461</v>
      </c>
      <c r="J1142" t="s">
        <v>461</v>
      </c>
      <c r="K1142" s="4">
        <v>9.57</v>
      </c>
      <c r="L1142" s="4">
        <v>9.57</v>
      </c>
      <c r="M1142" t="s">
        <v>44</v>
      </c>
      <c r="N1142" t="s">
        <v>77</v>
      </c>
      <c r="O1142" t="s">
        <v>99</v>
      </c>
      <c r="P1142" t="s">
        <v>99</v>
      </c>
      <c r="Q1142" t="s">
        <v>131</v>
      </c>
      <c r="R1142" t="s">
        <v>317</v>
      </c>
      <c r="S1142" t="s">
        <v>185</v>
      </c>
      <c r="T1142" t="s">
        <v>162</v>
      </c>
      <c r="U1142" t="s">
        <v>163</v>
      </c>
      <c r="V1142" t="s">
        <v>193</v>
      </c>
      <c r="W1142" t="s">
        <v>77</v>
      </c>
      <c r="X1142" t="s">
        <v>44</v>
      </c>
      <c r="Y1142" t="s">
        <v>99</v>
      </c>
      <c r="Z1142" t="s">
        <v>421</v>
      </c>
      <c r="AC1142" t="str">
        <f>IF(AA1142="",M1142,AA1142)</f>
        <v>sim</v>
      </c>
      <c r="AD1142" t="str">
        <f>IF(AB1142="",X1142,AB1142)</f>
        <v>sim</v>
      </c>
      <c r="AE1142" t="str">
        <f>IF(OR(Configuracao!B9="",Configuracao!B10=""),"aguardando limiar",IF(AND(K1142&gt;=Configuracao!B9,K1142/MAX(Reconciliacao!C2,1)&gt;=Configuracao!B10/100),"sim","não"))</f>
        <v>aguardando limiar</v>
      </c>
    </row>
    <row r="1143" spans="1:31" x14ac:dyDescent="0.25">
      <c r="A1143">
        <v>16225</v>
      </c>
      <c r="C1143" t="s">
        <v>951</v>
      </c>
      <c r="D1143" t="s">
        <v>824</v>
      </c>
      <c r="E1143" t="s">
        <v>451</v>
      </c>
      <c r="F1143" t="s">
        <v>316</v>
      </c>
      <c r="G1143" t="s">
        <v>383</v>
      </c>
      <c r="H1143" t="s">
        <v>382</v>
      </c>
      <c r="I1143" t="s">
        <v>461</v>
      </c>
      <c r="J1143" t="s">
        <v>461</v>
      </c>
      <c r="K1143" s="4">
        <v>9.57</v>
      </c>
      <c r="L1143" s="4">
        <v>9.57</v>
      </c>
      <c r="M1143" t="s">
        <v>44</v>
      </c>
      <c r="N1143" t="s">
        <v>77</v>
      </c>
      <c r="O1143" t="s">
        <v>99</v>
      </c>
      <c r="P1143" t="s">
        <v>99</v>
      </c>
      <c r="Q1143" t="s">
        <v>131</v>
      </c>
      <c r="R1143" t="s">
        <v>317</v>
      </c>
      <c r="S1143" t="s">
        <v>185</v>
      </c>
      <c r="T1143" t="s">
        <v>162</v>
      </c>
      <c r="U1143" t="s">
        <v>163</v>
      </c>
      <c r="V1143" t="s">
        <v>193</v>
      </c>
      <c r="W1143" t="s">
        <v>77</v>
      </c>
      <c r="X1143" t="s">
        <v>44</v>
      </c>
      <c r="Y1143" t="s">
        <v>99</v>
      </c>
      <c r="Z1143" t="s">
        <v>421</v>
      </c>
      <c r="AC1143" t="str">
        <f>IF(AA1143="",M1143,AA1143)</f>
        <v>sim</v>
      </c>
      <c r="AD1143" t="str">
        <f>IF(AB1143="",X1143,AB1143)</f>
        <v>sim</v>
      </c>
      <c r="AE1143" t="str">
        <f>IF(OR(Configuracao!B9="",Configuracao!B10=""),"aguardando limiar",IF(AND(K1143&gt;=Configuracao!B9,K1143/MAX(Reconciliacao!C2,1)&gt;=Configuracao!B10/100),"sim","não"))</f>
        <v>aguardando limiar</v>
      </c>
    </row>
    <row r="1144" spans="1:31" x14ac:dyDescent="0.25">
      <c r="A1144">
        <v>16929</v>
      </c>
      <c r="C1144" t="s">
        <v>951</v>
      </c>
      <c r="D1144" t="s">
        <v>824</v>
      </c>
      <c r="E1144" t="s">
        <v>451</v>
      </c>
      <c r="F1144" t="s">
        <v>316</v>
      </c>
      <c r="G1144" t="s">
        <v>383</v>
      </c>
      <c r="H1144" t="s">
        <v>382</v>
      </c>
      <c r="I1144" t="s">
        <v>461</v>
      </c>
      <c r="J1144" t="s">
        <v>461</v>
      </c>
      <c r="K1144" s="4">
        <v>9.57</v>
      </c>
      <c r="L1144" s="4">
        <v>9.57</v>
      </c>
      <c r="M1144" t="s">
        <v>44</v>
      </c>
      <c r="N1144" t="s">
        <v>77</v>
      </c>
      <c r="O1144" t="s">
        <v>99</v>
      </c>
      <c r="P1144" t="s">
        <v>99</v>
      </c>
      <c r="Q1144" t="s">
        <v>131</v>
      </c>
      <c r="R1144" t="s">
        <v>317</v>
      </c>
      <c r="S1144" t="s">
        <v>185</v>
      </c>
      <c r="T1144" t="s">
        <v>162</v>
      </c>
      <c r="U1144" t="s">
        <v>163</v>
      </c>
      <c r="V1144" t="s">
        <v>193</v>
      </c>
      <c r="W1144" t="s">
        <v>77</v>
      </c>
      <c r="X1144" t="s">
        <v>44</v>
      </c>
      <c r="Y1144" t="s">
        <v>99</v>
      </c>
      <c r="Z1144" t="s">
        <v>421</v>
      </c>
      <c r="AC1144" t="str">
        <f>IF(AA1144="",M1144,AA1144)</f>
        <v>sim</v>
      </c>
      <c r="AD1144" t="str">
        <f>IF(AB1144="",X1144,AB1144)</f>
        <v>sim</v>
      </c>
      <c r="AE1144" t="str">
        <f>IF(OR(Configuracao!B9="",Configuracao!B10=""),"aguardando limiar",IF(AND(K1144&gt;=Configuracao!B9,K1144/MAX(Reconciliacao!C2,1)&gt;=Configuracao!B10/100),"sim","não"))</f>
        <v>aguardando limiar</v>
      </c>
    </row>
    <row r="1145" spans="1:31" x14ac:dyDescent="0.25">
      <c r="A1145">
        <v>16931</v>
      </c>
      <c r="C1145" t="s">
        <v>951</v>
      </c>
      <c r="D1145" t="s">
        <v>824</v>
      </c>
      <c r="E1145" t="s">
        <v>451</v>
      </c>
      <c r="F1145" t="s">
        <v>316</v>
      </c>
      <c r="G1145" t="s">
        <v>383</v>
      </c>
      <c r="H1145" t="s">
        <v>382</v>
      </c>
      <c r="I1145" t="s">
        <v>461</v>
      </c>
      <c r="J1145" t="s">
        <v>461</v>
      </c>
      <c r="K1145" s="4">
        <v>9.57</v>
      </c>
      <c r="L1145" s="4">
        <v>9.57</v>
      </c>
      <c r="M1145" t="s">
        <v>44</v>
      </c>
      <c r="N1145" t="s">
        <v>77</v>
      </c>
      <c r="O1145" t="s">
        <v>99</v>
      </c>
      <c r="P1145" t="s">
        <v>99</v>
      </c>
      <c r="Q1145" t="s">
        <v>131</v>
      </c>
      <c r="R1145" t="s">
        <v>317</v>
      </c>
      <c r="S1145" t="s">
        <v>185</v>
      </c>
      <c r="T1145" t="s">
        <v>162</v>
      </c>
      <c r="U1145" t="s">
        <v>163</v>
      </c>
      <c r="V1145" t="s">
        <v>193</v>
      </c>
      <c r="W1145" t="s">
        <v>77</v>
      </c>
      <c r="X1145" t="s">
        <v>44</v>
      </c>
      <c r="Y1145" t="s">
        <v>99</v>
      </c>
      <c r="Z1145" t="s">
        <v>421</v>
      </c>
      <c r="AC1145" t="str">
        <f>IF(AA1145="",M1145,AA1145)</f>
        <v>sim</v>
      </c>
      <c r="AD1145" t="str">
        <f>IF(AB1145="",X1145,AB1145)</f>
        <v>sim</v>
      </c>
      <c r="AE1145" t="str">
        <f>IF(OR(Configuracao!B9="",Configuracao!B10=""),"aguardando limiar",IF(AND(K1145&gt;=Configuracao!B9,K1145/MAX(Reconciliacao!C2,1)&gt;=Configuracao!B10/100),"sim","não"))</f>
        <v>aguardando limiar</v>
      </c>
    </row>
    <row r="1146" spans="1:31" x14ac:dyDescent="0.25">
      <c r="A1146">
        <v>17924</v>
      </c>
      <c r="C1146" t="s">
        <v>951</v>
      </c>
      <c r="D1146" t="s">
        <v>824</v>
      </c>
      <c r="E1146" t="s">
        <v>451</v>
      </c>
      <c r="F1146" t="s">
        <v>316</v>
      </c>
      <c r="G1146" t="s">
        <v>383</v>
      </c>
      <c r="H1146" t="s">
        <v>382</v>
      </c>
      <c r="I1146" t="s">
        <v>439</v>
      </c>
      <c r="J1146" t="s">
        <v>439</v>
      </c>
      <c r="K1146" s="4">
        <v>9.57</v>
      </c>
      <c r="L1146" s="4">
        <v>9.57</v>
      </c>
      <c r="M1146" t="s">
        <v>44</v>
      </c>
      <c r="N1146" t="s">
        <v>77</v>
      </c>
      <c r="O1146" t="s">
        <v>99</v>
      </c>
      <c r="P1146" t="s">
        <v>99</v>
      </c>
      <c r="Q1146" t="s">
        <v>131</v>
      </c>
      <c r="R1146" t="s">
        <v>317</v>
      </c>
      <c r="S1146" t="s">
        <v>185</v>
      </c>
      <c r="T1146" t="s">
        <v>162</v>
      </c>
      <c r="U1146" t="s">
        <v>163</v>
      </c>
      <c r="V1146" t="s">
        <v>193</v>
      </c>
      <c r="W1146" t="s">
        <v>77</v>
      </c>
      <c r="X1146" t="s">
        <v>44</v>
      </c>
      <c r="Y1146" t="s">
        <v>99</v>
      </c>
      <c r="Z1146" t="s">
        <v>421</v>
      </c>
      <c r="AC1146" t="str">
        <f>IF(AA1146="",M1146,AA1146)</f>
        <v>sim</v>
      </c>
      <c r="AD1146" t="str">
        <f>IF(AB1146="",X1146,AB1146)</f>
        <v>sim</v>
      </c>
      <c r="AE1146" t="str">
        <f>IF(OR(Configuracao!B9="",Configuracao!B10=""),"aguardando limiar",IF(AND(K1146&gt;=Configuracao!B9,K1146/MAX(Reconciliacao!C2,1)&gt;=Configuracao!B10/100),"sim","não"))</f>
        <v>aguardando limiar</v>
      </c>
    </row>
    <row r="1147" spans="1:31" x14ac:dyDescent="0.25">
      <c r="A1147">
        <v>18008</v>
      </c>
      <c r="C1147" t="s">
        <v>951</v>
      </c>
      <c r="D1147" t="s">
        <v>824</v>
      </c>
      <c r="E1147" t="s">
        <v>451</v>
      </c>
      <c r="F1147" t="s">
        <v>316</v>
      </c>
      <c r="G1147" t="s">
        <v>383</v>
      </c>
      <c r="H1147" t="s">
        <v>382</v>
      </c>
      <c r="I1147" t="s">
        <v>439</v>
      </c>
      <c r="J1147" t="s">
        <v>439</v>
      </c>
      <c r="K1147" s="4">
        <v>9.57</v>
      </c>
      <c r="L1147" s="4">
        <v>9.57</v>
      </c>
      <c r="M1147" t="s">
        <v>44</v>
      </c>
      <c r="N1147" t="s">
        <v>77</v>
      </c>
      <c r="O1147" t="s">
        <v>99</v>
      </c>
      <c r="P1147" t="s">
        <v>99</v>
      </c>
      <c r="Q1147" t="s">
        <v>131</v>
      </c>
      <c r="R1147" t="s">
        <v>317</v>
      </c>
      <c r="S1147" t="s">
        <v>185</v>
      </c>
      <c r="T1147" t="s">
        <v>162</v>
      </c>
      <c r="U1147" t="s">
        <v>163</v>
      </c>
      <c r="V1147" t="s">
        <v>193</v>
      </c>
      <c r="W1147" t="s">
        <v>77</v>
      </c>
      <c r="X1147" t="s">
        <v>44</v>
      </c>
      <c r="Y1147" t="s">
        <v>99</v>
      </c>
      <c r="Z1147" t="s">
        <v>421</v>
      </c>
      <c r="AC1147" t="str">
        <f>IF(AA1147="",M1147,AA1147)</f>
        <v>sim</v>
      </c>
      <c r="AD1147" t="str">
        <f>IF(AB1147="",X1147,AB1147)</f>
        <v>sim</v>
      </c>
      <c r="AE1147" t="str">
        <f>IF(OR(Configuracao!B9="",Configuracao!B10=""),"aguardando limiar",IF(AND(K1147&gt;=Configuracao!B9,K1147/MAX(Reconciliacao!C2,1)&gt;=Configuracao!B10/100),"sim","não"))</f>
        <v>aguardando limiar</v>
      </c>
    </row>
    <row r="1148" spans="1:31" x14ac:dyDescent="0.25">
      <c r="A1148">
        <v>18489</v>
      </c>
      <c r="C1148" t="s">
        <v>951</v>
      </c>
      <c r="D1148" t="s">
        <v>824</v>
      </c>
      <c r="E1148" t="s">
        <v>451</v>
      </c>
      <c r="F1148" t="s">
        <v>316</v>
      </c>
      <c r="G1148" t="s">
        <v>383</v>
      </c>
      <c r="H1148" t="s">
        <v>382</v>
      </c>
      <c r="I1148" t="s">
        <v>439</v>
      </c>
      <c r="J1148" t="s">
        <v>439</v>
      </c>
      <c r="K1148" s="4">
        <v>9.57</v>
      </c>
      <c r="L1148" s="4">
        <v>9.57</v>
      </c>
      <c r="M1148" t="s">
        <v>44</v>
      </c>
      <c r="N1148" t="s">
        <v>77</v>
      </c>
      <c r="O1148" t="s">
        <v>99</v>
      </c>
      <c r="P1148" t="s">
        <v>99</v>
      </c>
      <c r="Q1148" t="s">
        <v>131</v>
      </c>
      <c r="R1148" t="s">
        <v>317</v>
      </c>
      <c r="S1148" t="s">
        <v>185</v>
      </c>
      <c r="T1148" t="s">
        <v>162</v>
      </c>
      <c r="U1148" t="s">
        <v>163</v>
      </c>
      <c r="V1148" t="s">
        <v>193</v>
      </c>
      <c r="W1148" t="s">
        <v>77</v>
      </c>
      <c r="X1148" t="s">
        <v>44</v>
      </c>
      <c r="Y1148" t="s">
        <v>99</v>
      </c>
      <c r="Z1148" t="s">
        <v>421</v>
      </c>
      <c r="AC1148" t="str">
        <f>IF(AA1148="",M1148,AA1148)</f>
        <v>sim</v>
      </c>
      <c r="AD1148" t="str">
        <f>IF(AB1148="",X1148,AB1148)</f>
        <v>sim</v>
      </c>
      <c r="AE1148" t="str">
        <f>IF(OR(Configuracao!B9="",Configuracao!B10=""),"aguardando limiar",IF(AND(K1148&gt;=Configuracao!B9,K1148/MAX(Reconciliacao!C2,1)&gt;=Configuracao!B10/100),"sim","não"))</f>
        <v>aguardando limiar</v>
      </c>
    </row>
    <row r="1149" spans="1:31" x14ac:dyDescent="0.25">
      <c r="A1149">
        <v>18840</v>
      </c>
      <c r="C1149" t="s">
        <v>951</v>
      </c>
      <c r="D1149" t="s">
        <v>824</v>
      </c>
      <c r="E1149" t="s">
        <v>451</v>
      </c>
      <c r="F1149" t="s">
        <v>316</v>
      </c>
      <c r="G1149" t="s">
        <v>383</v>
      </c>
      <c r="H1149" t="s">
        <v>382</v>
      </c>
      <c r="I1149" t="s">
        <v>35</v>
      </c>
      <c r="J1149" t="s">
        <v>35</v>
      </c>
      <c r="K1149" s="4">
        <v>9.57</v>
      </c>
      <c r="L1149" s="4">
        <v>9.57</v>
      </c>
      <c r="M1149" t="s">
        <v>44</v>
      </c>
      <c r="N1149" t="s">
        <v>77</v>
      </c>
      <c r="O1149" t="s">
        <v>99</v>
      </c>
      <c r="P1149" t="s">
        <v>99</v>
      </c>
      <c r="Q1149" t="s">
        <v>131</v>
      </c>
      <c r="R1149" t="s">
        <v>317</v>
      </c>
      <c r="S1149" t="s">
        <v>185</v>
      </c>
      <c r="T1149" t="s">
        <v>162</v>
      </c>
      <c r="U1149" t="s">
        <v>163</v>
      </c>
      <c r="V1149" t="s">
        <v>193</v>
      </c>
      <c r="W1149" t="s">
        <v>77</v>
      </c>
      <c r="X1149" t="s">
        <v>44</v>
      </c>
      <c r="Y1149" t="s">
        <v>99</v>
      </c>
      <c r="Z1149" t="s">
        <v>421</v>
      </c>
      <c r="AC1149" t="str">
        <f>IF(AA1149="",M1149,AA1149)</f>
        <v>sim</v>
      </c>
      <c r="AD1149" t="str">
        <f>IF(AB1149="",X1149,AB1149)</f>
        <v>sim</v>
      </c>
      <c r="AE1149" t="str">
        <f>IF(OR(Configuracao!B9="",Configuracao!B10=""),"aguardando limiar",IF(AND(K1149&gt;=Configuracao!B9,K1149/MAX(Reconciliacao!C2,1)&gt;=Configuracao!B10/100),"sim","não"))</f>
        <v>aguardando limiar</v>
      </c>
    </row>
    <row r="1150" spans="1:31" x14ac:dyDescent="0.25">
      <c r="A1150">
        <v>18887</v>
      </c>
      <c r="C1150" t="s">
        <v>951</v>
      </c>
      <c r="D1150" t="s">
        <v>824</v>
      </c>
      <c r="E1150" t="s">
        <v>451</v>
      </c>
      <c r="F1150" t="s">
        <v>316</v>
      </c>
      <c r="G1150" t="s">
        <v>383</v>
      </c>
      <c r="H1150" t="s">
        <v>382</v>
      </c>
      <c r="I1150" t="s">
        <v>35</v>
      </c>
      <c r="J1150" t="s">
        <v>35</v>
      </c>
      <c r="K1150" s="4">
        <v>9.57</v>
      </c>
      <c r="L1150" s="4">
        <v>9.57</v>
      </c>
      <c r="M1150" t="s">
        <v>44</v>
      </c>
      <c r="N1150" t="s">
        <v>77</v>
      </c>
      <c r="O1150" t="s">
        <v>99</v>
      </c>
      <c r="P1150" t="s">
        <v>99</v>
      </c>
      <c r="Q1150" t="s">
        <v>131</v>
      </c>
      <c r="R1150" t="s">
        <v>317</v>
      </c>
      <c r="S1150" t="s">
        <v>185</v>
      </c>
      <c r="T1150" t="s">
        <v>162</v>
      </c>
      <c r="U1150" t="s">
        <v>163</v>
      </c>
      <c r="V1150" t="s">
        <v>193</v>
      </c>
      <c r="W1150" t="s">
        <v>77</v>
      </c>
      <c r="X1150" t="s">
        <v>44</v>
      </c>
      <c r="Y1150" t="s">
        <v>99</v>
      </c>
      <c r="Z1150" t="s">
        <v>421</v>
      </c>
      <c r="AC1150" t="str">
        <f>IF(AA1150="",M1150,AA1150)</f>
        <v>sim</v>
      </c>
      <c r="AD1150" t="str">
        <f>IF(AB1150="",X1150,AB1150)</f>
        <v>sim</v>
      </c>
      <c r="AE1150" t="str">
        <f>IF(OR(Configuracao!B9="",Configuracao!B10=""),"aguardando limiar",IF(AND(K1150&gt;=Configuracao!B9,K1150/MAX(Reconciliacao!C2,1)&gt;=Configuracao!B10/100),"sim","não"))</f>
        <v>aguardando limiar</v>
      </c>
    </row>
    <row r="1151" spans="1:31" x14ac:dyDescent="0.25">
      <c r="A1151">
        <v>12239</v>
      </c>
      <c r="C1151" t="s">
        <v>955</v>
      </c>
      <c r="D1151" t="s">
        <v>956</v>
      </c>
      <c r="E1151" t="s">
        <v>451</v>
      </c>
      <c r="F1151" t="s">
        <v>316</v>
      </c>
      <c r="G1151" t="s">
        <v>383</v>
      </c>
      <c r="H1151" t="s">
        <v>382</v>
      </c>
      <c r="I1151" t="s">
        <v>424</v>
      </c>
      <c r="J1151" t="s">
        <v>424</v>
      </c>
      <c r="K1151" s="4">
        <v>10.04</v>
      </c>
      <c r="L1151" s="4">
        <v>10.04</v>
      </c>
      <c r="M1151" t="s">
        <v>44</v>
      </c>
      <c r="N1151" t="s">
        <v>77</v>
      </c>
      <c r="O1151" t="s">
        <v>99</v>
      </c>
      <c r="P1151" t="s">
        <v>99</v>
      </c>
      <c r="Q1151" t="s">
        <v>131</v>
      </c>
      <c r="R1151" t="s">
        <v>317</v>
      </c>
      <c r="S1151" t="s">
        <v>185</v>
      </c>
      <c r="T1151" t="s">
        <v>162</v>
      </c>
      <c r="U1151" t="s">
        <v>163</v>
      </c>
      <c r="V1151" t="s">
        <v>193</v>
      </c>
      <c r="W1151" t="s">
        <v>77</v>
      </c>
      <c r="X1151" t="s">
        <v>44</v>
      </c>
      <c r="Y1151" t="s">
        <v>99</v>
      </c>
      <c r="Z1151" t="s">
        <v>421</v>
      </c>
      <c r="AC1151" t="str">
        <f>IF(AA1151="",M1151,AA1151)</f>
        <v>sim</v>
      </c>
      <c r="AD1151" t="str">
        <f>IF(AB1151="",X1151,AB1151)</f>
        <v>sim</v>
      </c>
      <c r="AE1151" t="str">
        <f>IF(OR(Configuracao!B9="",Configuracao!B10=""),"aguardando limiar",IF(AND(K1151&gt;=Configuracao!B9,K1151/MAX(Reconciliacao!C2,1)&gt;=Configuracao!B10/100),"sim","não"))</f>
        <v>aguardando limiar</v>
      </c>
    </row>
    <row r="1152" spans="1:31" x14ac:dyDescent="0.25">
      <c r="A1152">
        <v>13355</v>
      </c>
      <c r="C1152" t="s">
        <v>955</v>
      </c>
      <c r="D1152" t="s">
        <v>956</v>
      </c>
      <c r="E1152" t="s">
        <v>451</v>
      </c>
      <c r="F1152" t="s">
        <v>316</v>
      </c>
      <c r="G1152" t="s">
        <v>383</v>
      </c>
      <c r="H1152" t="s">
        <v>382</v>
      </c>
      <c r="I1152" t="s">
        <v>424</v>
      </c>
      <c r="J1152" t="s">
        <v>424</v>
      </c>
      <c r="K1152" s="4">
        <v>12</v>
      </c>
      <c r="L1152" s="4">
        <v>12</v>
      </c>
      <c r="M1152" t="s">
        <v>44</v>
      </c>
      <c r="N1152" t="s">
        <v>77</v>
      </c>
      <c r="O1152" t="s">
        <v>99</v>
      </c>
      <c r="P1152" t="s">
        <v>99</v>
      </c>
      <c r="Q1152" t="s">
        <v>131</v>
      </c>
      <c r="R1152" t="s">
        <v>317</v>
      </c>
      <c r="S1152" t="s">
        <v>185</v>
      </c>
      <c r="T1152" t="s">
        <v>162</v>
      </c>
      <c r="U1152" t="s">
        <v>163</v>
      </c>
      <c r="V1152" t="s">
        <v>193</v>
      </c>
      <c r="W1152" t="s">
        <v>77</v>
      </c>
      <c r="X1152" t="s">
        <v>44</v>
      </c>
      <c r="Y1152" t="s">
        <v>99</v>
      </c>
      <c r="Z1152" t="s">
        <v>421</v>
      </c>
      <c r="AC1152" t="str">
        <f>IF(AA1152="",M1152,AA1152)</f>
        <v>sim</v>
      </c>
      <c r="AD1152" t="str">
        <f>IF(AB1152="",X1152,AB1152)</f>
        <v>sim</v>
      </c>
      <c r="AE1152" t="str">
        <f>IF(OR(Configuracao!B9="",Configuracao!B10=""),"aguardando limiar",IF(AND(K1152&gt;=Configuracao!B9,K1152/MAX(Reconciliacao!C2,1)&gt;=Configuracao!B10/100),"sim","não"))</f>
        <v>aguardando limiar</v>
      </c>
    </row>
    <row r="1153" spans="1:31" x14ac:dyDescent="0.25">
      <c r="A1153">
        <v>15856</v>
      </c>
      <c r="C1153" t="s">
        <v>951</v>
      </c>
      <c r="D1153" t="s">
        <v>824</v>
      </c>
      <c r="E1153" t="s">
        <v>451</v>
      </c>
      <c r="F1153" t="s">
        <v>316</v>
      </c>
      <c r="G1153" t="s">
        <v>383</v>
      </c>
      <c r="H1153" t="s">
        <v>382</v>
      </c>
      <c r="I1153" t="s">
        <v>454</v>
      </c>
      <c r="J1153" t="s">
        <v>454</v>
      </c>
      <c r="K1153" s="4">
        <v>12.76</v>
      </c>
      <c r="L1153" s="4">
        <v>12.76</v>
      </c>
      <c r="M1153" t="s">
        <v>44</v>
      </c>
      <c r="N1153" t="s">
        <v>77</v>
      </c>
      <c r="O1153" t="s">
        <v>99</v>
      </c>
      <c r="P1153" t="s">
        <v>99</v>
      </c>
      <c r="Q1153" t="s">
        <v>131</v>
      </c>
      <c r="R1153" t="s">
        <v>317</v>
      </c>
      <c r="S1153" t="s">
        <v>185</v>
      </c>
      <c r="T1153" t="s">
        <v>162</v>
      </c>
      <c r="U1153" t="s">
        <v>163</v>
      </c>
      <c r="V1153" t="s">
        <v>193</v>
      </c>
      <c r="W1153" t="s">
        <v>77</v>
      </c>
      <c r="X1153" t="s">
        <v>44</v>
      </c>
      <c r="Y1153" t="s">
        <v>99</v>
      </c>
      <c r="Z1153" t="s">
        <v>421</v>
      </c>
      <c r="AC1153" t="str">
        <f>IF(AA1153="",M1153,AA1153)</f>
        <v>sim</v>
      </c>
      <c r="AD1153" t="str">
        <f>IF(AB1153="",X1153,AB1153)</f>
        <v>sim</v>
      </c>
      <c r="AE1153" t="str">
        <f>IF(OR(Configuracao!B9="",Configuracao!B10=""),"aguardando limiar",IF(AND(K1153&gt;=Configuracao!B9,K1153/MAX(Reconciliacao!C2,1)&gt;=Configuracao!B10/100),"sim","não"))</f>
        <v>aguardando limiar</v>
      </c>
    </row>
    <row r="1154" spans="1:31" x14ac:dyDescent="0.25">
      <c r="A1154">
        <v>17376</v>
      </c>
      <c r="C1154" t="s">
        <v>951</v>
      </c>
      <c r="D1154" t="s">
        <v>824</v>
      </c>
      <c r="E1154" t="s">
        <v>451</v>
      </c>
      <c r="F1154" t="s">
        <v>316</v>
      </c>
      <c r="G1154" t="s">
        <v>383</v>
      </c>
      <c r="H1154" t="s">
        <v>382</v>
      </c>
      <c r="I1154" t="s">
        <v>442</v>
      </c>
      <c r="J1154" t="s">
        <v>442</v>
      </c>
      <c r="K1154" s="4">
        <v>12.76</v>
      </c>
      <c r="L1154" s="4">
        <v>12.76</v>
      </c>
      <c r="M1154" t="s">
        <v>44</v>
      </c>
      <c r="N1154" t="s">
        <v>77</v>
      </c>
      <c r="O1154" t="s">
        <v>99</v>
      </c>
      <c r="P1154" t="s">
        <v>99</v>
      </c>
      <c r="Q1154" t="s">
        <v>131</v>
      </c>
      <c r="R1154" t="s">
        <v>317</v>
      </c>
      <c r="S1154" t="s">
        <v>185</v>
      </c>
      <c r="T1154" t="s">
        <v>162</v>
      </c>
      <c r="U1154" t="s">
        <v>163</v>
      </c>
      <c r="V1154" t="s">
        <v>193</v>
      </c>
      <c r="W1154" t="s">
        <v>77</v>
      </c>
      <c r="X1154" t="s">
        <v>44</v>
      </c>
      <c r="Y1154" t="s">
        <v>99</v>
      </c>
      <c r="Z1154" t="s">
        <v>421</v>
      </c>
      <c r="AC1154" t="str">
        <f>IF(AA1154="",M1154,AA1154)</f>
        <v>sim</v>
      </c>
      <c r="AD1154" t="str">
        <f>IF(AB1154="",X1154,AB1154)</f>
        <v>sim</v>
      </c>
      <c r="AE1154" t="str">
        <f>IF(OR(Configuracao!B9="",Configuracao!B10=""),"aguardando limiar",IF(AND(K1154&gt;=Configuracao!B9,K1154/MAX(Reconciliacao!C2,1)&gt;=Configuracao!B10/100),"sim","não"))</f>
        <v>aguardando limiar</v>
      </c>
    </row>
    <row r="1155" spans="1:31" x14ac:dyDescent="0.25">
      <c r="A1155">
        <v>17546</v>
      </c>
      <c r="C1155" t="s">
        <v>951</v>
      </c>
      <c r="D1155" t="s">
        <v>824</v>
      </c>
      <c r="E1155" t="s">
        <v>451</v>
      </c>
      <c r="F1155" t="s">
        <v>316</v>
      </c>
      <c r="G1155" t="s">
        <v>383</v>
      </c>
      <c r="H1155" t="s">
        <v>382</v>
      </c>
      <c r="I1155" t="s">
        <v>442</v>
      </c>
      <c r="J1155" t="s">
        <v>442</v>
      </c>
      <c r="K1155" s="4">
        <v>12.76</v>
      </c>
      <c r="L1155" s="4">
        <v>12.76</v>
      </c>
      <c r="M1155" t="s">
        <v>44</v>
      </c>
      <c r="N1155" t="s">
        <v>77</v>
      </c>
      <c r="O1155" t="s">
        <v>99</v>
      </c>
      <c r="P1155" t="s">
        <v>99</v>
      </c>
      <c r="Q1155" t="s">
        <v>131</v>
      </c>
      <c r="R1155" t="s">
        <v>317</v>
      </c>
      <c r="S1155" t="s">
        <v>185</v>
      </c>
      <c r="T1155" t="s">
        <v>162</v>
      </c>
      <c r="U1155" t="s">
        <v>163</v>
      </c>
      <c r="V1155" t="s">
        <v>193</v>
      </c>
      <c r="W1155" t="s">
        <v>77</v>
      </c>
      <c r="X1155" t="s">
        <v>44</v>
      </c>
      <c r="Y1155" t="s">
        <v>99</v>
      </c>
      <c r="Z1155" t="s">
        <v>421</v>
      </c>
      <c r="AC1155" t="str">
        <f>IF(AA1155="",M1155,AA1155)</f>
        <v>sim</v>
      </c>
      <c r="AD1155" t="str">
        <f>IF(AB1155="",X1155,AB1155)</f>
        <v>sim</v>
      </c>
      <c r="AE1155" t="str">
        <f>IF(OR(Configuracao!B9="",Configuracao!B10=""),"aguardando limiar",IF(AND(K1155&gt;=Configuracao!B9,K1155/MAX(Reconciliacao!C2,1)&gt;=Configuracao!B10/100),"sim","não"))</f>
        <v>aguardando limiar</v>
      </c>
    </row>
    <row r="1156" spans="1:31" x14ac:dyDescent="0.25">
      <c r="A1156">
        <v>17688</v>
      </c>
      <c r="C1156" t="s">
        <v>951</v>
      </c>
      <c r="D1156" t="s">
        <v>824</v>
      </c>
      <c r="E1156" t="s">
        <v>451</v>
      </c>
      <c r="F1156" t="s">
        <v>316</v>
      </c>
      <c r="G1156" t="s">
        <v>383</v>
      </c>
      <c r="H1156" t="s">
        <v>382</v>
      </c>
      <c r="I1156" t="s">
        <v>442</v>
      </c>
      <c r="J1156" t="s">
        <v>442</v>
      </c>
      <c r="K1156" s="4">
        <v>12.76</v>
      </c>
      <c r="L1156" s="4">
        <v>12.76</v>
      </c>
      <c r="M1156" t="s">
        <v>44</v>
      </c>
      <c r="N1156" t="s">
        <v>77</v>
      </c>
      <c r="O1156" t="s">
        <v>99</v>
      </c>
      <c r="P1156" t="s">
        <v>99</v>
      </c>
      <c r="Q1156" t="s">
        <v>131</v>
      </c>
      <c r="R1156" t="s">
        <v>317</v>
      </c>
      <c r="S1156" t="s">
        <v>185</v>
      </c>
      <c r="T1156" t="s">
        <v>162</v>
      </c>
      <c r="U1156" t="s">
        <v>163</v>
      </c>
      <c r="V1156" t="s">
        <v>193</v>
      </c>
      <c r="W1156" t="s">
        <v>77</v>
      </c>
      <c r="X1156" t="s">
        <v>44</v>
      </c>
      <c r="Y1156" t="s">
        <v>99</v>
      </c>
      <c r="Z1156" t="s">
        <v>421</v>
      </c>
      <c r="AC1156" t="str">
        <f>IF(AA1156="",M1156,AA1156)</f>
        <v>sim</v>
      </c>
      <c r="AD1156" t="str">
        <f>IF(AB1156="",X1156,AB1156)</f>
        <v>sim</v>
      </c>
      <c r="AE1156" t="str">
        <f>IF(OR(Configuracao!B9="",Configuracao!B10=""),"aguardando limiar",IF(AND(K1156&gt;=Configuracao!B9,K1156/MAX(Reconciliacao!C2,1)&gt;=Configuracao!B10/100),"sim","não"))</f>
        <v>aguardando limiar</v>
      </c>
    </row>
    <row r="1157" spans="1:31" x14ac:dyDescent="0.25">
      <c r="A1157">
        <v>17846</v>
      </c>
      <c r="C1157" t="s">
        <v>951</v>
      </c>
      <c r="D1157" t="s">
        <v>824</v>
      </c>
      <c r="E1157" t="s">
        <v>451</v>
      </c>
      <c r="F1157" t="s">
        <v>316</v>
      </c>
      <c r="G1157" t="s">
        <v>383</v>
      </c>
      <c r="H1157" t="s">
        <v>382</v>
      </c>
      <c r="I1157" t="s">
        <v>439</v>
      </c>
      <c r="J1157" t="s">
        <v>439</v>
      </c>
      <c r="K1157" s="4">
        <v>12.76</v>
      </c>
      <c r="L1157" s="4">
        <v>12.76</v>
      </c>
      <c r="M1157" t="s">
        <v>44</v>
      </c>
      <c r="N1157" t="s">
        <v>77</v>
      </c>
      <c r="O1157" t="s">
        <v>99</v>
      </c>
      <c r="P1157" t="s">
        <v>99</v>
      </c>
      <c r="Q1157" t="s">
        <v>131</v>
      </c>
      <c r="R1157" t="s">
        <v>317</v>
      </c>
      <c r="S1157" t="s">
        <v>185</v>
      </c>
      <c r="T1157" t="s">
        <v>162</v>
      </c>
      <c r="U1157" t="s">
        <v>163</v>
      </c>
      <c r="V1157" t="s">
        <v>193</v>
      </c>
      <c r="W1157" t="s">
        <v>77</v>
      </c>
      <c r="X1157" t="s">
        <v>44</v>
      </c>
      <c r="Y1157" t="s">
        <v>99</v>
      </c>
      <c r="Z1157" t="s">
        <v>421</v>
      </c>
      <c r="AC1157" t="str">
        <f>IF(AA1157="",M1157,AA1157)</f>
        <v>sim</v>
      </c>
      <c r="AD1157" t="str">
        <f>IF(AB1157="",X1157,AB1157)</f>
        <v>sim</v>
      </c>
      <c r="AE1157" t="str">
        <f>IF(OR(Configuracao!B9="",Configuracao!B10=""),"aguardando limiar",IF(AND(K1157&gt;=Configuracao!B9,K1157/MAX(Reconciliacao!C2,1)&gt;=Configuracao!B10/100),"sim","não"))</f>
        <v>aguardando limiar</v>
      </c>
    </row>
    <row r="1158" spans="1:31" x14ac:dyDescent="0.25">
      <c r="A1158">
        <v>17985</v>
      </c>
      <c r="C1158" t="s">
        <v>951</v>
      </c>
      <c r="D1158" t="s">
        <v>824</v>
      </c>
      <c r="E1158" t="s">
        <v>451</v>
      </c>
      <c r="F1158" t="s">
        <v>316</v>
      </c>
      <c r="G1158" t="s">
        <v>383</v>
      </c>
      <c r="H1158" t="s">
        <v>382</v>
      </c>
      <c r="I1158" t="s">
        <v>439</v>
      </c>
      <c r="J1158" t="s">
        <v>439</v>
      </c>
      <c r="K1158" s="4">
        <v>12.76</v>
      </c>
      <c r="L1158" s="4">
        <v>12.76</v>
      </c>
      <c r="M1158" t="s">
        <v>44</v>
      </c>
      <c r="N1158" t="s">
        <v>77</v>
      </c>
      <c r="O1158" t="s">
        <v>99</v>
      </c>
      <c r="P1158" t="s">
        <v>99</v>
      </c>
      <c r="Q1158" t="s">
        <v>131</v>
      </c>
      <c r="R1158" t="s">
        <v>317</v>
      </c>
      <c r="S1158" t="s">
        <v>185</v>
      </c>
      <c r="T1158" t="s">
        <v>162</v>
      </c>
      <c r="U1158" t="s">
        <v>163</v>
      </c>
      <c r="V1158" t="s">
        <v>193</v>
      </c>
      <c r="W1158" t="s">
        <v>77</v>
      </c>
      <c r="X1158" t="s">
        <v>44</v>
      </c>
      <c r="Y1158" t="s">
        <v>99</v>
      </c>
      <c r="Z1158" t="s">
        <v>421</v>
      </c>
      <c r="AC1158" t="str">
        <f>IF(AA1158="",M1158,AA1158)</f>
        <v>sim</v>
      </c>
      <c r="AD1158" t="str">
        <f>IF(AB1158="",X1158,AB1158)</f>
        <v>sim</v>
      </c>
      <c r="AE1158" t="str">
        <f>IF(OR(Configuracao!B9="",Configuracao!B10=""),"aguardando limiar",IF(AND(K1158&gt;=Configuracao!B9,K1158/MAX(Reconciliacao!C2,1)&gt;=Configuracao!B10/100),"sim","não"))</f>
        <v>aguardando limiar</v>
      </c>
    </row>
    <row r="1159" spans="1:31" x14ac:dyDescent="0.25">
      <c r="A1159">
        <v>18645</v>
      </c>
      <c r="C1159" t="s">
        <v>951</v>
      </c>
      <c r="D1159" t="s">
        <v>824</v>
      </c>
      <c r="E1159" t="s">
        <v>451</v>
      </c>
      <c r="F1159" t="s">
        <v>316</v>
      </c>
      <c r="G1159" t="s">
        <v>383</v>
      </c>
      <c r="H1159" t="s">
        <v>382</v>
      </c>
      <c r="I1159" t="s">
        <v>35</v>
      </c>
      <c r="J1159" t="s">
        <v>35</v>
      </c>
      <c r="K1159" s="4">
        <v>12.76</v>
      </c>
      <c r="L1159" s="4">
        <v>12.76</v>
      </c>
      <c r="M1159" t="s">
        <v>44</v>
      </c>
      <c r="N1159" t="s">
        <v>77</v>
      </c>
      <c r="O1159" t="s">
        <v>99</v>
      </c>
      <c r="P1159" t="s">
        <v>99</v>
      </c>
      <c r="Q1159" t="s">
        <v>131</v>
      </c>
      <c r="R1159" t="s">
        <v>317</v>
      </c>
      <c r="S1159" t="s">
        <v>185</v>
      </c>
      <c r="T1159" t="s">
        <v>162</v>
      </c>
      <c r="U1159" t="s">
        <v>163</v>
      </c>
      <c r="V1159" t="s">
        <v>193</v>
      </c>
      <c r="W1159" t="s">
        <v>77</v>
      </c>
      <c r="X1159" t="s">
        <v>44</v>
      </c>
      <c r="Y1159" t="s">
        <v>99</v>
      </c>
      <c r="Z1159" t="s">
        <v>421</v>
      </c>
      <c r="AC1159" t="str">
        <f>IF(AA1159="",M1159,AA1159)</f>
        <v>sim</v>
      </c>
      <c r="AD1159" t="str">
        <f>IF(AB1159="",X1159,AB1159)</f>
        <v>sim</v>
      </c>
      <c r="AE1159" t="str">
        <f>IF(OR(Configuracao!B9="",Configuracao!B10=""),"aguardando limiar",IF(AND(K1159&gt;=Configuracao!B9,K1159/MAX(Reconciliacao!C2,1)&gt;=Configuracao!B10/100),"sim","não"))</f>
        <v>aguardando limiar</v>
      </c>
    </row>
    <row r="1160" spans="1:31" x14ac:dyDescent="0.25">
      <c r="A1160">
        <v>17211</v>
      </c>
      <c r="C1160" t="s">
        <v>951</v>
      </c>
      <c r="D1160" t="s">
        <v>824</v>
      </c>
      <c r="E1160" t="s">
        <v>451</v>
      </c>
      <c r="F1160" t="s">
        <v>316</v>
      </c>
      <c r="G1160" t="s">
        <v>383</v>
      </c>
      <c r="H1160" t="s">
        <v>382</v>
      </c>
      <c r="I1160" t="s">
        <v>442</v>
      </c>
      <c r="J1160" t="s">
        <v>442</v>
      </c>
      <c r="K1160" s="4">
        <v>15.95</v>
      </c>
      <c r="L1160" s="4">
        <v>15.95</v>
      </c>
      <c r="M1160" t="s">
        <v>44</v>
      </c>
      <c r="N1160" t="s">
        <v>77</v>
      </c>
      <c r="O1160" t="s">
        <v>99</v>
      </c>
      <c r="P1160" t="s">
        <v>99</v>
      </c>
      <c r="Q1160" t="s">
        <v>131</v>
      </c>
      <c r="R1160" t="s">
        <v>317</v>
      </c>
      <c r="S1160" t="s">
        <v>185</v>
      </c>
      <c r="T1160" t="s">
        <v>162</v>
      </c>
      <c r="U1160" t="s">
        <v>163</v>
      </c>
      <c r="V1160" t="s">
        <v>193</v>
      </c>
      <c r="W1160" t="s">
        <v>77</v>
      </c>
      <c r="X1160" t="s">
        <v>44</v>
      </c>
      <c r="Y1160" t="s">
        <v>99</v>
      </c>
      <c r="Z1160" t="s">
        <v>421</v>
      </c>
      <c r="AC1160" t="str">
        <f>IF(AA1160="",M1160,AA1160)</f>
        <v>sim</v>
      </c>
      <c r="AD1160" t="str">
        <f>IF(AB1160="",X1160,AB1160)</f>
        <v>sim</v>
      </c>
      <c r="AE1160" t="str">
        <f>IF(OR(Configuracao!B9="",Configuracao!B10=""),"aguardando limiar",IF(AND(K1160&gt;=Configuracao!B9,K1160/MAX(Reconciliacao!C2,1)&gt;=Configuracao!B10/100),"sim","não"))</f>
        <v>aguardando limiar</v>
      </c>
    </row>
    <row r="1161" spans="1:31" x14ac:dyDescent="0.25">
      <c r="A1161">
        <v>17548</v>
      </c>
      <c r="C1161" t="s">
        <v>951</v>
      </c>
      <c r="D1161" t="s">
        <v>824</v>
      </c>
      <c r="E1161" t="s">
        <v>451</v>
      </c>
      <c r="F1161" t="s">
        <v>316</v>
      </c>
      <c r="G1161" t="s">
        <v>383</v>
      </c>
      <c r="H1161" t="s">
        <v>382</v>
      </c>
      <c r="I1161" t="s">
        <v>442</v>
      </c>
      <c r="J1161" t="s">
        <v>442</v>
      </c>
      <c r="K1161" s="4">
        <v>15.95</v>
      </c>
      <c r="L1161" s="4">
        <v>15.95</v>
      </c>
      <c r="M1161" t="s">
        <v>44</v>
      </c>
      <c r="N1161" t="s">
        <v>77</v>
      </c>
      <c r="O1161" t="s">
        <v>99</v>
      </c>
      <c r="P1161" t="s">
        <v>99</v>
      </c>
      <c r="Q1161" t="s">
        <v>131</v>
      </c>
      <c r="R1161" t="s">
        <v>317</v>
      </c>
      <c r="S1161" t="s">
        <v>185</v>
      </c>
      <c r="T1161" t="s">
        <v>162</v>
      </c>
      <c r="U1161" t="s">
        <v>163</v>
      </c>
      <c r="V1161" t="s">
        <v>193</v>
      </c>
      <c r="W1161" t="s">
        <v>77</v>
      </c>
      <c r="X1161" t="s">
        <v>44</v>
      </c>
      <c r="Y1161" t="s">
        <v>99</v>
      </c>
      <c r="Z1161" t="s">
        <v>421</v>
      </c>
      <c r="AC1161" t="str">
        <f>IF(AA1161="",M1161,AA1161)</f>
        <v>sim</v>
      </c>
      <c r="AD1161" t="str">
        <f>IF(AB1161="",X1161,AB1161)</f>
        <v>sim</v>
      </c>
      <c r="AE1161" t="str">
        <f>IF(OR(Configuracao!B9="",Configuracao!B10=""),"aguardando limiar",IF(AND(K1161&gt;=Configuracao!B9,K1161/MAX(Reconciliacao!C2,1)&gt;=Configuracao!B10/100),"sim","não"))</f>
        <v>aguardando limiar</v>
      </c>
    </row>
    <row r="1162" spans="1:31" x14ac:dyDescent="0.25">
      <c r="A1162">
        <v>18477</v>
      </c>
      <c r="C1162" t="s">
        <v>951</v>
      </c>
      <c r="D1162" t="s">
        <v>824</v>
      </c>
      <c r="E1162" t="s">
        <v>451</v>
      </c>
      <c r="F1162" t="s">
        <v>316</v>
      </c>
      <c r="G1162" t="s">
        <v>383</v>
      </c>
      <c r="H1162" t="s">
        <v>382</v>
      </c>
      <c r="I1162" t="s">
        <v>439</v>
      </c>
      <c r="J1162" t="s">
        <v>439</v>
      </c>
      <c r="K1162" s="4">
        <v>15.95</v>
      </c>
      <c r="L1162" s="4">
        <v>15.95</v>
      </c>
      <c r="M1162" t="s">
        <v>44</v>
      </c>
      <c r="N1162" t="s">
        <v>77</v>
      </c>
      <c r="O1162" t="s">
        <v>99</v>
      </c>
      <c r="P1162" t="s">
        <v>99</v>
      </c>
      <c r="Q1162" t="s">
        <v>131</v>
      </c>
      <c r="R1162" t="s">
        <v>317</v>
      </c>
      <c r="S1162" t="s">
        <v>185</v>
      </c>
      <c r="T1162" t="s">
        <v>162</v>
      </c>
      <c r="U1162" t="s">
        <v>163</v>
      </c>
      <c r="V1162" t="s">
        <v>193</v>
      </c>
      <c r="W1162" t="s">
        <v>77</v>
      </c>
      <c r="X1162" t="s">
        <v>44</v>
      </c>
      <c r="Y1162" t="s">
        <v>99</v>
      </c>
      <c r="Z1162" t="s">
        <v>421</v>
      </c>
      <c r="AC1162" t="str">
        <f>IF(AA1162="",M1162,AA1162)</f>
        <v>sim</v>
      </c>
      <c r="AD1162" t="str">
        <f>IF(AB1162="",X1162,AB1162)</f>
        <v>sim</v>
      </c>
      <c r="AE1162" t="str">
        <f>IF(OR(Configuracao!B9="",Configuracao!B10=""),"aguardando limiar",IF(AND(K1162&gt;=Configuracao!B9,K1162/MAX(Reconciliacao!C2,1)&gt;=Configuracao!B10/100),"sim","não"))</f>
        <v>aguardando limiar</v>
      </c>
    </row>
    <row r="1163" spans="1:31" x14ac:dyDescent="0.25">
      <c r="A1163">
        <v>18761</v>
      </c>
      <c r="C1163" t="s">
        <v>951</v>
      </c>
      <c r="D1163" t="s">
        <v>824</v>
      </c>
      <c r="E1163" t="s">
        <v>451</v>
      </c>
      <c r="F1163" t="s">
        <v>316</v>
      </c>
      <c r="G1163" t="s">
        <v>383</v>
      </c>
      <c r="H1163" t="s">
        <v>382</v>
      </c>
      <c r="I1163" t="s">
        <v>35</v>
      </c>
      <c r="J1163" t="s">
        <v>35</v>
      </c>
      <c r="K1163" s="4">
        <v>15.95</v>
      </c>
      <c r="L1163" s="4">
        <v>15.95</v>
      </c>
      <c r="M1163" t="s">
        <v>44</v>
      </c>
      <c r="N1163" t="s">
        <v>77</v>
      </c>
      <c r="O1163" t="s">
        <v>99</v>
      </c>
      <c r="P1163" t="s">
        <v>99</v>
      </c>
      <c r="Q1163" t="s">
        <v>131</v>
      </c>
      <c r="R1163" t="s">
        <v>317</v>
      </c>
      <c r="S1163" t="s">
        <v>185</v>
      </c>
      <c r="T1163" t="s">
        <v>162</v>
      </c>
      <c r="U1163" t="s">
        <v>163</v>
      </c>
      <c r="V1163" t="s">
        <v>193</v>
      </c>
      <c r="W1163" t="s">
        <v>77</v>
      </c>
      <c r="X1163" t="s">
        <v>44</v>
      </c>
      <c r="Y1163" t="s">
        <v>99</v>
      </c>
      <c r="Z1163" t="s">
        <v>421</v>
      </c>
      <c r="AC1163" t="str">
        <f>IF(AA1163="",M1163,AA1163)</f>
        <v>sim</v>
      </c>
      <c r="AD1163" t="str">
        <f>IF(AB1163="",X1163,AB1163)</f>
        <v>sim</v>
      </c>
      <c r="AE1163" t="str">
        <f>IF(OR(Configuracao!B9="",Configuracao!B10=""),"aguardando limiar",IF(AND(K1163&gt;=Configuracao!B9,K1163/MAX(Reconciliacao!C2,1)&gt;=Configuracao!B10/100),"sim","não"))</f>
        <v>aguardando limiar</v>
      </c>
    </row>
    <row r="1164" spans="1:31" x14ac:dyDescent="0.25">
      <c r="A1164">
        <v>19022</v>
      </c>
      <c r="C1164" t="s">
        <v>951</v>
      </c>
      <c r="D1164" t="s">
        <v>824</v>
      </c>
      <c r="E1164" t="s">
        <v>451</v>
      </c>
      <c r="F1164" t="s">
        <v>316</v>
      </c>
      <c r="G1164" t="s">
        <v>383</v>
      </c>
      <c r="H1164" t="s">
        <v>382</v>
      </c>
      <c r="I1164" t="s">
        <v>35</v>
      </c>
      <c r="J1164" t="s">
        <v>35</v>
      </c>
      <c r="K1164" s="4">
        <v>19.14</v>
      </c>
      <c r="L1164" s="4">
        <v>19.14</v>
      </c>
      <c r="M1164" t="s">
        <v>44</v>
      </c>
      <c r="N1164" t="s">
        <v>77</v>
      </c>
      <c r="O1164" t="s">
        <v>99</v>
      </c>
      <c r="P1164" t="s">
        <v>99</v>
      </c>
      <c r="Q1164" t="s">
        <v>131</v>
      </c>
      <c r="R1164" t="s">
        <v>317</v>
      </c>
      <c r="S1164" t="s">
        <v>185</v>
      </c>
      <c r="T1164" t="s">
        <v>162</v>
      </c>
      <c r="U1164" t="s">
        <v>163</v>
      </c>
      <c r="V1164" t="s">
        <v>193</v>
      </c>
      <c r="W1164" t="s">
        <v>77</v>
      </c>
      <c r="X1164" t="s">
        <v>44</v>
      </c>
      <c r="Y1164" t="s">
        <v>99</v>
      </c>
      <c r="Z1164" t="s">
        <v>421</v>
      </c>
      <c r="AC1164" t="str">
        <f>IF(AA1164="",M1164,AA1164)</f>
        <v>sim</v>
      </c>
      <c r="AD1164" t="str">
        <f>IF(AB1164="",X1164,AB1164)</f>
        <v>sim</v>
      </c>
      <c r="AE1164" t="str">
        <f>IF(OR(Configuracao!B9="",Configuracao!B10=""),"aguardando limiar",IF(AND(K1164&gt;=Configuracao!B9,K1164/MAX(Reconciliacao!C2,1)&gt;=Configuracao!B10/100),"sim","não"))</f>
        <v>aguardando limiar</v>
      </c>
    </row>
    <row r="1165" spans="1:31" x14ac:dyDescent="0.25">
      <c r="A1165">
        <v>14471</v>
      </c>
      <c r="C1165" t="s">
        <v>957</v>
      </c>
      <c r="D1165" t="s">
        <v>958</v>
      </c>
      <c r="E1165" t="s">
        <v>74</v>
      </c>
      <c r="F1165" t="s">
        <v>272</v>
      </c>
      <c r="G1165" t="s">
        <v>271</v>
      </c>
      <c r="H1165" t="s">
        <v>270</v>
      </c>
      <c r="I1165" t="s">
        <v>454</v>
      </c>
      <c r="J1165" t="s">
        <v>454</v>
      </c>
      <c r="K1165" s="4">
        <v>1.6</v>
      </c>
      <c r="L1165" s="4">
        <v>1.6</v>
      </c>
      <c r="M1165" t="s">
        <v>166</v>
      </c>
      <c r="N1165" t="s">
        <v>77</v>
      </c>
      <c r="O1165" t="s">
        <v>76</v>
      </c>
      <c r="P1165" t="s">
        <v>187</v>
      </c>
      <c r="Q1165" t="s">
        <v>76</v>
      </c>
      <c r="R1165" t="s">
        <v>76</v>
      </c>
      <c r="S1165" t="s">
        <v>167</v>
      </c>
      <c r="T1165" t="s">
        <v>167</v>
      </c>
      <c r="U1165" t="s">
        <v>168</v>
      </c>
      <c r="V1165" t="s">
        <v>169</v>
      </c>
      <c r="W1165" t="s">
        <v>77</v>
      </c>
      <c r="X1165" t="s">
        <v>44</v>
      </c>
      <c r="Y1165" t="s">
        <v>99</v>
      </c>
      <c r="Z1165" t="s">
        <v>421</v>
      </c>
      <c r="AC1165" t="str">
        <f>IF(AA1165="",M1165,AA1165)</f>
        <v>não</v>
      </c>
      <c r="AD1165" t="str">
        <f>IF(AB1165="",X1165,AB1165)</f>
        <v>sim</v>
      </c>
      <c r="AE1165" t="str">
        <f>IF(OR(Configuracao!B9="",Configuracao!B10=""),"aguardando limiar",IF(AND(K1165&gt;=Configuracao!B9,K1165/MAX(Reconciliacao!C2,1)&gt;=Configuracao!B10/100),"sim","não"))</f>
        <v>aguardando limiar</v>
      </c>
    </row>
    <row r="1166" spans="1:31" x14ac:dyDescent="0.25">
      <c r="A1166">
        <v>16274</v>
      </c>
      <c r="C1166" t="s">
        <v>959</v>
      </c>
      <c r="D1166" t="s">
        <v>960</v>
      </c>
      <c r="E1166" t="s">
        <v>74</v>
      </c>
      <c r="F1166" t="s">
        <v>272</v>
      </c>
      <c r="G1166" t="s">
        <v>271</v>
      </c>
      <c r="H1166" t="s">
        <v>270</v>
      </c>
      <c r="I1166" t="s">
        <v>461</v>
      </c>
      <c r="J1166" t="s">
        <v>461</v>
      </c>
      <c r="K1166" s="4">
        <v>8.49</v>
      </c>
      <c r="L1166" s="4">
        <v>8.49</v>
      </c>
      <c r="M1166" t="s">
        <v>166</v>
      </c>
      <c r="N1166" t="s">
        <v>77</v>
      </c>
      <c r="O1166" t="s">
        <v>76</v>
      </c>
      <c r="P1166" t="s">
        <v>187</v>
      </c>
      <c r="Q1166" t="s">
        <v>76</v>
      </c>
      <c r="R1166" t="s">
        <v>76</v>
      </c>
      <c r="S1166" t="s">
        <v>167</v>
      </c>
      <c r="T1166" t="s">
        <v>167</v>
      </c>
      <c r="U1166" t="s">
        <v>168</v>
      </c>
      <c r="V1166" t="s">
        <v>169</v>
      </c>
      <c r="W1166" t="s">
        <v>77</v>
      </c>
      <c r="X1166" t="s">
        <v>44</v>
      </c>
      <c r="Y1166" t="s">
        <v>99</v>
      </c>
      <c r="Z1166" t="s">
        <v>421</v>
      </c>
      <c r="AC1166" t="str">
        <f>IF(AA1166="",M1166,AA1166)</f>
        <v>não</v>
      </c>
      <c r="AD1166" t="str">
        <f>IF(AB1166="",X1166,AB1166)</f>
        <v>sim</v>
      </c>
      <c r="AE1166" t="str">
        <f>IF(OR(Configuracao!B9="",Configuracao!B10=""),"aguardando limiar",IF(AND(K1166&gt;=Configuracao!B9,K1166/MAX(Reconciliacao!C2,1)&gt;=Configuracao!B10/100),"sim","não"))</f>
        <v>aguardando limiar</v>
      </c>
    </row>
    <row r="1167" spans="1:31" x14ac:dyDescent="0.25">
      <c r="A1167">
        <v>12845</v>
      </c>
      <c r="C1167" t="s">
        <v>961</v>
      </c>
      <c r="D1167" t="s">
        <v>962</v>
      </c>
      <c r="E1167" t="s">
        <v>74</v>
      </c>
      <c r="F1167" t="s">
        <v>272</v>
      </c>
      <c r="G1167" t="s">
        <v>271</v>
      </c>
      <c r="H1167" t="s">
        <v>270</v>
      </c>
      <c r="I1167" t="s">
        <v>420</v>
      </c>
      <c r="J1167" t="s">
        <v>420</v>
      </c>
      <c r="K1167" s="4">
        <v>9.51</v>
      </c>
      <c r="L1167" s="4">
        <v>9.51</v>
      </c>
      <c r="M1167" t="s">
        <v>166</v>
      </c>
      <c r="N1167" t="s">
        <v>77</v>
      </c>
      <c r="O1167" t="s">
        <v>76</v>
      </c>
      <c r="P1167" t="s">
        <v>187</v>
      </c>
      <c r="Q1167" t="s">
        <v>76</v>
      </c>
      <c r="R1167" t="s">
        <v>76</v>
      </c>
      <c r="S1167" t="s">
        <v>167</v>
      </c>
      <c r="T1167" t="s">
        <v>167</v>
      </c>
      <c r="U1167" t="s">
        <v>168</v>
      </c>
      <c r="V1167" t="s">
        <v>169</v>
      </c>
      <c r="W1167" t="s">
        <v>77</v>
      </c>
      <c r="X1167" t="s">
        <v>44</v>
      </c>
      <c r="Y1167" t="s">
        <v>99</v>
      </c>
      <c r="Z1167" t="s">
        <v>421</v>
      </c>
      <c r="AC1167" t="str">
        <f>IF(AA1167="",M1167,AA1167)</f>
        <v>não</v>
      </c>
      <c r="AD1167" t="str">
        <f>IF(AB1167="",X1167,AB1167)</f>
        <v>sim</v>
      </c>
      <c r="AE1167" t="str">
        <f>IF(OR(Configuracao!B9="",Configuracao!B10=""),"aguardando limiar",IF(AND(K1167&gt;=Configuracao!B9,K1167/MAX(Reconciliacao!C2,1)&gt;=Configuracao!B10/100),"sim","não"))</f>
        <v>aguardando limiar</v>
      </c>
    </row>
    <row r="1168" spans="1:31" x14ac:dyDescent="0.25">
      <c r="A1168">
        <v>16275</v>
      </c>
      <c r="C1168" t="s">
        <v>959</v>
      </c>
      <c r="D1168" t="s">
        <v>960</v>
      </c>
      <c r="E1168" t="s">
        <v>74</v>
      </c>
      <c r="F1168" t="s">
        <v>272</v>
      </c>
      <c r="G1168" t="s">
        <v>271</v>
      </c>
      <c r="H1168" t="s">
        <v>270</v>
      </c>
      <c r="I1168" t="s">
        <v>461</v>
      </c>
      <c r="J1168" t="s">
        <v>461</v>
      </c>
      <c r="K1168" s="4">
        <v>10.77</v>
      </c>
      <c r="L1168" s="4">
        <v>10.77</v>
      </c>
      <c r="M1168" t="s">
        <v>166</v>
      </c>
      <c r="N1168" t="s">
        <v>77</v>
      </c>
      <c r="O1168" t="s">
        <v>76</v>
      </c>
      <c r="P1168" t="s">
        <v>187</v>
      </c>
      <c r="Q1168" t="s">
        <v>76</v>
      </c>
      <c r="R1168" t="s">
        <v>76</v>
      </c>
      <c r="S1168" t="s">
        <v>167</v>
      </c>
      <c r="T1168" t="s">
        <v>167</v>
      </c>
      <c r="U1168" t="s">
        <v>168</v>
      </c>
      <c r="V1168" t="s">
        <v>169</v>
      </c>
      <c r="W1168" t="s">
        <v>77</v>
      </c>
      <c r="X1168" t="s">
        <v>44</v>
      </c>
      <c r="Y1168" t="s">
        <v>99</v>
      </c>
      <c r="Z1168" t="s">
        <v>421</v>
      </c>
      <c r="AC1168" t="str">
        <f>IF(AA1168="",M1168,AA1168)</f>
        <v>não</v>
      </c>
      <c r="AD1168" t="str">
        <f>IF(AB1168="",X1168,AB1168)</f>
        <v>sim</v>
      </c>
      <c r="AE1168" t="str">
        <f>IF(OR(Configuracao!B9="",Configuracao!B10=""),"aguardando limiar",IF(AND(K1168&gt;=Configuracao!B9,K1168/MAX(Reconciliacao!C2,1)&gt;=Configuracao!B10/100),"sim","não"))</f>
        <v>aguardando limiar</v>
      </c>
    </row>
    <row r="1169" spans="1:31" x14ac:dyDescent="0.25">
      <c r="A1169">
        <v>12843</v>
      </c>
      <c r="C1169" t="s">
        <v>961</v>
      </c>
      <c r="D1169" t="s">
        <v>962</v>
      </c>
      <c r="E1169" t="s">
        <v>74</v>
      </c>
      <c r="F1169" t="s">
        <v>272</v>
      </c>
      <c r="G1169" t="s">
        <v>271</v>
      </c>
      <c r="H1169" t="s">
        <v>270</v>
      </c>
      <c r="I1169" t="s">
        <v>420</v>
      </c>
      <c r="J1169" t="s">
        <v>420</v>
      </c>
      <c r="K1169" s="4">
        <v>11.9</v>
      </c>
      <c r="L1169" s="4">
        <v>11.9</v>
      </c>
      <c r="M1169" t="s">
        <v>166</v>
      </c>
      <c r="N1169" t="s">
        <v>77</v>
      </c>
      <c r="O1169" t="s">
        <v>76</v>
      </c>
      <c r="P1169" t="s">
        <v>187</v>
      </c>
      <c r="Q1169" t="s">
        <v>76</v>
      </c>
      <c r="R1169" t="s">
        <v>76</v>
      </c>
      <c r="S1169" t="s">
        <v>167</v>
      </c>
      <c r="T1169" t="s">
        <v>167</v>
      </c>
      <c r="U1169" t="s">
        <v>168</v>
      </c>
      <c r="V1169" t="s">
        <v>169</v>
      </c>
      <c r="W1169" t="s">
        <v>77</v>
      </c>
      <c r="X1169" t="s">
        <v>44</v>
      </c>
      <c r="Y1169" t="s">
        <v>99</v>
      </c>
      <c r="Z1169" t="s">
        <v>421</v>
      </c>
      <c r="AC1169" t="str">
        <f>IF(AA1169="",M1169,AA1169)</f>
        <v>não</v>
      </c>
      <c r="AD1169" t="str">
        <f>IF(AB1169="",X1169,AB1169)</f>
        <v>sim</v>
      </c>
      <c r="AE1169" t="str">
        <f>IF(OR(Configuracao!B9="",Configuracao!B10=""),"aguardando limiar",IF(AND(K1169&gt;=Configuracao!B9,K1169/MAX(Reconciliacao!C2,1)&gt;=Configuracao!B10/100),"sim","não"))</f>
        <v>aguardando limiar</v>
      </c>
    </row>
    <row r="1170" spans="1:31" x14ac:dyDescent="0.25">
      <c r="A1170">
        <v>12005</v>
      </c>
      <c r="C1170" t="s">
        <v>963</v>
      </c>
      <c r="D1170" t="s">
        <v>964</v>
      </c>
      <c r="E1170" t="s">
        <v>74</v>
      </c>
      <c r="F1170" t="s">
        <v>272</v>
      </c>
      <c r="G1170" t="s">
        <v>271</v>
      </c>
      <c r="H1170" t="s">
        <v>270</v>
      </c>
      <c r="I1170" t="s">
        <v>424</v>
      </c>
      <c r="J1170" t="s">
        <v>424</v>
      </c>
      <c r="K1170" s="4">
        <v>13.9</v>
      </c>
      <c r="L1170" s="4">
        <v>13.9</v>
      </c>
      <c r="M1170" t="s">
        <v>166</v>
      </c>
      <c r="N1170" t="s">
        <v>77</v>
      </c>
      <c r="O1170" t="s">
        <v>76</v>
      </c>
      <c r="P1170" t="s">
        <v>187</v>
      </c>
      <c r="Q1170" t="s">
        <v>76</v>
      </c>
      <c r="R1170" t="s">
        <v>76</v>
      </c>
      <c r="S1170" t="s">
        <v>167</v>
      </c>
      <c r="T1170" t="s">
        <v>167</v>
      </c>
      <c r="U1170" t="s">
        <v>168</v>
      </c>
      <c r="V1170" t="s">
        <v>169</v>
      </c>
      <c r="W1170" t="s">
        <v>77</v>
      </c>
      <c r="X1170" t="s">
        <v>44</v>
      </c>
      <c r="Y1170" t="s">
        <v>99</v>
      </c>
      <c r="Z1170" t="s">
        <v>421</v>
      </c>
      <c r="AC1170" t="str">
        <f>IF(AA1170="",M1170,AA1170)</f>
        <v>não</v>
      </c>
      <c r="AD1170" t="str">
        <f>IF(AB1170="",X1170,AB1170)</f>
        <v>sim</v>
      </c>
      <c r="AE1170" t="str">
        <f>IF(OR(Configuracao!B9="",Configuracao!B10=""),"aguardando limiar",IF(AND(K1170&gt;=Configuracao!B9,K1170/MAX(Reconciliacao!C2,1)&gt;=Configuracao!B10/100),"sim","não"))</f>
        <v>aguardando limiar</v>
      </c>
    </row>
    <row r="1171" spans="1:31" x14ac:dyDescent="0.25">
      <c r="A1171">
        <v>17374</v>
      </c>
      <c r="C1171" t="s">
        <v>965</v>
      </c>
      <c r="D1171" t="s">
        <v>964</v>
      </c>
      <c r="E1171" t="s">
        <v>74</v>
      </c>
      <c r="F1171" t="s">
        <v>272</v>
      </c>
      <c r="G1171" t="s">
        <v>271</v>
      </c>
      <c r="H1171" t="s">
        <v>270</v>
      </c>
      <c r="I1171" t="s">
        <v>442</v>
      </c>
      <c r="J1171" t="s">
        <v>442</v>
      </c>
      <c r="K1171" s="4">
        <v>13.9</v>
      </c>
      <c r="L1171" s="4">
        <v>13.9</v>
      </c>
      <c r="M1171" t="s">
        <v>166</v>
      </c>
      <c r="N1171" t="s">
        <v>77</v>
      </c>
      <c r="O1171" t="s">
        <v>76</v>
      </c>
      <c r="P1171" t="s">
        <v>187</v>
      </c>
      <c r="Q1171" t="s">
        <v>76</v>
      </c>
      <c r="R1171" t="s">
        <v>76</v>
      </c>
      <c r="S1171" t="s">
        <v>167</v>
      </c>
      <c r="T1171" t="s">
        <v>167</v>
      </c>
      <c r="U1171" t="s">
        <v>168</v>
      </c>
      <c r="V1171" t="s">
        <v>169</v>
      </c>
      <c r="W1171" t="s">
        <v>77</v>
      </c>
      <c r="X1171" t="s">
        <v>44</v>
      </c>
      <c r="Y1171" t="s">
        <v>99</v>
      </c>
      <c r="Z1171" t="s">
        <v>421</v>
      </c>
      <c r="AC1171" t="str">
        <f>IF(AA1171="",M1171,AA1171)</f>
        <v>não</v>
      </c>
      <c r="AD1171" t="str">
        <f>IF(AB1171="",X1171,AB1171)</f>
        <v>sim</v>
      </c>
      <c r="AE1171" t="str">
        <f>IF(OR(Configuracao!B9="",Configuracao!B10=""),"aguardando limiar",IF(AND(K1171&gt;=Configuracao!B9,K1171/MAX(Reconciliacao!C2,1)&gt;=Configuracao!B10/100),"sim","não"))</f>
        <v>aguardando limiar</v>
      </c>
    </row>
    <row r="1172" spans="1:31" x14ac:dyDescent="0.25">
      <c r="A1172">
        <v>18886</v>
      </c>
      <c r="C1172" t="s">
        <v>966</v>
      </c>
      <c r="D1172" t="s">
        <v>964</v>
      </c>
      <c r="E1172" t="s">
        <v>74</v>
      </c>
      <c r="F1172" t="s">
        <v>272</v>
      </c>
      <c r="G1172" t="s">
        <v>271</v>
      </c>
      <c r="H1172" t="s">
        <v>270</v>
      </c>
      <c r="I1172" t="s">
        <v>35</v>
      </c>
      <c r="J1172" t="s">
        <v>35</v>
      </c>
      <c r="K1172" s="4">
        <v>13.9</v>
      </c>
      <c r="L1172" s="4">
        <v>13.9</v>
      </c>
      <c r="M1172" t="s">
        <v>166</v>
      </c>
      <c r="N1172" t="s">
        <v>77</v>
      </c>
      <c r="O1172" t="s">
        <v>76</v>
      </c>
      <c r="P1172" t="s">
        <v>187</v>
      </c>
      <c r="Q1172" t="s">
        <v>76</v>
      </c>
      <c r="R1172" t="s">
        <v>76</v>
      </c>
      <c r="S1172" t="s">
        <v>167</v>
      </c>
      <c r="T1172" t="s">
        <v>167</v>
      </c>
      <c r="U1172" t="s">
        <v>168</v>
      </c>
      <c r="V1172" t="s">
        <v>169</v>
      </c>
      <c r="W1172" t="s">
        <v>77</v>
      </c>
      <c r="X1172" t="s">
        <v>44</v>
      </c>
      <c r="Y1172" t="s">
        <v>99</v>
      </c>
      <c r="Z1172" t="s">
        <v>421</v>
      </c>
      <c r="AC1172" t="str">
        <f>IF(AA1172="",M1172,AA1172)</f>
        <v>não</v>
      </c>
      <c r="AD1172" t="str">
        <f>IF(AB1172="",X1172,AB1172)</f>
        <v>sim</v>
      </c>
      <c r="AE1172" t="str">
        <f>IF(OR(Configuracao!B9="",Configuracao!B10=""),"aguardando limiar",IF(AND(K1172&gt;=Configuracao!B9,K1172/MAX(Reconciliacao!C2,1)&gt;=Configuracao!B10/100),"sim","não"))</f>
        <v>aguardando limiar</v>
      </c>
    </row>
    <row r="1173" spans="1:31" x14ac:dyDescent="0.25">
      <c r="A1173">
        <v>18835</v>
      </c>
      <c r="C1173" t="s">
        <v>967</v>
      </c>
      <c r="D1173" t="s">
        <v>968</v>
      </c>
      <c r="E1173" t="s">
        <v>467</v>
      </c>
      <c r="F1173" t="s">
        <v>272</v>
      </c>
      <c r="G1173" t="s">
        <v>271</v>
      </c>
      <c r="H1173" t="s">
        <v>270</v>
      </c>
      <c r="I1173" t="s">
        <v>35</v>
      </c>
      <c r="J1173" t="s">
        <v>35</v>
      </c>
      <c r="K1173" s="4">
        <v>21.68</v>
      </c>
      <c r="L1173" s="4">
        <v>21.68</v>
      </c>
      <c r="M1173" t="s">
        <v>44</v>
      </c>
      <c r="N1173" t="s">
        <v>77</v>
      </c>
      <c r="O1173" t="s">
        <v>99</v>
      </c>
      <c r="P1173" t="s">
        <v>274</v>
      </c>
      <c r="Q1173" t="s">
        <v>125</v>
      </c>
      <c r="R1173" t="s">
        <v>273</v>
      </c>
      <c r="S1173" t="s">
        <v>197</v>
      </c>
      <c r="T1173" t="s">
        <v>211</v>
      </c>
      <c r="U1173" t="s">
        <v>163</v>
      </c>
      <c r="V1173" t="s">
        <v>193</v>
      </c>
      <c r="W1173" t="s">
        <v>77</v>
      </c>
      <c r="X1173" t="s">
        <v>44</v>
      </c>
      <c r="Y1173" t="s">
        <v>99</v>
      </c>
      <c r="Z1173" t="s">
        <v>421</v>
      </c>
      <c r="AC1173" t="str">
        <f>IF(AA1173="",M1173,AA1173)</f>
        <v>sim</v>
      </c>
      <c r="AD1173" t="str">
        <f>IF(AB1173="",X1173,AB1173)</f>
        <v>sim</v>
      </c>
      <c r="AE1173" t="str">
        <f>IF(OR(Configuracao!B9="",Configuracao!B10=""),"aguardando limiar",IF(AND(K1173&gt;=Configuracao!B9,K1173/MAX(Reconciliacao!C2,1)&gt;=Configuracao!B10/100),"sim","não"))</f>
        <v>aguardando limiar</v>
      </c>
    </row>
    <row r="1174" spans="1:31" x14ac:dyDescent="0.25">
      <c r="A1174">
        <v>17101</v>
      </c>
      <c r="C1174" t="s">
        <v>969</v>
      </c>
      <c r="D1174" t="s">
        <v>970</v>
      </c>
      <c r="E1174" t="s">
        <v>74</v>
      </c>
      <c r="F1174" t="s">
        <v>272</v>
      </c>
      <c r="G1174" t="s">
        <v>271</v>
      </c>
      <c r="H1174" t="s">
        <v>270</v>
      </c>
      <c r="I1174" t="s">
        <v>442</v>
      </c>
      <c r="J1174" t="s">
        <v>442</v>
      </c>
      <c r="K1174" s="4">
        <v>22.94</v>
      </c>
      <c r="L1174" s="4">
        <v>22.94</v>
      </c>
      <c r="M1174" t="s">
        <v>166</v>
      </c>
      <c r="N1174" t="s">
        <v>77</v>
      </c>
      <c r="O1174" t="s">
        <v>76</v>
      </c>
      <c r="P1174" t="s">
        <v>187</v>
      </c>
      <c r="Q1174" t="s">
        <v>76</v>
      </c>
      <c r="R1174" t="s">
        <v>76</v>
      </c>
      <c r="S1174" t="s">
        <v>167</v>
      </c>
      <c r="T1174" t="s">
        <v>167</v>
      </c>
      <c r="U1174" t="s">
        <v>168</v>
      </c>
      <c r="V1174" t="s">
        <v>169</v>
      </c>
      <c r="W1174" t="s">
        <v>77</v>
      </c>
      <c r="X1174" t="s">
        <v>44</v>
      </c>
      <c r="Y1174" t="s">
        <v>99</v>
      </c>
      <c r="Z1174" t="s">
        <v>421</v>
      </c>
      <c r="AC1174" t="str">
        <f>IF(AA1174="",M1174,AA1174)</f>
        <v>não</v>
      </c>
      <c r="AD1174" t="str">
        <f>IF(AB1174="",X1174,AB1174)</f>
        <v>sim</v>
      </c>
      <c r="AE1174" t="str">
        <f>IF(OR(Configuracao!B9="",Configuracao!B10=""),"aguardando limiar",IF(AND(K1174&gt;=Configuracao!B9,K1174/MAX(Reconciliacao!C2,1)&gt;=Configuracao!B10/100),"sim","não"))</f>
        <v>aguardando limiar</v>
      </c>
    </row>
    <row r="1175" spans="1:31" x14ac:dyDescent="0.25">
      <c r="A1175">
        <v>16239</v>
      </c>
      <c r="C1175" t="s">
        <v>971</v>
      </c>
      <c r="D1175" t="s">
        <v>423</v>
      </c>
      <c r="E1175" t="s">
        <v>74</v>
      </c>
      <c r="F1175" t="s">
        <v>272</v>
      </c>
      <c r="G1175" t="s">
        <v>271</v>
      </c>
      <c r="H1175" t="s">
        <v>270</v>
      </c>
      <c r="I1175" t="s">
        <v>461</v>
      </c>
      <c r="J1175" t="s">
        <v>461</v>
      </c>
      <c r="K1175" s="4">
        <v>24.5</v>
      </c>
      <c r="L1175" s="4">
        <v>24.5</v>
      </c>
      <c r="M1175" t="s">
        <v>166</v>
      </c>
      <c r="N1175" t="s">
        <v>77</v>
      </c>
      <c r="O1175" t="s">
        <v>76</v>
      </c>
      <c r="P1175" t="s">
        <v>187</v>
      </c>
      <c r="Q1175" t="s">
        <v>76</v>
      </c>
      <c r="R1175" t="s">
        <v>76</v>
      </c>
      <c r="S1175" t="s">
        <v>167</v>
      </c>
      <c r="T1175" t="s">
        <v>167</v>
      </c>
      <c r="U1175" t="s">
        <v>168</v>
      </c>
      <c r="V1175" t="s">
        <v>169</v>
      </c>
      <c r="W1175" t="s">
        <v>77</v>
      </c>
      <c r="X1175" t="s">
        <v>44</v>
      </c>
      <c r="Y1175" t="s">
        <v>99</v>
      </c>
      <c r="Z1175" t="s">
        <v>421</v>
      </c>
      <c r="AC1175" t="str">
        <f>IF(AA1175="",M1175,AA1175)</f>
        <v>não</v>
      </c>
      <c r="AD1175" t="str">
        <f>IF(AB1175="",X1175,AB1175)</f>
        <v>sim</v>
      </c>
      <c r="AE1175" t="str">
        <f>IF(OR(Configuracao!B9="",Configuracao!B10=""),"aguardando limiar",IF(AND(K1175&gt;=Configuracao!B9,K1175/MAX(Reconciliacao!C2,1)&gt;=Configuracao!B10/100),"sim","não"))</f>
        <v>aguardando limiar</v>
      </c>
    </row>
    <row r="1176" spans="1:31" x14ac:dyDescent="0.25">
      <c r="A1176">
        <v>18474</v>
      </c>
      <c r="C1176" t="s">
        <v>972</v>
      </c>
      <c r="D1176" t="s">
        <v>973</v>
      </c>
      <c r="E1176" t="s">
        <v>74</v>
      </c>
      <c r="F1176" t="s">
        <v>272</v>
      </c>
      <c r="G1176" t="s">
        <v>271</v>
      </c>
      <c r="H1176" t="s">
        <v>270</v>
      </c>
      <c r="I1176" t="s">
        <v>439</v>
      </c>
      <c r="J1176" t="s">
        <v>439</v>
      </c>
      <c r="K1176" s="4">
        <v>28.58</v>
      </c>
      <c r="L1176" s="4">
        <v>28.58</v>
      </c>
      <c r="M1176" t="s">
        <v>166</v>
      </c>
      <c r="N1176" t="s">
        <v>77</v>
      </c>
      <c r="O1176" t="s">
        <v>76</v>
      </c>
      <c r="P1176" t="s">
        <v>187</v>
      </c>
      <c r="Q1176" t="s">
        <v>76</v>
      </c>
      <c r="R1176" t="s">
        <v>76</v>
      </c>
      <c r="S1176" t="s">
        <v>167</v>
      </c>
      <c r="T1176" t="s">
        <v>167</v>
      </c>
      <c r="U1176" t="s">
        <v>168</v>
      </c>
      <c r="V1176" t="s">
        <v>169</v>
      </c>
      <c r="W1176" t="s">
        <v>77</v>
      </c>
      <c r="X1176" t="s">
        <v>44</v>
      </c>
      <c r="Y1176" t="s">
        <v>99</v>
      </c>
      <c r="Z1176" t="s">
        <v>421</v>
      </c>
      <c r="AC1176" t="str">
        <f>IF(AA1176="",M1176,AA1176)</f>
        <v>não</v>
      </c>
      <c r="AD1176" t="str">
        <f>IF(AB1176="",X1176,AB1176)</f>
        <v>sim</v>
      </c>
      <c r="AE1176" t="str">
        <f>IF(OR(Configuracao!B9="",Configuracao!B10=""),"aguardando limiar",IF(AND(K1176&gt;=Configuracao!B9,K1176/MAX(Reconciliacao!C2,1)&gt;=Configuracao!B10/100),"sim","não"))</f>
        <v>aguardando limiar</v>
      </c>
    </row>
    <row r="1177" spans="1:31" x14ac:dyDescent="0.25">
      <c r="A1177">
        <v>16950</v>
      </c>
      <c r="C1177" t="s">
        <v>974</v>
      </c>
      <c r="D1177" t="s">
        <v>975</v>
      </c>
      <c r="E1177" t="s">
        <v>74</v>
      </c>
      <c r="F1177" t="s">
        <v>272</v>
      </c>
      <c r="G1177" t="s">
        <v>271</v>
      </c>
      <c r="H1177" t="s">
        <v>270</v>
      </c>
      <c r="I1177" t="s">
        <v>442</v>
      </c>
      <c r="J1177" t="s">
        <v>442</v>
      </c>
      <c r="K1177" s="4">
        <v>29.68</v>
      </c>
      <c r="L1177" s="4">
        <v>29.68</v>
      </c>
      <c r="M1177" t="s">
        <v>166</v>
      </c>
      <c r="N1177" t="s">
        <v>77</v>
      </c>
      <c r="O1177" t="s">
        <v>76</v>
      </c>
      <c r="P1177" t="s">
        <v>187</v>
      </c>
      <c r="Q1177" t="s">
        <v>76</v>
      </c>
      <c r="R1177" t="s">
        <v>76</v>
      </c>
      <c r="S1177" t="s">
        <v>167</v>
      </c>
      <c r="T1177" t="s">
        <v>167</v>
      </c>
      <c r="U1177" t="s">
        <v>168</v>
      </c>
      <c r="V1177" t="s">
        <v>169</v>
      </c>
      <c r="W1177" t="s">
        <v>77</v>
      </c>
      <c r="X1177" t="s">
        <v>44</v>
      </c>
      <c r="Y1177" t="s">
        <v>99</v>
      </c>
      <c r="Z1177" t="s">
        <v>421</v>
      </c>
      <c r="AC1177" t="str">
        <f>IF(AA1177="",M1177,AA1177)</f>
        <v>não</v>
      </c>
      <c r="AD1177" t="str">
        <f>IF(AB1177="",X1177,AB1177)</f>
        <v>sim</v>
      </c>
      <c r="AE1177" t="str">
        <f>IF(OR(Configuracao!B9="",Configuracao!B10=""),"aguardando limiar",IF(AND(K1177&gt;=Configuracao!B9,K1177/MAX(Reconciliacao!C2,1)&gt;=Configuracao!B10/100),"sim","não"))</f>
        <v>aguardando limiar</v>
      </c>
    </row>
    <row r="1178" spans="1:31" x14ac:dyDescent="0.25">
      <c r="A1178">
        <v>13028</v>
      </c>
      <c r="C1178" t="s">
        <v>976</v>
      </c>
      <c r="D1178" t="s">
        <v>958</v>
      </c>
      <c r="E1178" t="s">
        <v>74</v>
      </c>
      <c r="F1178" t="s">
        <v>272</v>
      </c>
      <c r="G1178" t="s">
        <v>271</v>
      </c>
      <c r="H1178" t="s">
        <v>270</v>
      </c>
      <c r="I1178" t="s">
        <v>420</v>
      </c>
      <c r="J1178" t="s">
        <v>420</v>
      </c>
      <c r="K1178" s="4">
        <v>32.75</v>
      </c>
      <c r="L1178" s="4">
        <v>32.75</v>
      </c>
      <c r="M1178" t="s">
        <v>166</v>
      </c>
      <c r="N1178" t="s">
        <v>77</v>
      </c>
      <c r="O1178" t="s">
        <v>76</v>
      </c>
      <c r="P1178" t="s">
        <v>187</v>
      </c>
      <c r="Q1178" t="s">
        <v>76</v>
      </c>
      <c r="R1178" t="s">
        <v>76</v>
      </c>
      <c r="S1178" t="s">
        <v>167</v>
      </c>
      <c r="T1178" t="s">
        <v>167</v>
      </c>
      <c r="U1178" t="s">
        <v>168</v>
      </c>
      <c r="V1178" t="s">
        <v>169</v>
      </c>
      <c r="W1178" t="s">
        <v>77</v>
      </c>
      <c r="X1178" t="s">
        <v>44</v>
      </c>
      <c r="Y1178" t="s">
        <v>99</v>
      </c>
      <c r="Z1178" t="s">
        <v>421</v>
      </c>
      <c r="AC1178" t="str">
        <f>IF(AA1178="",M1178,AA1178)</f>
        <v>não</v>
      </c>
      <c r="AD1178" t="str">
        <f>IF(AB1178="",X1178,AB1178)</f>
        <v>sim</v>
      </c>
      <c r="AE1178" t="str">
        <f>IF(OR(Configuracao!B9="",Configuracao!B10=""),"aguardando limiar",IF(AND(K1178&gt;=Configuracao!B9,K1178/MAX(Reconciliacao!C2,1)&gt;=Configuracao!B10/100),"sim","não"))</f>
        <v>aguardando limiar</v>
      </c>
    </row>
    <row r="1179" spans="1:31" x14ac:dyDescent="0.25">
      <c r="A1179">
        <v>13426</v>
      </c>
      <c r="C1179" t="s">
        <v>977</v>
      </c>
      <c r="D1179" t="s">
        <v>958</v>
      </c>
      <c r="E1179" t="s">
        <v>74</v>
      </c>
      <c r="F1179" t="s">
        <v>272</v>
      </c>
      <c r="G1179" t="s">
        <v>271</v>
      </c>
      <c r="H1179" t="s">
        <v>270</v>
      </c>
      <c r="I1179" t="s">
        <v>454</v>
      </c>
      <c r="J1179" t="s">
        <v>454</v>
      </c>
      <c r="K1179" s="4">
        <v>32.75</v>
      </c>
      <c r="L1179" s="4">
        <v>32.75</v>
      </c>
      <c r="M1179" t="s">
        <v>166</v>
      </c>
      <c r="N1179" t="s">
        <v>77</v>
      </c>
      <c r="O1179" t="s">
        <v>76</v>
      </c>
      <c r="P1179" t="s">
        <v>187</v>
      </c>
      <c r="Q1179" t="s">
        <v>76</v>
      </c>
      <c r="R1179" t="s">
        <v>76</v>
      </c>
      <c r="S1179" t="s">
        <v>167</v>
      </c>
      <c r="T1179" t="s">
        <v>167</v>
      </c>
      <c r="U1179" t="s">
        <v>168</v>
      </c>
      <c r="V1179" t="s">
        <v>169</v>
      </c>
      <c r="W1179" t="s">
        <v>77</v>
      </c>
      <c r="X1179" t="s">
        <v>44</v>
      </c>
      <c r="Y1179" t="s">
        <v>99</v>
      </c>
      <c r="Z1179" t="s">
        <v>421</v>
      </c>
      <c r="AC1179" t="str">
        <f>IF(AA1179="",M1179,AA1179)</f>
        <v>não</v>
      </c>
      <c r="AD1179" t="str">
        <f>IF(AB1179="",X1179,AB1179)</f>
        <v>sim</v>
      </c>
      <c r="AE1179" t="str">
        <f>IF(OR(Configuracao!B9="",Configuracao!B10=""),"aguardando limiar",IF(AND(K1179&gt;=Configuracao!B9,K1179/MAX(Reconciliacao!C2,1)&gt;=Configuracao!B10/100),"sim","não"))</f>
        <v>aguardando limiar</v>
      </c>
    </row>
    <row r="1180" spans="1:31" x14ac:dyDescent="0.25">
      <c r="A1180">
        <v>15958</v>
      </c>
      <c r="C1180" t="s">
        <v>978</v>
      </c>
      <c r="D1180" t="s">
        <v>979</v>
      </c>
      <c r="E1180" t="s">
        <v>74</v>
      </c>
      <c r="F1180" t="s">
        <v>272</v>
      </c>
      <c r="G1180" t="s">
        <v>271</v>
      </c>
      <c r="H1180" t="s">
        <v>270</v>
      </c>
      <c r="I1180" t="s">
        <v>420</v>
      </c>
      <c r="J1180" t="s">
        <v>420</v>
      </c>
      <c r="K1180" s="4">
        <v>32.95</v>
      </c>
      <c r="L1180" s="4">
        <v>32.95</v>
      </c>
      <c r="M1180" t="s">
        <v>166</v>
      </c>
      <c r="N1180" t="s">
        <v>77</v>
      </c>
      <c r="O1180" t="s">
        <v>76</v>
      </c>
      <c r="P1180" t="s">
        <v>187</v>
      </c>
      <c r="Q1180" t="s">
        <v>76</v>
      </c>
      <c r="R1180" t="s">
        <v>76</v>
      </c>
      <c r="S1180" t="s">
        <v>167</v>
      </c>
      <c r="T1180" t="s">
        <v>167</v>
      </c>
      <c r="U1180" t="s">
        <v>168</v>
      </c>
      <c r="V1180" t="s">
        <v>169</v>
      </c>
      <c r="W1180" t="s">
        <v>77</v>
      </c>
      <c r="X1180" t="s">
        <v>44</v>
      </c>
      <c r="Y1180" t="s">
        <v>99</v>
      </c>
      <c r="Z1180" t="s">
        <v>421</v>
      </c>
      <c r="AC1180" t="str">
        <f>IF(AA1180="",M1180,AA1180)</f>
        <v>não</v>
      </c>
      <c r="AD1180" t="str">
        <f>IF(AB1180="",X1180,AB1180)</f>
        <v>sim</v>
      </c>
      <c r="AE1180" t="str">
        <f>IF(OR(Configuracao!B9="",Configuracao!B10=""),"aguardando limiar",IF(AND(K1180&gt;=Configuracao!B9,K1180/MAX(Reconciliacao!C2,1)&gt;=Configuracao!B10/100),"sim","não"))</f>
        <v>aguardando limiar</v>
      </c>
    </row>
    <row r="1181" spans="1:31" x14ac:dyDescent="0.25">
      <c r="A1181">
        <v>12000</v>
      </c>
      <c r="C1181" t="s">
        <v>980</v>
      </c>
      <c r="D1181" t="s">
        <v>958</v>
      </c>
      <c r="E1181" t="s">
        <v>74</v>
      </c>
      <c r="F1181" t="s">
        <v>272</v>
      </c>
      <c r="G1181" t="s">
        <v>271</v>
      </c>
      <c r="H1181" t="s">
        <v>270</v>
      </c>
      <c r="I1181" t="s">
        <v>424</v>
      </c>
      <c r="J1181" t="s">
        <v>424</v>
      </c>
      <c r="K1181" s="4">
        <v>34.35</v>
      </c>
      <c r="L1181" s="4">
        <v>34.35</v>
      </c>
      <c r="M1181" t="s">
        <v>166</v>
      </c>
      <c r="N1181" t="s">
        <v>77</v>
      </c>
      <c r="O1181" t="s">
        <v>76</v>
      </c>
      <c r="P1181" t="s">
        <v>187</v>
      </c>
      <c r="Q1181" t="s">
        <v>76</v>
      </c>
      <c r="R1181" t="s">
        <v>76</v>
      </c>
      <c r="S1181" t="s">
        <v>167</v>
      </c>
      <c r="T1181" t="s">
        <v>167</v>
      </c>
      <c r="U1181" t="s">
        <v>168</v>
      </c>
      <c r="V1181" t="s">
        <v>169</v>
      </c>
      <c r="W1181" t="s">
        <v>77</v>
      </c>
      <c r="X1181" t="s">
        <v>44</v>
      </c>
      <c r="Y1181" t="s">
        <v>99</v>
      </c>
      <c r="Z1181" t="s">
        <v>421</v>
      </c>
      <c r="AC1181" t="str">
        <f>IF(AA1181="",M1181,AA1181)</f>
        <v>não</v>
      </c>
      <c r="AD1181" t="str">
        <f>IF(AB1181="",X1181,AB1181)</f>
        <v>sim</v>
      </c>
      <c r="AE1181" t="str">
        <f>IF(OR(Configuracao!B9="",Configuracao!B10=""),"aguardando limiar",IF(AND(K1181&gt;=Configuracao!B9,K1181/MAX(Reconciliacao!C2,1)&gt;=Configuracao!B10/100),"sim","não"))</f>
        <v>aguardando limiar</v>
      </c>
    </row>
    <row r="1182" spans="1:31" x14ac:dyDescent="0.25">
      <c r="A1182">
        <v>12223</v>
      </c>
      <c r="C1182" t="s">
        <v>981</v>
      </c>
      <c r="D1182" t="s">
        <v>958</v>
      </c>
      <c r="E1182" t="s">
        <v>74</v>
      </c>
      <c r="F1182" t="s">
        <v>272</v>
      </c>
      <c r="G1182" t="s">
        <v>271</v>
      </c>
      <c r="H1182" t="s">
        <v>270</v>
      </c>
      <c r="I1182" t="s">
        <v>424</v>
      </c>
      <c r="J1182" t="s">
        <v>424</v>
      </c>
      <c r="K1182" s="4">
        <v>34.35</v>
      </c>
      <c r="L1182" s="4">
        <v>34.35</v>
      </c>
      <c r="M1182" t="s">
        <v>166</v>
      </c>
      <c r="N1182" t="s">
        <v>77</v>
      </c>
      <c r="O1182" t="s">
        <v>76</v>
      </c>
      <c r="P1182" t="s">
        <v>187</v>
      </c>
      <c r="Q1182" t="s">
        <v>76</v>
      </c>
      <c r="R1182" t="s">
        <v>76</v>
      </c>
      <c r="S1182" t="s">
        <v>167</v>
      </c>
      <c r="T1182" t="s">
        <v>167</v>
      </c>
      <c r="U1182" t="s">
        <v>168</v>
      </c>
      <c r="V1182" t="s">
        <v>169</v>
      </c>
      <c r="W1182" t="s">
        <v>77</v>
      </c>
      <c r="X1182" t="s">
        <v>44</v>
      </c>
      <c r="Y1182" t="s">
        <v>99</v>
      </c>
      <c r="Z1182" t="s">
        <v>421</v>
      </c>
      <c r="AC1182" t="str">
        <f>IF(AA1182="",M1182,AA1182)</f>
        <v>não</v>
      </c>
      <c r="AD1182" t="str">
        <f>IF(AB1182="",X1182,AB1182)</f>
        <v>sim</v>
      </c>
      <c r="AE1182" t="str">
        <f>IF(OR(Configuracao!B9="",Configuracao!B10=""),"aguardando limiar",IF(AND(K1182&gt;=Configuracao!B9,K1182/MAX(Reconciliacao!C2,1)&gt;=Configuracao!B10/100),"sim","não"))</f>
        <v>aguardando limiar</v>
      </c>
    </row>
    <row r="1183" spans="1:31" x14ac:dyDescent="0.25">
      <c r="A1183">
        <v>12420</v>
      </c>
      <c r="C1183" t="s">
        <v>982</v>
      </c>
      <c r="D1183" t="s">
        <v>958</v>
      </c>
      <c r="E1183" t="s">
        <v>477</v>
      </c>
      <c r="F1183" t="s">
        <v>272</v>
      </c>
      <c r="G1183" t="s">
        <v>271</v>
      </c>
      <c r="H1183" t="s">
        <v>270</v>
      </c>
      <c r="I1183" t="s">
        <v>420</v>
      </c>
      <c r="J1183" t="s">
        <v>420</v>
      </c>
      <c r="K1183" s="4">
        <v>34.35</v>
      </c>
      <c r="L1183" s="4">
        <v>34.35</v>
      </c>
      <c r="M1183" t="s">
        <v>44</v>
      </c>
      <c r="N1183" t="s">
        <v>77</v>
      </c>
      <c r="O1183" t="s">
        <v>99</v>
      </c>
      <c r="P1183" t="s">
        <v>274</v>
      </c>
      <c r="Q1183" t="s">
        <v>125</v>
      </c>
      <c r="R1183" t="s">
        <v>273</v>
      </c>
      <c r="S1183" t="s">
        <v>197</v>
      </c>
      <c r="T1183" t="s">
        <v>211</v>
      </c>
      <c r="U1183" t="s">
        <v>163</v>
      </c>
      <c r="V1183" t="s">
        <v>193</v>
      </c>
      <c r="W1183" t="s">
        <v>77</v>
      </c>
      <c r="X1183" t="s">
        <v>166</v>
      </c>
      <c r="Y1183" t="s">
        <v>709</v>
      </c>
      <c r="Z1183" t="s">
        <v>434</v>
      </c>
      <c r="AC1183" t="str">
        <f>IF(AA1183="",M1183,AA1183)</f>
        <v>sim</v>
      </c>
      <c r="AD1183" t="str">
        <f>IF(AB1183="",X1183,AB1183)</f>
        <v>não</v>
      </c>
      <c r="AE1183" t="str">
        <f>IF(OR(Configuracao!B9="",Configuracao!B10=""),"aguardando limiar",IF(AND(K1183&gt;=Configuracao!B9,K1183/MAX(Reconciliacao!C2,1)&gt;=Configuracao!B10/100),"sim","não"))</f>
        <v>aguardando limiar</v>
      </c>
    </row>
    <row r="1184" spans="1:31" x14ac:dyDescent="0.25">
      <c r="A1184">
        <v>12421</v>
      </c>
      <c r="C1184" t="s">
        <v>983</v>
      </c>
      <c r="D1184" t="s">
        <v>958</v>
      </c>
      <c r="E1184" t="s">
        <v>477</v>
      </c>
      <c r="F1184" t="s">
        <v>272</v>
      </c>
      <c r="G1184" t="s">
        <v>271</v>
      </c>
      <c r="H1184" t="s">
        <v>270</v>
      </c>
      <c r="I1184" t="s">
        <v>424</v>
      </c>
      <c r="J1184" t="s">
        <v>424</v>
      </c>
      <c r="K1184" s="4">
        <v>34.35</v>
      </c>
      <c r="L1184" s="4">
        <v>34.35</v>
      </c>
      <c r="M1184" t="s">
        <v>44</v>
      </c>
      <c r="N1184" t="s">
        <v>77</v>
      </c>
      <c r="O1184" t="s">
        <v>99</v>
      </c>
      <c r="P1184" t="s">
        <v>274</v>
      </c>
      <c r="Q1184" t="s">
        <v>125</v>
      </c>
      <c r="R1184" t="s">
        <v>273</v>
      </c>
      <c r="S1184" t="s">
        <v>197</v>
      </c>
      <c r="T1184" t="s">
        <v>211</v>
      </c>
      <c r="U1184" t="s">
        <v>163</v>
      </c>
      <c r="V1184" t="s">
        <v>193</v>
      </c>
      <c r="W1184" t="s">
        <v>77</v>
      </c>
      <c r="X1184" t="s">
        <v>44</v>
      </c>
      <c r="Y1184" t="s">
        <v>99</v>
      </c>
      <c r="Z1184" t="s">
        <v>421</v>
      </c>
      <c r="AC1184" t="str">
        <f>IF(AA1184="",M1184,AA1184)</f>
        <v>sim</v>
      </c>
      <c r="AD1184" t="str">
        <f>IF(AB1184="",X1184,AB1184)</f>
        <v>sim</v>
      </c>
      <c r="AE1184" t="str">
        <f>IF(OR(Configuracao!B9="",Configuracao!B10=""),"aguardando limiar",IF(AND(K1184&gt;=Configuracao!B9,K1184/MAX(Reconciliacao!C2,1)&gt;=Configuracao!B10/100),"sim","não"))</f>
        <v>aguardando limiar</v>
      </c>
    </row>
    <row r="1185" spans="1:31" x14ac:dyDescent="0.25">
      <c r="A1185">
        <v>12614</v>
      </c>
      <c r="C1185" t="s">
        <v>984</v>
      </c>
      <c r="D1185" t="s">
        <v>958</v>
      </c>
      <c r="E1185" t="s">
        <v>477</v>
      </c>
      <c r="F1185" t="s">
        <v>272</v>
      </c>
      <c r="G1185" t="s">
        <v>271</v>
      </c>
      <c r="H1185" t="s">
        <v>270</v>
      </c>
      <c r="I1185" t="s">
        <v>420</v>
      </c>
      <c r="J1185" t="s">
        <v>420</v>
      </c>
      <c r="K1185" s="4">
        <v>34.35</v>
      </c>
      <c r="L1185" s="4">
        <v>34.35</v>
      </c>
      <c r="M1185" t="s">
        <v>44</v>
      </c>
      <c r="N1185" t="s">
        <v>77</v>
      </c>
      <c r="O1185" t="s">
        <v>99</v>
      </c>
      <c r="P1185" t="s">
        <v>274</v>
      </c>
      <c r="Q1185" t="s">
        <v>125</v>
      </c>
      <c r="R1185" t="s">
        <v>273</v>
      </c>
      <c r="S1185" t="s">
        <v>197</v>
      </c>
      <c r="T1185" t="s">
        <v>211</v>
      </c>
      <c r="U1185" t="s">
        <v>163</v>
      </c>
      <c r="V1185" t="s">
        <v>193</v>
      </c>
      <c r="W1185" t="s">
        <v>77</v>
      </c>
      <c r="X1185" t="s">
        <v>44</v>
      </c>
      <c r="Y1185" t="s">
        <v>99</v>
      </c>
      <c r="Z1185" t="s">
        <v>421</v>
      </c>
      <c r="AC1185" t="str">
        <f>IF(AA1185="",M1185,AA1185)</f>
        <v>sim</v>
      </c>
      <c r="AD1185" t="str">
        <f>IF(AB1185="",X1185,AB1185)</f>
        <v>sim</v>
      </c>
      <c r="AE1185" t="str">
        <f>IF(OR(Configuracao!B9="",Configuracao!B10=""),"aguardando limiar",IF(AND(K1185&gt;=Configuracao!B9,K1185/MAX(Reconciliacao!C2,1)&gt;=Configuracao!B10/100),"sim","não"))</f>
        <v>aguardando limiar</v>
      </c>
    </row>
    <row r="1186" spans="1:31" x14ac:dyDescent="0.25">
      <c r="A1186">
        <v>16278</v>
      </c>
      <c r="C1186" t="s">
        <v>985</v>
      </c>
      <c r="D1186" t="s">
        <v>958</v>
      </c>
      <c r="E1186" t="s">
        <v>74</v>
      </c>
      <c r="F1186" t="s">
        <v>272</v>
      </c>
      <c r="G1186" t="s">
        <v>271</v>
      </c>
      <c r="H1186" t="s">
        <v>270</v>
      </c>
      <c r="I1186" t="s">
        <v>461</v>
      </c>
      <c r="J1186" t="s">
        <v>461</v>
      </c>
      <c r="K1186" s="4">
        <v>34.35</v>
      </c>
      <c r="L1186" s="4">
        <v>34.35</v>
      </c>
      <c r="M1186" t="s">
        <v>166</v>
      </c>
      <c r="N1186" t="s">
        <v>77</v>
      </c>
      <c r="O1186" t="s">
        <v>76</v>
      </c>
      <c r="P1186" t="s">
        <v>187</v>
      </c>
      <c r="Q1186" t="s">
        <v>76</v>
      </c>
      <c r="R1186" t="s">
        <v>76</v>
      </c>
      <c r="S1186" t="s">
        <v>167</v>
      </c>
      <c r="T1186" t="s">
        <v>167</v>
      </c>
      <c r="U1186" t="s">
        <v>168</v>
      </c>
      <c r="V1186" t="s">
        <v>169</v>
      </c>
      <c r="W1186" t="s">
        <v>77</v>
      </c>
      <c r="X1186" t="s">
        <v>44</v>
      </c>
      <c r="Y1186" t="s">
        <v>99</v>
      </c>
      <c r="Z1186" t="s">
        <v>421</v>
      </c>
      <c r="AC1186" t="str">
        <f>IF(AA1186="",M1186,AA1186)</f>
        <v>não</v>
      </c>
      <c r="AD1186" t="str">
        <f>IF(AB1186="",X1186,AB1186)</f>
        <v>sim</v>
      </c>
      <c r="AE1186" t="str">
        <f>IF(OR(Configuracao!B9="",Configuracao!B10=""),"aguardando limiar",IF(AND(K1186&gt;=Configuracao!B9,K1186/MAX(Reconciliacao!C2,1)&gt;=Configuracao!B10/100),"sim","não"))</f>
        <v>aguardando limiar</v>
      </c>
    </row>
    <row r="1187" spans="1:31" x14ac:dyDescent="0.25">
      <c r="A1187">
        <v>17032</v>
      </c>
      <c r="C1187" t="s">
        <v>983</v>
      </c>
      <c r="D1187" t="s">
        <v>958</v>
      </c>
      <c r="E1187" t="s">
        <v>486</v>
      </c>
      <c r="F1187" t="s">
        <v>272</v>
      </c>
      <c r="G1187" t="s">
        <v>271</v>
      </c>
      <c r="H1187" t="s">
        <v>270</v>
      </c>
      <c r="I1187" t="s">
        <v>461</v>
      </c>
      <c r="J1187" t="s">
        <v>461</v>
      </c>
      <c r="K1187" s="4">
        <v>34.35</v>
      </c>
      <c r="L1187" s="4">
        <v>34.35</v>
      </c>
      <c r="M1187" t="s">
        <v>44</v>
      </c>
      <c r="N1187" t="s">
        <v>77</v>
      </c>
      <c r="O1187" t="s">
        <v>99</v>
      </c>
      <c r="P1187" t="s">
        <v>274</v>
      </c>
      <c r="Q1187" t="s">
        <v>125</v>
      </c>
      <c r="R1187" t="s">
        <v>273</v>
      </c>
      <c r="S1187" t="s">
        <v>197</v>
      </c>
      <c r="T1187" t="s">
        <v>211</v>
      </c>
      <c r="U1187" t="s">
        <v>163</v>
      </c>
      <c r="V1187" t="s">
        <v>193</v>
      </c>
      <c r="W1187" t="s">
        <v>77</v>
      </c>
      <c r="X1187" t="s">
        <v>44</v>
      </c>
      <c r="Y1187" t="s">
        <v>99</v>
      </c>
      <c r="Z1187" t="s">
        <v>421</v>
      </c>
      <c r="AC1187" t="str">
        <f>IF(AA1187="",M1187,AA1187)</f>
        <v>sim</v>
      </c>
      <c r="AD1187" t="str">
        <f>IF(AB1187="",X1187,AB1187)</f>
        <v>sim</v>
      </c>
      <c r="AE1187" t="str">
        <f>IF(OR(Configuracao!B9="",Configuracao!B10=""),"aguardando limiar",IF(AND(K1187&gt;=Configuracao!B9,K1187/MAX(Reconciliacao!C2,1)&gt;=Configuracao!B10/100),"sim","não"))</f>
        <v>aguardando limiar</v>
      </c>
    </row>
    <row r="1188" spans="1:31" x14ac:dyDescent="0.25">
      <c r="A1188">
        <v>17034</v>
      </c>
      <c r="C1188" t="s">
        <v>986</v>
      </c>
      <c r="D1188" t="s">
        <v>958</v>
      </c>
      <c r="E1188" t="s">
        <v>486</v>
      </c>
      <c r="F1188" t="s">
        <v>272</v>
      </c>
      <c r="G1188" t="s">
        <v>271</v>
      </c>
      <c r="H1188" t="s">
        <v>270</v>
      </c>
      <c r="I1188" t="s">
        <v>461</v>
      </c>
      <c r="J1188" t="s">
        <v>461</v>
      </c>
      <c r="K1188" s="4">
        <v>34.35</v>
      </c>
      <c r="L1188" s="4">
        <v>34.35</v>
      </c>
      <c r="M1188" t="s">
        <v>44</v>
      </c>
      <c r="N1188" t="s">
        <v>77</v>
      </c>
      <c r="O1188" t="s">
        <v>99</v>
      </c>
      <c r="P1188" t="s">
        <v>274</v>
      </c>
      <c r="Q1188" t="s">
        <v>125</v>
      </c>
      <c r="R1188" t="s">
        <v>273</v>
      </c>
      <c r="S1188" t="s">
        <v>197</v>
      </c>
      <c r="T1188" t="s">
        <v>211</v>
      </c>
      <c r="U1188" t="s">
        <v>163</v>
      </c>
      <c r="V1188" t="s">
        <v>193</v>
      </c>
      <c r="W1188" t="s">
        <v>77</v>
      </c>
      <c r="X1188" t="s">
        <v>44</v>
      </c>
      <c r="Y1188" t="s">
        <v>99</v>
      </c>
      <c r="Z1188" t="s">
        <v>421</v>
      </c>
      <c r="AC1188" t="str">
        <f>IF(AA1188="",M1188,AA1188)</f>
        <v>sim</v>
      </c>
      <c r="AD1188" t="str">
        <f>IF(AB1188="",X1188,AB1188)</f>
        <v>sim</v>
      </c>
      <c r="AE1188" t="str">
        <f>IF(OR(Configuracao!B9="",Configuracao!B10=""),"aguardando limiar",IF(AND(K1188&gt;=Configuracao!B9,K1188/MAX(Reconciliacao!C2,1)&gt;=Configuracao!B10/100),"sim","não"))</f>
        <v>aguardando limiar</v>
      </c>
    </row>
    <row r="1189" spans="1:31" x14ac:dyDescent="0.25">
      <c r="A1189">
        <v>17084</v>
      </c>
      <c r="C1189" t="s">
        <v>987</v>
      </c>
      <c r="D1189" t="s">
        <v>958</v>
      </c>
      <c r="E1189" t="s">
        <v>74</v>
      </c>
      <c r="F1189" t="s">
        <v>272</v>
      </c>
      <c r="G1189" t="s">
        <v>271</v>
      </c>
      <c r="H1189" t="s">
        <v>270</v>
      </c>
      <c r="I1189" t="s">
        <v>442</v>
      </c>
      <c r="J1189" t="s">
        <v>442</v>
      </c>
      <c r="K1189" s="4">
        <v>34.35</v>
      </c>
      <c r="L1189" s="4">
        <v>34.35</v>
      </c>
      <c r="M1189" t="s">
        <v>166</v>
      </c>
      <c r="N1189" t="s">
        <v>77</v>
      </c>
      <c r="O1189" t="s">
        <v>76</v>
      </c>
      <c r="P1189" t="s">
        <v>187</v>
      </c>
      <c r="Q1189" t="s">
        <v>76</v>
      </c>
      <c r="R1189" t="s">
        <v>76</v>
      </c>
      <c r="S1189" t="s">
        <v>167</v>
      </c>
      <c r="T1189" t="s">
        <v>167</v>
      </c>
      <c r="U1189" t="s">
        <v>168</v>
      </c>
      <c r="V1189" t="s">
        <v>169</v>
      </c>
      <c r="W1189" t="s">
        <v>77</v>
      </c>
      <c r="X1189" t="s">
        <v>44</v>
      </c>
      <c r="Y1189" t="s">
        <v>99</v>
      </c>
      <c r="Z1189" t="s">
        <v>421</v>
      </c>
      <c r="AC1189" t="str">
        <f>IF(AA1189="",M1189,AA1189)</f>
        <v>não</v>
      </c>
      <c r="AD1189" t="str">
        <f>IF(AB1189="",X1189,AB1189)</f>
        <v>sim</v>
      </c>
      <c r="AE1189" t="str">
        <f>IF(OR(Configuracao!B9="",Configuracao!B10=""),"aguardando limiar",IF(AND(K1189&gt;=Configuracao!B9,K1189/MAX(Reconciliacao!C2,1)&gt;=Configuracao!B10/100),"sim","não"))</f>
        <v>aguardando limiar</v>
      </c>
    </row>
    <row r="1190" spans="1:31" x14ac:dyDescent="0.25">
      <c r="A1190">
        <v>12615</v>
      </c>
      <c r="C1190" t="s">
        <v>988</v>
      </c>
      <c r="D1190" t="s">
        <v>958</v>
      </c>
      <c r="E1190" t="s">
        <v>74</v>
      </c>
      <c r="F1190" t="s">
        <v>272</v>
      </c>
      <c r="G1190" t="s">
        <v>271</v>
      </c>
      <c r="H1190" t="s">
        <v>270</v>
      </c>
      <c r="I1190" t="s">
        <v>420</v>
      </c>
      <c r="J1190" t="s">
        <v>420</v>
      </c>
      <c r="K1190" s="4">
        <v>34.38</v>
      </c>
      <c r="L1190" s="4">
        <v>34.38</v>
      </c>
      <c r="M1190" t="s">
        <v>166</v>
      </c>
      <c r="N1190" t="s">
        <v>77</v>
      </c>
      <c r="O1190" t="s">
        <v>76</v>
      </c>
      <c r="P1190" t="s">
        <v>187</v>
      </c>
      <c r="Q1190" t="s">
        <v>76</v>
      </c>
      <c r="R1190" t="s">
        <v>76</v>
      </c>
      <c r="S1190" t="s">
        <v>167</v>
      </c>
      <c r="T1190" t="s">
        <v>167</v>
      </c>
      <c r="U1190" t="s">
        <v>168</v>
      </c>
      <c r="V1190" t="s">
        <v>169</v>
      </c>
      <c r="W1190" t="s">
        <v>77</v>
      </c>
      <c r="X1190" t="s">
        <v>44</v>
      </c>
      <c r="Y1190" t="s">
        <v>99</v>
      </c>
      <c r="Z1190" t="s">
        <v>421</v>
      </c>
      <c r="AC1190" t="str">
        <f>IF(AA1190="",M1190,AA1190)</f>
        <v>não</v>
      </c>
      <c r="AD1190" t="str">
        <f>IF(AB1190="",X1190,AB1190)</f>
        <v>sim</v>
      </c>
      <c r="AE1190" t="str">
        <f>IF(OR(Configuracao!B9="",Configuracao!B10=""),"aguardando limiar",IF(AND(K1190&gt;=Configuracao!B9,K1190/MAX(Reconciliacao!C2,1)&gt;=Configuracao!B10/100),"sim","não"))</f>
        <v>aguardando limiar</v>
      </c>
    </row>
    <row r="1191" spans="1:31" x14ac:dyDescent="0.25">
      <c r="A1191">
        <v>17354</v>
      </c>
      <c r="C1191" t="s">
        <v>989</v>
      </c>
      <c r="D1191" t="s">
        <v>958</v>
      </c>
      <c r="E1191" t="s">
        <v>74</v>
      </c>
      <c r="F1191" t="s">
        <v>272</v>
      </c>
      <c r="G1191" t="s">
        <v>271</v>
      </c>
      <c r="H1191" t="s">
        <v>270</v>
      </c>
      <c r="I1191" t="s">
        <v>442</v>
      </c>
      <c r="J1191" t="s">
        <v>442</v>
      </c>
      <c r="K1191" s="4">
        <v>35.75</v>
      </c>
      <c r="L1191" s="4">
        <v>35.75</v>
      </c>
      <c r="M1191" t="s">
        <v>166</v>
      </c>
      <c r="N1191" t="s">
        <v>77</v>
      </c>
      <c r="O1191" t="s">
        <v>76</v>
      </c>
      <c r="P1191" t="s">
        <v>187</v>
      </c>
      <c r="Q1191" t="s">
        <v>76</v>
      </c>
      <c r="R1191" t="s">
        <v>76</v>
      </c>
      <c r="S1191" t="s">
        <v>167</v>
      </c>
      <c r="T1191" t="s">
        <v>167</v>
      </c>
      <c r="U1191" t="s">
        <v>168</v>
      </c>
      <c r="V1191" t="s">
        <v>169</v>
      </c>
      <c r="W1191" t="s">
        <v>77</v>
      </c>
      <c r="X1191" t="s">
        <v>44</v>
      </c>
      <c r="Y1191" t="s">
        <v>99</v>
      </c>
      <c r="Z1191" t="s">
        <v>421</v>
      </c>
      <c r="AC1191" t="str">
        <f>IF(AA1191="",M1191,AA1191)</f>
        <v>não</v>
      </c>
      <c r="AD1191" t="str">
        <f>IF(AB1191="",X1191,AB1191)</f>
        <v>sim</v>
      </c>
      <c r="AE1191" t="str">
        <f>IF(OR(Configuracao!B9="",Configuracao!B10=""),"aguardando limiar",IF(AND(K1191&gt;=Configuracao!B9,K1191/MAX(Reconciliacao!C2,1)&gt;=Configuracao!B10/100),"sim","não"))</f>
        <v>aguardando limiar</v>
      </c>
    </row>
    <row r="1192" spans="1:31" x14ac:dyDescent="0.25">
      <c r="A1192">
        <v>17797</v>
      </c>
      <c r="C1192" t="s">
        <v>990</v>
      </c>
      <c r="D1192" t="s">
        <v>958</v>
      </c>
      <c r="E1192" t="s">
        <v>486</v>
      </c>
      <c r="F1192" t="s">
        <v>272</v>
      </c>
      <c r="G1192" t="s">
        <v>271</v>
      </c>
      <c r="H1192" t="s">
        <v>270</v>
      </c>
      <c r="I1192" t="s">
        <v>439</v>
      </c>
      <c r="J1192" t="s">
        <v>439</v>
      </c>
      <c r="K1192" s="4">
        <v>35.75</v>
      </c>
      <c r="L1192" s="4">
        <v>35.75</v>
      </c>
      <c r="M1192" t="s">
        <v>44</v>
      </c>
      <c r="N1192" t="s">
        <v>77</v>
      </c>
      <c r="O1192" t="s">
        <v>99</v>
      </c>
      <c r="P1192" t="s">
        <v>274</v>
      </c>
      <c r="Q1192" t="s">
        <v>125</v>
      </c>
      <c r="R1192" t="s">
        <v>273</v>
      </c>
      <c r="S1192" t="s">
        <v>197</v>
      </c>
      <c r="T1192" t="s">
        <v>211</v>
      </c>
      <c r="U1192" t="s">
        <v>163</v>
      </c>
      <c r="V1192" t="s">
        <v>193</v>
      </c>
      <c r="W1192" t="s">
        <v>77</v>
      </c>
      <c r="X1192" t="s">
        <v>44</v>
      </c>
      <c r="Y1192" t="s">
        <v>99</v>
      </c>
      <c r="Z1192" t="s">
        <v>421</v>
      </c>
      <c r="AC1192" t="str">
        <f>IF(AA1192="",M1192,AA1192)</f>
        <v>sim</v>
      </c>
      <c r="AD1192" t="str">
        <f>IF(AB1192="",X1192,AB1192)</f>
        <v>sim</v>
      </c>
      <c r="AE1192" t="str">
        <f>IF(OR(Configuracao!B9="",Configuracao!B10=""),"aguardando limiar",IF(AND(K1192&gt;=Configuracao!B9,K1192/MAX(Reconciliacao!C2,1)&gt;=Configuracao!B10/100),"sim","não"))</f>
        <v>aguardando limiar</v>
      </c>
    </row>
    <row r="1193" spans="1:31" x14ac:dyDescent="0.25">
      <c r="A1193">
        <v>18758</v>
      </c>
      <c r="C1193" t="s">
        <v>985</v>
      </c>
      <c r="D1193" t="s">
        <v>958</v>
      </c>
      <c r="E1193" t="s">
        <v>74</v>
      </c>
      <c r="F1193" t="s">
        <v>272</v>
      </c>
      <c r="G1193" t="s">
        <v>271</v>
      </c>
      <c r="H1193" t="s">
        <v>270</v>
      </c>
      <c r="I1193" t="s">
        <v>35</v>
      </c>
      <c r="J1193" t="s">
        <v>35</v>
      </c>
      <c r="K1193" s="4">
        <v>35.75</v>
      </c>
      <c r="L1193" s="4">
        <v>35.75</v>
      </c>
      <c r="M1193" t="s">
        <v>166</v>
      </c>
      <c r="N1193" t="s">
        <v>77</v>
      </c>
      <c r="O1193" t="s">
        <v>76</v>
      </c>
      <c r="P1193" t="s">
        <v>187</v>
      </c>
      <c r="Q1193" t="s">
        <v>76</v>
      </c>
      <c r="R1193" t="s">
        <v>76</v>
      </c>
      <c r="S1193" t="s">
        <v>167</v>
      </c>
      <c r="T1193" t="s">
        <v>167</v>
      </c>
      <c r="U1193" t="s">
        <v>168</v>
      </c>
      <c r="V1193" t="s">
        <v>169</v>
      </c>
      <c r="W1193" t="s">
        <v>77</v>
      </c>
      <c r="X1193" t="s">
        <v>44</v>
      </c>
      <c r="Y1193" t="s">
        <v>99</v>
      </c>
      <c r="Z1193" t="s">
        <v>421</v>
      </c>
      <c r="AC1193" t="str">
        <f>IF(AA1193="",M1193,AA1193)</f>
        <v>não</v>
      </c>
      <c r="AD1193" t="str">
        <f>IF(AB1193="",X1193,AB1193)</f>
        <v>sim</v>
      </c>
      <c r="AE1193" t="str">
        <f>IF(OR(Configuracao!B9="",Configuracao!B10=""),"aguardando limiar",IF(AND(K1193&gt;=Configuracao!B9,K1193/MAX(Reconciliacao!C2,1)&gt;=Configuracao!B10/100),"sim","não"))</f>
        <v>aguardando limiar</v>
      </c>
    </row>
    <row r="1194" spans="1:31" x14ac:dyDescent="0.25">
      <c r="A1194">
        <v>11569</v>
      </c>
      <c r="C1194" t="s">
        <v>991</v>
      </c>
      <c r="D1194" t="s">
        <v>992</v>
      </c>
      <c r="E1194" t="s">
        <v>74</v>
      </c>
      <c r="F1194" t="s">
        <v>272</v>
      </c>
      <c r="G1194" t="s">
        <v>271</v>
      </c>
      <c r="H1194" t="s">
        <v>270</v>
      </c>
      <c r="I1194" t="s">
        <v>32</v>
      </c>
      <c r="J1194" t="s">
        <v>32</v>
      </c>
      <c r="K1194" s="4">
        <v>37.31</v>
      </c>
      <c r="L1194" s="4">
        <v>37.31</v>
      </c>
      <c r="M1194" t="s">
        <v>166</v>
      </c>
      <c r="N1194" t="s">
        <v>77</v>
      </c>
      <c r="O1194" t="s">
        <v>76</v>
      </c>
      <c r="P1194" t="s">
        <v>187</v>
      </c>
      <c r="Q1194" t="s">
        <v>76</v>
      </c>
      <c r="R1194" t="s">
        <v>76</v>
      </c>
      <c r="S1194" t="s">
        <v>167</v>
      </c>
      <c r="T1194" t="s">
        <v>167</v>
      </c>
      <c r="U1194" t="s">
        <v>168</v>
      </c>
      <c r="V1194" t="s">
        <v>169</v>
      </c>
      <c r="W1194" t="s">
        <v>77</v>
      </c>
      <c r="X1194" t="s">
        <v>44</v>
      </c>
      <c r="Y1194" t="s">
        <v>99</v>
      </c>
      <c r="Z1194" t="s">
        <v>421</v>
      </c>
      <c r="AC1194" t="str">
        <f>IF(AA1194="",M1194,AA1194)</f>
        <v>não</v>
      </c>
      <c r="AD1194" t="str">
        <f>IF(AB1194="",X1194,AB1194)</f>
        <v>sim</v>
      </c>
      <c r="AE1194" t="str">
        <f>IF(OR(Configuracao!B9="",Configuracao!B10=""),"aguardando limiar",IF(AND(K1194&gt;=Configuracao!B9,K1194/MAX(Reconciliacao!C2,1)&gt;=Configuracao!B10/100),"sim","não"))</f>
        <v>aguardando limiar</v>
      </c>
    </row>
    <row r="1195" spans="1:31" x14ac:dyDescent="0.25">
      <c r="A1195">
        <v>11902</v>
      </c>
      <c r="C1195" t="s">
        <v>993</v>
      </c>
      <c r="D1195" t="s">
        <v>958</v>
      </c>
      <c r="E1195" t="s">
        <v>74</v>
      </c>
      <c r="F1195" t="s">
        <v>272</v>
      </c>
      <c r="G1195" t="s">
        <v>271</v>
      </c>
      <c r="H1195" t="s">
        <v>270</v>
      </c>
      <c r="I1195" t="s">
        <v>32</v>
      </c>
      <c r="J1195" t="s">
        <v>32</v>
      </c>
      <c r="K1195" s="4">
        <v>38.42</v>
      </c>
      <c r="L1195" s="4">
        <v>38.42</v>
      </c>
      <c r="M1195" t="s">
        <v>166</v>
      </c>
      <c r="N1195" t="s">
        <v>77</v>
      </c>
      <c r="O1195" t="s">
        <v>76</v>
      </c>
      <c r="P1195" t="s">
        <v>187</v>
      </c>
      <c r="Q1195" t="s">
        <v>76</v>
      </c>
      <c r="R1195" t="s">
        <v>76</v>
      </c>
      <c r="S1195" t="s">
        <v>167</v>
      </c>
      <c r="T1195" t="s">
        <v>167</v>
      </c>
      <c r="U1195" t="s">
        <v>168</v>
      </c>
      <c r="V1195" t="s">
        <v>169</v>
      </c>
      <c r="W1195" t="s">
        <v>77</v>
      </c>
      <c r="X1195" t="s">
        <v>44</v>
      </c>
      <c r="Y1195" t="s">
        <v>99</v>
      </c>
      <c r="Z1195" t="s">
        <v>421</v>
      </c>
      <c r="AC1195" t="str">
        <f>IF(AA1195="",M1195,AA1195)</f>
        <v>não</v>
      </c>
      <c r="AD1195" t="str">
        <f>IF(AB1195="",X1195,AB1195)</f>
        <v>sim</v>
      </c>
      <c r="AE1195" t="str">
        <f>IF(OR(Configuracao!B9="",Configuracao!B10=""),"aguardando limiar",IF(AND(K1195&gt;=Configuracao!B9,K1195/MAX(Reconciliacao!C2,1)&gt;=Configuracao!B10/100),"sim","não"))</f>
        <v>aguardando limiar</v>
      </c>
    </row>
    <row r="1196" spans="1:31" x14ac:dyDescent="0.25">
      <c r="A1196">
        <v>12326</v>
      </c>
      <c r="C1196" t="s">
        <v>994</v>
      </c>
      <c r="D1196" t="s">
        <v>958</v>
      </c>
      <c r="E1196" t="s">
        <v>477</v>
      </c>
      <c r="F1196" t="s">
        <v>272</v>
      </c>
      <c r="G1196" t="s">
        <v>271</v>
      </c>
      <c r="H1196" t="s">
        <v>270</v>
      </c>
      <c r="I1196" t="s">
        <v>424</v>
      </c>
      <c r="J1196" t="s">
        <v>424</v>
      </c>
      <c r="K1196" s="4">
        <v>38.42</v>
      </c>
      <c r="L1196" s="4">
        <v>38.42</v>
      </c>
      <c r="M1196" t="s">
        <v>44</v>
      </c>
      <c r="N1196" t="s">
        <v>77</v>
      </c>
      <c r="O1196" t="s">
        <v>99</v>
      </c>
      <c r="P1196" t="s">
        <v>274</v>
      </c>
      <c r="Q1196" t="s">
        <v>125</v>
      </c>
      <c r="R1196" t="s">
        <v>273</v>
      </c>
      <c r="S1196" t="s">
        <v>197</v>
      </c>
      <c r="T1196" t="s">
        <v>211</v>
      </c>
      <c r="U1196" t="s">
        <v>163</v>
      </c>
      <c r="V1196" t="s">
        <v>193</v>
      </c>
      <c r="W1196" t="s">
        <v>77</v>
      </c>
      <c r="X1196" t="s">
        <v>44</v>
      </c>
      <c r="Y1196" t="s">
        <v>99</v>
      </c>
      <c r="Z1196" t="s">
        <v>421</v>
      </c>
      <c r="AC1196" t="str">
        <f>IF(AA1196="",M1196,AA1196)</f>
        <v>sim</v>
      </c>
      <c r="AD1196" t="str">
        <f>IF(AB1196="",X1196,AB1196)</f>
        <v>sim</v>
      </c>
      <c r="AE1196" t="str">
        <f>IF(OR(Configuracao!B9="",Configuracao!B10=""),"aguardando limiar",IF(AND(K1196&gt;=Configuracao!B9,K1196/MAX(Reconciliacao!C2,1)&gt;=Configuracao!B10/100),"sim","não"))</f>
        <v>aguardando limiar</v>
      </c>
    </row>
    <row r="1197" spans="1:31" x14ac:dyDescent="0.25">
      <c r="A1197">
        <v>12797</v>
      </c>
      <c r="C1197" t="s">
        <v>995</v>
      </c>
      <c r="D1197" t="s">
        <v>958</v>
      </c>
      <c r="E1197" t="s">
        <v>477</v>
      </c>
      <c r="F1197" t="s">
        <v>272</v>
      </c>
      <c r="G1197" t="s">
        <v>271</v>
      </c>
      <c r="H1197" t="s">
        <v>270</v>
      </c>
      <c r="I1197" t="s">
        <v>420</v>
      </c>
      <c r="J1197" t="s">
        <v>420</v>
      </c>
      <c r="K1197" s="4">
        <v>38.42</v>
      </c>
      <c r="L1197" s="4">
        <v>38.42</v>
      </c>
      <c r="M1197" t="s">
        <v>44</v>
      </c>
      <c r="N1197" t="s">
        <v>77</v>
      </c>
      <c r="O1197" t="s">
        <v>99</v>
      </c>
      <c r="P1197" t="s">
        <v>274</v>
      </c>
      <c r="Q1197" t="s">
        <v>125</v>
      </c>
      <c r="R1197" t="s">
        <v>273</v>
      </c>
      <c r="S1197" t="s">
        <v>197</v>
      </c>
      <c r="T1197" t="s">
        <v>211</v>
      </c>
      <c r="U1197" t="s">
        <v>163</v>
      </c>
      <c r="V1197" t="s">
        <v>193</v>
      </c>
      <c r="W1197" t="s">
        <v>77</v>
      </c>
      <c r="X1197" t="s">
        <v>44</v>
      </c>
      <c r="Y1197" t="s">
        <v>99</v>
      </c>
      <c r="Z1197" t="s">
        <v>421</v>
      </c>
      <c r="AC1197" t="str">
        <f>IF(AA1197="",M1197,AA1197)</f>
        <v>sim</v>
      </c>
      <c r="AD1197" t="str">
        <f>IF(AB1197="",X1197,AB1197)</f>
        <v>sim</v>
      </c>
      <c r="AE1197" t="str">
        <f>IF(OR(Configuracao!B9="",Configuracao!B10=""),"aguardando limiar",IF(AND(K1197&gt;=Configuracao!B9,K1197/MAX(Reconciliacao!C2,1)&gt;=Configuracao!B10/100),"sim","não"))</f>
        <v>aguardando limiar</v>
      </c>
    </row>
    <row r="1198" spans="1:31" x14ac:dyDescent="0.25">
      <c r="A1198">
        <v>13804</v>
      </c>
      <c r="C1198" t="s">
        <v>996</v>
      </c>
      <c r="D1198" t="s">
        <v>958</v>
      </c>
      <c r="E1198" t="s">
        <v>74</v>
      </c>
      <c r="F1198" t="s">
        <v>272</v>
      </c>
      <c r="G1198" t="s">
        <v>271</v>
      </c>
      <c r="H1198" t="s">
        <v>270</v>
      </c>
      <c r="I1198" t="s">
        <v>454</v>
      </c>
      <c r="J1198" t="s">
        <v>454</v>
      </c>
      <c r="K1198" s="4">
        <v>38.42</v>
      </c>
      <c r="L1198" s="4">
        <v>38.42</v>
      </c>
      <c r="M1198" t="s">
        <v>166</v>
      </c>
      <c r="N1198" t="s">
        <v>77</v>
      </c>
      <c r="O1198" t="s">
        <v>76</v>
      </c>
      <c r="P1198" t="s">
        <v>187</v>
      </c>
      <c r="Q1198" t="s">
        <v>76</v>
      </c>
      <c r="R1198" t="s">
        <v>76</v>
      </c>
      <c r="S1198" t="s">
        <v>167</v>
      </c>
      <c r="T1198" t="s">
        <v>167</v>
      </c>
      <c r="U1198" t="s">
        <v>168</v>
      </c>
      <c r="V1198" t="s">
        <v>169</v>
      </c>
      <c r="W1198" t="s">
        <v>77</v>
      </c>
      <c r="X1198" t="s">
        <v>44</v>
      </c>
      <c r="Y1198" t="s">
        <v>99</v>
      </c>
      <c r="Z1198" t="s">
        <v>421</v>
      </c>
      <c r="AC1198" t="str">
        <f>IF(AA1198="",M1198,AA1198)</f>
        <v>não</v>
      </c>
      <c r="AD1198" t="str">
        <f>IF(AB1198="",X1198,AB1198)</f>
        <v>sim</v>
      </c>
      <c r="AE1198" t="str">
        <f>IF(OR(Configuracao!B9="",Configuracao!B10=""),"aguardando limiar",IF(AND(K1198&gt;=Configuracao!B9,K1198/MAX(Reconciliacao!C2,1)&gt;=Configuracao!B10/100),"sim","não"))</f>
        <v>aguardando limiar</v>
      </c>
    </row>
    <row r="1199" spans="1:31" x14ac:dyDescent="0.25">
      <c r="A1199">
        <v>15932</v>
      </c>
      <c r="C1199" t="s">
        <v>997</v>
      </c>
      <c r="D1199" t="s">
        <v>958</v>
      </c>
      <c r="E1199" t="s">
        <v>486</v>
      </c>
      <c r="F1199" t="s">
        <v>272</v>
      </c>
      <c r="G1199" t="s">
        <v>271</v>
      </c>
      <c r="H1199" t="s">
        <v>270</v>
      </c>
      <c r="I1199" t="s">
        <v>454</v>
      </c>
      <c r="J1199" t="s">
        <v>454</v>
      </c>
      <c r="K1199" s="4">
        <v>38.42</v>
      </c>
      <c r="L1199" s="4">
        <v>38.42</v>
      </c>
      <c r="M1199" t="s">
        <v>44</v>
      </c>
      <c r="N1199" t="s">
        <v>77</v>
      </c>
      <c r="O1199" t="s">
        <v>99</v>
      </c>
      <c r="P1199" t="s">
        <v>274</v>
      </c>
      <c r="Q1199" t="s">
        <v>125</v>
      </c>
      <c r="R1199" t="s">
        <v>273</v>
      </c>
      <c r="S1199" t="s">
        <v>197</v>
      </c>
      <c r="T1199" t="s">
        <v>211</v>
      </c>
      <c r="U1199" t="s">
        <v>163</v>
      </c>
      <c r="V1199" t="s">
        <v>193</v>
      </c>
      <c r="W1199" t="s">
        <v>77</v>
      </c>
      <c r="X1199" t="s">
        <v>44</v>
      </c>
      <c r="Y1199" t="s">
        <v>99</v>
      </c>
      <c r="Z1199" t="s">
        <v>421</v>
      </c>
      <c r="AC1199" t="str">
        <f>IF(AA1199="",M1199,AA1199)</f>
        <v>sim</v>
      </c>
      <c r="AD1199" t="str">
        <f>IF(AB1199="",X1199,AB1199)</f>
        <v>sim</v>
      </c>
      <c r="AE1199" t="str">
        <f>IF(OR(Configuracao!B9="",Configuracao!B10=""),"aguardando limiar",IF(AND(K1199&gt;=Configuracao!B9,K1199/MAX(Reconciliacao!C2,1)&gt;=Configuracao!B10/100),"sim","não"))</f>
        <v>aguardando limiar</v>
      </c>
    </row>
    <row r="1200" spans="1:31" x14ac:dyDescent="0.25">
      <c r="A1200">
        <v>16280</v>
      </c>
      <c r="C1200" t="s">
        <v>998</v>
      </c>
      <c r="D1200" t="s">
        <v>958</v>
      </c>
      <c r="E1200" t="s">
        <v>74</v>
      </c>
      <c r="F1200" t="s">
        <v>272</v>
      </c>
      <c r="G1200" t="s">
        <v>271</v>
      </c>
      <c r="H1200" t="s">
        <v>270</v>
      </c>
      <c r="I1200" t="s">
        <v>461</v>
      </c>
      <c r="J1200" t="s">
        <v>461</v>
      </c>
      <c r="K1200" s="4">
        <v>38.42</v>
      </c>
      <c r="L1200" s="4">
        <v>38.42</v>
      </c>
      <c r="M1200" t="s">
        <v>166</v>
      </c>
      <c r="N1200" t="s">
        <v>77</v>
      </c>
      <c r="O1200" t="s">
        <v>76</v>
      </c>
      <c r="P1200" t="s">
        <v>187</v>
      </c>
      <c r="Q1200" t="s">
        <v>76</v>
      </c>
      <c r="R1200" t="s">
        <v>76</v>
      </c>
      <c r="S1200" t="s">
        <v>167</v>
      </c>
      <c r="T1200" t="s">
        <v>167</v>
      </c>
      <c r="U1200" t="s">
        <v>168</v>
      </c>
      <c r="V1200" t="s">
        <v>169</v>
      </c>
      <c r="W1200" t="s">
        <v>77</v>
      </c>
      <c r="X1200" t="s">
        <v>44</v>
      </c>
      <c r="Y1200" t="s">
        <v>99</v>
      </c>
      <c r="Z1200" t="s">
        <v>421</v>
      </c>
      <c r="AC1200" t="str">
        <f>IF(AA1200="",M1200,AA1200)</f>
        <v>não</v>
      </c>
      <c r="AD1200" t="str">
        <f>IF(AB1200="",X1200,AB1200)</f>
        <v>sim</v>
      </c>
      <c r="AE1200" t="str">
        <f>IF(OR(Configuracao!B9="",Configuracao!B10=""),"aguardando limiar",IF(AND(K1200&gt;=Configuracao!B9,K1200/MAX(Reconciliacao!C2,1)&gt;=Configuracao!B10/100),"sim","não"))</f>
        <v>aguardando limiar</v>
      </c>
    </row>
    <row r="1201" spans="1:31" x14ac:dyDescent="0.25">
      <c r="A1201">
        <v>16281</v>
      </c>
      <c r="C1201" t="s">
        <v>977</v>
      </c>
      <c r="D1201" t="s">
        <v>958</v>
      </c>
      <c r="E1201" t="s">
        <v>74</v>
      </c>
      <c r="F1201" t="s">
        <v>272</v>
      </c>
      <c r="G1201" t="s">
        <v>271</v>
      </c>
      <c r="H1201" t="s">
        <v>270</v>
      </c>
      <c r="I1201" t="s">
        <v>461</v>
      </c>
      <c r="J1201" t="s">
        <v>461</v>
      </c>
      <c r="K1201" s="4">
        <v>38.42</v>
      </c>
      <c r="L1201" s="4">
        <v>38.42</v>
      </c>
      <c r="M1201" t="s">
        <v>166</v>
      </c>
      <c r="N1201" t="s">
        <v>77</v>
      </c>
      <c r="O1201" t="s">
        <v>76</v>
      </c>
      <c r="P1201" t="s">
        <v>187</v>
      </c>
      <c r="Q1201" t="s">
        <v>76</v>
      </c>
      <c r="R1201" t="s">
        <v>76</v>
      </c>
      <c r="S1201" t="s">
        <v>167</v>
      </c>
      <c r="T1201" t="s">
        <v>167</v>
      </c>
      <c r="U1201" t="s">
        <v>168</v>
      </c>
      <c r="V1201" t="s">
        <v>169</v>
      </c>
      <c r="W1201" t="s">
        <v>77</v>
      </c>
      <c r="X1201" t="s">
        <v>44</v>
      </c>
      <c r="Y1201" t="s">
        <v>99</v>
      </c>
      <c r="Z1201" t="s">
        <v>421</v>
      </c>
      <c r="AC1201" t="str">
        <f>IF(AA1201="",M1201,AA1201)</f>
        <v>não</v>
      </c>
      <c r="AD1201" t="str">
        <f>IF(AB1201="",X1201,AB1201)</f>
        <v>sim</v>
      </c>
      <c r="AE1201" t="str">
        <f>IF(OR(Configuracao!B9="",Configuracao!B10=""),"aguardando limiar",IF(AND(K1201&gt;=Configuracao!B9,K1201/MAX(Reconciliacao!C2,1)&gt;=Configuracao!B10/100),"sim","não"))</f>
        <v>aguardando limiar</v>
      </c>
    </row>
    <row r="1202" spans="1:31" x14ac:dyDescent="0.25">
      <c r="A1202">
        <v>16509</v>
      </c>
      <c r="C1202" t="s">
        <v>993</v>
      </c>
      <c r="D1202" t="s">
        <v>958</v>
      </c>
      <c r="E1202" t="s">
        <v>74</v>
      </c>
      <c r="F1202" t="s">
        <v>272</v>
      </c>
      <c r="G1202" t="s">
        <v>271</v>
      </c>
      <c r="H1202" t="s">
        <v>270</v>
      </c>
      <c r="I1202" t="s">
        <v>461</v>
      </c>
      <c r="J1202" t="s">
        <v>461</v>
      </c>
      <c r="K1202" s="4">
        <v>38.42</v>
      </c>
      <c r="L1202" s="4">
        <v>38.42</v>
      </c>
      <c r="M1202" t="s">
        <v>166</v>
      </c>
      <c r="N1202" t="s">
        <v>77</v>
      </c>
      <c r="O1202" t="s">
        <v>76</v>
      </c>
      <c r="P1202" t="s">
        <v>187</v>
      </c>
      <c r="Q1202" t="s">
        <v>76</v>
      </c>
      <c r="R1202" t="s">
        <v>76</v>
      </c>
      <c r="S1202" t="s">
        <v>167</v>
      </c>
      <c r="T1202" t="s">
        <v>167</v>
      </c>
      <c r="U1202" t="s">
        <v>168</v>
      </c>
      <c r="V1202" t="s">
        <v>169</v>
      </c>
      <c r="W1202" t="s">
        <v>77</v>
      </c>
      <c r="X1202" t="s">
        <v>44</v>
      </c>
      <c r="Y1202" t="s">
        <v>99</v>
      </c>
      <c r="Z1202" t="s">
        <v>421</v>
      </c>
      <c r="AC1202" t="str">
        <f>IF(AA1202="",M1202,AA1202)</f>
        <v>não</v>
      </c>
      <c r="AD1202" t="str">
        <f>IF(AB1202="",X1202,AB1202)</f>
        <v>sim</v>
      </c>
      <c r="AE1202" t="str">
        <f>IF(OR(Configuracao!B9="",Configuracao!B10=""),"aguardando limiar",IF(AND(K1202&gt;=Configuracao!B9,K1202/MAX(Reconciliacao!C2,1)&gt;=Configuracao!B10/100),"sim","não"))</f>
        <v>aguardando limiar</v>
      </c>
    </row>
    <row r="1203" spans="1:31" x14ac:dyDescent="0.25">
      <c r="A1203">
        <v>16809</v>
      </c>
      <c r="C1203" t="s">
        <v>996</v>
      </c>
      <c r="D1203" t="s">
        <v>958</v>
      </c>
      <c r="E1203" t="s">
        <v>74</v>
      </c>
      <c r="F1203" t="s">
        <v>272</v>
      </c>
      <c r="G1203" t="s">
        <v>271</v>
      </c>
      <c r="H1203" t="s">
        <v>270</v>
      </c>
      <c r="I1203" t="s">
        <v>442</v>
      </c>
      <c r="J1203" t="s">
        <v>442</v>
      </c>
      <c r="K1203" s="4">
        <v>38.42</v>
      </c>
      <c r="L1203" s="4">
        <v>38.42</v>
      </c>
      <c r="M1203" t="s">
        <v>166</v>
      </c>
      <c r="N1203" t="s">
        <v>77</v>
      </c>
      <c r="O1203" t="s">
        <v>76</v>
      </c>
      <c r="P1203" t="s">
        <v>187</v>
      </c>
      <c r="Q1203" t="s">
        <v>76</v>
      </c>
      <c r="R1203" t="s">
        <v>76</v>
      </c>
      <c r="S1203" t="s">
        <v>167</v>
      </c>
      <c r="T1203" t="s">
        <v>167</v>
      </c>
      <c r="U1203" t="s">
        <v>168</v>
      </c>
      <c r="V1203" t="s">
        <v>169</v>
      </c>
      <c r="W1203" t="s">
        <v>77</v>
      </c>
      <c r="X1203" t="s">
        <v>44</v>
      </c>
      <c r="Y1203" t="s">
        <v>99</v>
      </c>
      <c r="Z1203" t="s">
        <v>421</v>
      </c>
      <c r="AC1203" t="str">
        <f>IF(AA1203="",M1203,AA1203)</f>
        <v>não</v>
      </c>
      <c r="AD1203" t="str">
        <f>IF(AB1203="",X1203,AB1203)</f>
        <v>sim</v>
      </c>
      <c r="AE1203" t="str">
        <f>IF(OR(Configuracao!B9="",Configuracao!B10=""),"aguardando limiar",IF(AND(K1203&gt;=Configuracao!B9,K1203/MAX(Reconciliacao!C2,1)&gt;=Configuracao!B10/100),"sim","não"))</f>
        <v>aguardando limiar</v>
      </c>
    </row>
    <row r="1204" spans="1:31" x14ac:dyDescent="0.25">
      <c r="A1204">
        <v>17102</v>
      </c>
      <c r="C1204" t="s">
        <v>999</v>
      </c>
      <c r="D1204" t="s">
        <v>958</v>
      </c>
      <c r="E1204" t="s">
        <v>486</v>
      </c>
      <c r="F1204" t="s">
        <v>272</v>
      </c>
      <c r="G1204" t="s">
        <v>271</v>
      </c>
      <c r="H1204" t="s">
        <v>270</v>
      </c>
      <c r="I1204" t="s">
        <v>442</v>
      </c>
      <c r="J1204" t="s">
        <v>442</v>
      </c>
      <c r="K1204" s="4">
        <v>38.42</v>
      </c>
      <c r="L1204" s="4">
        <v>38.42</v>
      </c>
      <c r="M1204" t="s">
        <v>44</v>
      </c>
      <c r="N1204" t="s">
        <v>77</v>
      </c>
      <c r="O1204" t="s">
        <v>99</v>
      </c>
      <c r="P1204" t="s">
        <v>274</v>
      </c>
      <c r="Q1204" t="s">
        <v>125</v>
      </c>
      <c r="R1204" t="s">
        <v>273</v>
      </c>
      <c r="S1204" t="s">
        <v>197</v>
      </c>
      <c r="T1204" t="s">
        <v>211</v>
      </c>
      <c r="U1204" t="s">
        <v>163</v>
      </c>
      <c r="V1204" t="s">
        <v>193</v>
      </c>
      <c r="W1204" t="s">
        <v>77</v>
      </c>
      <c r="X1204" t="s">
        <v>44</v>
      </c>
      <c r="Y1204" t="s">
        <v>99</v>
      </c>
      <c r="Z1204" t="s">
        <v>421</v>
      </c>
      <c r="AC1204" t="str">
        <f>IF(AA1204="",M1204,AA1204)</f>
        <v>sim</v>
      </c>
      <c r="AD1204" t="str">
        <f>IF(AB1204="",X1204,AB1204)</f>
        <v>sim</v>
      </c>
      <c r="AE1204" t="str">
        <f>IF(OR(Configuracao!B9="",Configuracao!B10=""),"aguardando limiar",IF(AND(K1204&gt;=Configuracao!B9,K1204/MAX(Reconciliacao!C2,1)&gt;=Configuracao!B10/100),"sim","não"))</f>
        <v>aguardando limiar</v>
      </c>
    </row>
    <row r="1205" spans="1:31" x14ac:dyDescent="0.25">
      <c r="A1205">
        <v>17681</v>
      </c>
      <c r="C1205" t="s">
        <v>1000</v>
      </c>
      <c r="D1205" t="s">
        <v>958</v>
      </c>
      <c r="E1205" t="s">
        <v>486</v>
      </c>
      <c r="F1205" t="s">
        <v>272</v>
      </c>
      <c r="G1205" t="s">
        <v>271</v>
      </c>
      <c r="H1205" t="s">
        <v>270</v>
      </c>
      <c r="I1205" t="s">
        <v>439</v>
      </c>
      <c r="J1205" t="s">
        <v>439</v>
      </c>
      <c r="K1205" s="4">
        <v>38.42</v>
      </c>
      <c r="L1205" s="4">
        <v>38.42</v>
      </c>
      <c r="M1205" t="s">
        <v>44</v>
      </c>
      <c r="N1205" t="s">
        <v>77</v>
      </c>
      <c r="O1205" t="s">
        <v>99</v>
      </c>
      <c r="P1205" t="s">
        <v>274</v>
      </c>
      <c r="Q1205" t="s">
        <v>125</v>
      </c>
      <c r="R1205" t="s">
        <v>273</v>
      </c>
      <c r="S1205" t="s">
        <v>197</v>
      </c>
      <c r="T1205" t="s">
        <v>211</v>
      </c>
      <c r="U1205" t="s">
        <v>163</v>
      </c>
      <c r="V1205" t="s">
        <v>193</v>
      </c>
      <c r="W1205" t="s">
        <v>77</v>
      </c>
      <c r="X1205" t="s">
        <v>44</v>
      </c>
      <c r="Y1205" t="s">
        <v>99</v>
      </c>
      <c r="Z1205" t="s">
        <v>421</v>
      </c>
      <c r="AC1205" t="str">
        <f>IF(AA1205="",M1205,AA1205)</f>
        <v>sim</v>
      </c>
      <c r="AD1205" t="str">
        <f>IF(AB1205="",X1205,AB1205)</f>
        <v>sim</v>
      </c>
      <c r="AE1205" t="str">
        <f>IF(OR(Configuracao!B9="",Configuracao!B10=""),"aguardando limiar",IF(AND(K1205&gt;=Configuracao!B9,K1205/MAX(Reconciliacao!C2,1)&gt;=Configuracao!B10/100),"sim","não"))</f>
        <v>aguardando limiar</v>
      </c>
    </row>
    <row r="1206" spans="1:31" x14ac:dyDescent="0.25">
      <c r="A1206">
        <v>17715</v>
      </c>
      <c r="C1206" t="s">
        <v>1001</v>
      </c>
      <c r="D1206" t="s">
        <v>958</v>
      </c>
      <c r="E1206" t="s">
        <v>74</v>
      </c>
      <c r="F1206" t="s">
        <v>272</v>
      </c>
      <c r="G1206" t="s">
        <v>271</v>
      </c>
      <c r="H1206" t="s">
        <v>270</v>
      </c>
      <c r="I1206" t="s">
        <v>442</v>
      </c>
      <c r="J1206" t="s">
        <v>442</v>
      </c>
      <c r="K1206" s="4">
        <v>38.42</v>
      </c>
      <c r="L1206" s="4">
        <v>38.42</v>
      </c>
      <c r="M1206" t="s">
        <v>166</v>
      </c>
      <c r="N1206" t="s">
        <v>77</v>
      </c>
      <c r="O1206" t="s">
        <v>76</v>
      </c>
      <c r="P1206" t="s">
        <v>187</v>
      </c>
      <c r="Q1206" t="s">
        <v>76</v>
      </c>
      <c r="R1206" t="s">
        <v>76</v>
      </c>
      <c r="S1206" t="s">
        <v>167</v>
      </c>
      <c r="T1206" t="s">
        <v>167</v>
      </c>
      <c r="U1206" t="s">
        <v>168</v>
      </c>
      <c r="V1206" t="s">
        <v>169</v>
      </c>
      <c r="W1206" t="s">
        <v>77</v>
      </c>
      <c r="X1206" t="s">
        <v>44</v>
      </c>
      <c r="Y1206" t="s">
        <v>99</v>
      </c>
      <c r="Z1206" t="s">
        <v>421</v>
      </c>
      <c r="AC1206" t="str">
        <f>IF(AA1206="",M1206,AA1206)</f>
        <v>não</v>
      </c>
      <c r="AD1206" t="str">
        <f>IF(AB1206="",X1206,AB1206)</f>
        <v>sim</v>
      </c>
      <c r="AE1206" t="str">
        <f>IF(OR(Configuracao!B9="",Configuracao!B10=""),"aguardando limiar",IF(AND(K1206&gt;=Configuracao!B9,K1206/MAX(Reconciliacao!C2,1)&gt;=Configuracao!B10/100),"sim","não"))</f>
        <v>aguardando limiar</v>
      </c>
    </row>
    <row r="1207" spans="1:31" x14ac:dyDescent="0.25">
      <c r="A1207">
        <v>17723</v>
      </c>
      <c r="C1207" t="s">
        <v>1002</v>
      </c>
      <c r="D1207" t="s">
        <v>958</v>
      </c>
      <c r="E1207" t="s">
        <v>486</v>
      </c>
      <c r="F1207" t="s">
        <v>272</v>
      </c>
      <c r="G1207" t="s">
        <v>271</v>
      </c>
      <c r="H1207" t="s">
        <v>270</v>
      </c>
      <c r="I1207" t="s">
        <v>439</v>
      </c>
      <c r="J1207" t="s">
        <v>439</v>
      </c>
      <c r="K1207" s="4">
        <v>38.42</v>
      </c>
      <c r="L1207" s="4">
        <v>38.42</v>
      </c>
      <c r="M1207" t="s">
        <v>44</v>
      </c>
      <c r="N1207" t="s">
        <v>77</v>
      </c>
      <c r="O1207" t="s">
        <v>99</v>
      </c>
      <c r="P1207" t="s">
        <v>274</v>
      </c>
      <c r="Q1207" t="s">
        <v>125</v>
      </c>
      <c r="R1207" t="s">
        <v>273</v>
      </c>
      <c r="S1207" t="s">
        <v>197</v>
      </c>
      <c r="T1207" t="s">
        <v>211</v>
      </c>
      <c r="U1207" t="s">
        <v>163</v>
      </c>
      <c r="V1207" t="s">
        <v>193</v>
      </c>
      <c r="W1207" t="s">
        <v>77</v>
      </c>
      <c r="X1207" t="s">
        <v>44</v>
      </c>
      <c r="Y1207" t="s">
        <v>99</v>
      </c>
      <c r="Z1207" t="s">
        <v>421</v>
      </c>
      <c r="AC1207" t="str">
        <f>IF(AA1207="",M1207,AA1207)</f>
        <v>sim</v>
      </c>
      <c r="AD1207" t="str">
        <f>IF(AB1207="",X1207,AB1207)</f>
        <v>sim</v>
      </c>
      <c r="AE1207" t="str">
        <f>IF(OR(Configuracao!B9="",Configuracao!B10=""),"aguardando limiar",IF(AND(K1207&gt;=Configuracao!B9,K1207/MAX(Reconciliacao!C2,1)&gt;=Configuracao!B10/100),"sim","não"))</f>
        <v>aguardando limiar</v>
      </c>
    </row>
    <row r="1208" spans="1:31" x14ac:dyDescent="0.25">
      <c r="A1208">
        <v>18754</v>
      </c>
      <c r="C1208" t="s">
        <v>1003</v>
      </c>
      <c r="D1208" t="s">
        <v>958</v>
      </c>
      <c r="E1208" t="s">
        <v>486</v>
      </c>
      <c r="F1208" t="s">
        <v>272</v>
      </c>
      <c r="G1208" t="s">
        <v>271</v>
      </c>
      <c r="H1208" t="s">
        <v>270</v>
      </c>
      <c r="I1208" t="s">
        <v>35</v>
      </c>
      <c r="J1208" t="s">
        <v>35</v>
      </c>
      <c r="K1208" s="4">
        <v>38.42</v>
      </c>
      <c r="L1208" s="4">
        <v>38.42</v>
      </c>
      <c r="M1208" t="s">
        <v>44</v>
      </c>
      <c r="N1208" t="s">
        <v>77</v>
      </c>
      <c r="O1208" t="s">
        <v>99</v>
      </c>
      <c r="P1208" t="s">
        <v>274</v>
      </c>
      <c r="Q1208" t="s">
        <v>125</v>
      </c>
      <c r="R1208" t="s">
        <v>273</v>
      </c>
      <c r="S1208" t="s">
        <v>197</v>
      </c>
      <c r="T1208" t="s">
        <v>211</v>
      </c>
      <c r="U1208" t="s">
        <v>163</v>
      </c>
      <c r="V1208" t="s">
        <v>193</v>
      </c>
      <c r="W1208" t="s">
        <v>77</v>
      </c>
      <c r="X1208" t="s">
        <v>44</v>
      </c>
      <c r="Y1208" t="s">
        <v>99</v>
      </c>
      <c r="Z1208" t="s">
        <v>421</v>
      </c>
      <c r="AC1208" t="str">
        <f>IF(AA1208="",M1208,AA1208)</f>
        <v>sim</v>
      </c>
      <c r="AD1208" t="str">
        <f>IF(AB1208="",X1208,AB1208)</f>
        <v>sim</v>
      </c>
      <c r="AE1208" t="str">
        <f>IF(OR(Configuracao!B9="",Configuracao!B10=""),"aguardando limiar",IF(AND(K1208&gt;=Configuracao!B9,K1208/MAX(Reconciliacao!C2,1)&gt;=Configuracao!B10/100),"sim","não"))</f>
        <v>aguardando limiar</v>
      </c>
    </row>
    <row r="1209" spans="1:31" x14ac:dyDescent="0.25">
      <c r="A1209">
        <v>16505</v>
      </c>
      <c r="C1209" t="s">
        <v>1004</v>
      </c>
      <c r="D1209" t="s">
        <v>992</v>
      </c>
      <c r="E1209" t="s">
        <v>74</v>
      </c>
      <c r="F1209" t="s">
        <v>272</v>
      </c>
      <c r="G1209" t="s">
        <v>271</v>
      </c>
      <c r="H1209" t="s">
        <v>270</v>
      </c>
      <c r="I1209" t="s">
        <v>461</v>
      </c>
      <c r="J1209" t="s">
        <v>461</v>
      </c>
      <c r="K1209" s="4">
        <v>38.9</v>
      </c>
      <c r="L1209" s="4">
        <v>38.9</v>
      </c>
      <c r="M1209" t="s">
        <v>166</v>
      </c>
      <c r="N1209" t="s">
        <v>77</v>
      </c>
      <c r="O1209" t="s">
        <v>76</v>
      </c>
      <c r="P1209" t="s">
        <v>187</v>
      </c>
      <c r="Q1209" t="s">
        <v>76</v>
      </c>
      <c r="R1209" t="s">
        <v>76</v>
      </c>
      <c r="S1209" t="s">
        <v>167</v>
      </c>
      <c r="T1209" t="s">
        <v>167</v>
      </c>
      <c r="U1209" t="s">
        <v>168</v>
      </c>
      <c r="V1209" t="s">
        <v>169</v>
      </c>
      <c r="W1209" t="s">
        <v>77</v>
      </c>
      <c r="X1209" t="s">
        <v>44</v>
      </c>
      <c r="Y1209" t="s">
        <v>99</v>
      </c>
      <c r="Z1209" t="s">
        <v>421</v>
      </c>
      <c r="AC1209" t="str">
        <f>IF(AA1209="",M1209,AA1209)</f>
        <v>não</v>
      </c>
      <c r="AD1209" t="str">
        <f>IF(AB1209="",X1209,AB1209)</f>
        <v>sim</v>
      </c>
      <c r="AE1209" t="str">
        <f>IF(OR(Configuracao!B9="",Configuracao!B10=""),"aguardando limiar",IF(AND(K1209&gt;=Configuracao!B9,K1209/MAX(Reconciliacao!C2,1)&gt;=Configuracao!B10/100),"sim","não"))</f>
        <v>aguardando limiar</v>
      </c>
    </row>
    <row r="1210" spans="1:31" x14ac:dyDescent="0.25">
      <c r="A1210">
        <v>12095</v>
      </c>
      <c r="C1210" t="s">
        <v>1005</v>
      </c>
      <c r="D1210" t="s">
        <v>992</v>
      </c>
      <c r="E1210" t="s">
        <v>74</v>
      </c>
      <c r="F1210" t="s">
        <v>272</v>
      </c>
      <c r="G1210" t="s">
        <v>271</v>
      </c>
      <c r="H1210" t="s">
        <v>270</v>
      </c>
      <c r="I1210" t="s">
        <v>424</v>
      </c>
      <c r="J1210" t="s">
        <v>424</v>
      </c>
      <c r="K1210" s="4">
        <v>40.44</v>
      </c>
      <c r="L1210" s="4">
        <v>40.44</v>
      </c>
      <c r="M1210" t="s">
        <v>166</v>
      </c>
      <c r="N1210" t="s">
        <v>77</v>
      </c>
      <c r="O1210" t="s">
        <v>76</v>
      </c>
      <c r="P1210" t="s">
        <v>187</v>
      </c>
      <c r="Q1210" t="s">
        <v>76</v>
      </c>
      <c r="R1210" t="s">
        <v>76</v>
      </c>
      <c r="S1210" t="s">
        <v>167</v>
      </c>
      <c r="T1210" t="s">
        <v>167</v>
      </c>
      <c r="U1210" t="s">
        <v>168</v>
      </c>
      <c r="V1210" t="s">
        <v>169</v>
      </c>
      <c r="W1210" t="s">
        <v>77</v>
      </c>
      <c r="X1210" t="s">
        <v>44</v>
      </c>
      <c r="Y1210" t="s">
        <v>99</v>
      </c>
      <c r="Z1210" t="s">
        <v>421</v>
      </c>
      <c r="AC1210" t="str">
        <f>IF(AA1210="",M1210,AA1210)</f>
        <v>não</v>
      </c>
      <c r="AD1210" t="str">
        <f>IF(AB1210="",X1210,AB1210)</f>
        <v>sim</v>
      </c>
      <c r="AE1210" t="str">
        <f>IF(OR(Configuracao!B9="",Configuracao!B10=""),"aguardando limiar",IF(AND(K1210&gt;=Configuracao!B9,K1210/MAX(Reconciliacao!C2,1)&gt;=Configuracao!B10/100),"sim","não"))</f>
        <v>aguardando limiar</v>
      </c>
    </row>
    <row r="1211" spans="1:31" x14ac:dyDescent="0.25">
      <c r="A1211">
        <v>11783</v>
      </c>
      <c r="C1211" t="s">
        <v>1006</v>
      </c>
      <c r="D1211" t="s">
        <v>958</v>
      </c>
      <c r="E1211" t="s">
        <v>477</v>
      </c>
      <c r="F1211" t="s">
        <v>272</v>
      </c>
      <c r="G1211" t="s">
        <v>271</v>
      </c>
      <c r="H1211" t="s">
        <v>270</v>
      </c>
      <c r="I1211" t="s">
        <v>32</v>
      </c>
      <c r="J1211" t="s">
        <v>32</v>
      </c>
      <c r="K1211" s="4">
        <v>46.57</v>
      </c>
      <c r="L1211" s="4">
        <v>46.57</v>
      </c>
      <c r="M1211" t="s">
        <v>44</v>
      </c>
      <c r="N1211" t="s">
        <v>77</v>
      </c>
      <c r="O1211" t="s">
        <v>99</v>
      </c>
      <c r="P1211" t="s">
        <v>274</v>
      </c>
      <c r="Q1211" t="s">
        <v>125</v>
      </c>
      <c r="R1211" t="s">
        <v>273</v>
      </c>
      <c r="S1211" t="s">
        <v>197</v>
      </c>
      <c r="T1211" t="s">
        <v>211</v>
      </c>
      <c r="U1211" t="s">
        <v>163</v>
      </c>
      <c r="V1211" t="s">
        <v>193</v>
      </c>
      <c r="W1211" t="s">
        <v>77</v>
      </c>
      <c r="X1211" t="s">
        <v>44</v>
      </c>
      <c r="Y1211" t="s">
        <v>99</v>
      </c>
      <c r="Z1211" t="s">
        <v>421</v>
      </c>
      <c r="AC1211" t="str">
        <f>IF(AA1211="",M1211,AA1211)</f>
        <v>sim</v>
      </c>
      <c r="AD1211" t="str">
        <f>IF(AB1211="",X1211,AB1211)</f>
        <v>sim</v>
      </c>
      <c r="AE1211" t="str">
        <f>IF(OR(Configuracao!B9="",Configuracao!B10=""),"aguardando limiar",IF(AND(K1211&gt;=Configuracao!B9,K1211/MAX(Reconciliacao!C2,1)&gt;=Configuracao!B10/100),"sim","não"))</f>
        <v>aguardando limiar</v>
      </c>
    </row>
    <row r="1212" spans="1:31" x14ac:dyDescent="0.25">
      <c r="A1212">
        <v>17342</v>
      </c>
      <c r="C1212" t="s">
        <v>1007</v>
      </c>
      <c r="D1212" t="s">
        <v>958</v>
      </c>
      <c r="E1212" t="s">
        <v>74</v>
      </c>
      <c r="F1212" t="s">
        <v>272</v>
      </c>
      <c r="G1212" t="s">
        <v>271</v>
      </c>
      <c r="H1212" t="s">
        <v>270</v>
      </c>
      <c r="I1212" t="s">
        <v>442</v>
      </c>
      <c r="J1212" t="s">
        <v>442</v>
      </c>
      <c r="K1212" s="4">
        <v>46.57</v>
      </c>
      <c r="L1212" s="4">
        <v>46.57</v>
      </c>
      <c r="M1212" t="s">
        <v>166</v>
      </c>
      <c r="N1212" t="s">
        <v>77</v>
      </c>
      <c r="O1212" t="s">
        <v>76</v>
      </c>
      <c r="P1212" t="s">
        <v>187</v>
      </c>
      <c r="Q1212" t="s">
        <v>76</v>
      </c>
      <c r="R1212" t="s">
        <v>76</v>
      </c>
      <c r="S1212" t="s">
        <v>167</v>
      </c>
      <c r="T1212" t="s">
        <v>167</v>
      </c>
      <c r="U1212" t="s">
        <v>168</v>
      </c>
      <c r="V1212" t="s">
        <v>169</v>
      </c>
      <c r="W1212" t="s">
        <v>77</v>
      </c>
      <c r="X1212" t="s">
        <v>44</v>
      </c>
      <c r="Y1212" t="s">
        <v>99</v>
      </c>
      <c r="Z1212" t="s">
        <v>421</v>
      </c>
      <c r="AC1212" t="str">
        <f>IF(AA1212="",M1212,AA1212)</f>
        <v>não</v>
      </c>
      <c r="AD1212" t="str">
        <f>IF(AB1212="",X1212,AB1212)</f>
        <v>sim</v>
      </c>
      <c r="AE1212" t="str">
        <f>IF(OR(Configuracao!B9="",Configuracao!B10=""),"aguardando limiar",IF(AND(K1212&gt;=Configuracao!B9,K1212/MAX(Reconciliacao!C2,1)&gt;=Configuracao!B10/100),"sim","não"))</f>
        <v>aguardando limiar</v>
      </c>
    </row>
    <row r="1213" spans="1:31" x14ac:dyDescent="0.25">
      <c r="A1213">
        <v>17363</v>
      </c>
      <c r="C1213" t="s">
        <v>1008</v>
      </c>
      <c r="D1213" t="s">
        <v>958</v>
      </c>
      <c r="E1213" t="s">
        <v>486</v>
      </c>
      <c r="F1213" t="s">
        <v>272</v>
      </c>
      <c r="G1213" t="s">
        <v>271</v>
      </c>
      <c r="H1213" t="s">
        <v>270</v>
      </c>
      <c r="I1213" t="s">
        <v>442</v>
      </c>
      <c r="J1213" t="s">
        <v>442</v>
      </c>
      <c r="K1213" s="4">
        <v>46.57</v>
      </c>
      <c r="L1213" s="4">
        <v>46.57</v>
      </c>
      <c r="M1213" t="s">
        <v>44</v>
      </c>
      <c r="N1213" t="s">
        <v>77</v>
      </c>
      <c r="O1213" t="s">
        <v>99</v>
      </c>
      <c r="P1213" t="s">
        <v>274</v>
      </c>
      <c r="Q1213" t="s">
        <v>125</v>
      </c>
      <c r="R1213" t="s">
        <v>273</v>
      </c>
      <c r="S1213" t="s">
        <v>197</v>
      </c>
      <c r="T1213" t="s">
        <v>211</v>
      </c>
      <c r="U1213" t="s">
        <v>163</v>
      </c>
      <c r="V1213" t="s">
        <v>193</v>
      </c>
      <c r="W1213" t="s">
        <v>77</v>
      </c>
      <c r="X1213" t="s">
        <v>44</v>
      </c>
      <c r="Y1213" t="s">
        <v>99</v>
      </c>
      <c r="Z1213" t="s">
        <v>421</v>
      </c>
      <c r="AC1213" t="str">
        <f>IF(AA1213="",M1213,AA1213)</f>
        <v>sim</v>
      </c>
      <c r="AD1213" t="str">
        <f>IF(AB1213="",X1213,AB1213)</f>
        <v>sim</v>
      </c>
      <c r="AE1213" t="str">
        <f>IF(OR(Configuracao!B9="",Configuracao!B10=""),"aguardando limiar",IF(AND(K1213&gt;=Configuracao!B9,K1213/MAX(Reconciliacao!C2,1)&gt;=Configuracao!B10/100),"sim","não"))</f>
        <v>aguardando limiar</v>
      </c>
    </row>
    <row r="1214" spans="1:31" x14ac:dyDescent="0.25">
      <c r="A1214">
        <v>18885</v>
      </c>
      <c r="C1214" t="s">
        <v>1009</v>
      </c>
      <c r="D1214" t="s">
        <v>958</v>
      </c>
      <c r="E1214" t="s">
        <v>74</v>
      </c>
      <c r="F1214" t="s">
        <v>272</v>
      </c>
      <c r="G1214" t="s">
        <v>271</v>
      </c>
      <c r="H1214" t="s">
        <v>270</v>
      </c>
      <c r="I1214" t="s">
        <v>35</v>
      </c>
      <c r="J1214" t="s">
        <v>35</v>
      </c>
      <c r="K1214" s="4">
        <v>46.57</v>
      </c>
      <c r="L1214" s="4">
        <v>46.57</v>
      </c>
      <c r="M1214" t="s">
        <v>166</v>
      </c>
      <c r="N1214" t="s">
        <v>77</v>
      </c>
      <c r="O1214" t="s">
        <v>76</v>
      </c>
      <c r="P1214" t="s">
        <v>187</v>
      </c>
      <c r="Q1214" t="s">
        <v>76</v>
      </c>
      <c r="R1214" t="s">
        <v>76</v>
      </c>
      <c r="S1214" t="s">
        <v>167</v>
      </c>
      <c r="T1214" t="s">
        <v>167</v>
      </c>
      <c r="U1214" t="s">
        <v>168</v>
      </c>
      <c r="V1214" t="s">
        <v>169</v>
      </c>
      <c r="W1214" t="s">
        <v>77</v>
      </c>
      <c r="X1214" t="s">
        <v>44</v>
      </c>
      <c r="Y1214" t="s">
        <v>99</v>
      </c>
      <c r="Z1214" t="s">
        <v>421</v>
      </c>
      <c r="AC1214" t="str">
        <f>IF(AA1214="",M1214,AA1214)</f>
        <v>não</v>
      </c>
      <c r="AD1214" t="str">
        <f>IF(AB1214="",X1214,AB1214)</f>
        <v>sim</v>
      </c>
      <c r="AE1214" t="str">
        <f>IF(OR(Configuracao!B9="",Configuracao!B10=""),"aguardando limiar",IF(AND(K1214&gt;=Configuracao!B9,K1214/MAX(Reconciliacao!C2,1)&gt;=Configuracao!B10/100),"sim","não"))</f>
        <v>aguardando limiar</v>
      </c>
    </row>
    <row r="1215" spans="1:31" x14ac:dyDescent="0.25">
      <c r="A1215">
        <v>17822</v>
      </c>
      <c r="C1215" t="s">
        <v>1010</v>
      </c>
      <c r="D1215" t="s">
        <v>423</v>
      </c>
      <c r="E1215" t="s">
        <v>74</v>
      </c>
      <c r="F1215" t="s">
        <v>272</v>
      </c>
      <c r="G1215" t="s">
        <v>271</v>
      </c>
      <c r="H1215" t="s">
        <v>270</v>
      </c>
      <c r="I1215" t="s">
        <v>439</v>
      </c>
      <c r="J1215" t="s">
        <v>439</v>
      </c>
      <c r="K1215" s="4">
        <v>51</v>
      </c>
      <c r="L1215" s="4">
        <v>51</v>
      </c>
      <c r="M1215" t="s">
        <v>166</v>
      </c>
      <c r="N1215" t="s">
        <v>77</v>
      </c>
      <c r="O1215" t="s">
        <v>76</v>
      </c>
      <c r="P1215" t="s">
        <v>187</v>
      </c>
      <c r="Q1215" t="s">
        <v>76</v>
      </c>
      <c r="R1215" t="s">
        <v>76</v>
      </c>
      <c r="S1215" t="s">
        <v>167</v>
      </c>
      <c r="T1215" t="s">
        <v>167</v>
      </c>
      <c r="U1215" t="s">
        <v>168</v>
      </c>
      <c r="V1215" t="s">
        <v>169</v>
      </c>
      <c r="W1215" t="s">
        <v>77</v>
      </c>
      <c r="X1215" t="s">
        <v>44</v>
      </c>
      <c r="Y1215" t="s">
        <v>99</v>
      </c>
      <c r="Z1215" t="s">
        <v>421</v>
      </c>
      <c r="AC1215" t="str">
        <f>IF(AA1215="",M1215,AA1215)</f>
        <v>não</v>
      </c>
      <c r="AD1215" t="str">
        <f>IF(AB1215="",X1215,AB1215)</f>
        <v>sim</v>
      </c>
      <c r="AE1215" t="str">
        <f>IF(OR(Configuracao!B9="",Configuracao!B10=""),"aguardando limiar",IF(AND(K1215&gt;=Configuracao!B9,K1215/MAX(Reconciliacao!C2,1)&gt;=Configuracao!B10/100),"sim","não"))</f>
        <v>aguardando limiar</v>
      </c>
    </row>
    <row r="1216" spans="1:31" x14ac:dyDescent="0.25">
      <c r="A1216">
        <v>17099</v>
      </c>
      <c r="C1216" t="s">
        <v>1011</v>
      </c>
      <c r="D1216" t="s">
        <v>1012</v>
      </c>
      <c r="E1216" t="s">
        <v>74</v>
      </c>
      <c r="F1216" t="s">
        <v>272</v>
      </c>
      <c r="G1216" t="s">
        <v>271</v>
      </c>
      <c r="H1216" t="s">
        <v>270</v>
      </c>
      <c r="I1216" t="s">
        <v>442</v>
      </c>
      <c r="J1216" t="s">
        <v>442</v>
      </c>
      <c r="K1216" s="4">
        <v>65.72</v>
      </c>
      <c r="L1216" s="4">
        <v>65.72</v>
      </c>
      <c r="M1216" t="s">
        <v>166</v>
      </c>
      <c r="N1216" t="s">
        <v>77</v>
      </c>
      <c r="O1216" t="s">
        <v>76</v>
      </c>
      <c r="P1216" t="s">
        <v>187</v>
      </c>
      <c r="Q1216" t="s">
        <v>76</v>
      </c>
      <c r="R1216" t="s">
        <v>76</v>
      </c>
      <c r="S1216" t="s">
        <v>167</v>
      </c>
      <c r="T1216" t="s">
        <v>167</v>
      </c>
      <c r="U1216" t="s">
        <v>168</v>
      </c>
      <c r="V1216" t="s">
        <v>169</v>
      </c>
      <c r="W1216" t="s">
        <v>77</v>
      </c>
      <c r="X1216" t="s">
        <v>44</v>
      </c>
      <c r="Y1216" t="s">
        <v>99</v>
      </c>
      <c r="Z1216" t="s">
        <v>421</v>
      </c>
      <c r="AC1216" t="str">
        <f>IF(AA1216="",M1216,AA1216)</f>
        <v>não</v>
      </c>
      <c r="AD1216" t="str">
        <f>IF(AB1216="",X1216,AB1216)</f>
        <v>sim</v>
      </c>
      <c r="AE1216" t="str">
        <f>IF(OR(Configuracao!B9="",Configuracao!B10=""),"aguardando limiar",IF(AND(K1216&gt;=Configuracao!B9,K1216/MAX(Reconciliacao!C2,1)&gt;=Configuracao!B10/100),"sim","não"))</f>
        <v>aguardando limiar</v>
      </c>
    </row>
    <row r="1217" spans="1:31" x14ac:dyDescent="0.25">
      <c r="A1217">
        <v>17438</v>
      </c>
      <c r="C1217" t="s">
        <v>1011</v>
      </c>
      <c r="D1217" t="s">
        <v>1012</v>
      </c>
      <c r="E1217" t="s">
        <v>74</v>
      </c>
      <c r="F1217" t="s">
        <v>272</v>
      </c>
      <c r="G1217" t="s">
        <v>271</v>
      </c>
      <c r="H1217" t="s">
        <v>270</v>
      </c>
      <c r="I1217" t="s">
        <v>442</v>
      </c>
      <c r="J1217" t="s">
        <v>442</v>
      </c>
      <c r="K1217" s="4">
        <v>65.72</v>
      </c>
      <c r="L1217" s="4">
        <v>65.72</v>
      </c>
      <c r="M1217" t="s">
        <v>166</v>
      </c>
      <c r="N1217" t="s">
        <v>77</v>
      </c>
      <c r="O1217" t="s">
        <v>76</v>
      </c>
      <c r="P1217" t="s">
        <v>187</v>
      </c>
      <c r="Q1217" t="s">
        <v>76</v>
      </c>
      <c r="R1217" t="s">
        <v>76</v>
      </c>
      <c r="S1217" t="s">
        <v>167</v>
      </c>
      <c r="T1217" t="s">
        <v>167</v>
      </c>
      <c r="U1217" t="s">
        <v>168</v>
      </c>
      <c r="V1217" t="s">
        <v>169</v>
      </c>
      <c r="W1217" t="s">
        <v>77</v>
      </c>
      <c r="X1217" t="s">
        <v>44</v>
      </c>
      <c r="Y1217" t="s">
        <v>99</v>
      </c>
      <c r="Z1217" t="s">
        <v>421</v>
      </c>
      <c r="AC1217" t="str">
        <f>IF(AA1217="",M1217,AA1217)</f>
        <v>não</v>
      </c>
      <c r="AD1217" t="str">
        <f>IF(AB1217="",X1217,AB1217)</f>
        <v>sim</v>
      </c>
      <c r="AE1217" t="str">
        <f>IF(OR(Configuracao!B9="",Configuracao!B10=""),"aguardando limiar",IF(AND(K1217&gt;=Configuracao!B9,K1217/MAX(Reconciliacao!C2,1)&gt;=Configuracao!B10/100),"sim","não"))</f>
        <v>aguardando limiar</v>
      </c>
    </row>
    <row r="1218" spans="1:31" x14ac:dyDescent="0.25">
      <c r="A1218">
        <v>12842</v>
      </c>
      <c r="C1218" t="s">
        <v>961</v>
      </c>
      <c r="D1218" t="s">
        <v>962</v>
      </c>
      <c r="E1218" t="s">
        <v>74</v>
      </c>
      <c r="F1218" t="s">
        <v>272</v>
      </c>
      <c r="G1218" t="s">
        <v>271</v>
      </c>
      <c r="H1218" t="s">
        <v>270</v>
      </c>
      <c r="I1218" t="s">
        <v>420</v>
      </c>
      <c r="J1218" t="s">
        <v>420</v>
      </c>
      <c r="K1218" s="4">
        <v>66.14</v>
      </c>
      <c r="L1218" s="4">
        <v>66.14</v>
      </c>
      <c r="M1218" t="s">
        <v>166</v>
      </c>
      <c r="N1218" t="s">
        <v>77</v>
      </c>
      <c r="O1218" t="s">
        <v>76</v>
      </c>
      <c r="P1218" t="s">
        <v>187</v>
      </c>
      <c r="Q1218" t="s">
        <v>76</v>
      </c>
      <c r="R1218" t="s">
        <v>76</v>
      </c>
      <c r="S1218" t="s">
        <v>167</v>
      </c>
      <c r="T1218" t="s">
        <v>167</v>
      </c>
      <c r="U1218" t="s">
        <v>168</v>
      </c>
      <c r="V1218" t="s">
        <v>169</v>
      </c>
      <c r="W1218" t="s">
        <v>77</v>
      </c>
      <c r="X1218" t="s">
        <v>44</v>
      </c>
      <c r="Y1218" t="s">
        <v>99</v>
      </c>
      <c r="Z1218" t="s">
        <v>421</v>
      </c>
      <c r="AC1218" t="str">
        <f>IF(AA1218="",M1218,AA1218)</f>
        <v>não</v>
      </c>
      <c r="AD1218" t="str">
        <f>IF(AB1218="",X1218,AB1218)</f>
        <v>sim</v>
      </c>
      <c r="AE1218" t="str">
        <f>IF(OR(Configuracao!B9="",Configuracao!B10=""),"aguardando limiar",IF(AND(K1218&gt;=Configuracao!B9,K1218/MAX(Reconciliacao!C2,1)&gt;=Configuracao!B10/100),"sim","não"))</f>
        <v>aguardando limiar</v>
      </c>
    </row>
    <row r="1219" spans="1:31" x14ac:dyDescent="0.25">
      <c r="A1219">
        <v>18709</v>
      </c>
      <c r="C1219" t="s">
        <v>1013</v>
      </c>
      <c r="D1219" t="s">
        <v>958</v>
      </c>
      <c r="E1219" t="s">
        <v>486</v>
      </c>
      <c r="F1219" t="s">
        <v>272</v>
      </c>
      <c r="G1219" t="s">
        <v>271</v>
      </c>
      <c r="H1219" t="s">
        <v>270</v>
      </c>
      <c r="I1219" t="s">
        <v>35</v>
      </c>
      <c r="J1219" t="s">
        <v>35</v>
      </c>
      <c r="K1219" s="4">
        <v>71.5</v>
      </c>
      <c r="L1219" s="4">
        <v>71.5</v>
      </c>
      <c r="M1219" t="s">
        <v>44</v>
      </c>
      <c r="N1219" t="s">
        <v>77</v>
      </c>
      <c r="O1219" t="s">
        <v>99</v>
      </c>
      <c r="P1219" t="s">
        <v>274</v>
      </c>
      <c r="Q1219" t="s">
        <v>125</v>
      </c>
      <c r="R1219" t="s">
        <v>273</v>
      </c>
      <c r="S1219" t="s">
        <v>197</v>
      </c>
      <c r="T1219" t="s">
        <v>211</v>
      </c>
      <c r="U1219" t="s">
        <v>163</v>
      </c>
      <c r="V1219" t="s">
        <v>193</v>
      </c>
      <c r="W1219" t="s">
        <v>77</v>
      </c>
      <c r="X1219" t="s">
        <v>44</v>
      </c>
      <c r="Y1219" t="s">
        <v>99</v>
      </c>
      <c r="Z1219" t="s">
        <v>421</v>
      </c>
      <c r="AC1219" t="str">
        <f>IF(AA1219="",M1219,AA1219)</f>
        <v>sim</v>
      </c>
      <c r="AD1219" t="str">
        <f>IF(AB1219="",X1219,AB1219)</f>
        <v>sim</v>
      </c>
      <c r="AE1219" t="str">
        <f>IF(OR(Configuracao!B9="",Configuracao!B10=""),"aguardando limiar",IF(AND(K1219&gt;=Configuracao!B9,K1219/MAX(Reconciliacao!C2,1)&gt;=Configuracao!B10/100),"sim","não"))</f>
        <v>aguardando limiar</v>
      </c>
    </row>
    <row r="1220" spans="1:31" x14ac:dyDescent="0.25">
      <c r="A1220">
        <v>12616</v>
      </c>
      <c r="C1220" t="s">
        <v>1014</v>
      </c>
      <c r="D1220" t="s">
        <v>975</v>
      </c>
      <c r="E1220" t="s">
        <v>74</v>
      </c>
      <c r="F1220" t="s">
        <v>272</v>
      </c>
      <c r="G1220" t="s">
        <v>271</v>
      </c>
      <c r="H1220" t="s">
        <v>270</v>
      </c>
      <c r="I1220" t="s">
        <v>420</v>
      </c>
      <c r="J1220" t="s">
        <v>420</v>
      </c>
      <c r="K1220" s="4">
        <v>73.24</v>
      </c>
      <c r="L1220" s="4">
        <v>73.24</v>
      </c>
      <c r="M1220" t="s">
        <v>166</v>
      </c>
      <c r="N1220" t="s">
        <v>77</v>
      </c>
      <c r="O1220" t="s">
        <v>76</v>
      </c>
      <c r="P1220" t="s">
        <v>187</v>
      </c>
      <c r="Q1220" t="s">
        <v>76</v>
      </c>
      <c r="R1220" t="s">
        <v>76</v>
      </c>
      <c r="S1220" t="s">
        <v>167</v>
      </c>
      <c r="T1220" t="s">
        <v>167</v>
      </c>
      <c r="U1220" t="s">
        <v>168</v>
      </c>
      <c r="V1220" t="s">
        <v>169</v>
      </c>
      <c r="W1220" t="s">
        <v>77</v>
      </c>
      <c r="X1220" t="s">
        <v>44</v>
      </c>
      <c r="Y1220" t="s">
        <v>99</v>
      </c>
      <c r="Z1220" t="s">
        <v>421</v>
      </c>
      <c r="AC1220" t="str">
        <f>IF(AA1220="",M1220,AA1220)</f>
        <v>não</v>
      </c>
      <c r="AD1220" t="str">
        <f>IF(AB1220="",X1220,AB1220)</f>
        <v>sim</v>
      </c>
      <c r="AE1220" t="str">
        <f>IF(OR(Configuracao!B9="",Configuracao!B10=""),"aguardando limiar",IF(AND(K1220&gt;=Configuracao!B9,K1220/MAX(Reconciliacao!C2,1)&gt;=Configuracao!B10/100),"sim","não"))</f>
        <v>aguardando limiar</v>
      </c>
    </row>
    <row r="1221" spans="1:31" x14ac:dyDescent="0.25">
      <c r="A1221">
        <v>11566</v>
      </c>
      <c r="C1221" t="s">
        <v>1015</v>
      </c>
      <c r="D1221" t="s">
        <v>958</v>
      </c>
      <c r="E1221" t="s">
        <v>477</v>
      </c>
      <c r="F1221" t="s">
        <v>272</v>
      </c>
      <c r="G1221" t="s">
        <v>271</v>
      </c>
      <c r="H1221" t="s">
        <v>270</v>
      </c>
      <c r="I1221" t="s">
        <v>32</v>
      </c>
      <c r="J1221" t="s">
        <v>32</v>
      </c>
      <c r="K1221" s="4">
        <v>74.04</v>
      </c>
      <c r="L1221" s="4">
        <v>74.04</v>
      </c>
      <c r="M1221" t="s">
        <v>44</v>
      </c>
      <c r="N1221" t="s">
        <v>77</v>
      </c>
      <c r="O1221" t="s">
        <v>99</v>
      </c>
      <c r="P1221" t="s">
        <v>274</v>
      </c>
      <c r="Q1221" t="s">
        <v>125</v>
      </c>
      <c r="R1221" t="s">
        <v>273</v>
      </c>
      <c r="S1221" t="s">
        <v>197</v>
      </c>
      <c r="T1221" t="s">
        <v>211</v>
      </c>
      <c r="U1221" t="s">
        <v>163</v>
      </c>
      <c r="V1221" t="s">
        <v>193</v>
      </c>
      <c r="W1221" t="s">
        <v>77</v>
      </c>
      <c r="X1221" t="s">
        <v>44</v>
      </c>
      <c r="Y1221" t="s">
        <v>99</v>
      </c>
      <c r="Z1221" t="s">
        <v>421</v>
      </c>
      <c r="AC1221" t="str">
        <f>IF(AA1221="",M1221,AA1221)</f>
        <v>sim</v>
      </c>
      <c r="AD1221" t="str">
        <f>IF(AB1221="",X1221,AB1221)</f>
        <v>sim</v>
      </c>
      <c r="AE1221" t="str">
        <f>IF(OR(Configuracao!B9="",Configuracao!B10=""),"aguardando limiar",IF(AND(K1221&gt;=Configuracao!B9,K1221/MAX(Reconciliacao!C2,1)&gt;=Configuracao!B10/100),"sim","não"))</f>
        <v>aguardando limiar</v>
      </c>
    </row>
    <row r="1222" spans="1:31" x14ac:dyDescent="0.25">
      <c r="A1222">
        <v>11567</v>
      </c>
      <c r="C1222" t="s">
        <v>1016</v>
      </c>
      <c r="D1222" t="s">
        <v>958</v>
      </c>
      <c r="E1222" t="s">
        <v>477</v>
      </c>
      <c r="F1222" t="s">
        <v>272</v>
      </c>
      <c r="G1222" t="s">
        <v>271</v>
      </c>
      <c r="H1222" t="s">
        <v>270</v>
      </c>
      <c r="I1222" t="s">
        <v>32</v>
      </c>
      <c r="J1222" t="s">
        <v>32</v>
      </c>
      <c r="K1222" s="4">
        <v>74.04</v>
      </c>
      <c r="L1222" s="4">
        <v>74.04</v>
      </c>
      <c r="M1222" t="s">
        <v>44</v>
      </c>
      <c r="N1222" t="s">
        <v>77</v>
      </c>
      <c r="O1222" t="s">
        <v>99</v>
      </c>
      <c r="P1222" t="s">
        <v>274</v>
      </c>
      <c r="Q1222" t="s">
        <v>125</v>
      </c>
      <c r="R1222" t="s">
        <v>273</v>
      </c>
      <c r="S1222" t="s">
        <v>197</v>
      </c>
      <c r="T1222" t="s">
        <v>211</v>
      </c>
      <c r="U1222" t="s">
        <v>163</v>
      </c>
      <c r="V1222" t="s">
        <v>193</v>
      </c>
      <c r="W1222" t="s">
        <v>77</v>
      </c>
      <c r="X1222" t="s">
        <v>44</v>
      </c>
      <c r="Y1222" t="s">
        <v>99</v>
      </c>
      <c r="Z1222" t="s">
        <v>421</v>
      </c>
      <c r="AC1222" t="str">
        <f>IF(AA1222="",M1222,AA1222)</f>
        <v>sim</v>
      </c>
      <c r="AD1222" t="str">
        <f>IF(AB1222="",X1222,AB1222)</f>
        <v>sim</v>
      </c>
      <c r="AE1222" t="str">
        <f>IF(OR(Configuracao!B9="",Configuracao!B10=""),"aguardando limiar",IF(AND(K1222&gt;=Configuracao!B9,K1222/MAX(Reconciliacao!C2,1)&gt;=Configuracao!B10/100),"sim","não"))</f>
        <v>aguardando limiar</v>
      </c>
    </row>
    <row r="1223" spans="1:31" x14ac:dyDescent="0.25">
      <c r="A1223">
        <v>12003</v>
      </c>
      <c r="C1223" t="s">
        <v>1017</v>
      </c>
      <c r="D1223" t="s">
        <v>958</v>
      </c>
      <c r="E1223" t="s">
        <v>74</v>
      </c>
      <c r="F1223" t="s">
        <v>272</v>
      </c>
      <c r="G1223" t="s">
        <v>271</v>
      </c>
      <c r="H1223" t="s">
        <v>270</v>
      </c>
      <c r="I1223" t="s">
        <v>424</v>
      </c>
      <c r="J1223" t="s">
        <v>424</v>
      </c>
      <c r="K1223" s="4">
        <v>76.84</v>
      </c>
      <c r="L1223" s="4">
        <v>76.84</v>
      </c>
      <c r="M1223" t="s">
        <v>166</v>
      </c>
      <c r="N1223" t="s">
        <v>77</v>
      </c>
      <c r="O1223" t="s">
        <v>76</v>
      </c>
      <c r="P1223" t="s">
        <v>187</v>
      </c>
      <c r="Q1223" t="s">
        <v>76</v>
      </c>
      <c r="R1223" t="s">
        <v>76</v>
      </c>
      <c r="S1223" t="s">
        <v>167</v>
      </c>
      <c r="T1223" t="s">
        <v>167</v>
      </c>
      <c r="U1223" t="s">
        <v>168</v>
      </c>
      <c r="V1223" t="s">
        <v>169</v>
      </c>
      <c r="W1223" t="s">
        <v>77</v>
      </c>
      <c r="X1223" t="s">
        <v>44</v>
      </c>
      <c r="Y1223" t="s">
        <v>99</v>
      </c>
      <c r="Z1223" t="s">
        <v>421</v>
      </c>
      <c r="AC1223" t="str">
        <f>IF(AA1223="",M1223,AA1223)</f>
        <v>não</v>
      </c>
      <c r="AD1223" t="str">
        <f>IF(AB1223="",X1223,AB1223)</f>
        <v>sim</v>
      </c>
      <c r="AE1223" t="str">
        <f>IF(OR(Configuracao!B9="",Configuracao!B10=""),"aguardando limiar",IF(AND(K1223&gt;=Configuracao!B9,K1223/MAX(Reconciliacao!C2,1)&gt;=Configuracao!B10/100),"sim","não"))</f>
        <v>aguardando limiar</v>
      </c>
    </row>
    <row r="1224" spans="1:31" x14ac:dyDescent="0.25">
      <c r="A1224">
        <v>12074</v>
      </c>
      <c r="C1224" t="s">
        <v>1018</v>
      </c>
      <c r="D1224" t="s">
        <v>958</v>
      </c>
      <c r="E1224" t="s">
        <v>74</v>
      </c>
      <c r="F1224" t="s">
        <v>272</v>
      </c>
      <c r="G1224" t="s">
        <v>271</v>
      </c>
      <c r="H1224" t="s">
        <v>270</v>
      </c>
      <c r="I1224" t="s">
        <v>424</v>
      </c>
      <c r="J1224" t="s">
        <v>424</v>
      </c>
      <c r="K1224" s="4">
        <v>76.84</v>
      </c>
      <c r="L1224" s="4">
        <v>76.84</v>
      </c>
      <c r="M1224" t="s">
        <v>166</v>
      </c>
      <c r="N1224" t="s">
        <v>77</v>
      </c>
      <c r="O1224" t="s">
        <v>76</v>
      </c>
      <c r="P1224" t="s">
        <v>187</v>
      </c>
      <c r="Q1224" t="s">
        <v>76</v>
      </c>
      <c r="R1224" t="s">
        <v>76</v>
      </c>
      <c r="S1224" t="s">
        <v>167</v>
      </c>
      <c r="T1224" t="s">
        <v>167</v>
      </c>
      <c r="U1224" t="s">
        <v>168</v>
      </c>
      <c r="V1224" t="s">
        <v>169</v>
      </c>
      <c r="W1224" t="s">
        <v>77</v>
      </c>
      <c r="X1224" t="s">
        <v>44</v>
      </c>
      <c r="Y1224" t="s">
        <v>99</v>
      </c>
      <c r="Z1224" t="s">
        <v>421</v>
      </c>
      <c r="AC1224" t="str">
        <f>IF(AA1224="",M1224,AA1224)</f>
        <v>não</v>
      </c>
      <c r="AD1224" t="str">
        <f>IF(AB1224="",X1224,AB1224)</f>
        <v>sim</v>
      </c>
      <c r="AE1224" t="str">
        <f>IF(OR(Configuracao!B9="",Configuracao!B10=""),"aguardando limiar",IF(AND(K1224&gt;=Configuracao!B9,K1224/MAX(Reconciliacao!C2,1)&gt;=Configuracao!B10/100),"sim","não"))</f>
        <v>aguardando limiar</v>
      </c>
    </row>
    <row r="1225" spans="1:31" x14ac:dyDescent="0.25">
      <c r="A1225">
        <v>12889</v>
      </c>
      <c r="C1225" t="s">
        <v>1019</v>
      </c>
      <c r="D1225" t="s">
        <v>958</v>
      </c>
      <c r="E1225" t="s">
        <v>74</v>
      </c>
      <c r="F1225" t="s">
        <v>272</v>
      </c>
      <c r="G1225" t="s">
        <v>271</v>
      </c>
      <c r="H1225" t="s">
        <v>270</v>
      </c>
      <c r="I1225" t="s">
        <v>420</v>
      </c>
      <c r="J1225" t="s">
        <v>420</v>
      </c>
      <c r="K1225" s="4">
        <v>76.84</v>
      </c>
      <c r="L1225" s="4">
        <v>76.84</v>
      </c>
      <c r="M1225" t="s">
        <v>166</v>
      </c>
      <c r="N1225" t="s">
        <v>77</v>
      </c>
      <c r="O1225" t="s">
        <v>76</v>
      </c>
      <c r="P1225" t="s">
        <v>187</v>
      </c>
      <c r="Q1225" t="s">
        <v>76</v>
      </c>
      <c r="R1225" t="s">
        <v>76</v>
      </c>
      <c r="S1225" t="s">
        <v>167</v>
      </c>
      <c r="T1225" t="s">
        <v>167</v>
      </c>
      <c r="U1225" t="s">
        <v>168</v>
      </c>
      <c r="V1225" t="s">
        <v>169</v>
      </c>
      <c r="W1225" t="s">
        <v>77</v>
      </c>
      <c r="X1225" t="s">
        <v>44</v>
      </c>
      <c r="Y1225" t="s">
        <v>99</v>
      </c>
      <c r="Z1225" t="s">
        <v>421</v>
      </c>
      <c r="AC1225" t="str">
        <f>IF(AA1225="",M1225,AA1225)</f>
        <v>não</v>
      </c>
      <c r="AD1225" t="str">
        <f>IF(AB1225="",X1225,AB1225)</f>
        <v>sim</v>
      </c>
      <c r="AE1225" t="str">
        <f>IF(OR(Configuracao!B9="",Configuracao!B10=""),"aguardando limiar",IF(AND(K1225&gt;=Configuracao!B9,K1225/MAX(Reconciliacao!C2,1)&gt;=Configuracao!B10/100),"sim","não"))</f>
        <v>aguardando limiar</v>
      </c>
    </row>
    <row r="1226" spans="1:31" x14ac:dyDescent="0.25">
      <c r="A1226">
        <v>13400</v>
      </c>
      <c r="C1226" t="s">
        <v>1020</v>
      </c>
      <c r="D1226" t="s">
        <v>958</v>
      </c>
      <c r="E1226" t="s">
        <v>477</v>
      </c>
      <c r="F1226" t="s">
        <v>272</v>
      </c>
      <c r="G1226" t="s">
        <v>271</v>
      </c>
      <c r="H1226" t="s">
        <v>270</v>
      </c>
      <c r="I1226" t="s">
        <v>420</v>
      </c>
      <c r="J1226" t="s">
        <v>420</v>
      </c>
      <c r="K1226" s="4">
        <v>76.84</v>
      </c>
      <c r="L1226" s="4">
        <v>76.84</v>
      </c>
      <c r="M1226" t="s">
        <v>44</v>
      </c>
      <c r="N1226" t="s">
        <v>77</v>
      </c>
      <c r="O1226" t="s">
        <v>99</v>
      </c>
      <c r="P1226" t="s">
        <v>274</v>
      </c>
      <c r="Q1226" t="s">
        <v>125</v>
      </c>
      <c r="R1226" t="s">
        <v>273</v>
      </c>
      <c r="S1226" t="s">
        <v>197</v>
      </c>
      <c r="T1226" t="s">
        <v>211</v>
      </c>
      <c r="U1226" t="s">
        <v>163</v>
      </c>
      <c r="V1226" t="s">
        <v>193</v>
      </c>
      <c r="W1226" t="s">
        <v>77</v>
      </c>
      <c r="X1226" t="s">
        <v>44</v>
      </c>
      <c r="Y1226" t="s">
        <v>99</v>
      </c>
      <c r="Z1226" t="s">
        <v>421</v>
      </c>
      <c r="AC1226" t="str">
        <f>IF(AA1226="",M1226,AA1226)</f>
        <v>sim</v>
      </c>
      <c r="AD1226" t="str">
        <f>IF(AB1226="",X1226,AB1226)</f>
        <v>sim</v>
      </c>
      <c r="AE1226" t="str">
        <f>IF(OR(Configuracao!B9="",Configuracao!B10=""),"aguardando limiar",IF(AND(K1226&gt;=Configuracao!B9,K1226/MAX(Reconciliacao!C2,1)&gt;=Configuracao!B10/100),"sim","não"))</f>
        <v>aguardando limiar</v>
      </c>
    </row>
    <row r="1227" spans="1:31" x14ac:dyDescent="0.25">
      <c r="A1227">
        <v>16279</v>
      </c>
      <c r="C1227" t="s">
        <v>1021</v>
      </c>
      <c r="D1227" t="s">
        <v>958</v>
      </c>
      <c r="E1227" t="s">
        <v>74</v>
      </c>
      <c r="F1227" t="s">
        <v>272</v>
      </c>
      <c r="G1227" t="s">
        <v>271</v>
      </c>
      <c r="H1227" t="s">
        <v>270</v>
      </c>
      <c r="I1227" t="s">
        <v>461</v>
      </c>
      <c r="J1227" t="s">
        <v>461</v>
      </c>
      <c r="K1227" s="4">
        <v>76.84</v>
      </c>
      <c r="L1227" s="4">
        <v>76.84</v>
      </c>
      <c r="M1227" t="s">
        <v>166</v>
      </c>
      <c r="N1227" t="s">
        <v>77</v>
      </c>
      <c r="O1227" t="s">
        <v>76</v>
      </c>
      <c r="P1227" t="s">
        <v>187</v>
      </c>
      <c r="Q1227" t="s">
        <v>76</v>
      </c>
      <c r="R1227" t="s">
        <v>76</v>
      </c>
      <c r="S1227" t="s">
        <v>167</v>
      </c>
      <c r="T1227" t="s">
        <v>167</v>
      </c>
      <c r="U1227" t="s">
        <v>168</v>
      </c>
      <c r="V1227" t="s">
        <v>169</v>
      </c>
      <c r="W1227" t="s">
        <v>77</v>
      </c>
      <c r="X1227" t="s">
        <v>44</v>
      </c>
      <c r="Y1227" t="s">
        <v>99</v>
      </c>
      <c r="Z1227" t="s">
        <v>421</v>
      </c>
      <c r="AC1227" t="str">
        <f>IF(AA1227="",M1227,AA1227)</f>
        <v>não</v>
      </c>
      <c r="AD1227" t="str">
        <f>IF(AB1227="",X1227,AB1227)</f>
        <v>sim</v>
      </c>
      <c r="AE1227" t="str">
        <f>IF(OR(Configuracao!B9="",Configuracao!B10=""),"aguardando limiar",IF(AND(K1227&gt;=Configuracao!B9,K1227/MAX(Reconciliacao!C2,1)&gt;=Configuracao!B10/100),"sim","não"))</f>
        <v>aguardando limiar</v>
      </c>
    </row>
    <row r="1228" spans="1:31" x14ac:dyDescent="0.25">
      <c r="A1228">
        <v>16506</v>
      </c>
      <c r="C1228" t="s">
        <v>988</v>
      </c>
      <c r="D1228" t="s">
        <v>958</v>
      </c>
      <c r="E1228" t="s">
        <v>74</v>
      </c>
      <c r="F1228" t="s">
        <v>272</v>
      </c>
      <c r="G1228" t="s">
        <v>271</v>
      </c>
      <c r="H1228" t="s">
        <v>270</v>
      </c>
      <c r="I1228" t="s">
        <v>461</v>
      </c>
      <c r="J1228" t="s">
        <v>461</v>
      </c>
      <c r="K1228" s="4">
        <v>76.84</v>
      </c>
      <c r="L1228" s="4">
        <v>76.84</v>
      </c>
      <c r="M1228" t="s">
        <v>166</v>
      </c>
      <c r="N1228" t="s">
        <v>77</v>
      </c>
      <c r="O1228" t="s">
        <v>76</v>
      </c>
      <c r="P1228" t="s">
        <v>187</v>
      </c>
      <c r="Q1228" t="s">
        <v>76</v>
      </c>
      <c r="R1228" t="s">
        <v>76</v>
      </c>
      <c r="S1228" t="s">
        <v>167</v>
      </c>
      <c r="T1228" t="s">
        <v>167</v>
      </c>
      <c r="U1228" t="s">
        <v>168</v>
      </c>
      <c r="V1228" t="s">
        <v>169</v>
      </c>
      <c r="W1228" t="s">
        <v>77</v>
      </c>
      <c r="X1228" t="s">
        <v>44</v>
      </c>
      <c r="Y1228" t="s">
        <v>99</v>
      </c>
      <c r="Z1228" t="s">
        <v>421</v>
      </c>
      <c r="AC1228" t="str">
        <f>IF(AA1228="",M1228,AA1228)</f>
        <v>não</v>
      </c>
      <c r="AD1228" t="str">
        <f>IF(AB1228="",X1228,AB1228)</f>
        <v>sim</v>
      </c>
      <c r="AE1228" t="str">
        <f>IF(OR(Configuracao!B9="",Configuracao!B10=""),"aguardando limiar",IF(AND(K1228&gt;=Configuracao!B9,K1228/MAX(Reconciliacao!C2,1)&gt;=Configuracao!B10/100),"sim","não"))</f>
        <v>aguardando limiar</v>
      </c>
    </row>
    <row r="1229" spans="1:31" x14ac:dyDescent="0.25">
      <c r="A1229">
        <v>17100</v>
      </c>
      <c r="C1229" t="s">
        <v>1022</v>
      </c>
      <c r="D1229" t="s">
        <v>958</v>
      </c>
      <c r="E1229" t="s">
        <v>74</v>
      </c>
      <c r="F1229" t="s">
        <v>272</v>
      </c>
      <c r="G1229" t="s">
        <v>271</v>
      </c>
      <c r="H1229" t="s">
        <v>270</v>
      </c>
      <c r="I1229" t="s">
        <v>442</v>
      </c>
      <c r="J1229" t="s">
        <v>442</v>
      </c>
      <c r="K1229" s="4">
        <v>76.84</v>
      </c>
      <c r="L1229" s="4">
        <v>76.84</v>
      </c>
      <c r="M1229" t="s">
        <v>166</v>
      </c>
      <c r="N1229" t="s">
        <v>77</v>
      </c>
      <c r="O1229" t="s">
        <v>76</v>
      </c>
      <c r="P1229" t="s">
        <v>187</v>
      </c>
      <c r="Q1229" t="s">
        <v>76</v>
      </c>
      <c r="R1229" t="s">
        <v>76</v>
      </c>
      <c r="S1229" t="s">
        <v>167</v>
      </c>
      <c r="T1229" t="s">
        <v>167</v>
      </c>
      <c r="U1229" t="s">
        <v>168</v>
      </c>
      <c r="V1229" t="s">
        <v>169</v>
      </c>
      <c r="W1229" t="s">
        <v>77</v>
      </c>
      <c r="X1229" t="s">
        <v>44</v>
      </c>
      <c r="Y1229" t="s">
        <v>99</v>
      </c>
      <c r="Z1229" t="s">
        <v>421</v>
      </c>
      <c r="AC1229" t="str">
        <f>IF(AA1229="",M1229,AA1229)</f>
        <v>não</v>
      </c>
      <c r="AD1229" t="str">
        <f>IF(AB1229="",X1229,AB1229)</f>
        <v>sim</v>
      </c>
      <c r="AE1229" t="str">
        <f>IF(OR(Configuracao!B9="",Configuracao!B10=""),"aguardando limiar",IF(AND(K1229&gt;=Configuracao!B9,K1229/MAX(Reconciliacao!C2,1)&gt;=Configuracao!B10/100),"sim","não"))</f>
        <v>aguardando limiar</v>
      </c>
    </row>
    <row r="1230" spans="1:31" x14ac:dyDescent="0.25">
      <c r="A1230">
        <v>17437</v>
      </c>
      <c r="C1230" t="s">
        <v>1023</v>
      </c>
      <c r="D1230" t="s">
        <v>958</v>
      </c>
      <c r="E1230" t="s">
        <v>486</v>
      </c>
      <c r="F1230" t="s">
        <v>272</v>
      </c>
      <c r="G1230" t="s">
        <v>271</v>
      </c>
      <c r="H1230" t="s">
        <v>270</v>
      </c>
      <c r="I1230" t="s">
        <v>442</v>
      </c>
      <c r="J1230" t="s">
        <v>442</v>
      </c>
      <c r="K1230" s="4">
        <v>76.84</v>
      </c>
      <c r="L1230" s="4">
        <v>76.84</v>
      </c>
      <c r="M1230" t="s">
        <v>44</v>
      </c>
      <c r="N1230" t="s">
        <v>77</v>
      </c>
      <c r="O1230" t="s">
        <v>99</v>
      </c>
      <c r="P1230" t="s">
        <v>274</v>
      </c>
      <c r="Q1230" t="s">
        <v>125</v>
      </c>
      <c r="R1230" t="s">
        <v>273</v>
      </c>
      <c r="S1230" t="s">
        <v>197</v>
      </c>
      <c r="T1230" t="s">
        <v>211</v>
      </c>
      <c r="U1230" t="s">
        <v>163</v>
      </c>
      <c r="V1230" t="s">
        <v>193</v>
      </c>
      <c r="W1230" t="s">
        <v>77</v>
      </c>
      <c r="X1230" t="s">
        <v>44</v>
      </c>
      <c r="Y1230" t="s">
        <v>99</v>
      </c>
      <c r="Z1230" t="s">
        <v>421</v>
      </c>
      <c r="AC1230" t="str">
        <f>IF(AA1230="",M1230,AA1230)</f>
        <v>sim</v>
      </c>
      <c r="AD1230" t="str">
        <f>IF(AB1230="",X1230,AB1230)</f>
        <v>sim</v>
      </c>
      <c r="AE1230" t="str">
        <f>IF(OR(Configuracao!B9="",Configuracao!B10=""),"aguardando limiar",IF(AND(K1230&gt;=Configuracao!B9,K1230/MAX(Reconciliacao!C2,1)&gt;=Configuracao!B10/100),"sim","não"))</f>
        <v>aguardando limiar</v>
      </c>
    </row>
    <row r="1231" spans="1:31" x14ac:dyDescent="0.25">
      <c r="A1231">
        <v>17565</v>
      </c>
      <c r="C1231" t="s">
        <v>1004</v>
      </c>
      <c r="D1231" t="s">
        <v>992</v>
      </c>
      <c r="E1231" t="s">
        <v>74</v>
      </c>
      <c r="F1231" t="s">
        <v>272</v>
      </c>
      <c r="G1231" t="s">
        <v>271</v>
      </c>
      <c r="H1231" t="s">
        <v>270</v>
      </c>
      <c r="I1231" t="s">
        <v>442</v>
      </c>
      <c r="J1231" t="s">
        <v>442</v>
      </c>
      <c r="K1231" s="4">
        <v>77.78</v>
      </c>
      <c r="L1231" s="4">
        <v>77.78</v>
      </c>
      <c r="M1231" t="s">
        <v>166</v>
      </c>
      <c r="N1231" t="s">
        <v>77</v>
      </c>
      <c r="O1231" t="s">
        <v>76</v>
      </c>
      <c r="P1231" t="s">
        <v>187</v>
      </c>
      <c r="Q1231" t="s">
        <v>76</v>
      </c>
      <c r="R1231" t="s">
        <v>76</v>
      </c>
      <c r="S1231" t="s">
        <v>167</v>
      </c>
      <c r="T1231" t="s">
        <v>167</v>
      </c>
      <c r="U1231" t="s">
        <v>168</v>
      </c>
      <c r="V1231" t="s">
        <v>169</v>
      </c>
      <c r="W1231" t="s">
        <v>77</v>
      </c>
      <c r="X1231" t="s">
        <v>44</v>
      </c>
      <c r="Y1231" t="s">
        <v>99</v>
      </c>
      <c r="Z1231" t="s">
        <v>421</v>
      </c>
      <c r="AC1231" t="str">
        <f>IF(AA1231="",M1231,AA1231)</f>
        <v>não</v>
      </c>
      <c r="AD1231" t="str">
        <f>IF(AB1231="",X1231,AB1231)</f>
        <v>sim</v>
      </c>
      <c r="AE1231" t="str">
        <f>IF(OR(Configuracao!B9="",Configuracao!B10=""),"aguardando limiar",IF(AND(K1231&gt;=Configuracao!B9,K1231/MAX(Reconciliacao!C2,1)&gt;=Configuracao!B10/100),"sim","não"))</f>
        <v>aguardando limiar</v>
      </c>
    </row>
    <row r="1232" spans="1:31" x14ac:dyDescent="0.25">
      <c r="A1232">
        <v>18475</v>
      </c>
      <c r="C1232" t="s">
        <v>1005</v>
      </c>
      <c r="D1232" t="s">
        <v>992</v>
      </c>
      <c r="E1232" t="s">
        <v>74</v>
      </c>
      <c r="F1232" t="s">
        <v>272</v>
      </c>
      <c r="G1232" t="s">
        <v>271</v>
      </c>
      <c r="H1232" t="s">
        <v>270</v>
      </c>
      <c r="I1232" t="s">
        <v>439</v>
      </c>
      <c r="J1232" t="s">
        <v>439</v>
      </c>
      <c r="K1232" s="4">
        <v>77.8</v>
      </c>
      <c r="L1232" s="4">
        <v>77.8</v>
      </c>
      <c r="M1232" t="s">
        <v>166</v>
      </c>
      <c r="N1232" t="s">
        <v>77</v>
      </c>
      <c r="O1232" t="s">
        <v>76</v>
      </c>
      <c r="P1232" t="s">
        <v>187</v>
      </c>
      <c r="Q1232" t="s">
        <v>76</v>
      </c>
      <c r="R1232" t="s">
        <v>76</v>
      </c>
      <c r="S1232" t="s">
        <v>167</v>
      </c>
      <c r="T1232" t="s">
        <v>167</v>
      </c>
      <c r="U1232" t="s">
        <v>168</v>
      </c>
      <c r="V1232" t="s">
        <v>169</v>
      </c>
      <c r="W1232" t="s">
        <v>77</v>
      </c>
      <c r="X1232" t="s">
        <v>44</v>
      </c>
      <c r="Y1232" t="s">
        <v>99</v>
      </c>
      <c r="Z1232" t="s">
        <v>421</v>
      </c>
      <c r="AC1232" t="str">
        <f>IF(AA1232="",M1232,AA1232)</f>
        <v>não</v>
      </c>
      <c r="AD1232" t="str">
        <f>IF(AB1232="",X1232,AB1232)</f>
        <v>sim</v>
      </c>
      <c r="AE1232" t="str">
        <f>IF(OR(Configuracao!B9="",Configuracao!B10=""),"aguardando limiar",IF(AND(K1232&gt;=Configuracao!B9,K1232/MAX(Reconciliacao!C2,1)&gt;=Configuracao!B10/100),"sim","não"))</f>
        <v>aguardando limiar</v>
      </c>
    </row>
    <row r="1233" spans="1:31" x14ac:dyDescent="0.25">
      <c r="A1233">
        <v>12890</v>
      </c>
      <c r="C1233" t="s">
        <v>1024</v>
      </c>
      <c r="D1233" t="s">
        <v>1025</v>
      </c>
      <c r="E1233" t="s">
        <v>74</v>
      </c>
      <c r="F1233" t="s">
        <v>272</v>
      </c>
      <c r="G1233" t="s">
        <v>271</v>
      </c>
      <c r="H1233" t="s">
        <v>270</v>
      </c>
      <c r="I1233" t="s">
        <v>420</v>
      </c>
      <c r="J1233" t="s">
        <v>420</v>
      </c>
      <c r="K1233" s="4">
        <v>80.03</v>
      </c>
      <c r="L1233" s="4">
        <v>80.03</v>
      </c>
      <c r="M1233" t="s">
        <v>166</v>
      </c>
      <c r="N1233" t="s">
        <v>77</v>
      </c>
      <c r="O1233" t="s">
        <v>76</v>
      </c>
      <c r="P1233" t="s">
        <v>187</v>
      </c>
      <c r="Q1233" t="s">
        <v>76</v>
      </c>
      <c r="R1233" t="s">
        <v>76</v>
      </c>
      <c r="S1233" t="s">
        <v>167</v>
      </c>
      <c r="T1233" t="s">
        <v>167</v>
      </c>
      <c r="U1233" t="s">
        <v>168</v>
      </c>
      <c r="V1233" t="s">
        <v>169</v>
      </c>
      <c r="W1233" t="s">
        <v>77</v>
      </c>
      <c r="X1233" t="s">
        <v>44</v>
      </c>
      <c r="Y1233" t="s">
        <v>99</v>
      </c>
      <c r="Z1233" t="s">
        <v>421</v>
      </c>
      <c r="AC1233" t="str">
        <f>IF(AA1233="",M1233,AA1233)</f>
        <v>não</v>
      </c>
      <c r="AD1233" t="str">
        <f>IF(AB1233="",X1233,AB1233)</f>
        <v>sim</v>
      </c>
      <c r="AE1233" t="str">
        <f>IF(OR(Configuracao!B9="",Configuracao!B10=""),"aguardando limiar",IF(AND(K1233&gt;=Configuracao!B9,K1233/MAX(Reconciliacao!C2,1)&gt;=Configuracao!B10/100),"sim","não"))</f>
        <v>aguardando limiar</v>
      </c>
    </row>
    <row r="1234" spans="1:31" x14ac:dyDescent="0.25">
      <c r="A1234">
        <v>16276</v>
      </c>
      <c r="C1234" t="s">
        <v>959</v>
      </c>
      <c r="D1234" t="s">
        <v>960</v>
      </c>
      <c r="E1234" t="s">
        <v>74</v>
      </c>
      <c r="F1234" t="s">
        <v>272</v>
      </c>
      <c r="G1234" t="s">
        <v>271</v>
      </c>
      <c r="H1234" t="s">
        <v>270</v>
      </c>
      <c r="I1234" t="s">
        <v>461</v>
      </c>
      <c r="J1234" t="s">
        <v>461</v>
      </c>
      <c r="K1234" s="4">
        <v>82.02</v>
      </c>
      <c r="L1234" s="4">
        <v>82.02</v>
      </c>
      <c r="M1234" t="s">
        <v>166</v>
      </c>
      <c r="N1234" t="s">
        <v>77</v>
      </c>
      <c r="O1234" t="s">
        <v>76</v>
      </c>
      <c r="P1234" t="s">
        <v>187</v>
      </c>
      <c r="Q1234" t="s">
        <v>76</v>
      </c>
      <c r="R1234" t="s">
        <v>76</v>
      </c>
      <c r="S1234" t="s">
        <v>167</v>
      </c>
      <c r="T1234" t="s">
        <v>167</v>
      </c>
      <c r="U1234" t="s">
        <v>168</v>
      </c>
      <c r="V1234" t="s">
        <v>169</v>
      </c>
      <c r="W1234" t="s">
        <v>77</v>
      </c>
      <c r="X1234" t="s">
        <v>44</v>
      </c>
      <c r="Y1234" t="s">
        <v>99</v>
      </c>
      <c r="Z1234" t="s">
        <v>421</v>
      </c>
      <c r="AC1234" t="str">
        <f>IF(AA1234="",M1234,AA1234)</f>
        <v>não</v>
      </c>
      <c r="AD1234" t="str">
        <f>IF(AB1234="",X1234,AB1234)</f>
        <v>sim</v>
      </c>
      <c r="AE1234" t="str">
        <f>IF(OR(Configuracao!B9="",Configuracao!B10=""),"aguardando limiar",IF(AND(K1234&gt;=Configuracao!B9,K1234/MAX(Reconciliacao!C2,1)&gt;=Configuracao!B10/100),"sim","não"))</f>
        <v>aguardando limiar</v>
      </c>
    </row>
    <row r="1235" spans="1:31" x14ac:dyDescent="0.25">
      <c r="A1235">
        <v>16277</v>
      </c>
      <c r="C1235" t="s">
        <v>1026</v>
      </c>
      <c r="D1235" t="s">
        <v>964</v>
      </c>
      <c r="E1235" t="s">
        <v>74</v>
      </c>
      <c r="F1235" t="s">
        <v>272</v>
      </c>
      <c r="G1235" t="s">
        <v>271</v>
      </c>
      <c r="H1235" t="s">
        <v>270</v>
      </c>
      <c r="I1235" t="s">
        <v>461</v>
      </c>
      <c r="J1235" t="s">
        <v>461</v>
      </c>
      <c r="K1235" s="4">
        <v>88.06</v>
      </c>
      <c r="L1235" s="4">
        <v>88.06</v>
      </c>
      <c r="M1235" t="s">
        <v>166</v>
      </c>
      <c r="N1235" t="s">
        <v>77</v>
      </c>
      <c r="O1235" t="s">
        <v>76</v>
      </c>
      <c r="P1235" t="s">
        <v>187</v>
      </c>
      <c r="Q1235" t="s">
        <v>76</v>
      </c>
      <c r="R1235" t="s">
        <v>76</v>
      </c>
      <c r="S1235" t="s">
        <v>167</v>
      </c>
      <c r="T1235" t="s">
        <v>167</v>
      </c>
      <c r="U1235" t="s">
        <v>168</v>
      </c>
      <c r="V1235" t="s">
        <v>169</v>
      </c>
      <c r="W1235" t="s">
        <v>77</v>
      </c>
      <c r="X1235" t="s">
        <v>44</v>
      </c>
      <c r="Y1235" t="s">
        <v>99</v>
      </c>
      <c r="Z1235" t="s">
        <v>421</v>
      </c>
      <c r="AC1235" t="str">
        <f>IF(AA1235="",M1235,AA1235)</f>
        <v>não</v>
      </c>
      <c r="AD1235" t="str">
        <f>IF(AB1235="",X1235,AB1235)</f>
        <v>sim</v>
      </c>
      <c r="AE1235" t="str">
        <f>IF(OR(Configuracao!B9="",Configuracao!B10=""),"aguardando limiar",IF(AND(K1235&gt;=Configuracao!B9,K1235/MAX(Reconciliacao!C2,1)&gt;=Configuracao!B10/100),"sim","não"))</f>
        <v>aguardando limiar</v>
      </c>
    </row>
    <row r="1236" spans="1:31" x14ac:dyDescent="0.25">
      <c r="A1236">
        <v>16775</v>
      </c>
      <c r="C1236" t="s">
        <v>1027</v>
      </c>
      <c r="D1236" t="s">
        <v>970</v>
      </c>
      <c r="E1236" t="s">
        <v>74</v>
      </c>
      <c r="F1236" t="s">
        <v>272</v>
      </c>
      <c r="G1236" t="s">
        <v>271</v>
      </c>
      <c r="H1236" t="s">
        <v>270</v>
      </c>
      <c r="I1236" t="s">
        <v>461</v>
      </c>
      <c r="J1236" t="s">
        <v>461</v>
      </c>
      <c r="K1236" s="4">
        <v>91.74</v>
      </c>
      <c r="L1236" s="4">
        <v>91.74</v>
      </c>
      <c r="M1236" t="s">
        <v>166</v>
      </c>
      <c r="N1236" t="s">
        <v>77</v>
      </c>
      <c r="O1236" t="s">
        <v>76</v>
      </c>
      <c r="P1236" t="s">
        <v>187</v>
      </c>
      <c r="Q1236" t="s">
        <v>76</v>
      </c>
      <c r="R1236" t="s">
        <v>76</v>
      </c>
      <c r="S1236" t="s">
        <v>167</v>
      </c>
      <c r="T1236" t="s">
        <v>167</v>
      </c>
      <c r="U1236" t="s">
        <v>168</v>
      </c>
      <c r="V1236" t="s">
        <v>169</v>
      </c>
      <c r="W1236" t="s">
        <v>77</v>
      </c>
      <c r="X1236" t="s">
        <v>44</v>
      </c>
      <c r="Y1236" t="s">
        <v>99</v>
      </c>
      <c r="Z1236" t="s">
        <v>421</v>
      </c>
      <c r="AC1236" t="str">
        <f>IF(AA1236="",M1236,AA1236)</f>
        <v>não</v>
      </c>
      <c r="AD1236" t="str">
        <f>IF(AB1236="",X1236,AB1236)</f>
        <v>sim</v>
      </c>
      <c r="AE1236" t="str">
        <f>IF(OR(Configuracao!B9="",Configuracao!B10=""),"aguardando limiar",IF(AND(K1236&gt;=Configuracao!B9,K1236/MAX(Reconciliacao!C2,1)&gt;=Configuracao!B10/100),"sim","não"))</f>
        <v>aguardando limiar</v>
      </c>
    </row>
    <row r="1237" spans="1:31" x14ac:dyDescent="0.25">
      <c r="A1237">
        <v>19043</v>
      </c>
      <c r="C1237" t="s">
        <v>1028</v>
      </c>
      <c r="D1237" t="s">
        <v>1029</v>
      </c>
      <c r="E1237" t="s">
        <v>486</v>
      </c>
      <c r="F1237" t="s">
        <v>272</v>
      </c>
      <c r="G1237" t="s">
        <v>271</v>
      </c>
      <c r="H1237" t="s">
        <v>270</v>
      </c>
      <c r="I1237" t="s">
        <v>35</v>
      </c>
      <c r="J1237" t="s">
        <v>35</v>
      </c>
      <c r="K1237" s="4">
        <v>108.63</v>
      </c>
      <c r="L1237" s="4">
        <v>108.63</v>
      </c>
      <c r="M1237" t="s">
        <v>44</v>
      </c>
      <c r="N1237" t="s">
        <v>77</v>
      </c>
      <c r="O1237" t="s">
        <v>99</v>
      </c>
      <c r="P1237" t="s">
        <v>274</v>
      </c>
      <c r="Q1237" t="s">
        <v>125</v>
      </c>
      <c r="R1237" t="s">
        <v>273</v>
      </c>
      <c r="S1237" t="s">
        <v>197</v>
      </c>
      <c r="T1237" t="s">
        <v>211</v>
      </c>
      <c r="U1237" t="s">
        <v>163</v>
      </c>
      <c r="V1237" t="s">
        <v>193</v>
      </c>
      <c r="W1237" t="s">
        <v>77</v>
      </c>
      <c r="X1237" t="s">
        <v>44</v>
      </c>
      <c r="Y1237" t="s">
        <v>99</v>
      </c>
      <c r="Z1237" t="s">
        <v>421</v>
      </c>
      <c r="AC1237" t="str">
        <f>IF(AA1237="",M1237,AA1237)</f>
        <v>sim</v>
      </c>
      <c r="AD1237" t="str">
        <f>IF(AB1237="",X1237,AB1237)</f>
        <v>sim</v>
      </c>
      <c r="AE1237" t="str">
        <f>IF(OR(Configuracao!B9="",Configuracao!B10=""),"aguardando limiar",IF(AND(K1237&gt;=Configuracao!B9,K1237/MAX(Reconciliacao!C2,1)&gt;=Configuracao!B10/100),"sim","não"))</f>
        <v>aguardando limiar</v>
      </c>
    </row>
    <row r="1238" spans="1:31" x14ac:dyDescent="0.25">
      <c r="A1238">
        <v>17753</v>
      </c>
      <c r="C1238" t="s">
        <v>1030</v>
      </c>
      <c r="D1238" t="s">
        <v>1031</v>
      </c>
      <c r="E1238" t="s">
        <v>486</v>
      </c>
      <c r="F1238" t="s">
        <v>272</v>
      </c>
      <c r="G1238" t="s">
        <v>271</v>
      </c>
      <c r="H1238" t="s">
        <v>270</v>
      </c>
      <c r="I1238" t="s">
        <v>439</v>
      </c>
      <c r="J1238" t="s">
        <v>439</v>
      </c>
      <c r="K1238" s="4">
        <v>109.5</v>
      </c>
      <c r="L1238" s="4">
        <v>109.5</v>
      </c>
      <c r="M1238" t="s">
        <v>44</v>
      </c>
      <c r="N1238" t="s">
        <v>77</v>
      </c>
      <c r="O1238" t="s">
        <v>99</v>
      </c>
      <c r="P1238" t="s">
        <v>274</v>
      </c>
      <c r="Q1238" t="s">
        <v>125</v>
      </c>
      <c r="R1238" t="s">
        <v>273</v>
      </c>
      <c r="S1238" t="s">
        <v>197</v>
      </c>
      <c r="T1238" t="s">
        <v>211</v>
      </c>
      <c r="U1238" t="s">
        <v>163</v>
      </c>
      <c r="V1238" t="s">
        <v>193</v>
      </c>
      <c r="W1238" t="s">
        <v>77</v>
      </c>
      <c r="X1238" t="s">
        <v>44</v>
      </c>
      <c r="Y1238" t="s">
        <v>99</v>
      </c>
      <c r="Z1238" t="s">
        <v>421</v>
      </c>
      <c r="AC1238" t="str">
        <f>IF(AA1238="",M1238,AA1238)</f>
        <v>sim</v>
      </c>
      <c r="AD1238" t="str">
        <f>IF(AB1238="",X1238,AB1238)</f>
        <v>sim</v>
      </c>
      <c r="AE1238" t="str">
        <f>IF(OR(Configuracao!B9="",Configuracao!B10=""),"aguardando limiar",IF(AND(K1238&gt;=Configuracao!B9,K1238/MAX(Reconciliacao!C2,1)&gt;=Configuracao!B10/100),"sim","não"))</f>
        <v>aguardando limiar</v>
      </c>
    </row>
    <row r="1239" spans="1:31" x14ac:dyDescent="0.25">
      <c r="A1239">
        <v>11570</v>
      </c>
      <c r="C1239" t="s">
        <v>1032</v>
      </c>
      <c r="D1239" t="s">
        <v>958</v>
      </c>
      <c r="E1239" t="s">
        <v>74</v>
      </c>
      <c r="F1239" t="s">
        <v>272</v>
      </c>
      <c r="G1239" t="s">
        <v>271</v>
      </c>
      <c r="H1239" t="s">
        <v>270</v>
      </c>
      <c r="I1239" t="s">
        <v>32</v>
      </c>
      <c r="J1239" t="s">
        <v>32</v>
      </c>
      <c r="K1239" s="4">
        <v>111.06</v>
      </c>
      <c r="L1239" s="4">
        <v>111.06</v>
      </c>
      <c r="M1239" t="s">
        <v>166</v>
      </c>
      <c r="N1239" t="s">
        <v>77</v>
      </c>
      <c r="O1239" t="s">
        <v>76</v>
      </c>
      <c r="P1239" t="s">
        <v>187</v>
      </c>
      <c r="Q1239" t="s">
        <v>76</v>
      </c>
      <c r="R1239" t="s">
        <v>76</v>
      </c>
      <c r="S1239" t="s">
        <v>167</v>
      </c>
      <c r="T1239" t="s">
        <v>167</v>
      </c>
      <c r="U1239" t="s">
        <v>168</v>
      </c>
      <c r="V1239" t="s">
        <v>169</v>
      </c>
      <c r="W1239" t="s">
        <v>77</v>
      </c>
      <c r="X1239" t="s">
        <v>44</v>
      </c>
      <c r="Y1239" t="s">
        <v>99</v>
      </c>
      <c r="Z1239" t="s">
        <v>421</v>
      </c>
      <c r="AC1239" t="str">
        <f>IF(AA1239="",M1239,AA1239)</f>
        <v>não</v>
      </c>
      <c r="AD1239" t="str">
        <f>IF(AB1239="",X1239,AB1239)</f>
        <v>sim</v>
      </c>
      <c r="AE1239" t="str">
        <f>IF(OR(Configuracao!B9="",Configuracao!B10=""),"aguardando limiar",IF(AND(K1239&gt;=Configuracao!B9,K1239/MAX(Reconciliacao!C2,1)&gt;=Configuracao!B10/100),"sim","não"))</f>
        <v>aguardando limiar</v>
      </c>
    </row>
    <row r="1240" spans="1:31" x14ac:dyDescent="0.25">
      <c r="A1240">
        <v>11571</v>
      </c>
      <c r="C1240" t="s">
        <v>1033</v>
      </c>
      <c r="D1240" t="s">
        <v>958</v>
      </c>
      <c r="E1240" t="s">
        <v>477</v>
      </c>
      <c r="F1240" t="s">
        <v>272</v>
      </c>
      <c r="G1240" t="s">
        <v>271</v>
      </c>
      <c r="H1240" t="s">
        <v>270</v>
      </c>
      <c r="I1240" t="s">
        <v>32</v>
      </c>
      <c r="J1240" t="s">
        <v>32</v>
      </c>
      <c r="K1240" s="4">
        <v>111.06</v>
      </c>
      <c r="L1240" s="4">
        <v>111.06</v>
      </c>
      <c r="M1240" t="s">
        <v>44</v>
      </c>
      <c r="N1240" t="s">
        <v>77</v>
      </c>
      <c r="O1240" t="s">
        <v>99</v>
      </c>
      <c r="P1240" t="s">
        <v>274</v>
      </c>
      <c r="Q1240" t="s">
        <v>125</v>
      </c>
      <c r="R1240" t="s">
        <v>273</v>
      </c>
      <c r="S1240" t="s">
        <v>197</v>
      </c>
      <c r="T1240" t="s">
        <v>211</v>
      </c>
      <c r="U1240" t="s">
        <v>163</v>
      </c>
      <c r="V1240" t="s">
        <v>193</v>
      </c>
      <c r="W1240" t="s">
        <v>77</v>
      </c>
      <c r="X1240" t="s">
        <v>44</v>
      </c>
      <c r="Y1240" t="s">
        <v>99</v>
      </c>
      <c r="Z1240" t="s">
        <v>421</v>
      </c>
      <c r="AC1240" t="str">
        <f>IF(AA1240="",M1240,AA1240)</f>
        <v>sim</v>
      </c>
      <c r="AD1240" t="str">
        <f>IF(AB1240="",X1240,AB1240)</f>
        <v>sim</v>
      </c>
      <c r="AE1240" t="str">
        <f>IF(OR(Configuracao!B9="",Configuracao!B10=""),"aguardando limiar",IF(AND(K1240&gt;=Configuracao!B9,K1240/MAX(Reconciliacao!C2,1)&gt;=Configuracao!B10/100),"sim","não"))</f>
        <v>aguardando limiar</v>
      </c>
    </row>
    <row r="1241" spans="1:31" x14ac:dyDescent="0.25">
      <c r="A1241">
        <v>18756</v>
      </c>
      <c r="C1241" t="s">
        <v>1034</v>
      </c>
      <c r="D1241" t="s">
        <v>968</v>
      </c>
      <c r="E1241" t="s">
        <v>74</v>
      </c>
      <c r="F1241" t="s">
        <v>272</v>
      </c>
      <c r="G1241" t="s">
        <v>271</v>
      </c>
      <c r="H1241" t="s">
        <v>270</v>
      </c>
      <c r="I1241" t="s">
        <v>35</v>
      </c>
      <c r="J1241" t="s">
        <v>35</v>
      </c>
      <c r="K1241" s="4">
        <v>112.72</v>
      </c>
      <c r="L1241" s="4">
        <v>112.72</v>
      </c>
      <c r="M1241" t="s">
        <v>166</v>
      </c>
      <c r="N1241" t="s">
        <v>77</v>
      </c>
      <c r="O1241" t="s">
        <v>76</v>
      </c>
      <c r="P1241" t="s">
        <v>187</v>
      </c>
      <c r="Q1241" t="s">
        <v>76</v>
      </c>
      <c r="R1241" t="s">
        <v>76</v>
      </c>
      <c r="S1241" t="s">
        <v>167</v>
      </c>
      <c r="T1241" t="s">
        <v>167</v>
      </c>
      <c r="U1241" t="s">
        <v>168</v>
      </c>
      <c r="V1241" t="s">
        <v>169</v>
      </c>
      <c r="W1241" t="s">
        <v>77</v>
      </c>
      <c r="X1241" t="s">
        <v>44</v>
      </c>
      <c r="Y1241" t="s">
        <v>99</v>
      </c>
      <c r="Z1241" t="s">
        <v>421</v>
      </c>
      <c r="AC1241" t="str">
        <f>IF(AA1241="",M1241,AA1241)</f>
        <v>não</v>
      </c>
      <c r="AD1241" t="str">
        <f>IF(AB1241="",X1241,AB1241)</f>
        <v>sim</v>
      </c>
      <c r="AE1241" t="str">
        <f>IF(OR(Configuracao!B9="",Configuracao!B10=""),"aguardando limiar",IF(AND(K1241&gt;=Configuracao!B9,K1241/MAX(Reconciliacao!C2,1)&gt;=Configuracao!B10/100),"sim","não"))</f>
        <v>aguardando limiar</v>
      </c>
    </row>
    <row r="1242" spans="1:31" x14ac:dyDescent="0.25">
      <c r="A1242">
        <v>12096</v>
      </c>
      <c r="C1242" t="s">
        <v>1035</v>
      </c>
      <c r="D1242" t="s">
        <v>958</v>
      </c>
      <c r="E1242" t="s">
        <v>74</v>
      </c>
      <c r="F1242" t="s">
        <v>272</v>
      </c>
      <c r="G1242" t="s">
        <v>271</v>
      </c>
      <c r="H1242" t="s">
        <v>270</v>
      </c>
      <c r="I1242" t="s">
        <v>424</v>
      </c>
      <c r="J1242" t="s">
        <v>424</v>
      </c>
      <c r="K1242" s="4">
        <v>115.26</v>
      </c>
      <c r="L1242" s="4">
        <v>115.26</v>
      </c>
      <c r="M1242" t="s">
        <v>166</v>
      </c>
      <c r="N1242" t="s">
        <v>77</v>
      </c>
      <c r="O1242" t="s">
        <v>76</v>
      </c>
      <c r="P1242" t="s">
        <v>187</v>
      </c>
      <c r="Q1242" t="s">
        <v>76</v>
      </c>
      <c r="R1242" t="s">
        <v>76</v>
      </c>
      <c r="S1242" t="s">
        <v>167</v>
      </c>
      <c r="T1242" t="s">
        <v>167</v>
      </c>
      <c r="U1242" t="s">
        <v>168</v>
      </c>
      <c r="V1242" t="s">
        <v>169</v>
      </c>
      <c r="W1242" t="s">
        <v>77</v>
      </c>
      <c r="X1242" t="s">
        <v>44</v>
      </c>
      <c r="Y1242" t="s">
        <v>99</v>
      </c>
      <c r="Z1242" t="s">
        <v>421</v>
      </c>
      <c r="AC1242" t="str">
        <f>IF(AA1242="",M1242,AA1242)</f>
        <v>não</v>
      </c>
      <c r="AD1242" t="str">
        <f>IF(AB1242="",X1242,AB1242)</f>
        <v>sim</v>
      </c>
      <c r="AE1242" t="str">
        <f>IF(OR(Configuracao!B9="",Configuracao!B10=""),"aguardando limiar",IF(AND(K1242&gt;=Configuracao!B9,K1242/MAX(Reconciliacao!C2,1)&gt;=Configuracao!B10/100),"sim","não"))</f>
        <v>aguardando limiar</v>
      </c>
    </row>
    <row r="1243" spans="1:31" x14ac:dyDescent="0.25">
      <c r="A1243">
        <v>12798</v>
      </c>
      <c r="C1243" t="s">
        <v>1036</v>
      </c>
      <c r="D1243" t="s">
        <v>958</v>
      </c>
      <c r="E1243" t="s">
        <v>477</v>
      </c>
      <c r="F1243" t="s">
        <v>272</v>
      </c>
      <c r="G1243" t="s">
        <v>271</v>
      </c>
      <c r="H1243" t="s">
        <v>270</v>
      </c>
      <c r="I1243" t="s">
        <v>420</v>
      </c>
      <c r="J1243" t="s">
        <v>420</v>
      </c>
      <c r="K1243" s="4">
        <v>115.26</v>
      </c>
      <c r="L1243" s="4">
        <v>115.26</v>
      </c>
      <c r="M1243" t="s">
        <v>44</v>
      </c>
      <c r="N1243" t="s">
        <v>77</v>
      </c>
      <c r="O1243" t="s">
        <v>99</v>
      </c>
      <c r="P1243" t="s">
        <v>274</v>
      </c>
      <c r="Q1243" t="s">
        <v>125</v>
      </c>
      <c r="R1243" t="s">
        <v>273</v>
      </c>
      <c r="S1243" t="s">
        <v>197</v>
      </c>
      <c r="T1243" t="s">
        <v>211</v>
      </c>
      <c r="U1243" t="s">
        <v>163</v>
      </c>
      <c r="V1243" t="s">
        <v>193</v>
      </c>
      <c r="W1243" t="s">
        <v>77</v>
      </c>
      <c r="X1243" t="s">
        <v>44</v>
      </c>
      <c r="Y1243" t="s">
        <v>99</v>
      </c>
      <c r="Z1243" t="s">
        <v>421</v>
      </c>
      <c r="AC1243" t="str">
        <f>IF(AA1243="",M1243,AA1243)</f>
        <v>sim</v>
      </c>
      <c r="AD1243" t="str">
        <f>IF(AB1243="",X1243,AB1243)</f>
        <v>sim</v>
      </c>
      <c r="AE1243" t="str">
        <f>IF(OR(Configuracao!B9="",Configuracao!B10=""),"aguardando limiar",IF(AND(K1243&gt;=Configuracao!B9,K1243/MAX(Reconciliacao!C2,1)&gt;=Configuracao!B10/100),"sim","não"))</f>
        <v>aguardando limiar</v>
      </c>
    </row>
    <row r="1244" spans="1:31" x14ac:dyDescent="0.25">
      <c r="A1244">
        <v>12846</v>
      </c>
      <c r="C1244" t="s">
        <v>1037</v>
      </c>
      <c r="D1244" t="s">
        <v>958</v>
      </c>
      <c r="E1244" t="s">
        <v>477</v>
      </c>
      <c r="F1244" t="s">
        <v>272</v>
      </c>
      <c r="G1244" t="s">
        <v>271</v>
      </c>
      <c r="H1244" t="s">
        <v>270</v>
      </c>
      <c r="I1244" t="s">
        <v>420</v>
      </c>
      <c r="J1244" t="s">
        <v>420</v>
      </c>
      <c r="K1244" s="4">
        <v>115.26</v>
      </c>
      <c r="L1244" s="4">
        <v>115.26</v>
      </c>
      <c r="M1244" t="s">
        <v>44</v>
      </c>
      <c r="N1244" t="s">
        <v>77</v>
      </c>
      <c r="O1244" t="s">
        <v>99</v>
      </c>
      <c r="P1244" t="s">
        <v>274</v>
      </c>
      <c r="Q1244" t="s">
        <v>125</v>
      </c>
      <c r="R1244" t="s">
        <v>273</v>
      </c>
      <c r="S1244" t="s">
        <v>197</v>
      </c>
      <c r="T1244" t="s">
        <v>211</v>
      </c>
      <c r="U1244" t="s">
        <v>163</v>
      </c>
      <c r="V1244" t="s">
        <v>193</v>
      </c>
      <c r="W1244" t="s">
        <v>77</v>
      </c>
      <c r="X1244" t="s">
        <v>44</v>
      </c>
      <c r="Y1244" t="s">
        <v>99</v>
      </c>
      <c r="Z1244" t="s">
        <v>421</v>
      </c>
      <c r="AC1244" t="str">
        <f>IF(AA1244="",M1244,AA1244)</f>
        <v>sim</v>
      </c>
      <c r="AD1244" t="str">
        <f>IF(AB1244="",X1244,AB1244)</f>
        <v>sim</v>
      </c>
      <c r="AE1244" t="str">
        <f>IF(OR(Configuracao!B9="",Configuracao!B10=""),"aguardando limiar",IF(AND(K1244&gt;=Configuracao!B9,K1244/MAX(Reconciliacao!C2,1)&gt;=Configuracao!B10/100),"sim","não"))</f>
        <v>aguardando limiar</v>
      </c>
    </row>
    <row r="1245" spans="1:31" x14ac:dyDescent="0.25">
      <c r="A1245">
        <v>12858</v>
      </c>
      <c r="C1245" t="s">
        <v>1038</v>
      </c>
      <c r="D1245" t="s">
        <v>958</v>
      </c>
      <c r="E1245" t="s">
        <v>477</v>
      </c>
      <c r="F1245" t="s">
        <v>272</v>
      </c>
      <c r="G1245" t="s">
        <v>271</v>
      </c>
      <c r="H1245" t="s">
        <v>270</v>
      </c>
      <c r="I1245" t="s">
        <v>420</v>
      </c>
      <c r="J1245" t="s">
        <v>420</v>
      </c>
      <c r="K1245" s="4">
        <v>115.26</v>
      </c>
      <c r="L1245" s="4">
        <v>115.26</v>
      </c>
      <c r="M1245" t="s">
        <v>44</v>
      </c>
      <c r="N1245" t="s">
        <v>77</v>
      </c>
      <c r="O1245" t="s">
        <v>99</v>
      </c>
      <c r="P1245" t="s">
        <v>274</v>
      </c>
      <c r="Q1245" t="s">
        <v>125</v>
      </c>
      <c r="R1245" t="s">
        <v>273</v>
      </c>
      <c r="S1245" t="s">
        <v>197</v>
      </c>
      <c r="T1245" t="s">
        <v>211</v>
      </c>
      <c r="U1245" t="s">
        <v>163</v>
      </c>
      <c r="V1245" t="s">
        <v>193</v>
      </c>
      <c r="W1245" t="s">
        <v>77</v>
      </c>
      <c r="X1245" t="s">
        <v>44</v>
      </c>
      <c r="Y1245" t="s">
        <v>99</v>
      </c>
      <c r="Z1245" t="s">
        <v>421</v>
      </c>
      <c r="AC1245" t="str">
        <f>IF(AA1245="",M1245,AA1245)</f>
        <v>sim</v>
      </c>
      <c r="AD1245" t="str">
        <f>IF(AB1245="",X1245,AB1245)</f>
        <v>sim</v>
      </c>
      <c r="AE1245" t="str">
        <f>IF(OR(Configuracao!B9="",Configuracao!B10=""),"aguardando limiar",IF(AND(K1245&gt;=Configuracao!B9,K1245/MAX(Reconciliacao!C2,1)&gt;=Configuracao!B10/100),"sim","não"))</f>
        <v>aguardando limiar</v>
      </c>
    </row>
    <row r="1246" spans="1:31" x14ac:dyDescent="0.25">
      <c r="A1246">
        <v>12888</v>
      </c>
      <c r="C1246" t="s">
        <v>1039</v>
      </c>
      <c r="D1246" t="s">
        <v>958</v>
      </c>
      <c r="E1246" t="s">
        <v>477</v>
      </c>
      <c r="F1246" t="s">
        <v>272</v>
      </c>
      <c r="G1246" t="s">
        <v>271</v>
      </c>
      <c r="H1246" t="s">
        <v>270</v>
      </c>
      <c r="I1246" t="s">
        <v>420</v>
      </c>
      <c r="J1246" t="s">
        <v>420</v>
      </c>
      <c r="K1246" s="4">
        <v>115.26</v>
      </c>
      <c r="L1246" s="4">
        <v>115.26</v>
      </c>
      <c r="M1246" t="s">
        <v>44</v>
      </c>
      <c r="N1246" t="s">
        <v>77</v>
      </c>
      <c r="O1246" t="s">
        <v>99</v>
      </c>
      <c r="P1246" t="s">
        <v>274</v>
      </c>
      <c r="Q1246" t="s">
        <v>125</v>
      </c>
      <c r="R1246" t="s">
        <v>273</v>
      </c>
      <c r="S1246" t="s">
        <v>197</v>
      </c>
      <c r="T1246" t="s">
        <v>211</v>
      </c>
      <c r="U1246" t="s">
        <v>163</v>
      </c>
      <c r="V1246" t="s">
        <v>193</v>
      </c>
      <c r="W1246" t="s">
        <v>77</v>
      </c>
      <c r="X1246" t="s">
        <v>44</v>
      </c>
      <c r="Y1246" t="s">
        <v>99</v>
      </c>
      <c r="Z1246" t="s">
        <v>421</v>
      </c>
      <c r="AC1246" t="str">
        <f>IF(AA1246="",M1246,AA1246)</f>
        <v>sim</v>
      </c>
      <c r="AD1246" t="str">
        <f>IF(AB1246="",X1246,AB1246)</f>
        <v>sim</v>
      </c>
      <c r="AE1246" t="str">
        <f>IF(OR(Configuracao!B9="",Configuracao!B10=""),"aguardando limiar",IF(AND(K1246&gt;=Configuracao!B9,K1246/MAX(Reconciliacao!C2,1)&gt;=Configuracao!B10/100),"sim","não"))</f>
        <v>aguardando limiar</v>
      </c>
    </row>
    <row r="1247" spans="1:31" x14ac:dyDescent="0.25">
      <c r="A1247">
        <v>16273</v>
      </c>
      <c r="C1247" t="s">
        <v>1040</v>
      </c>
      <c r="D1247" t="s">
        <v>958</v>
      </c>
      <c r="E1247" t="s">
        <v>74</v>
      </c>
      <c r="F1247" t="s">
        <v>272</v>
      </c>
      <c r="G1247" t="s">
        <v>271</v>
      </c>
      <c r="H1247" t="s">
        <v>270</v>
      </c>
      <c r="I1247" t="s">
        <v>461</v>
      </c>
      <c r="J1247" t="s">
        <v>461</v>
      </c>
      <c r="K1247" s="4">
        <v>115.26</v>
      </c>
      <c r="L1247" s="4">
        <v>115.26</v>
      </c>
      <c r="M1247" t="s">
        <v>166</v>
      </c>
      <c r="N1247" t="s">
        <v>77</v>
      </c>
      <c r="O1247" t="s">
        <v>76</v>
      </c>
      <c r="P1247" t="s">
        <v>187</v>
      </c>
      <c r="Q1247" t="s">
        <v>76</v>
      </c>
      <c r="R1247" t="s">
        <v>76</v>
      </c>
      <c r="S1247" t="s">
        <v>167</v>
      </c>
      <c r="T1247" t="s">
        <v>167</v>
      </c>
      <c r="U1247" t="s">
        <v>168</v>
      </c>
      <c r="V1247" t="s">
        <v>169</v>
      </c>
      <c r="W1247" t="s">
        <v>77</v>
      </c>
      <c r="X1247" t="s">
        <v>44</v>
      </c>
      <c r="Y1247" t="s">
        <v>99</v>
      </c>
      <c r="Z1247" t="s">
        <v>421</v>
      </c>
      <c r="AC1247" t="str">
        <f>IF(AA1247="",M1247,AA1247)</f>
        <v>não</v>
      </c>
      <c r="AD1247" t="str">
        <f>IF(AB1247="",X1247,AB1247)</f>
        <v>sim</v>
      </c>
      <c r="AE1247" t="str">
        <f>IF(OR(Configuracao!B9="",Configuracao!B10=""),"aguardando limiar",IF(AND(K1247&gt;=Configuracao!B9,K1247/MAX(Reconciliacao!C2,1)&gt;=Configuracao!B10/100),"sim","não"))</f>
        <v>aguardando limiar</v>
      </c>
    </row>
    <row r="1248" spans="1:31" x14ac:dyDescent="0.25">
      <c r="A1248">
        <v>16774</v>
      </c>
      <c r="C1248" t="s">
        <v>1040</v>
      </c>
      <c r="D1248" t="s">
        <v>958</v>
      </c>
      <c r="E1248" t="s">
        <v>74</v>
      </c>
      <c r="F1248" t="s">
        <v>272</v>
      </c>
      <c r="G1248" t="s">
        <v>271</v>
      </c>
      <c r="H1248" t="s">
        <v>270</v>
      </c>
      <c r="I1248" t="s">
        <v>442</v>
      </c>
      <c r="J1248" t="s">
        <v>442</v>
      </c>
      <c r="K1248" s="4">
        <v>115.26</v>
      </c>
      <c r="L1248" s="4">
        <v>115.26</v>
      </c>
      <c r="M1248" t="s">
        <v>166</v>
      </c>
      <c r="N1248" t="s">
        <v>77</v>
      </c>
      <c r="O1248" t="s">
        <v>76</v>
      </c>
      <c r="P1248" t="s">
        <v>187</v>
      </c>
      <c r="Q1248" t="s">
        <v>76</v>
      </c>
      <c r="R1248" t="s">
        <v>76</v>
      </c>
      <c r="S1248" t="s">
        <v>167</v>
      </c>
      <c r="T1248" t="s">
        <v>167</v>
      </c>
      <c r="U1248" t="s">
        <v>168</v>
      </c>
      <c r="V1248" t="s">
        <v>169</v>
      </c>
      <c r="W1248" t="s">
        <v>77</v>
      </c>
      <c r="X1248" t="s">
        <v>44</v>
      </c>
      <c r="Y1248" t="s">
        <v>99</v>
      </c>
      <c r="Z1248" t="s">
        <v>421</v>
      </c>
      <c r="AC1248" t="str">
        <f>IF(AA1248="",M1248,AA1248)</f>
        <v>não</v>
      </c>
      <c r="AD1248" t="str">
        <f>IF(AB1248="",X1248,AB1248)</f>
        <v>sim</v>
      </c>
      <c r="AE1248" t="str">
        <f>IF(OR(Configuracao!B9="",Configuracao!B10=""),"aguardando limiar",IF(AND(K1248&gt;=Configuracao!B9,K1248/MAX(Reconciliacao!C2,1)&gt;=Configuracao!B10/100),"sim","não"))</f>
        <v>aguardando limiar</v>
      </c>
    </row>
    <row r="1249" spans="1:31" x14ac:dyDescent="0.25">
      <c r="A1249">
        <v>17103</v>
      </c>
      <c r="C1249" t="s">
        <v>1041</v>
      </c>
      <c r="D1249" t="s">
        <v>958</v>
      </c>
      <c r="E1249" t="s">
        <v>486</v>
      </c>
      <c r="F1249" t="s">
        <v>272</v>
      </c>
      <c r="G1249" t="s">
        <v>271</v>
      </c>
      <c r="H1249" t="s">
        <v>270</v>
      </c>
      <c r="I1249" t="s">
        <v>442</v>
      </c>
      <c r="J1249" t="s">
        <v>442</v>
      </c>
      <c r="K1249" s="4">
        <v>115.26</v>
      </c>
      <c r="L1249" s="4">
        <v>115.26</v>
      </c>
      <c r="M1249" t="s">
        <v>44</v>
      </c>
      <c r="N1249" t="s">
        <v>77</v>
      </c>
      <c r="O1249" t="s">
        <v>99</v>
      </c>
      <c r="P1249" t="s">
        <v>274</v>
      </c>
      <c r="Q1249" t="s">
        <v>125</v>
      </c>
      <c r="R1249" t="s">
        <v>273</v>
      </c>
      <c r="S1249" t="s">
        <v>197</v>
      </c>
      <c r="T1249" t="s">
        <v>211</v>
      </c>
      <c r="U1249" t="s">
        <v>163</v>
      </c>
      <c r="V1249" t="s">
        <v>193</v>
      </c>
      <c r="W1249" t="s">
        <v>77</v>
      </c>
      <c r="X1249" t="s">
        <v>44</v>
      </c>
      <c r="Y1249" t="s">
        <v>99</v>
      </c>
      <c r="Z1249" t="s">
        <v>421</v>
      </c>
      <c r="AC1249" t="str">
        <f>IF(AA1249="",M1249,AA1249)</f>
        <v>sim</v>
      </c>
      <c r="AD1249" t="str">
        <f>IF(AB1249="",X1249,AB1249)</f>
        <v>sim</v>
      </c>
      <c r="AE1249" t="str">
        <f>IF(OR(Configuracao!B9="",Configuracao!B10=""),"aguardando limiar",IF(AND(K1249&gt;=Configuracao!B9,K1249/MAX(Reconciliacao!C2,1)&gt;=Configuracao!B10/100),"sim","não"))</f>
        <v>aguardando limiar</v>
      </c>
    </row>
    <row r="1250" spans="1:31" x14ac:dyDescent="0.25">
      <c r="A1250">
        <v>17341</v>
      </c>
      <c r="C1250" t="s">
        <v>1007</v>
      </c>
      <c r="D1250" t="s">
        <v>958</v>
      </c>
      <c r="E1250" t="s">
        <v>74</v>
      </c>
      <c r="F1250" t="s">
        <v>272</v>
      </c>
      <c r="G1250" t="s">
        <v>271</v>
      </c>
      <c r="H1250" t="s">
        <v>270</v>
      </c>
      <c r="I1250" t="s">
        <v>442</v>
      </c>
      <c r="J1250" t="s">
        <v>442</v>
      </c>
      <c r="K1250" s="4">
        <v>115.26</v>
      </c>
      <c r="L1250" s="4">
        <v>115.26</v>
      </c>
      <c r="M1250" t="s">
        <v>166</v>
      </c>
      <c r="N1250" t="s">
        <v>77</v>
      </c>
      <c r="O1250" t="s">
        <v>76</v>
      </c>
      <c r="P1250" t="s">
        <v>187</v>
      </c>
      <c r="Q1250" t="s">
        <v>76</v>
      </c>
      <c r="R1250" t="s">
        <v>76</v>
      </c>
      <c r="S1250" t="s">
        <v>167</v>
      </c>
      <c r="T1250" t="s">
        <v>167</v>
      </c>
      <c r="U1250" t="s">
        <v>168</v>
      </c>
      <c r="V1250" t="s">
        <v>169</v>
      </c>
      <c r="W1250" t="s">
        <v>77</v>
      </c>
      <c r="X1250" t="s">
        <v>44</v>
      </c>
      <c r="Y1250" t="s">
        <v>99</v>
      </c>
      <c r="Z1250" t="s">
        <v>421</v>
      </c>
      <c r="AC1250" t="str">
        <f>IF(AA1250="",M1250,AA1250)</f>
        <v>não</v>
      </c>
      <c r="AD1250" t="str">
        <f>IF(AB1250="",X1250,AB1250)</f>
        <v>sim</v>
      </c>
      <c r="AE1250" t="str">
        <f>IF(OR(Configuracao!B9="",Configuracao!B10=""),"aguardando limiar",IF(AND(K1250&gt;=Configuracao!B9,K1250/MAX(Reconciliacao!C2,1)&gt;=Configuracao!B10/100),"sim","não"))</f>
        <v>aguardando limiar</v>
      </c>
    </row>
    <row r="1251" spans="1:31" x14ac:dyDescent="0.25">
      <c r="A1251">
        <v>17680</v>
      </c>
      <c r="C1251" t="s">
        <v>1042</v>
      </c>
      <c r="D1251" t="s">
        <v>958</v>
      </c>
      <c r="E1251" t="s">
        <v>486</v>
      </c>
      <c r="F1251" t="s">
        <v>272</v>
      </c>
      <c r="G1251" t="s">
        <v>271</v>
      </c>
      <c r="H1251" t="s">
        <v>270</v>
      </c>
      <c r="I1251" t="s">
        <v>439</v>
      </c>
      <c r="J1251" t="s">
        <v>439</v>
      </c>
      <c r="K1251" s="4">
        <v>115.26</v>
      </c>
      <c r="L1251" s="4">
        <v>115.26</v>
      </c>
      <c r="M1251" t="s">
        <v>44</v>
      </c>
      <c r="N1251" t="s">
        <v>77</v>
      </c>
      <c r="O1251" t="s">
        <v>99</v>
      </c>
      <c r="P1251" t="s">
        <v>274</v>
      </c>
      <c r="Q1251" t="s">
        <v>125</v>
      </c>
      <c r="R1251" t="s">
        <v>273</v>
      </c>
      <c r="S1251" t="s">
        <v>197</v>
      </c>
      <c r="T1251" t="s">
        <v>211</v>
      </c>
      <c r="U1251" t="s">
        <v>163</v>
      </c>
      <c r="V1251" t="s">
        <v>193</v>
      </c>
      <c r="W1251" t="s">
        <v>77</v>
      </c>
      <c r="X1251" t="s">
        <v>44</v>
      </c>
      <c r="Y1251" t="s">
        <v>99</v>
      </c>
      <c r="Z1251" t="s">
        <v>421</v>
      </c>
      <c r="AC1251" t="str">
        <f>IF(AA1251="",M1251,AA1251)</f>
        <v>sim</v>
      </c>
      <c r="AD1251" t="str">
        <f>IF(AB1251="",X1251,AB1251)</f>
        <v>sim</v>
      </c>
      <c r="AE1251" t="str">
        <f>IF(OR(Configuracao!B9="",Configuracao!B10=""),"aguardando limiar",IF(AND(K1251&gt;=Configuracao!B9,K1251/MAX(Reconciliacao!C2,1)&gt;=Configuracao!B10/100),"sim","não"))</f>
        <v>aguardando limiar</v>
      </c>
    </row>
    <row r="1252" spans="1:31" x14ac:dyDescent="0.25">
      <c r="A1252">
        <v>17854</v>
      </c>
      <c r="C1252" t="s">
        <v>1043</v>
      </c>
      <c r="D1252" t="s">
        <v>958</v>
      </c>
      <c r="E1252" t="s">
        <v>486</v>
      </c>
      <c r="F1252" t="s">
        <v>272</v>
      </c>
      <c r="G1252" t="s">
        <v>271</v>
      </c>
      <c r="H1252" t="s">
        <v>270</v>
      </c>
      <c r="I1252" t="s">
        <v>439</v>
      </c>
      <c r="J1252" t="s">
        <v>439</v>
      </c>
      <c r="K1252" s="4">
        <v>115.26</v>
      </c>
      <c r="L1252" s="4">
        <v>115.26</v>
      </c>
      <c r="M1252" t="s">
        <v>44</v>
      </c>
      <c r="N1252" t="s">
        <v>77</v>
      </c>
      <c r="O1252" t="s">
        <v>99</v>
      </c>
      <c r="P1252" t="s">
        <v>274</v>
      </c>
      <c r="Q1252" t="s">
        <v>125</v>
      </c>
      <c r="R1252" t="s">
        <v>273</v>
      </c>
      <c r="S1252" t="s">
        <v>197</v>
      </c>
      <c r="T1252" t="s">
        <v>211</v>
      </c>
      <c r="U1252" t="s">
        <v>163</v>
      </c>
      <c r="V1252" t="s">
        <v>193</v>
      </c>
      <c r="W1252" t="s">
        <v>77</v>
      </c>
      <c r="X1252" t="s">
        <v>44</v>
      </c>
      <c r="Y1252" t="s">
        <v>99</v>
      </c>
      <c r="Z1252" t="s">
        <v>421</v>
      </c>
      <c r="AC1252" t="str">
        <f>IF(AA1252="",M1252,AA1252)</f>
        <v>sim</v>
      </c>
      <c r="AD1252" t="str">
        <f>IF(AB1252="",X1252,AB1252)</f>
        <v>sim</v>
      </c>
      <c r="AE1252" t="str">
        <f>IF(OR(Configuracao!B9="",Configuracao!B10=""),"aguardando limiar",IF(AND(K1252&gt;=Configuracao!B9,K1252/MAX(Reconciliacao!C2,1)&gt;=Configuracao!B10/100),"sim","não"))</f>
        <v>aguardando limiar</v>
      </c>
    </row>
    <row r="1253" spans="1:31" x14ac:dyDescent="0.25">
      <c r="A1253">
        <v>18614</v>
      </c>
      <c r="C1253" t="s">
        <v>1044</v>
      </c>
      <c r="D1253" t="s">
        <v>958</v>
      </c>
      <c r="E1253" t="s">
        <v>74</v>
      </c>
      <c r="F1253" t="s">
        <v>272</v>
      </c>
      <c r="G1253" t="s">
        <v>271</v>
      </c>
      <c r="H1253" t="s">
        <v>270</v>
      </c>
      <c r="I1253" t="s">
        <v>35</v>
      </c>
      <c r="J1253" t="s">
        <v>35</v>
      </c>
      <c r="K1253" s="4">
        <v>115.26</v>
      </c>
      <c r="L1253" s="4">
        <v>115.26</v>
      </c>
      <c r="M1253" t="s">
        <v>166</v>
      </c>
      <c r="N1253" t="s">
        <v>77</v>
      </c>
      <c r="O1253" t="s">
        <v>76</v>
      </c>
      <c r="P1253" t="s">
        <v>187</v>
      </c>
      <c r="Q1253" t="s">
        <v>76</v>
      </c>
      <c r="R1253" t="s">
        <v>76</v>
      </c>
      <c r="S1253" t="s">
        <v>167</v>
      </c>
      <c r="T1253" t="s">
        <v>167</v>
      </c>
      <c r="U1253" t="s">
        <v>168</v>
      </c>
      <c r="V1253" t="s">
        <v>169</v>
      </c>
      <c r="W1253" t="s">
        <v>77</v>
      </c>
      <c r="X1253" t="s">
        <v>44</v>
      </c>
      <c r="Y1253" t="s">
        <v>99</v>
      </c>
      <c r="Z1253" t="s">
        <v>421</v>
      </c>
      <c r="AC1253" t="str">
        <f>IF(AA1253="",M1253,AA1253)</f>
        <v>não</v>
      </c>
      <c r="AD1253" t="str">
        <f>IF(AB1253="",X1253,AB1253)</f>
        <v>sim</v>
      </c>
      <c r="AE1253" t="str">
        <f>IF(OR(Configuracao!B9="",Configuracao!B10=""),"aguardando limiar",IF(AND(K1253&gt;=Configuracao!B9,K1253/MAX(Reconciliacao!C2,1)&gt;=Configuracao!B10/100),"sim","não"))</f>
        <v>aguardando limiar</v>
      </c>
    </row>
    <row r="1254" spans="1:31" x14ac:dyDescent="0.25">
      <c r="A1254">
        <v>18670</v>
      </c>
      <c r="C1254" t="s">
        <v>1045</v>
      </c>
      <c r="D1254" t="s">
        <v>958</v>
      </c>
      <c r="E1254" t="s">
        <v>486</v>
      </c>
      <c r="F1254" t="s">
        <v>272</v>
      </c>
      <c r="G1254" t="s">
        <v>271</v>
      </c>
      <c r="H1254" t="s">
        <v>270</v>
      </c>
      <c r="I1254" t="s">
        <v>35</v>
      </c>
      <c r="J1254" t="s">
        <v>35</v>
      </c>
      <c r="K1254" s="4">
        <v>115.26</v>
      </c>
      <c r="L1254" s="4">
        <v>115.26</v>
      </c>
      <c r="M1254" t="s">
        <v>44</v>
      </c>
      <c r="N1254" t="s">
        <v>77</v>
      </c>
      <c r="O1254" t="s">
        <v>99</v>
      </c>
      <c r="P1254" t="s">
        <v>274</v>
      </c>
      <c r="Q1254" t="s">
        <v>125</v>
      </c>
      <c r="R1254" t="s">
        <v>273</v>
      </c>
      <c r="S1254" t="s">
        <v>197</v>
      </c>
      <c r="T1254" t="s">
        <v>211</v>
      </c>
      <c r="U1254" t="s">
        <v>163</v>
      </c>
      <c r="V1254" t="s">
        <v>193</v>
      </c>
      <c r="W1254" t="s">
        <v>77</v>
      </c>
      <c r="X1254" t="s">
        <v>44</v>
      </c>
      <c r="Y1254" t="s">
        <v>99</v>
      </c>
      <c r="Z1254" t="s">
        <v>421</v>
      </c>
      <c r="AC1254" t="str">
        <f>IF(AA1254="",M1254,AA1254)</f>
        <v>sim</v>
      </c>
      <c r="AD1254" t="str">
        <f>IF(AB1254="",X1254,AB1254)</f>
        <v>sim</v>
      </c>
      <c r="AE1254" t="str">
        <f>IF(OR(Configuracao!B9="",Configuracao!B10=""),"aguardando limiar",IF(AND(K1254&gt;=Configuracao!B9,K1254/MAX(Reconciliacao!C2,1)&gt;=Configuracao!B10/100),"sim","não"))</f>
        <v>aguardando limiar</v>
      </c>
    </row>
    <row r="1255" spans="1:31" x14ac:dyDescent="0.25">
      <c r="A1255">
        <v>18755</v>
      </c>
      <c r="C1255" t="s">
        <v>988</v>
      </c>
      <c r="D1255" t="s">
        <v>958</v>
      </c>
      <c r="E1255" t="s">
        <v>74</v>
      </c>
      <c r="F1255" t="s">
        <v>272</v>
      </c>
      <c r="G1255" t="s">
        <v>271</v>
      </c>
      <c r="H1255" t="s">
        <v>270</v>
      </c>
      <c r="I1255" t="s">
        <v>35</v>
      </c>
      <c r="J1255" t="s">
        <v>35</v>
      </c>
      <c r="K1255" s="4">
        <v>115.26</v>
      </c>
      <c r="L1255" s="4">
        <v>115.26</v>
      </c>
      <c r="M1255" t="s">
        <v>166</v>
      </c>
      <c r="N1255" t="s">
        <v>77</v>
      </c>
      <c r="O1255" t="s">
        <v>76</v>
      </c>
      <c r="P1255" t="s">
        <v>187</v>
      </c>
      <c r="Q1255" t="s">
        <v>76</v>
      </c>
      <c r="R1255" t="s">
        <v>76</v>
      </c>
      <c r="S1255" t="s">
        <v>167</v>
      </c>
      <c r="T1255" t="s">
        <v>167</v>
      </c>
      <c r="U1255" t="s">
        <v>168</v>
      </c>
      <c r="V1255" t="s">
        <v>169</v>
      </c>
      <c r="W1255" t="s">
        <v>77</v>
      </c>
      <c r="X1255" t="s">
        <v>44</v>
      </c>
      <c r="Y1255" t="s">
        <v>99</v>
      </c>
      <c r="Z1255" t="s">
        <v>421</v>
      </c>
      <c r="AC1255" t="str">
        <f>IF(AA1255="",M1255,AA1255)</f>
        <v>não</v>
      </c>
      <c r="AD1255" t="str">
        <f>IF(AB1255="",X1255,AB1255)</f>
        <v>sim</v>
      </c>
      <c r="AE1255" t="str">
        <f>IF(OR(Configuracao!B9="",Configuracao!B10=""),"aguardando limiar",IF(AND(K1255&gt;=Configuracao!B9,K1255/MAX(Reconciliacao!C2,1)&gt;=Configuracao!B10/100),"sim","não"))</f>
        <v>aguardando limiar</v>
      </c>
    </row>
    <row r="1256" spans="1:31" x14ac:dyDescent="0.25">
      <c r="A1256">
        <v>18898</v>
      </c>
      <c r="C1256" t="s">
        <v>1046</v>
      </c>
      <c r="D1256" t="s">
        <v>958</v>
      </c>
      <c r="E1256" t="s">
        <v>74</v>
      </c>
      <c r="F1256" t="s">
        <v>272</v>
      </c>
      <c r="G1256" t="s">
        <v>271</v>
      </c>
      <c r="H1256" t="s">
        <v>270</v>
      </c>
      <c r="I1256" t="s">
        <v>35</v>
      </c>
      <c r="J1256" t="s">
        <v>35</v>
      </c>
      <c r="K1256" s="4">
        <v>115.26</v>
      </c>
      <c r="L1256" s="4">
        <v>115.26</v>
      </c>
      <c r="M1256" t="s">
        <v>166</v>
      </c>
      <c r="N1256" t="s">
        <v>77</v>
      </c>
      <c r="O1256" t="s">
        <v>76</v>
      </c>
      <c r="P1256" t="s">
        <v>187</v>
      </c>
      <c r="Q1256" t="s">
        <v>76</v>
      </c>
      <c r="R1256" t="s">
        <v>76</v>
      </c>
      <c r="S1256" t="s">
        <v>167</v>
      </c>
      <c r="T1256" t="s">
        <v>167</v>
      </c>
      <c r="U1256" t="s">
        <v>168</v>
      </c>
      <c r="V1256" t="s">
        <v>169</v>
      </c>
      <c r="W1256" t="s">
        <v>77</v>
      </c>
      <c r="X1256" t="s">
        <v>44</v>
      </c>
      <c r="Y1256" t="s">
        <v>99</v>
      </c>
      <c r="Z1256" t="s">
        <v>421</v>
      </c>
      <c r="AC1256" t="str">
        <f>IF(AA1256="",M1256,AA1256)</f>
        <v>não</v>
      </c>
      <c r="AD1256" t="str">
        <f>IF(AB1256="",X1256,AB1256)</f>
        <v>sim</v>
      </c>
      <c r="AE1256" t="str">
        <f>IF(OR(Configuracao!B9="",Configuracao!B10=""),"aguardando limiar",IF(AND(K1256&gt;=Configuracao!B9,K1256/MAX(Reconciliacao!C2,1)&gt;=Configuracao!B10/100),"sim","não"))</f>
        <v>aguardando limiar</v>
      </c>
    </row>
    <row r="1257" spans="1:31" x14ac:dyDescent="0.25">
      <c r="A1257">
        <v>18922</v>
      </c>
      <c r="C1257" t="s">
        <v>1046</v>
      </c>
      <c r="D1257" t="s">
        <v>958</v>
      </c>
      <c r="E1257" t="s">
        <v>74</v>
      </c>
      <c r="F1257" t="s">
        <v>272</v>
      </c>
      <c r="G1257" t="s">
        <v>271</v>
      </c>
      <c r="H1257" t="s">
        <v>270</v>
      </c>
      <c r="I1257" t="s">
        <v>35</v>
      </c>
      <c r="J1257" t="s">
        <v>35</v>
      </c>
      <c r="K1257" s="4">
        <v>115.26</v>
      </c>
      <c r="L1257" s="4">
        <v>115.26</v>
      </c>
      <c r="M1257" t="s">
        <v>166</v>
      </c>
      <c r="N1257" t="s">
        <v>77</v>
      </c>
      <c r="O1257" t="s">
        <v>76</v>
      </c>
      <c r="P1257" t="s">
        <v>187</v>
      </c>
      <c r="Q1257" t="s">
        <v>76</v>
      </c>
      <c r="R1257" t="s">
        <v>76</v>
      </c>
      <c r="S1257" t="s">
        <v>167</v>
      </c>
      <c r="T1257" t="s">
        <v>167</v>
      </c>
      <c r="U1257" t="s">
        <v>168</v>
      </c>
      <c r="V1257" t="s">
        <v>169</v>
      </c>
      <c r="W1257" t="s">
        <v>77</v>
      </c>
      <c r="X1257" t="s">
        <v>44</v>
      </c>
      <c r="Y1257" t="s">
        <v>99</v>
      </c>
      <c r="Z1257" t="s">
        <v>421</v>
      </c>
      <c r="AC1257" t="str">
        <f>IF(AA1257="",M1257,AA1257)</f>
        <v>não</v>
      </c>
      <c r="AD1257" t="str">
        <f>IF(AB1257="",X1257,AB1257)</f>
        <v>sim</v>
      </c>
      <c r="AE1257" t="str">
        <f>IF(OR(Configuracao!B9="",Configuracao!B10=""),"aguardando limiar",IF(AND(K1257&gt;=Configuracao!B9,K1257/MAX(Reconciliacao!C2,1)&gt;=Configuracao!B10/100),"sim","não"))</f>
        <v>aguardando limiar</v>
      </c>
    </row>
    <row r="1258" spans="1:31" x14ac:dyDescent="0.25">
      <c r="A1258">
        <v>18844</v>
      </c>
      <c r="C1258" t="s">
        <v>1047</v>
      </c>
      <c r="D1258" t="s">
        <v>958</v>
      </c>
      <c r="E1258" t="s">
        <v>486</v>
      </c>
      <c r="F1258" t="s">
        <v>272</v>
      </c>
      <c r="G1258" t="s">
        <v>271</v>
      </c>
      <c r="H1258" t="s">
        <v>270</v>
      </c>
      <c r="I1258" t="s">
        <v>35</v>
      </c>
      <c r="J1258" t="s">
        <v>35</v>
      </c>
      <c r="K1258" s="4">
        <v>115.33</v>
      </c>
      <c r="L1258" s="4">
        <v>115.33</v>
      </c>
      <c r="M1258" t="s">
        <v>44</v>
      </c>
      <c r="N1258" t="s">
        <v>77</v>
      </c>
      <c r="O1258" t="s">
        <v>99</v>
      </c>
      <c r="P1258" t="s">
        <v>274</v>
      </c>
      <c r="Q1258" t="s">
        <v>125</v>
      </c>
      <c r="R1258" t="s">
        <v>273</v>
      </c>
      <c r="S1258" t="s">
        <v>197</v>
      </c>
      <c r="T1258" t="s">
        <v>211</v>
      </c>
      <c r="U1258" t="s">
        <v>163</v>
      </c>
      <c r="V1258" t="s">
        <v>193</v>
      </c>
      <c r="W1258" t="s">
        <v>77</v>
      </c>
      <c r="X1258" t="s">
        <v>44</v>
      </c>
      <c r="Y1258" t="s">
        <v>99</v>
      </c>
      <c r="Z1258" t="s">
        <v>421</v>
      </c>
      <c r="AC1258" t="str">
        <f>IF(AA1258="",M1258,AA1258)</f>
        <v>sim</v>
      </c>
      <c r="AD1258" t="str">
        <f>IF(AB1258="",X1258,AB1258)</f>
        <v>sim</v>
      </c>
      <c r="AE1258" t="str">
        <f>IF(OR(Configuracao!B9="",Configuracao!B10=""),"aguardando limiar",IF(AND(K1258&gt;=Configuracao!B9,K1258/MAX(Reconciliacao!C2,1)&gt;=Configuracao!B10/100),"sim","não"))</f>
        <v>aguardando limiar</v>
      </c>
    </row>
    <row r="1259" spans="1:31" x14ac:dyDescent="0.25">
      <c r="A1259">
        <v>16224</v>
      </c>
      <c r="C1259" t="s">
        <v>971</v>
      </c>
      <c r="D1259" t="s">
        <v>423</v>
      </c>
      <c r="E1259" t="s">
        <v>74</v>
      </c>
      <c r="F1259" t="s">
        <v>272</v>
      </c>
      <c r="G1259" t="s">
        <v>271</v>
      </c>
      <c r="H1259" t="s">
        <v>270</v>
      </c>
      <c r="I1259" t="s">
        <v>461</v>
      </c>
      <c r="J1259" t="s">
        <v>461</v>
      </c>
      <c r="K1259" s="4">
        <v>120</v>
      </c>
      <c r="L1259" s="4">
        <v>120</v>
      </c>
      <c r="M1259" t="s">
        <v>166</v>
      </c>
      <c r="N1259" t="s">
        <v>77</v>
      </c>
      <c r="O1259" t="s">
        <v>76</v>
      </c>
      <c r="P1259" t="s">
        <v>187</v>
      </c>
      <c r="Q1259" t="s">
        <v>76</v>
      </c>
      <c r="R1259" t="s">
        <v>76</v>
      </c>
      <c r="S1259" t="s">
        <v>167</v>
      </c>
      <c r="T1259" t="s">
        <v>167</v>
      </c>
      <c r="U1259" t="s">
        <v>168</v>
      </c>
      <c r="V1259" t="s">
        <v>169</v>
      </c>
      <c r="W1259" t="s">
        <v>77</v>
      </c>
      <c r="X1259" t="s">
        <v>44</v>
      </c>
      <c r="Y1259" t="s">
        <v>99</v>
      </c>
      <c r="Z1259" t="s">
        <v>421</v>
      </c>
      <c r="AC1259" t="str">
        <f>IF(AA1259="",M1259,AA1259)</f>
        <v>não</v>
      </c>
      <c r="AD1259" t="str">
        <f>IF(AB1259="",X1259,AB1259)</f>
        <v>sim</v>
      </c>
      <c r="AE1259" t="str">
        <f>IF(OR(Configuracao!B9="",Configuracao!B10=""),"aguardando limiar",IF(AND(K1259&gt;=Configuracao!B9,K1259/MAX(Reconciliacao!C2,1)&gt;=Configuracao!B10/100),"sim","não"))</f>
        <v>aguardando limiar</v>
      </c>
    </row>
    <row r="1260" spans="1:31" x14ac:dyDescent="0.25">
      <c r="A1260">
        <v>11834</v>
      </c>
      <c r="C1260" t="s">
        <v>1048</v>
      </c>
      <c r="D1260" t="s">
        <v>1049</v>
      </c>
      <c r="E1260" t="s">
        <v>74</v>
      </c>
      <c r="F1260" t="s">
        <v>272</v>
      </c>
      <c r="G1260" t="s">
        <v>271</v>
      </c>
      <c r="H1260" t="s">
        <v>270</v>
      </c>
      <c r="I1260" t="s">
        <v>32</v>
      </c>
      <c r="J1260" t="s">
        <v>32</v>
      </c>
      <c r="K1260" s="4">
        <v>148.61</v>
      </c>
      <c r="L1260" s="4">
        <v>148.61</v>
      </c>
      <c r="M1260" t="s">
        <v>166</v>
      </c>
      <c r="N1260" t="s">
        <v>77</v>
      </c>
      <c r="O1260" t="s">
        <v>76</v>
      </c>
      <c r="P1260" t="s">
        <v>187</v>
      </c>
      <c r="Q1260" t="s">
        <v>76</v>
      </c>
      <c r="R1260" t="s">
        <v>76</v>
      </c>
      <c r="S1260" t="s">
        <v>167</v>
      </c>
      <c r="T1260" t="s">
        <v>167</v>
      </c>
      <c r="U1260" t="s">
        <v>168</v>
      </c>
      <c r="V1260" t="s">
        <v>169</v>
      </c>
      <c r="W1260" t="s">
        <v>77</v>
      </c>
      <c r="X1260" t="s">
        <v>44</v>
      </c>
      <c r="Y1260" t="s">
        <v>99</v>
      </c>
      <c r="Z1260" t="s">
        <v>421</v>
      </c>
      <c r="AC1260" t="str">
        <f>IF(AA1260="",M1260,AA1260)</f>
        <v>não</v>
      </c>
      <c r="AD1260" t="str">
        <f>IF(AB1260="",X1260,AB1260)</f>
        <v>sim</v>
      </c>
      <c r="AE1260" t="str">
        <f>IF(OR(Configuracao!B9="",Configuracao!B10=""),"aguardando limiar",IF(AND(K1260&gt;=Configuracao!B9,K1260/MAX(Reconciliacao!C2,1)&gt;=Configuracao!B10/100),"sim","não"))</f>
        <v>aguardando limiar</v>
      </c>
    </row>
    <row r="1261" spans="1:31" x14ac:dyDescent="0.25">
      <c r="A1261">
        <v>12097</v>
      </c>
      <c r="C1261" t="s">
        <v>1050</v>
      </c>
      <c r="D1261" t="s">
        <v>975</v>
      </c>
      <c r="E1261" t="s">
        <v>74</v>
      </c>
      <c r="F1261" t="s">
        <v>272</v>
      </c>
      <c r="G1261" t="s">
        <v>271</v>
      </c>
      <c r="H1261" t="s">
        <v>270</v>
      </c>
      <c r="I1261" t="s">
        <v>424</v>
      </c>
      <c r="J1261" t="s">
        <v>424</v>
      </c>
      <c r="K1261" s="4">
        <v>150.31</v>
      </c>
      <c r="L1261" s="4">
        <v>150.31</v>
      </c>
      <c r="M1261" t="s">
        <v>166</v>
      </c>
      <c r="N1261" t="s">
        <v>77</v>
      </c>
      <c r="O1261" t="s">
        <v>76</v>
      </c>
      <c r="P1261" t="s">
        <v>187</v>
      </c>
      <c r="Q1261" t="s">
        <v>76</v>
      </c>
      <c r="R1261" t="s">
        <v>76</v>
      </c>
      <c r="S1261" t="s">
        <v>167</v>
      </c>
      <c r="T1261" t="s">
        <v>167</v>
      </c>
      <c r="U1261" t="s">
        <v>168</v>
      </c>
      <c r="V1261" t="s">
        <v>169</v>
      </c>
      <c r="W1261" t="s">
        <v>77</v>
      </c>
      <c r="X1261" t="s">
        <v>44</v>
      </c>
      <c r="Y1261" t="s">
        <v>99</v>
      </c>
      <c r="Z1261" t="s">
        <v>421</v>
      </c>
      <c r="AC1261" t="str">
        <f>IF(AA1261="",M1261,AA1261)</f>
        <v>não</v>
      </c>
      <c r="AD1261" t="str">
        <f>IF(AB1261="",X1261,AB1261)</f>
        <v>sim</v>
      </c>
      <c r="AE1261" t="str">
        <f>IF(OR(Configuracao!B9="",Configuracao!B10=""),"aguardando limiar",IF(AND(K1261&gt;=Configuracao!B9,K1261/MAX(Reconciliacao!C2,1)&gt;=Configuracao!B10/100),"sim","não"))</f>
        <v>aguardando limiar</v>
      </c>
    </row>
    <row r="1262" spans="1:31" x14ac:dyDescent="0.25">
      <c r="A1262">
        <v>12844</v>
      </c>
      <c r="C1262" t="s">
        <v>961</v>
      </c>
      <c r="D1262" t="s">
        <v>962</v>
      </c>
      <c r="E1262" t="s">
        <v>74</v>
      </c>
      <c r="F1262" t="s">
        <v>272</v>
      </c>
      <c r="G1262" t="s">
        <v>271</v>
      </c>
      <c r="H1262" t="s">
        <v>270</v>
      </c>
      <c r="I1262" t="s">
        <v>420</v>
      </c>
      <c r="J1262" t="s">
        <v>420</v>
      </c>
      <c r="K1262" s="4">
        <v>154.06</v>
      </c>
      <c r="L1262" s="4">
        <v>154.06</v>
      </c>
      <c r="M1262" t="s">
        <v>166</v>
      </c>
      <c r="N1262" t="s">
        <v>77</v>
      </c>
      <c r="O1262" t="s">
        <v>76</v>
      </c>
      <c r="P1262" t="s">
        <v>187</v>
      </c>
      <c r="Q1262" t="s">
        <v>76</v>
      </c>
      <c r="R1262" t="s">
        <v>76</v>
      </c>
      <c r="S1262" t="s">
        <v>167</v>
      </c>
      <c r="T1262" t="s">
        <v>167</v>
      </c>
      <c r="U1262" t="s">
        <v>168</v>
      </c>
      <c r="V1262" t="s">
        <v>169</v>
      </c>
      <c r="W1262" t="s">
        <v>77</v>
      </c>
      <c r="X1262" t="s">
        <v>44</v>
      </c>
      <c r="Y1262" t="s">
        <v>99</v>
      </c>
      <c r="Z1262" t="s">
        <v>421</v>
      </c>
      <c r="AC1262" t="str">
        <f>IF(AA1262="",M1262,AA1262)</f>
        <v>não</v>
      </c>
      <c r="AD1262" t="str">
        <f>IF(AB1262="",X1262,AB1262)</f>
        <v>sim</v>
      </c>
      <c r="AE1262" t="str">
        <f>IF(OR(Configuracao!B9="",Configuracao!B10=""),"aguardando limiar",IF(AND(K1262&gt;=Configuracao!B9,K1262/MAX(Reconciliacao!C2,1)&gt;=Configuracao!B10/100),"sim","não"))</f>
        <v>aguardando limiar</v>
      </c>
    </row>
    <row r="1263" spans="1:31" x14ac:dyDescent="0.25">
      <c r="A1263">
        <v>17724</v>
      </c>
      <c r="C1263" t="s">
        <v>1051</v>
      </c>
      <c r="D1263" t="s">
        <v>1012</v>
      </c>
      <c r="E1263" t="s">
        <v>74</v>
      </c>
      <c r="F1263" t="s">
        <v>272</v>
      </c>
      <c r="G1263" t="s">
        <v>271</v>
      </c>
      <c r="H1263" t="s">
        <v>270</v>
      </c>
      <c r="I1263" t="s">
        <v>439</v>
      </c>
      <c r="J1263" t="s">
        <v>439</v>
      </c>
      <c r="K1263" s="4">
        <v>158.06</v>
      </c>
      <c r="L1263" s="4">
        <v>158.06</v>
      </c>
      <c r="M1263" t="s">
        <v>166</v>
      </c>
      <c r="N1263" t="s">
        <v>77</v>
      </c>
      <c r="O1263" t="s">
        <v>76</v>
      </c>
      <c r="P1263" t="s">
        <v>187</v>
      </c>
      <c r="Q1263" t="s">
        <v>76</v>
      </c>
      <c r="R1263" t="s">
        <v>76</v>
      </c>
      <c r="S1263" t="s">
        <v>167</v>
      </c>
      <c r="T1263" t="s">
        <v>167</v>
      </c>
      <c r="U1263" t="s">
        <v>168</v>
      </c>
      <c r="V1263" t="s">
        <v>169</v>
      </c>
      <c r="W1263" t="s">
        <v>77</v>
      </c>
      <c r="X1263" t="s">
        <v>44</v>
      </c>
      <c r="Y1263" t="s">
        <v>99</v>
      </c>
      <c r="Z1263" t="s">
        <v>421</v>
      </c>
      <c r="AC1263" t="str">
        <f>IF(AA1263="",M1263,AA1263)</f>
        <v>não</v>
      </c>
      <c r="AD1263" t="str">
        <f>IF(AB1263="",X1263,AB1263)</f>
        <v>sim</v>
      </c>
      <c r="AE1263" t="str">
        <f>IF(OR(Configuracao!B9="",Configuracao!B10=""),"aguardando limiar",IF(AND(K1263&gt;=Configuracao!B9,K1263/MAX(Reconciliacao!C2,1)&gt;=Configuracao!B10/100),"sim","não"))</f>
        <v>aguardando limiar</v>
      </c>
    </row>
    <row r="1264" spans="1:31" x14ac:dyDescent="0.25">
      <c r="A1264">
        <v>18631</v>
      </c>
      <c r="C1264" t="s">
        <v>1052</v>
      </c>
      <c r="D1264" t="s">
        <v>958</v>
      </c>
      <c r="E1264" t="s">
        <v>486</v>
      </c>
      <c r="F1264" t="s">
        <v>272</v>
      </c>
      <c r="G1264" t="s">
        <v>271</v>
      </c>
      <c r="H1264" t="s">
        <v>270</v>
      </c>
      <c r="I1264" t="s">
        <v>35</v>
      </c>
      <c r="J1264" t="s">
        <v>35</v>
      </c>
      <c r="K1264" s="4">
        <v>184.42</v>
      </c>
      <c r="L1264" s="4">
        <v>184.42</v>
      </c>
      <c r="M1264" t="s">
        <v>44</v>
      </c>
      <c r="N1264" t="s">
        <v>77</v>
      </c>
      <c r="O1264" t="s">
        <v>99</v>
      </c>
      <c r="P1264" t="s">
        <v>274</v>
      </c>
      <c r="Q1264" t="s">
        <v>125</v>
      </c>
      <c r="R1264" t="s">
        <v>273</v>
      </c>
      <c r="S1264" t="s">
        <v>197</v>
      </c>
      <c r="T1264" t="s">
        <v>211</v>
      </c>
      <c r="U1264" t="s">
        <v>163</v>
      </c>
      <c r="V1264" t="s">
        <v>193</v>
      </c>
      <c r="W1264" t="s">
        <v>77</v>
      </c>
      <c r="X1264" t="s">
        <v>44</v>
      </c>
      <c r="Y1264" t="s">
        <v>99</v>
      </c>
      <c r="Z1264" t="s">
        <v>421</v>
      </c>
      <c r="AC1264" t="str">
        <f>IF(AA1264="",M1264,AA1264)</f>
        <v>sim</v>
      </c>
      <c r="AD1264" t="str">
        <f>IF(AB1264="",X1264,AB1264)</f>
        <v>sim</v>
      </c>
      <c r="AE1264" t="str">
        <f>IF(OR(Configuracao!B9="",Configuracao!B10=""),"aguardando limiar",IF(AND(K1264&gt;=Configuracao!B9,K1264/MAX(Reconciliacao!C2,1)&gt;=Configuracao!B10/100),"sim","não"))</f>
        <v>aguardando limiar</v>
      </c>
    </row>
    <row r="1265" spans="1:31" x14ac:dyDescent="0.25">
      <c r="A1265">
        <v>16773</v>
      </c>
      <c r="C1265" t="s">
        <v>1053</v>
      </c>
      <c r="D1265" t="s">
        <v>958</v>
      </c>
      <c r="E1265" t="s">
        <v>474</v>
      </c>
      <c r="F1265" t="s">
        <v>272</v>
      </c>
      <c r="G1265" t="s">
        <v>271</v>
      </c>
      <c r="H1265" t="s">
        <v>270</v>
      </c>
      <c r="I1265" t="s">
        <v>442</v>
      </c>
      <c r="J1265" t="s">
        <v>442</v>
      </c>
      <c r="K1265" s="4">
        <v>192.1</v>
      </c>
      <c r="L1265" s="4">
        <v>192.1</v>
      </c>
      <c r="M1265" t="s">
        <v>44</v>
      </c>
      <c r="N1265" t="s">
        <v>77</v>
      </c>
      <c r="O1265" t="s">
        <v>99</v>
      </c>
      <c r="P1265" t="s">
        <v>274</v>
      </c>
      <c r="Q1265" t="s">
        <v>125</v>
      </c>
      <c r="R1265" t="s">
        <v>273</v>
      </c>
      <c r="S1265" t="s">
        <v>197</v>
      </c>
      <c r="T1265" t="s">
        <v>211</v>
      </c>
      <c r="U1265" t="s">
        <v>163</v>
      </c>
      <c r="V1265" t="s">
        <v>193</v>
      </c>
      <c r="W1265" t="s">
        <v>77</v>
      </c>
      <c r="X1265" t="s">
        <v>44</v>
      </c>
      <c r="Y1265" t="s">
        <v>99</v>
      </c>
      <c r="Z1265" t="s">
        <v>421</v>
      </c>
      <c r="AC1265" t="str">
        <f>IF(AA1265="",M1265,AA1265)</f>
        <v>sim</v>
      </c>
      <c r="AD1265" t="str">
        <f>IF(AB1265="",X1265,AB1265)</f>
        <v>sim</v>
      </c>
      <c r="AE1265" t="str">
        <f>IF(OR(Configuracao!B9="",Configuracao!B10=""),"aguardando limiar",IF(AND(K1265&gt;=Configuracao!B9,K1265/MAX(Reconciliacao!C2,1)&gt;=Configuracao!B10/100),"sim","não"))</f>
        <v>aguardando limiar</v>
      </c>
    </row>
    <row r="1266" spans="1:31" x14ac:dyDescent="0.25">
      <c r="A1266">
        <v>11568</v>
      </c>
      <c r="C1266" t="s">
        <v>1054</v>
      </c>
      <c r="D1266" t="s">
        <v>1055</v>
      </c>
      <c r="E1266" t="s">
        <v>74</v>
      </c>
      <c r="F1266" t="s">
        <v>272</v>
      </c>
      <c r="G1266" t="s">
        <v>271</v>
      </c>
      <c r="H1266" t="s">
        <v>270</v>
      </c>
      <c r="I1266" t="s">
        <v>32</v>
      </c>
      <c r="J1266" t="s">
        <v>32</v>
      </c>
      <c r="K1266" s="4">
        <v>222.18</v>
      </c>
      <c r="L1266" s="4">
        <v>222.18</v>
      </c>
      <c r="M1266" t="s">
        <v>166</v>
      </c>
      <c r="N1266" t="s">
        <v>77</v>
      </c>
      <c r="O1266" t="s">
        <v>76</v>
      </c>
      <c r="P1266" t="s">
        <v>187</v>
      </c>
      <c r="Q1266" t="s">
        <v>76</v>
      </c>
      <c r="R1266" t="s">
        <v>76</v>
      </c>
      <c r="S1266" t="s">
        <v>167</v>
      </c>
      <c r="T1266" t="s">
        <v>167</v>
      </c>
      <c r="U1266" t="s">
        <v>168</v>
      </c>
      <c r="V1266" t="s">
        <v>169</v>
      </c>
      <c r="W1266" t="s">
        <v>77</v>
      </c>
      <c r="X1266" t="s">
        <v>44</v>
      </c>
      <c r="Y1266" t="s">
        <v>99</v>
      </c>
      <c r="Z1266" t="s">
        <v>421</v>
      </c>
      <c r="AC1266" t="str">
        <f>IF(AA1266="",M1266,AA1266)</f>
        <v>não</v>
      </c>
      <c r="AD1266" t="str">
        <f>IF(AB1266="",X1266,AB1266)</f>
        <v>sim</v>
      </c>
      <c r="AE1266" t="str">
        <f>IF(OR(Configuracao!B9="",Configuracao!B10=""),"aguardando limiar",IF(AND(K1266&gt;=Configuracao!B9,K1266/MAX(Reconciliacao!C2,1)&gt;=Configuracao!B10/100),"sim","não"))</f>
        <v>aguardando limiar</v>
      </c>
    </row>
    <row r="1267" spans="1:31" x14ac:dyDescent="0.25">
      <c r="A1267">
        <v>12857</v>
      </c>
      <c r="C1267" t="s">
        <v>1056</v>
      </c>
      <c r="D1267" t="s">
        <v>958</v>
      </c>
      <c r="E1267" t="s">
        <v>477</v>
      </c>
      <c r="F1267" t="s">
        <v>272</v>
      </c>
      <c r="G1267" t="s">
        <v>271</v>
      </c>
      <c r="H1267" t="s">
        <v>270</v>
      </c>
      <c r="I1267" t="s">
        <v>420</v>
      </c>
      <c r="J1267" t="s">
        <v>420</v>
      </c>
      <c r="K1267" s="4">
        <v>230.52</v>
      </c>
      <c r="L1267" s="4">
        <v>230.52</v>
      </c>
      <c r="M1267" t="s">
        <v>44</v>
      </c>
      <c r="N1267" t="s">
        <v>77</v>
      </c>
      <c r="O1267" t="s">
        <v>99</v>
      </c>
      <c r="P1267" t="s">
        <v>274</v>
      </c>
      <c r="Q1267" t="s">
        <v>125</v>
      </c>
      <c r="R1267" t="s">
        <v>273</v>
      </c>
      <c r="S1267" t="s">
        <v>197</v>
      </c>
      <c r="T1267" t="s">
        <v>211</v>
      </c>
      <c r="U1267" t="s">
        <v>163</v>
      </c>
      <c r="V1267" t="s">
        <v>193</v>
      </c>
      <c r="W1267" t="s">
        <v>77</v>
      </c>
      <c r="X1267" t="s">
        <v>44</v>
      </c>
      <c r="Y1267" t="s">
        <v>99</v>
      </c>
      <c r="Z1267" t="s">
        <v>421</v>
      </c>
      <c r="AC1267" t="str">
        <f>IF(AA1267="",M1267,AA1267)</f>
        <v>sim</v>
      </c>
      <c r="AD1267" t="str">
        <f>IF(AB1267="",X1267,AB1267)</f>
        <v>sim</v>
      </c>
      <c r="AE1267" t="str">
        <f>IF(OR(Configuracao!B9="",Configuracao!B10=""),"aguardando limiar",IF(AND(K1267&gt;=Configuracao!B9,K1267/MAX(Reconciliacao!C2,1)&gt;=Configuracao!B10/100),"sim","não"))</f>
        <v>aguardando limiar</v>
      </c>
    </row>
    <row r="1268" spans="1:31" x14ac:dyDescent="0.25">
      <c r="A1268">
        <v>18166</v>
      </c>
      <c r="C1268" t="s">
        <v>1057</v>
      </c>
      <c r="D1268" t="s">
        <v>958</v>
      </c>
      <c r="E1268" t="s">
        <v>486</v>
      </c>
      <c r="F1268" t="s">
        <v>272</v>
      </c>
      <c r="G1268" t="s">
        <v>271</v>
      </c>
      <c r="H1268" t="s">
        <v>270</v>
      </c>
      <c r="I1268" t="s">
        <v>439</v>
      </c>
      <c r="J1268" t="s">
        <v>439</v>
      </c>
      <c r="K1268" s="4">
        <v>230.52</v>
      </c>
      <c r="L1268" s="4">
        <v>230.52</v>
      </c>
      <c r="M1268" t="s">
        <v>44</v>
      </c>
      <c r="N1268" t="s">
        <v>77</v>
      </c>
      <c r="O1268" t="s">
        <v>99</v>
      </c>
      <c r="P1268" t="s">
        <v>274</v>
      </c>
      <c r="Q1268" t="s">
        <v>125</v>
      </c>
      <c r="R1268" t="s">
        <v>273</v>
      </c>
      <c r="S1268" t="s">
        <v>197</v>
      </c>
      <c r="T1268" t="s">
        <v>211</v>
      </c>
      <c r="U1268" t="s">
        <v>163</v>
      </c>
      <c r="V1268" t="s">
        <v>193</v>
      </c>
      <c r="W1268" t="s">
        <v>77</v>
      </c>
      <c r="X1268" t="s">
        <v>44</v>
      </c>
      <c r="Y1268" t="s">
        <v>99</v>
      </c>
      <c r="Z1268" t="s">
        <v>421</v>
      </c>
      <c r="AC1268" t="str">
        <f>IF(AA1268="",M1268,AA1268)</f>
        <v>sim</v>
      </c>
      <c r="AD1268" t="str">
        <f>IF(AB1268="",X1268,AB1268)</f>
        <v>sim</v>
      </c>
      <c r="AE1268" t="str">
        <f>IF(OR(Configuracao!B9="",Configuracao!B10=""),"aguardando limiar",IF(AND(K1268&gt;=Configuracao!B9,K1268/MAX(Reconciliacao!C2,1)&gt;=Configuracao!B10/100),"sim","não"))</f>
        <v>aguardando limiar</v>
      </c>
    </row>
    <row r="1269" spans="1:31" x14ac:dyDescent="0.25">
      <c r="A1269">
        <v>18615</v>
      </c>
      <c r="C1269" t="s">
        <v>1058</v>
      </c>
      <c r="D1269" t="s">
        <v>958</v>
      </c>
      <c r="E1269" t="s">
        <v>74</v>
      </c>
      <c r="F1269" t="s">
        <v>272</v>
      </c>
      <c r="G1269" t="s">
        <v>271</v>
      </c>
      <c r="H1269" t="s">
        <v>270</v>
      </c>
      <c r="I1269" t="s">
        <v>35</v>
      </c>
      <c r="J1269" t="s">
        <v>35</v>
      </c>
      <c r="K1269" s="4">
        <v>232.97</v>
      </c>
      <c r="L1269" s="4">
        <v>232.97</v>
      </c>
      <c r="M1269" t="s">
        <v>166</v>
      </c>
      <c r="N1269" t="s">
        <v>77</v>
      </c>
      <c r="O1269" t="s">
        <v>76</v>
      </c>
      <c r="P1269" t="s">
        <v>187</v>
      </c>
      <c r="Q1269" t="s">
        <v>76</v>
      </c>
      <c r="R1269" t="s">
        <v>76</v>
      </c>
      <c r="S1269" t="s">
        <v>167</v>
      </c>
      <c r="T1269" t="s">
        <v>167</v>
      </c>
      <c r="U1269" t="s">
        <v>168</v>
      </c>
      <c r="V1269" t="s">
        <v>169</v>
      </c>
      <c r="W1269" t="s">
        <v>77</v>
      </c>
      <c r="X1269" t="s">
        <v>44</v>
      </c>
      <c r="Y1269" t="s">
        <v>99</v>
      </c>
      <c r="Z1269" t="s">
        <v>421</v>
      </c>
      <c r="AC1269" t="str">
        <f>IF(AA1269="",M1269,AA1269)</f>
        <v>não</v>
      </c>
      <c r="AD1269" t="str">
        <f>IF(AB1269="",X1269,AB1269)</f>
        <v>sim</v>
      </c>
      <c r="AE1269" t="str">
        <f>IF(OR(Configuracao!B9="",Configuracao!B10=""),"aguardando limiar",IF(AND(K1269&gt;=Configuracao!B9,K1269/MAX(Reconciliacao!C2,1)&gt;=Configuracao!B10/100),"sim","não"))</f>
        <v>aguardando limiar</v>
      </c>
    </row>
    <row r="1270" spans="1:31" x14ac:dyDescent="0.25">
      <c r="A1270">
        <v>17343</v>
      </c>
      <c r="C1270" t="s">
        <v>1014</v>
      </c>
      <c r="D1270" t="s">
        <v>975</v>
      </c>
      <c r="E1270" t="s">
        <v>74</v>
      </c>
      <c r="F1270" t="s">
        <v>272</v>
      </c>
      <c r="G1270" t="s">
        <v>271</v>
      </c>
      <c r="H1270" t="s">
        <v>270</v>
      </c>
      <c r="I1270" t="s">
        <v>442</v>
      </c>
      <c r="J1270" t="s">
        <v>442</v>
      </c>
      <c r="K1270" s="4">
        <v>253.95</v>
      </c>
      <c r="L1270" s="4">
        <v>253.95</v>
      </c>
      <c r="M1270" t="s">
        <v>166</v>
      </c>
      <c r="N1270" t="s">
        <v>77</v>
      </c>
      <c r="O1270" t="s">
        <v>76</v>
      </c>
      <c r="P1270" t="s">
        <v>187</v>
      </c>
      <c r="Q1270" t="s">
        <v>76</v>
      </c>
      <c r="R1270" t="s">
        <v>76</v>
      </c>
      <c r="S1270" t="s">
        <v>167</v>
      </c>
      <c r="T1270" t="s">
        <v>167</v>
      </c>
      <c r="U1270" t="s">
        <v>168</v>
      </c>
      <c r="V1270" t="s">
        <v>169</v>
      </c>
      <c r="W1270" t="s">
        <v>77</v>
      </c>
      <c r="X1270" t="s">
        <v>44</v>
      </c>
      <c r="Y1270" t="s">
        <v>99</v>
      </c>
      <c r="Z1270" t="s">
        <v>421</v>
      </c>
      <c r="AC1270" t="str">
        <f>IF(AA1270="",M1270,AA1270)</f>
        <v>não</v>
      </c>
      <c r="AD1270" t="str">
        <f>IF(AB1270="",X1270,AB1270)</f>
        <v>sim</v>
      </c>
      <c r="AE1270" t="str">
        <f>IF(OR(Configuracao!B9="",Configuracao!B10=""),"aguardando limiar",IF(AND(K1270&gt;=Configuracao!B9,K1270/MAX(Reconciliacao!C2,1)&gt;=Configuracao!B10/100),"sim","não"))</f>
        <v>aguardando limiar</v>
      </c>
    </row>
    <row r="1271" spans="1:31" x14ac:dyDescent="0.25">
      <c r="A1271">
        <v>16208</v>
      </c>
      <c r="C1271" t="s">
        <v>1059</v>
      </c>
      <c r="D1271" t="s">
        <v>1060</v>
      </c>
      <c r="E1271" t="s">
        <v>467</v>
      </c>
      <c r="F1271" t="s">
        <v>272</v>
      </c>
      <c r="G1271" t="s">
        <v>271</v>
      </c>
      <c r="H1271" t="s">
        <v>270</v>
      </c>
      <c r="I1271" t="s">
        <v>461</v>
      </c>
      <c r="J1271" t="s">
        <v>461</v>
      </c>
      <c r="K1271" s="4">
        <v>270.12</v>
      </c>
      <c r="L1271" s="4">
        <v>270.12</v>
      </c>
      <c r="M1271" t="s">
        <v>44</v>
      </c>
      <c r="N1271" t="s">
        <v>77</v>
      </c>
      <c r="O1271" t="s">
        <v>99</v>
      </c>
      <c r="P1271" t="s">
        <v>274</v>
      </c>
      <c r="Q1271" t="s">
        <v>125</v>
      </c>
      <c r="R1271" t="s">
        <v>273</v>
      </c>
      <c r="S1271" t="s">
        <v>197</v>
      </c>
      <c r="T1271" t="s">
        <v>211</v>
      </c>
      <c r="U1271" t="s">
        <v>163</v>
      </c>
      <c r="V1271" t="s">
        <v>193</v>
      </c>
      <c r="W1271" t="s">
        <v>77</v>
      </c>
      <c r="X1271" t="s">
        <v>44</v>
      </c>
      <c r="Y1271" t="s">
        <v>99</v>
      </c>
      <c r="Z1271" t="s">
        <v>421</v>
      </c>
      <c r="AC1271" t="str">
        <f>IF(AA1271="",M1271,AA1271)</f>
        <v>sim</v>
      </c>
      <c r="AD1271" t="str">
        <f>IF(AB1271="",X1271,AB1271)</f>
        <v>sim</v>
      </c>
      <c r="AE1271" t="str">
        <f>IF(OR(Configuracao!B9="",Configuracao!B10=""),"aguardando limiar",IF(AND(K1271&gt;=Configuracao!B9,K1271/MAX(Reconciliacao!C2,1)&gt;=Configuracao!B10/100),"sim","não"))</f>
        <v>aguardando limiar</v>
      </c>
    </row>
    <row r="1272" spans="1:31" x14ac:dyDescent="0.25">
      <c r="A1272">
        <v>18651</v>
      </c>
      <c r="C1272" t="s">
        <v>1061</v>
      </c>
      <c r="D1272" t="s">
        <v>1060</v>
      </c>
      <c r="E1272" t="s">
        <v>74</v>
      </c>
      <c r="F1272" t="s">
        <v>272</v>
      </c>
      <c r="G1272" t="s">
        <v>271</v>
      </c>
      <c r="H1272" t="s">
        <v>270</v>
      </c>
      <c r="I1272" t="s">
        <v>35</v>
      </c>
      <c r="J1272" t="s">
        <v>35</v>
      </c>
      <c r="K1272" s="4">
        <v>270.12</v>
      </c>
      <c r="L1272" s="4">
        <v>270.12</v>
      </c>
      <c r="M1272" t="s">
        <v>166</v>
      </c>
      <c r="N1272" t="s">
        <v>77</v>
      </c>
      <c r="O1272" t="s">
        <v>76</v>
      </c>
      <c r="P1272" t="s">
        <v>187</v>
      </c>
      <c r="Q1272" t="s">
        <v>76</v>
      </c>
      <c r="R1272" t="s">
        <v>76</v>
      </c>
      <c r="S1272" t="s">
        <v>167</v>
      </c>
      <c r="T1272" t="s">
        <v>167</v>
      </c>
      <c r="U1272" t="s">
        <v>168</v>
      </c>
      <c r="V1272" t="s">
        <v>169</v>
      </c>
      <c r="W1272" t="s">
        <v>77</v>
      </c>
      <c r="X1272" t="s">
        <v>44</v>
      </c>
      <c r="Y1272" t="s">
        <v>99</v>
      </c>
      <c r="Z1272" t="s">
        <v>421</v>
      </c>
      <c r="AC1272" t="str">
        <f>IF(AA1272="",M1272,AA1272)</f>
        <v>não</v>
      </c>
      <c r="AD1272" t="str">
        <f>IF(AB1272="",X1272,AB1272)</f>
        <v>sim</v>
      </c>
      <c r="AE1272" t="str">
        <f>IF(OR(Configuracao!B9="",Configuracao!B10=""),"aguardando limiar",IF(AND(K1272&gt;=Configuracao!B9,K1272/MAX(Reconciliacao!C2,1)&gt;=Configuracao!B10/100),"sim","não"))</f>
        <v>aguardando limiar</v>
      </c>
    </row>
    <row r="1273" spans="1:31" x14ac:dyDescent="0.25">
      <c r="A1273">
        <v>18860</v>
      </c>
      <c r="C1273" t="s">
        <v>1061</v>
      </c>
      <c r="D1273" t="s">
        <v>1060</v>
      </c>
      <c r="E1273" t="s">
        <v>74</v>
      </c>
      <c r="F1273" t="s">
        <v>272</v>
      </c>
      <c r="G1273" t="s">
        <v>271</v>
      </c>
      <c r="H1273" t="s">
        <v>270</v>
      </c>
      <c r="I1273" t="s">
        <v>35</v>
      </c>
      <c r="J1273" t="s">
        <v>35</v>
      </c>
      <c r="K1273" s="4">
        <v>270.12</v>
      </c>
      <c r="L1273" s="4">
        <v>270.12</v>
      </c>
      <c r="M1273" t="s">
        <v>166</v>
      </c>
      <c r="N1273" t="s">
        <v>77</v>
      </c>
      <c r="O1273" t="s">
        <v>76</v>
      </c>
      <c r="P1273" t="s">
        <v>187</v>
      </c>
      <c r="Q1273" t="s">
        <v>76</v>
      </c>
      <c r="R1273" t="s">
        <v>76</v>
      </c>
      <c r="S1273" t="s">
        <v>167</v>
      </c>
      <c r="T1273" t="s">
        <v>167</v>
      </c>
      <c r="U1273" t="s">
        <v>168</v>
      </c>
      <c r="V1273" t="s">
        <v>169</v>
      </c>
      <c r="W1273" t="s">
        <v>77</v>
      </c>
      <c r="X1273" t="s">
        <v>44</v>
      </c>
      <c r="Y1273" t="s">
        <v>99</v>
      </c>
      <c r="Z1273" t="s">
        <v>421</v>
      </c>
      <c r="AC1273" t="str">
        <f>IF(AA1273="",M1273,AA1273)</f>
        <v>não</v>
      </c>
      <c r="AD1273" t="str">
        <f>IF(AB1273="",X1273,AB1273)</f>
        <v>sim</v>
      </c>
      <c r="AE1273" t="str">
        <f>IF(OR(Configuracao!B9="",Configuracao!B10=""),"aguardando limiar",IF(AND(K1273&gt;=Configuracao!B9,K1273/MAX(Reconciliacao!C2,1)&gt;=Configuracao!B10/100),"sim","não"))</f>
        <v>aguardando limiar</v>
      </c>
    </row>
    <row r="1274" spans="1:31" x14ac:dyDescent="0.25">
      <c r="A1274">
        <v>17608</v>
      </c>
      <c r="C1274" t="s">
        <v>1062</v>
      </c>
      <c r="D1274" t="s">
        <v>1063</v>
      </c>
      <c r="E1274" t="s">
        <v>486</v>
      </c>
      <c r="F1274" t="s">
        <v>272</v>
      </c>
      <c r="G1274" t="s">
        <v>271</v>
      </c>
      <c r="H1274" t="s">
        <v>270</v>
      </c>
      <c r="I1274" t="s">
        <v>442</v>
      </c>
      <c r="J1274" t="s">
        <v>442</v>
      </c>
      <c r="K1274" s="4">
        <v>383.13</v>
      </c>
      <c r="L1274" s="4">
        <v>383.13</v>
      </c>
      <c r="M1274" t="s">
        <v>44</v>
      </c>
      <c r="N1274" t="s">
        <v>77</v>
      </c>
      <c r="O1274" t="s">
        <v>99</v>
      </c>
      <c r="P1274" t="s">
        <v>274</v>
      </c>
      <c r="Q1274" t="s">
        <v>125</v>
      </c>
      <c r="R1274" t="s">
        <v>273</v>
      </c>
      <c r="S1274" t="s">
        <v>197</v>
      </c>
      <c r="T1274" t="s">
        <v>211</v>
      </c>
      <c r="U1274" t="s">
        <v>163</v>
      </c>
      <c r="V1274" t="s">
        <v>193</v>
      </c>
      <c r="W1274" t="s">
        <v>77</v>
      </c>
      <c r="X1274" t="s">
        <v>44</v>
      </c>
      <c r="Y1274" t="s">
        <v>99</v>
      </c>
      <c r="Z1274" t="s">
        <v>421</v>
      </c>
      <c r="AC1274" t="str">
        <f>IF(AA1274="",M1274,AA1274)</f>
        <v>sim</v>
      </c>
      <c r="AD1274" t="str">
        <f>IF(AB1274="",X1274,AB1274)</f>
        <v>sim</v>
      </c>
      <c r="AE1274" t="str">
        <f>IF(OR(Configuracao!B9="",Configuracao!B10=""),"aguardando limiar",IF(AND(K1274&gt;=Configuracao!B9,K1274/MAX(Reconciliacao!C2,1)&gt;=Configuracao!B10/100),"sim","não"))</f>
        <v>aguardando limiar</v>
      </c>
    </row>
    <row r="1275" spans="1:31" x14ac:dyDescent="0.25">
      <c r="A1275">
        <v>16655</v>
      </c>
      <c r="C1275" t="s">
        <v>1064</v>
      </c>
      <c r="D1275" t="s">
        <v>432</v>
      </c>
      <c r="E1275" t="s">
        <v>74</v>
      </c>
      <c r="F1275" t="s">
        <v>272</v>
      </c>
      <c r="G1275" t="s">
        <v>271</v>
      </c>
      <c r="H1275" t="s">
        <v>270</v>
      </c>
      <c r="I1275" t="s">
        <v>461</v>
      </c>
      <c r="J1275" t="s">
        <v>461</v>
      </c>
      <c r="K1275" s="4">
        <v>385</v>
      </c>
      <c r="L1275" s="4">
        <v>385</v>
      </c>
      <c r="M1275" t="s">
        <v>166</v>
      </c>
      <c r="N1275" t="s">
        <v>77</v>
      </c>
      <c r="O1275" t="s">
        <v>76</v>
      </c>
      <c r="P1275" t="s">
        <v>187</v>
      </c>
      <c r="Q1275" t="s">
        <v>76</v>
      </c>
      <c r="R1275" t="s">
        <v>76</v>
      </c>
      <c r="S1275" t="s">
        <v>167</v>
      </c>
      <c r="T1275" t="s">
        <v>167</v>
      </c>
      <c r="U1275" t="s">
        <v>168</v>
      </c>
      <c r="V1275" t="s">
        <v>169</v>
      </c>
      <c r="W1275" t="s">
        <v>77</v>
      </c>
      <c r="X1275" t="s">
        <v>44</v>
      </c>
      <c r="Y1275" t="s">
        <v>99</v>
      </c>
      <c r="Z1275" t="s">
        <v>421</v>
      </c>
      <c r="AC1275" t="str">
        <f>IF(AA1275="",M1275,AA1275)</f>
        <v>não</v>
      </c>
      <c r="AD1275" t="str">
        <f>IF(AB1275="",X1275,AB1275)</f>
        <v>sim</v>
      </c>
      <c r="AE1275" t="str">
        <f>IF(OR(Configuracao!B9="",Configuracao!B10=""),"aguardando limiar",IF(AND(K1275&gt;=Configuracao!B9,K1275/MAX(Reconciliacao!C2,1)&gt;=Configuracao!B10/100),"sim","não"))</f>
        <v>aguardando limiar</v>
      </c>
    </row>
    <row r="1276" spans="1:31" x14ac:dyDescent="0.25">
      <c r="A1276">
        <v>12887</v>
      </c>
      <c r="C1276" t="s">
        <v>1065</v>
      </c>
      <c r="D1276" t="s">
        <v>958</v>
      </c>
      <c r="E1276" t="s">
        <v>74</v>
      </c>
      <c r="F1276" t="s">
        <v>272</v>
      </c>
      <c r="G1276" t="s">
        <v>271</v>
      </c>
      <c r="H1276" t="s">
        <v>270</v>
      </c>
      <c r="I1276" t="s">
        <v>420</v>
      </c>
      <c r="J1276" t="s">
        <v>420</v>
      </c>
      <c r="K1276" s="4">
        <v>397.08</v>
      </c>
      <c r="L1276" s="4">
        <v>397.08</v>
      </c>
      <c r="M1276" t="s">
        <v>166</v>
      </c>
      <c r="N1276" t="s">
        <v>77</v>
      </c>
      <c r="O1276" t="s">
        <v>76</v>
      </c>
      <c r="P1276" t="s">
        <v>187</v>
      </c>
      <c r="Q1276" t="s">
        <v>76</v>
      </c>
      <c r="R1276" t="s">
        <v>76</v>
      </c>
      <c r="S1276" t="s">
        <v>167</v>
      </c>
      <c r="T1276" t="s">
        <v>167</v>
      </c>
      <c r="U1276" t="s">
        <v>168</v>
      </c>
      <c r="V1276" t="s">
        <v>169</v>
      </c>
      <c r="W1276" t="s">
        <v>77</v>
      </c>
      <c r="X1276" t="s">
        <v>44</v>
      </c>
      <c r="Y1276" t="s">
        <v>99</v>
      </c>
      <c r="Z1276" t="s">
        <v>421</v>
      </c>
      <c r="AC1276" t="str">
        <f>IF(AA1276="",M1276,AA1276)</f>
        <v>não</v>
      </c>
      <c r="AD1276" t="str">
        <f>IF(AB1276="",X1276,AB1276)</f>
        <v>sim</v>
      </c>
      <c r="AE1276" t="str">
        <f>IF(OR(Configuracao!B9="",Configuracao!B10=""),"aguardando limiar",IF(AND(K1276&gt;=Configuracao!B9,K1276/MAX(Reconciliacao!C2,1)&gt;=Configuracao!B10/100),"sim","não"))</f>
        <v>aguardando limiar</v>
      </c>
    </row>
    <row r="1277" spans="1:31" x14ac:dyDescent="0.25">
      <c r="A1277">
        <v>18154</v>
      </c>
      <c r="C1277" t="s">
        <v>1066</v>
      </c>
      <c r="D1277" t="s">
        <v>958</v>
      </c>
      <c r="E1277" t="s">
        <v>74</v>
      </c>
      <c r="F1277" t="s">
        <v>272</v>
      </c>
      <c r="G1277" t="s">
        <v>271</v>
      </c>
      <c r="H1277" t="s">
        <v>270</v>
      </c>
      <c r="I1277" t="s">
        <v>439</v>
      </c>
      <c r="J1277" t="s">
        <v>439</v>
      </c>
      <c r="K1277" s="4">
        <v>427.8</v>
      </c>
      <c r="L1277" s="4">
        <v>427.8</v>
      </c>
      <c r="M1277" t="s">
        <v>166</v>
      </c>
      <c r="N1277" t="s">
        <v>77</v>
      </c>
      <c r="O1277" t="s">
        <v>76</v>
      </c>
      <c r="P1277" t="s">
        <v>187</v>
      </c>
      <c r="Q1277" t="s">
        <v>76</v>
      </c>
      <c r="R1277" t="s">
        <v>76</v>
      </c>
      <c r="S1277" t="s">
        <v>167</v>
      </c>
      <c r="T1277" t="s">
        <v>167</v>
      </c>
      <c r="U1277" t="s">
        <v>168</v>
      </c>
      <c r="V1277" t="s">
        <v>169</v>
      </c>
      <c r="W1277" t="s">
        <v>77</v>
      </c>
      <c r="X1277" t="s">
        <v>44</v>
      </c>
      <c r="Y1277" t="s">
        <v>99</v>
      </c>
      <c r="Z1277" t="s">
        <v>421</v>
      </c>
      <c r="AC1277" t="str">
        <f>IF(AA1277="",M1277,AA1277)</f>
        <v>não</v>
      </c>
      <c r="AD1277" t="str">
        <f>IF(AB1277="",X1277,AB1277)</f>
        <v>sim</v>
      </c>
      <c r="AE1277" t="str">
        <f>IF(OR(Configuracao!B9="",Configuracao!B10=""),"aguardando limiar",IF(AND(K1277&gt;=Configuracao!B9,K1277/MAX(Reconciliacao!C2,1)&gt;=Configuracao!B10/100),"sim","não"))</f>
        <v>aguardando limiar</v>
      </c>
    </row>
    <row r="1278" spans="1:31" x14ac:dyDescent="0.25">
      <c r="A1278">
        <v>11475</v>
      </c>
      <c r="C1278" t="s">
        <v>1067</v>
      </c>
      <c r="D1278" t="s">
        <v>1068</v>
      </c>
      <c r="E1278" t="s">
        <v>511</v>
      </c>
      <c r="F1278" t="s">
        <v>272</v>
      </c>
      <c r="G1278" t="s">
        <v>271</v>
      </c>
      <c r="H1278" t="s">
        <v>270</v>
      </c>
      <c r="I1278" t="s">
        <v>32</v>
      </c>
      <c r="J1278" t="s">
        <v>32</v>
      </c>
      <c r="K1278" s="4">
        <v>440</v>
      </c>
      <c r="L1278" s="4">
        <v>440</v>
      </c>
      <c r="M1278" t="s">
        <v>44</v>
      </c>
      <c r="N1278" t="s">
        <v>77</v>
      </c>
      <c r="O1278" t="s">
        <v>99</v>
      </c>
      <c r="P1278" t="s">
        <v>274</v>
      </c>
      <c r="Q1278" t="s">
        <v>125</v>
      </c>
      <c r="R1278" t="s">
        <v>273</v>
      </c>
      <c r="S1278" t="s">
        <v>197</v>
      </c>
      <c r="T1278" t="s">
        <v>211</v>
      </c>
      <c r="U1278" t="s">
        <v>163</v>
      </c>
      <c r="V1278" t="s">
        <v>193</v>
      </c>
      <c r="W1278" t="s">
        <v>77</v>
      </c>
      <c r="X1278" t="s">
        <v>44</v>
      </c>
      <c r="Y1278" t="s">
        <v>99</v>
      </c>
      <c r="Z1278" t="s">
        <v>421</v>
      </c>
      <c r="AC1278" t="str">
        <f>IF(AA1278="",M1278,AA1278)</f>
        <v>sim</v>
      </c>
      <c r="AD1278" t="str">
        <f>IF(AB1278="",X1278,AB1278)</f>
        <v>sim</v>
      </c>
      <c r="AE1278" t="str">
        <f>IF(OR(Configuracao!B9="",Configuracao!B10=""),"aguardando limiar",IF(AND(K1278&gt;=Configuracao!B9,K1278/MAX(Reconciliacao!C2,1)&gt;=Configuracao!B10/100),"sim","não"))</f>
        <v>aguardando limiar</v>
      </c>
    </row>
    <row r="1279" spans="1:31" x14ac:dyDescent="0.25">
      <c r="A1279">
        <v>15824</v>
      </c>
      <c r="C1279" t="s">
        <v>1069</v>
      </c>
      <c r="D1279" t="s">
        <v>958</v>
      </c>
      <c r="E1279" t="s">
        <v>486</v>
      </c>
      <c r="F1279" t="s">
        <v>272</v>
      </c>
      <c r="G1279" t="s">
        <v>271</v>
      </c>
      <c r="H1279" t="s">
        <v>270</v>
      </c>
      <c r="I1279" t="s">
        <v>454</v>
      </c>
      <c r="J1279" t="s">
        <v>454</v>
      </c>
      <c r="K1279" s="4">
        <v>500</v>
      </c>
      <c r="L1279" s="4">
        <v>500</v>
      </c>
      <c r="M1279" t="s">
        <v>44</v>
      </c>
      <c r="N1279" t="s">
        <v>77</v>
      </c>
      <c r="O1279" t="s">
        <v>99</v>
      </c>
      <c r="P1279" t="s">
        <v>274</v>
      </c>
      <c r="Q1279" t="s">
        <v>125</v>
      </c>
      <c r="R1279" t="s">
        <v>273</v>
      </c>
      <c r="S1279" t="s">
        <v>197</v>
      </c>
      <c r="T1279" t="s">
        <v>211</v>
      </c>
      <c r="U1279" t="s">
        <v>163</v>
      </c>
      <c r="V1279" t="s">
        <v>193</v>
      </c>
      <c r="W1279" t="s">
        <v>77</v>
      </c>
      <c r="X1279" t="s">
        <v>44</v>
      </c>
      <c r="Y1279" t="s">
        <v>99</v>
      </c>
      <c r="Z1279" t="s">
        <v>421</v>
      </c>
      <c r="AC1279" t="str">
        <f>IF(AA1279="",M1279,AA1279)</f>
        <v>sim</v>
      </c>
      <c r="AD1279" t="str">
        <f>IF(AB1279="",X1279,AB1279)</f>
        <v>sim</v>
      </c>
      <c r="AE1279" t="str">
        <f>IF(OR(Configuracao!B9="",Configuracao!B10=""),"aguardando limiar",IF(AND(K1279&gt;=Configuracao!B9,K1279/MAX(Reconciliacao!C2,1)&gt;=Configuracao!B10/100),"sim","não"))</f>
        <v>aguardando limiar</v>
      </c>
    </row>
    <row r="1280" spans="1:31" x14ac:dyDescent="0.25">
      <c r="A1280">
        <v>17856</v>
      </c>
      <c r="C1280" t="s">
        <v>1070</v>
      </c>
      <c r="D1280" t="s">
        <v>1060</v>
      </c>
      <c r="E1280" t="s">
        <v>467</v>
      </c>
      <c r="F1280" t="s">
        <v>272</v>
      </c>
      <c r="G1280" t="s">
        <v>271</v>
      </c>
      <c r="H1280" t="s">
        <v>270</v>
      </c>
      <c r="I1280" t="s">
        <v>439</v>
      </c>
      <c r="J1280" t="s">
        <v>439</v>
      </c>
      <c r="K1280" s="4">
        <v>540.24</v>
      </c>
      <c r="L1280" s="4">
        <v>540.24</v>
      </c>
      <c r="M1280" t="s">
        <v>44</v>
      </c>
      <c r="N1280" t="s">
        <v>77</v>
      </c>
      <c r="O1280" t="s">
        <v>99</v>
      </c>
      <c r="P1280" t="s">
        <v>274</v>
      </c>
      <c r="Q1280" t="s">
        <v>125</v>
      </c>
      <c r="R1280" t="s">
        <v>273</v>
      </c>
      <c r="S1280" t="s">
        <v>197</v>
      </c>
      <c r="T1280" t="s">
        <v>211</v>
      </c>
      <c r="U1280" t="s">
        <v>163</v>
      </c>
      <c r="V1280" t="s">
        <v>193</v>
      </c>
      <c r="W1280" t="s">
        <v>77</v>
      </c>
      <c r="X1280" t="s">
        <v>44</v>
      </c>
      <c r="Y1280" t="s">
        <v>99</v>
      </c>
      <c r="Z1280" t="s">
        <v>421</v>
      </c>
      <c r="AC1280" t="str">
        <f>IF(AA1280="",M1280,AA1280)</f>
        <v>sim</v>
      </c>
      <c r="AD1280" t="str">
        <f>IF(AB1280="",X1280,AB1280)</f>
        <v>sim</v>
      </c>
      <c r="AE1280" t="str">
        <f>IF(OR(Configuracao!B9="",Configuracao!B10=""),"aguardando limiar",IF(AND(K1280&gt;=Configuracao!B9,K1280/MAX(Reconciliacao!C2,1)&gt;=Configuracao!B10/100),"sim","não"))</f>
        <v>aguardando limiar</v>
      </c>
    </row>
    <row r="1281" spans="1:31" x14ac:dyDescent="0.25">
      <c r="A1281">
        <v>17429</v>
      </c>
      <c r="C1281" t="s">
        <v>1071</v>
      </c>
      <c r="D1281" t="s">
        <v>958</v>
      </c>
      <c r="E1281" t="s">
        <v>467</v>
      </c>
      <c r="F1281" t="s">
        <v>272</v>
      </c>
      <c r="G1281" t="s">
        <v>271</v>
      </c>
      <c r="H1281" t="s">
        <v>270</v>
      </c>
      <c r="I1281" t="s">
        <v>442</v>
      </c>
      <c r="J1281" t="s">
        <v>442</v>
      </c>
      <c r="K1281" s="4">
        <v>570.16</v>
      </c>
      <c r="L1281" s="4">
        <v>570.16</v>
      </c>
      <c r="M1281" t="s">
        <v>44</v>
      </c>
      <c r="N1281" t="s">
        <v>77</v>
      </c>
      <c r="O1281" t="s">
        <v>99</v>
      </c>
      <c r="P1281" t="s">
        <v>274</v>
      </c>
      <c r="Q1281" t="s">
        <v>125</v>
      </c>
      <c r="R1281" t="s">
        <v>273</v>
      </c>
      <c r="S1281" t="s">
        <v>197</v>
      </c>
      <c r="T1281" t="s">
        <v>211</v>
      </c>
      <c r="U1281" t="s">
        <v>163</v>
      </c>
      <c r="V1281" t="s">
        <v>193</v>
      </c>
      <c r="W1281" t="s">
        <v>77</v>
      </c>
      <c r="X1281" t="s">
        <v>44</v>
      </c>
      <c r="Y1281" t="s">
        <v>99</v>
      </c>
      <c r="Z1281" t="s">
        <v>421</v>
      </c>
      <c r="AC1281" t="str">
        <f>IF(AA1281="",M1281,AA1281)</f>
        <v>sim</v>
      </c>
      <c r="AD1281" t="str">
        <f>IF(AB1281="",X1281,AB1281)</f>
        <v>sim</v>
      </c>
      <c r="AE1281" t="str">
        <f>IF(OR(Configuracao!B9="",Configuracao!B10=""),"aguardando limiar",IF(AND(K1281&gt;=Configuracao!B9,K1281/MAX(Reconciliacao!C2,1)&gt;=Configuracao!B10/100),"sim","não"))</f>
        <v>aguardando limiar</v>
      </c>
    </row>
    <row r="1282" spans="1:31" x14ac:dyDescent="0.25">
      <c r="A1282">
        <v>11675</v>
      </c>
      <c r="C1282" t="s">
        <v>1072</v>
      </c>
      <c r="D1282" t="s">
        <v>958</v>
      </c>
      <c r="E1282" t="s">
        <v>477</v>
      </c>
      <c r="F1282" t="s">
        <v>272</v>
      </c>
      <c r="G1282" t="s">
        <v>271</v>
      </c>
      <c r="H1282" t="s">
        <v>270</v>
      </c>
      <c r="I1282" t="s">
        <v>32</v>
      </c>
      <c r="J1282" t="s">
        <v>32</v>
      </c>
      <c r="K1282" s="4">
        <v>573.99</v>
      </c>
      <c r="L1282" s="4">
        <v>573.99</v>
      </c>
      <c r="M1282" t="s">
        <v>44</v>
      </c>
      <c r="N1282" t="s">
        <v>77</v>
      </c>
      <c r="O1282" t="s">
        <v>99</v>
      </c>
      <c r="P1282" t="s">
        <v>274</v>
      </c>
      <c r="Q1282" t="s">
        <v>125</v>
      </c>
      <c r="R1282" t="s">
        <v>273</v>
      </c>
      <c r="S1282" t="s">
        <v>197</v>
      </c>
      <c r="T1282" t="s">
        <v>211</v>
      </c>
      <c r="U1282" t="s">
        <v>163</v>
      </c>
      <c r="V1282" t="s">
        <v>193</v>
      </c>
      <c r="W1282" t="s">
        <v>77</v>
      </c>
      <c r="X1282" t="s">
        <v>44</v>
      </c>
      <c r="Y1282" t="s">
        <v>99</v>
      </c>
      <c r="Z1282" t="s">
        <v>421</v>
      </c>
      <c r="AC1282" t="str">
        <f>IF(AA1282="",M1282,AA1282)</f>
        <v>sim</v>
      </c>
      <c r="AD1282" t="str">
        <f>IF(AB1282="",X1282,AB1282)</f>
        <v>sim</v>
      </c>
      <c r="AE1282" t="str">
        <f>IF(OR(Configuracao!B9="",Configuracao!B10=""),"aguardando limiar",IF(AND(K1282&gt;=Configuracao!B9,K1282/MAX(Reconciliacao!C2,1)&gt;=Configuracao!B10/100),"sim","não"))</f>
        <v>aguardando limiar</v>
      </c>
    </row>
    <row r="1283" spans="1:31" x14ac:dyDescent="0.25">
      <c r="A1283">
        <v>15823</v>
      </c>
      <c r="C1283" t="s">
        <v>1073</v>
      </c>
      <c r="D1283" t="s">
        <v>958</v>
      </c>
      <c r="E1283" t="s">
        <v>511</v>
      </c>
      <c r="F1283" t="s">
        <v>272</v>
      </c>
      <c r="G1283" t="s">
        <v>271</v>
      </c>
      <c r="H1283" t="s">
        <v>270</v>
      </c>
      <c r="I1283" t="s">
        <v>454</v>
      </c>
      <c r="J1283" t="s">
        <v>454</v>
      </c>
      <c r="K1283" s="4">
        <v>576.3</v>
      </c>
      <c r="L1283" s="4">
        <v>576.3</v>
      </c>
      <c r="M1283" t="s">
        <v>44</v>
      </c>
      <c r="N1283" t="s">
        <v>77</v>
      </c>
      <c r="O1283" t="s">
        <v>99</v>
      </c>
      <c r="P1283" t="s">
        <v>274</v>
      </c>
      <c r="Q1283" t="s">
        <v>125</v>
      </c>
      <c r="R1283" t="s">
        <v>273</v>
      </c>
      <c r="S1283" t="s">
        <v>197</v>
      </c>
      <c r="T1283" t="s">
        <v>211</v>
      </c>
      <c r="U1283" t="s">
        <v>163</v>
      </c>
      <c r="V1283" t="s">
        <v>193</v>
      </c>
      <c r="W1283" t="s">
        <v>77</v>
      </c>
      <c r="X1283" t="s">
        <v>44</v>
      </c>
      <c r="Y1283" t="s">
        <v>99</v>
      </c>
      <c r="Z1283" t="s">
        <v>421</v>
      </c>
      <c r="AC1283" t="str">
        <f>IF(AA1283="",M1283,AA1283)</f>
        <v>sim</v>
      </c>
      <c r="AD1283" t="str">
        <f>IF(AB1283="",X1283,AB1283)</f>
        <v>sim</v>
      </c>
      <c r="AE1283" t="str">
        <f>IF(OR(Configuracao!B9="",Configuracao!B10=""),"aguardando limiar",IF(AND(K1283&gt;=Configuracao!B9,K1283/MAX(Reconciliacao!C2,1)&gt;=Configuracao!B10/100),"sim","não"))</f>
        <v>aguardando limiar</v>
      </c>
    </row>
    <row r="1284" spans="1:31" x14ac:dyDescent="0.25">
      <c r="A1284">
        <v>16670</v>
      </c>
      <c r="C1284" t="s">
        <v>1074</v>
      </c>
      <c r="D1284" t="s">
        <v>436</v>
      </c>
      <c r="E1284" t="s">
        <v>467</v>
      </c>
      <c r="F1284" t="s">
        <v>272</v>
      </c>
      <c r="G1284" t="s">
        <v>271</v>
      </c>
      <c r="H1284" t="s">
        <v>270</v>
      </c>
      <c r="I1284" t="s">
        <v>461</v>
      </c>
      <c r="J1284" t="s">
        <v>461</v>
      </c>
      <c r="K1284" s="4">
        <v>576.3</v>
      </c>
      <c r="L1284" s="4">
        <v>576.3</v>
      </c>
      <c r="M1284" t="s">
        <v>44</v>
      </c>
      <c r="N1284" t="s">
        <v>77</v>
      </c>
      <c r="O1284" t="s">
        <v>99</v>
      </c>
      <c r="P1284" t="s">
        <v>274</v>
      </c>
      <c r="Q1284" t="s">
        <v>125</v>
      </c>
      <c r="R1284" t="s">
        <v>273</v>
      </c>
      <c r="S1284" t="s">
        <v>197</v>
      </c>
      <c r="T1284" t="s">
        <v>211</v>
      </c>
      <c r="U1284" t="s">
        <v>163</v>
      </c>
      <c r="V1284" t="s">
        <v>193</v>
      </c>
      <c r="W1284" t="s">
        <v>77</v>
      </c>
      <c r="X1284" t="s">
        <v>44</v>
      </c>
      <c r="Y1284" t="s">
        <v>99</v>
      </c>
      <c r="Z1284" t="s">
        <v>421</v>
      </c>
      <c r="AC1284" t="str">
        <f>IF(AA1284="",M1284,AA1284)</f>
        <v>sim</v>
      </c>
      <c r="AD1284" t="str">
        <f>IF(AB1284="",X1284,AB1284)</f>
        <v>sim</v>
      </c>
      <c r="AE1284" t="str">
        <f>IF(OR(Configuracao!B9="",Configuracao!B10=""),"aguardando limiar",IF(AND(K1284&gt;=Configuracao!B9,K1284/MAX(Reconciliacao!C2,1)&gt;=Configuracao!B10/100),"sim","não"))</f>
        <v>aguardando limiar</v>
      </c>
    </row>
    <row r="1285" spans="1:31" x14ac:dyDescent="0.25">
      <c r="A1285">
        <v>11784</v>
      </c>
      <c r="C1285" t="s">
        <v>1075</v>
      </c>
      <c r="D1285" t="s">
        <v>958</v>
      </c>
      <c r="E1285" t="s">
        <v>74</v>
      </c>
      <c r="F1285" t="s">
        <v>272</v>
      </c>
      <c r="G1285" t="s">
        <v>271</v>
      </c>
      <c r="H1285" t="s">
        <v>270</v>
      </c>
      <c r="I1285" t="s">
        <v>32</v>
      </c>
      <c r="J1285" t="s">
        <v>32</v>
      </c>
      <c r="K1285" s="4">
        <v>873.6</v>
      </c>
      <c r="L1285" s="4">
        <v>873.6</v>
      </c>
      <c r="M1285" t="s">
        <v>166</v>
      </c>
      <c r="N1285" t="s">
        <v>77</v>
      </c>
      <c r="O1285" t="s">
        <v>76</v>
      </c>
      <c r="P1285" t="s">
        <v>187</v>
      </c>
      <c r="Q1285" t="s">
        <v>76</v>
      </c>
      <c r="R1285" t="s">
        <v>76</v>
      </c>
      <c r="S1285" t="s">
        <v>167</v>
      </c>
      <c r="T1285" t="s">
        <v>167</v>
      </c>
      <c r="U1285" t="s">
        <v>168</v>
      </c>
      <c r="V1285" t="s">
        <v>169</v>
      </c>
      <c r="W1285" t="s">
        <v>77</v>
      </c>
      <c r="X1285" t="s">
        <v>44</v>
      </c>
      <c r="Y1285" t="s">
        <v>99</v>
      </c>
      <c r="Z1285" t="s">
        <v>421</v>
      </c>
      <c r="AC1285" t="str">
        <f>IF(AA1285="",M1285,AA1285)</f>
        <v>não</v>
      </c>
      <c r="AD1285" t="str">
        <f>IF(AB1285="",X1285,AB1285)</f>
        <v>sim</v>
      </c>
      <c r="AE1285" t="str">
        <f>IF(OR(Configuracao!B9="",Configuracao!B10=""),"aguardando limiar",IF(AND(K1285&gt;=Configuracao!B9,K1285/MAX(Reconciliacao!C2,1)&gt;=Configuracao!B10/100),"sim","não"))</f>
        <v>aguardando limiar</v>
      </c>
    </row>
    <row r="1286" spans="1:31" x14ac:dyDescent="0.25">
      <c r="A1286">
        <v>11449</v>
      </c>
      <c r="C1286" t="s">
        <v>1076</v>
      </c>
      <c r="D1286" t="s">
        <v>436</v>
      </c>
      <c r="E1286" t="s">
        <v>467</v>
      </c>
      <c r="F1286" t="s">
        <v>272</v>
      </c>
      <c r="G1286" t="s">
        <v>271</v>
      </c>
      <c r="H1286" t="s">
        <v>270</v>
      </c>
      <c r="I1286" t="s">
        <v>32</v>
      </c>
      <c r="J1286" t="s">
        <v>32</v>
      </c>
      <c r="K1286" s="4">
        <v>1110.6</v>
      </c>
      <c r="L1286" s="4">
        <v>1110.6</v>
      </c>
      <c r="M1286" t="s">
        <v>44</v>
      </c>
      <c r="N1286" t="s">
        <v>77</v>
      </c>
      <c r="O1286" t="s">
        <v>99</v>
      </c>
      <c r="P1286" t="s">
        <v>274</v>
      </c>
      <c r="Q1286" t="s">
        <v>125</v>
      </c>
      <c r="R1286" t="s">
        <v>273</v>
      </c>
      <c r="S1286" t="s">
        <v>197</v>
      </c>
      <c r="T1286" t="s">
        <v>211</v>
      </c>
      <c r="U1286" t="s">
        <v>163</v>
      </c>
      <c r="V1286" t="s">
        <v>193</v>
      </c>
      <c r="W1286" t="s">
        <v>77</v>
      </c>
      <c r="X1286" t="s">
        <v>166</v>
      </c>
      <c r="Y1286" t="s">
        <v>1077</v>
      </c>
      <c r="Z1286" t="s">
        <v>434</v>
      </c>
      <c r="AC1286" t="str">
        <f>IF(AA1286="",M1286,AA1286)</f>
        <v>sim</v>
      </c>
      <c r="AD1286" t="str">
        <f>IF(AB1286="",X1286,AB1286)</f>
        <v>não</v>
      </c>
      <c r="AE1286" t="str">
        <f>IF(OR(Configuracao!B9="",Configuracao!B10=""),"aguardando limiar",IF(AND(K1286&gt;=Configuracao!B9,K1286/MAX(Reconciliacao!C2,1)&gt;=Configuracao!B10/100),"sim","não"))</f>
        <v>aguardando limiar</v>
      </c>
    </row>
    <row r="1287" spans="1:31" x14ac:dyDescent="0.25">
      <c r="A1287">
        <v>15744</v>
      </c>
      <c r="C1287" t="s">
        <v>1078</v>
      </c>
      <c r="D1287" t="s">
        <v>958</v>
      </c>
      <c r="E1287" t="s">
        <v>467</v>
      </c>
      <c r="F1287" t="s">
        <v>272</v>
      </c>
      <c r="G1287" t="s">
        <v>271</v>
      </c>
      <c r="H1287" t="s">
        <v>270</v>
      </c>
      <c r="I1287" t="s">
        <v>454</v>
      </c>
      <c r="J1287" t="s">
        <v>454</v>
      </c>
      <c r="K1287" s="4">
        <v>1152.6</v>
      </c>
      <c r="L1287" s="4">
        <v>1152.6</v>
      </c>
      <c r="M1287" t="s">
        <v>44</v>
      </c>
      <c r="N1287" t="s">
        <v>77</v>
      </c>
      <c r="O1287" t="s">
        <v>99</v>
      </c>
      <c r="P1287" t="s">
        <v>274</v>
      </c>
      <c r="Q1287" t="s">
        <v>125</v>
      </c>
      <c r="R1287" t="s">
        <v>273</v>
      </c>
      <c r="S1287" t="s">
        <v>197</v>
      </c>
      <c r="T1287" t="s">
        <v>211</v>
      </c>
      <c r="U1287" t="s">
        <v>163</v>
      </c>
      <c r="V1287" t="s">
        <v>193</v>
      </c>
      <c r="W1287" t="s">
        <v>77</v>
      </c>
      <c r="X1287" t="s">
        <v>166</v>
      </c>
      <c r="Y1287" t="s">
        <v>1077</v>
      </c>
      <c r="Z1287" t="s">
        <v>434</v>
      </c>
      <c r="AC1287" t="str">
        <f>IF(AA1287="",M1287,AA1287)</f>
        <v>sim</v>
      </c>
      <c r="AD1287" t="str">
        <f>IF(AB1287="",X1287,AB1287)</f>
        <v>não</v>
      </c>
      <c r="AE1287" t="str">
        <f>IF(OR(Configuracao!B9="",Configuracao!B10=""),"aguardando limiar",IF(AND(K1287&gt;=Configuracao!B9,K1287/MAX(Reconciliacao!C2,1)&gt;=Configuracao!B10/100),"sim","não"))</f>
        <v>aguardando limiar</v>
      </c>
    </row>
    <row r="1288" spans="1:31" x14ac:dyDescent="0.25">
      <c r="A1288">
        <v>19153</v>
      </c>
      <c r="C1288" t="s">
        <v>1079</v>
      </c>
      <c r="D1288" t="s">
        <v>436</v>
      </c>
      <c r="E1288" t="s">
        <v>467</v>
      </c>
      <c r="F1288" t="s">
        <v>272</v>
      </c>
      <c r="G1288" t="s">
        <v>271</v>
      </c>
      <c r="H1288" t="s">
        <v>270</v>
      </c>
      <c r="I1288" t="s">
        <v>35</v>
      </c>
      <c r="J1288" t="s">
        <v>35</v>
      </c>
      <c r="K1288" s="4">
        <v>1258.45</v>
      </c>
      <c r="L1288" s="4">
        <v>1258.45</v>
      </c>
      <c r="M1288" t="s">
        <v>44</v>
      </c>
      <c r="N1288" t="s">
        <v>77</v>
      </c>
      <c r="O1288" t="s">
        <v>99</v>
      </c>
      <c r="P1288" t="s">
        <v>274</v>
      </c>
      <c r="Q1288" t="s">
        <v>125</v>
      </c>
      <c r="R1288" t="s">
        <v>273</v>
      </c>
      <c r="S1288" t="s">
        <v>197</v>
      </c>
      <c r="T1288" t="s">
        <v>211</v>
      </c>
      <c r="U1288" t="s">
        <v>163</v>
      </c>
      <c r="V1288" t="s">
        <v>193</v>
      </c>
      <c r="W1288" t="s">
        <v>77</v>
      </c>
      <c r="X1288" t="s">
        <v>166</v>
      </c>
      <c r="Y1288" t="s">
        <v>1077</v>
      </c>
      <c r="Z1288" t="s">
        <v>434</v>
      </c>
      <c r="AC1288" t="str">
        <f>IF(AA1288="",M1288,AA1288)</f>
        <v>sim</v>
      </c>
      <c r="AD1288" t="str">
        <f>IF(AB1288="",X1288,AB1288)</f>
        <v>não</v>
      </c>
      <c r="AE1288" t="str">
        <f>IF(OR(Configuracao!B9="",Configuracao!B10=""),"aguardando limiar",IF(AND(K1288&gt;=Configuracao!B9,K1288/MAX(Reconciliacao!C2,1)&gt;=Configuracao!B10/100),"sim","não"))</f>
        <v>aguardando limiar</v>
      </c>
    </row>
    <row r="1289" spans="1:31" x14ac:dyDescent="0.25">
      <c r="A1289">
        <v>13430</v>
      </c>
      <c r="C1289" t="s">
        <v>1080</v>
      </c>
      <c r="D1289" t="s">
        <v>958</v>
      </c>
      <c r="E1289" t="s">
        <v>511</v>
      </c>
      <c r="F1289" t="s">
        <v>272</v>
      </c>
      <c r="G1289" t="s">
        <v>271</v>
      </c>
      <c r="H1289" t="s">
        <v>270</v>
      </c>
      <c r="I1289" t="s">
        <v>454</v>
      </c>
      <c r="J1289" t="s">
        <v>454</v>
      </c>
      <c r="K1289" s="4">
        <v>1655.63</v>
      </c>
      <c r="L1289" s="4">
        <v>1655.63</v>
      </c>
      <c r="M1289" t="s">
        <v>44</v>
      </c>
      <c r="N1289" t="s">
        <v>77</v>
      </c>
      <c r="O1289" t="s">
        <v>99</v>
      </c>
      <c r="P1289" t="s">
        <v>274</v>
      </c>
      <c r="Q1289" t="s">
        <v>125</v>
      </c>
      <c r="R1289" t="s">
        <v>273</v>
      </c>
      <c r="S1289" t="s">
        <v>197</v>
      </c>
      <c r="T1289" t="s">
        <v>211</v>
      </c>
      <c r="U1289" t="s">
        <v>163</v>
      </c>
      <c r="V1289" t="s">
        <v>193</v>
      </c>
      <c r="W1289" t="s">
        <v>77</v>
      </c>
      <c r="X1289" t="s">
        <v>166</v>
      </c>
      <c r="Y1289" t="s">
        <v>1077</v>
      </c>
      <c r="Z1289" t="s">
        <v>434</v>
      </c>
      <c r="AC1289" t="str">
        <f>IF(AA1289="",M1289,AA1289)</f>
        <v>sim</v>
      </c>
      <c r="AD1289" t="str">
        <f>IF(AB1289="",X1289,AB1289)</f>
        <v>não</v>
      </c>
      <c r="AE1289" t="str">
        <f>IF(OR(Configuracao!B9="",Configuracao!B10=""),"aguardando limiar",IF(AND(K1289&gt;=Configuracao!B9,K1289/MAX(Reconciliacao!C2,1)&gt;=Configuracao!B10/100),"sim","não"))</f>
        <v>aguardando limiar</v>
      </c>
    </row>
    <row r="1290" spans="1:31" x14ac:dyDescent="0.25">
      <c r="A1290">
        <v>18087</v>
      </c>
      <c r="C1290" t="s">
        <v>1081</v>
      </c>
      <c r="D1290" t="s">
        <v>1082</v>
      </c>
      <c r="E1290" t="s">
        <v>74</v>
      </c>
      <c r="F1290" t="s">
        <v>272</v>
      </c>
      <c r="G1290" t="s">
        <v>271</v>
      </c>
      <c r="H1290" t="s">
        <v>270</v>
      </c>
      <c r="I1290" t="s">
        <v>439</v>
      </c>
      <c r="J1290" t="s">
        <v>439</v>
      </c>
      <c r="K1290" s="4">
        <v>2158.17</v>
      </c>
      <c r="L1290" s="4">
        <v>2158.17</v>
      </c>
      <c r="M1290" t="s">
        <v>166</v>
      </c>
      <c r="N1290" t="s">
        <v>77</v>
      </c>
      <c r="O1290" t="s">
        <v>76</v>
      </c>
      <c r="P1290" t="s">
        <v>187</v>
      </c>
      <c r="Q1290" t="s">
        <v>76</v>
      </c>
      <c r="R1290" t="s">
        <v>76</v>
      </c>
      <c r="S1290" t="s">
        <v>167</v>
      </c>
      <c r="T1290" t="s">
        <v>167</v>
      </c>
      <c r="U1290" t="s">
        <v>168</v>
      </c>
      <c r="V1290" t="s">
        <v>169</v>
      </c>
      <c r="W1290" t="s">
        <v>77</v>
      </c>
      <c r="X1290" t="s">
        <v>166</v>
      </c>
      <c r="Y1290" t="s">
        <v>1083</v>
      </c>
      <c r="Z1290" t="s">
        <v>434</v>
      </c>
      <c r="AC1290" t="str">
        <f>IF(AA1290="",M1290,AA1290)</f>
        <v>não</v>
      </c>
      <c r="AD1290" t="str">
        <f>IF(AB1290="",X1290,AB1290)</f>
        <v>não</v>
      </c>
      <c r="AE1290" t="str">
        <f>IF(OR(Configuracao!B9="",Configuracao!B10=""),"aguardando limiar",IF(AND(K1290&gt;=Configuracao!B9,K1290/MAX(Reconciliacao!C2,1)&gt;=Configuracao!B10/100),"sim","não"))</f>
        <v>aguardando limiar</v>
      </c>
    </row>
    <row r="1291" spans="1:31" x14ac:dyDescent="0.25">
      <c r="A1291">
        <v>17430</v>
      </c>
      <c r="C1291" t="s">
        <v>1034</v>
      </c>
      <c r="D1291" t="s">
        <v>1084</v>
      </c>
      <c r="E1291" t="s">
        <v>74</v>
      </c>
      <c r="F1291" t="s">
        <v>272</v>
      </c>
      <c r="G1291" t="s">
        <v>271</v>
      </c>
      <c r="H1291" t="s">
        <v>270</v>
      </c>
      <c r="I1291" t="s">
        <v>442</v>
      </c>
      <c r="J1291" t="s">
        <v>442</v>
      </c>
      <c r="K1291" s="4">
        <v>2508.77</v>
      </c>
      <c r="L1291" s="4">
        <v>2508.77</v>
      </c>
      <c r="M1291" t="s">
        <v>166</v>
      </c>
      <c r="N1291" t="s">
        <v>77</v>
      </c>
      <c r="O1291" t="s">
        <v>76</v>
      </c>
      <c r="P1291" t="s">
        <v>187</v>
      </c>
      <c r="Q1291" t="s">
        <v>76</v>
      </c>
      <c r="R1291" t="s">
        <v>76</v>
      </c>
      <c r="S1291" t="s">
        <v>167</v>
      </c>
      <c r="T1291" t="s">
        <v>167</v>
      </c>
      <c r="U1291" t="s">
        <v>168</v>
      </c>
      <c r="V1291" t="s">
        <v>169</v>
      </c>
      <c r="W1291" t="s">
        <v>77</v>
      </c>
      <c r="X1291" t="s">
        <v>166</v>
      </c>
      <c r="Y1291" t="s">
        <v>1083</v>
      </c>
      <c r="Z1291" t="s">
        <v>434</v>
      </c>
      <c r="AC1291" t="str">
        <f>IF(AA1291="",M1291,AA1291)</f>
        <v>não</v>
      </c>
      <c r="AD1291" t="str">
        <f>IF(AB1291="",X1291,AB1291)</f>
        <v>não</v>
      </c>
      <c r="AE1291" t="str">
        <f>IF(OR(Configuracao!B9="",Configuracao!B10=""),"aguardando limiar",IF(AND(K1291&gt;=Configuracao!B9,K1291/MAX(Reconciliacao!C2,1)&gt;=Configuracao!B10/100),"sim","não"))</f>
        <v>aguardando limiar</v>
      </c>
    </row>
    <row r="1292" spans="1:31" x14ac:dyDescent="0.25">
      <c r="A1292">
        <v>13431</v>
      </c>
      <c r="C1292" t="s">
        <v>1085</v>
      </c>
      <c r="D1292" t="s">
        <v>958</v>
      </c>
      <c r="E1292" t="s">
        <v>511</v>
      </c>
      <c r="F1292" t="s">
        <v>272</v>
      </c>
      <c r="G1292" t="s">
        <v>271</v>
      </c>
      <c r="H1292" t="s">
        <v>270</v>
      </c>
      <c r="I1292" t="s">
        <v>454</v>
      </c>
      <c r="J1292" t="s">
        <v>454</v>
      </c>
      <c r="K1292" s="4">
        <v>6248.29</v>
      </c>
      <c r="L1292" s="4">
        <v>6248.29</v>
      </c>
      <c r="M1292" t="s">
        <v>44</v>
      </c>
      <c r="N1292" t="s">
        <v>77</v>
      </c>
      <c r="O1292" t="s">
        <v>99</v>
      </c>
      <c r="P1292" t="s">
        <v>274</v>
      </c>
      <c r="Q1292" t="s">
        <v>125</v>
      </c>
      <c r="R1292" t="s">
        <v>273</v>
      </c>
      <c r="S1292" t="s">
        <v>197</v>
      </c>
      <c r="T1292" t="s">
        <v>211</v>
      </c>
      <c r="U1292" t="s">
        <v>163</v>
      </c>
      <c r="V1292" t="s">
        <v>193</v>
      </c>
      <c r="W1292" t="s">
        <v>77</v>
      </c>
      <c r="X1292" t="s">
        <v>166</v>
      </c>
      <c r="Y1292" t="s">
        <v>1077</v>
      </c>
      <c r="Z1292" t="s">
        <v>434</v>
      </c>
      <c r="AC1292" t="str">
        <f>IF(AA1292="",M1292,AA1292)</f>
        <v>sim</v>
      </c>
      <c r="AD1292" t="str">
        <f>IF(AB1292="",X1292,AB1292)</f>
        <v>não</v>
      </c>
      <c r="AE1292" t="str">
        <f>IF(OR(Configuracao!B9="",Configuracao!B10=""),"aguardando limiar",IF(AND(K1292&gt;=Configuracao!B9,K1292/MAX(Reconciliacao!C2,1)&gt;=Configuracao!B10/100),"sim","não"))</f>
        <v>aguardando limiar</v>
      </c>
    </row>
    <row r="1293" spans="1:31" x14ac:dyDescent="0.25">
      <c r="A1293">
        <v>18038</v>
      </c>
      <c r="C1293" t="s">
        <v>1086</v>
      </c>
      <c r="D1293" t="s">
        <v>1087</v>
      </c>
      <c r="E1293" t="s">
        <v>467</v>
      </c>
      <c r="F1293" t="s">
        <v>332</v>
      </c>
      <c r="G1293" t="s">
        <v>348</v>
      </c>
      <c r="H1293" t="s">
        <v>347</v>
      </c>
      <c r="I1293" t="s">
        <v>439</v>
      </c>
      <c r="J1293" t="s">
        <v>35</v>
      </c>
      <c r="K1293" s="4">
        <v>724.5</v>
      </c>
      <c r="L1293" s="4">
        <v>724.5</v>
      </c>
      <c r="M1293" t="s">
        <v>44</v>
      </c>
      <c r="N1293" t="s">
        <v>77</v>
      </c>
      <c r="O1293" t="s">
        <v>99</v>
      </c>
      <c r="P1293" t="s">
        <v>99</v>
      </c>
      <c r="Q1293" t="s">
        <v>333</v>
      </c>
      <c r="R1293" t="s">
        <v>334</v>
      </c>
      <c r="S1293" t="s">
        <v>197</v>
      </c>
      <c r="T1293" t="s">
        <v>198</v>
      </c>
      <c r="U1293" t="s">
        <v>163</v>
      </c>
      <c r="V1293" t="s">
        <v>186</v>
      </c>
      <c r="W1293" t="s">
        <v>116</v>
      </c>
      <c r="X1293" t="s">
        <v>44</v>
      </c>
      <c r="Y1293" t="s">
        <v>99</v>
      </c>
      <c r="Z1293" t="s">
        <v>421</v>
      </c>
      <c r="AC1293" t="str">
        <f>IF(AA1293="",M1293,AA1293)</f>
        <v>sim</v>
      </c>
      <c r="AD1293" t="str">
        <f>IF(AB1293="",X1293,AB1293)</f>
        <v>sim</v>
      </c>
      <c r="AE1293" t="str">
        <f>IF(OR(Configuracao!B9="",Configuracao!B10=""),"aguardando limiar",IF(AND(K1293&gt;=Configuracao!B9,K1293/MAX(Reconciliacao!C2,1)&gt;=Configuracao!B10/100),"sim","não"))</f>
        <v>aguardando limiar</v>
      </c>
    </row>
    <row r="1294" spans="1:31" x14ac:dyDescent="0.25">
      <c r="A1294">
        <v>9320</v>
      </c>
      <c r="C1294" t="s">
        <v>1088</v>
      </c>
      <c r="D1294" t="s">
        <v>1089</v>
      </c>
      <c r="E1294" t="s">
        <v>474</v>
      </c>
      <c r="F1294" t="s">
        <v>332</v>
      </c>
      <c r="G1294" t="s">
        <v>348</v>
      </c>
      <c r="H1294" t="s">
        <v>347</v>
      </c>
      <c r="I1294" t="s">
        <v>32</v>
      </c>
      <c r="J1294" t="s">
        <v>32</v>
      </c>
      <c r="K1294" s="4">
        <v>1806</v>
      </c>
      <c r="L1294" s="4">
        <v>1806</v>
      </c>
      <c r="M1294" t="s">
        <v>44</v>
      </c>
      <c r="N1294" t="s">
        <v>77</v>
      </c>
      <c r="O1294" t="s">
        <v>99</v>
      </c>
      <c r="P1294" t="s">
        <v>99</v>
      </c>
      <c r="Q1294" t="s">
        <v>333</v>
      </c>
      <c r="R1294" t="s">
        <v>334</v>
      </c>
      <c r="S1294" t="s">
        <v>197</v>
      </c>
      <c r="T1294" t="s">
        <v>198</v>
      </c>
      <c r="U1294" t="s">
        <v>163</v>
      </c>
      <c r="V1294" t="s">
        <v>186</v>
      </c>
      <c r="W1294" t="s">
        <v>116</v>
      </c>
      <c r="X1294" t="s">
        <v>44</v>
      </c>
      <c r="Y1294" t="s">
        <v>99</v>
      </c>
      <c r="Z1294" t="s">
        <v>421</v>
      </c>
      <c r="AC1294" t="str">
        <f>IF(AA1294="",M1294,AA1294)</f>
        <v>sim</v>
      </c>
      <c r="AD1294" t="str">
        <f>IF(AB1294="",X1294,AB1294)</f>
        <v>sim</v>
      </c>
      <c r="AE1294" t="str">
        <f>IF(OR(Configuracao!B9="",Configuracao!B10=""),"aguardando limiar",IF(AND(K1294&gt;=Configuracao!B9,K1294/MAX(Reconciliacao!C2,1)&gt;=Configuracao!B10/100),"sim","não"))</f>
        <v>aguardando limiar</v>
      </c>
    </row>
    <row r="1295" spans="1:31" x14ac:dyDescent="0.25">
      <c r="A1295">
        <v>9288</v>
      </c>
      <c r="C1295" t="s">
        <v>466</v>
      </c>
      <c r="D1295" t="s">
        <v>1090</v>
      </c>
      <c r="E1295" t="s">
        <v>467</v>
      </c>
      <c r="F1295" t="s">
        <v>332</v>
      </c>
      <c r="G1295" t="s">
        <v>331</v>
      </c>
      <c r="H1295" t="s">
        <v>330</v>
      </c>
      <c r="I1295" t="s">
        <v>32</v>
      </c>
      <c r="J1295" t="s">
        <v>32</v>
      </c>
      <c r="K1295" s="4">
        <v>520.97</v>
      </c>
      <c r="L1295" s="4">
        <v>520.97</v>
      </c>
      <c r="M1295" t="s">
        <v>44</v>
      </c>
      <c r="N1295" t="s">
        <v>77</v>
      </c>
      <c r="O1295" t="s">
        <v>99</v>
      </c>
      <c r="P1295" t="s">
        <v>99</v>
      </c>
      <c r="Q1295" t="s">
        <v>333</v>
      </c>
      <c r="R1295" t="s">
        <v>334</v>
      </c>
      <c r="S1295" t="s">
        <v>197</v>
      </c>
      <c r="T1295" t="s">
        <v>198</v>
      </c>
      <c r="U1295" t="s">
        <v>163</v>
      </c>
      <c r="V1295" t="s">
        <v>186</v>
      </c>
      <c r="W1295" t="s">
        <v>116</v>
      </c>
      <c r="X1295" t="s">
        <v>44</v>
      </c>
      <c r="Y1295" t="s">
        <v>99</v>
      </c>
      <c r="Z1295" t="s">
        <v>421</v>
      </c>
      <c r="AC1295" t="str">
        <f>IF(AA1295="",M1295,AA1295)</f>
        <v>sim</v>
      </c>
      <c r="AD1295" t="str">
        <f>IF(AB1295="",X1295,AB1295)</f>
        <v>sim</v>
      </c>
      <c r="AE1295" t="str">
        <f>IF(OR(Configuracao!B9="",Configuracao!B10=""),"aguardando limiar",IF(AND(K1295&gt;=Configuracao!B9,K1295/MAX(Reconciliacao!C2,1)&gt;=Configuracao!B10/100),"sim","não"))</f>
        <v>aguardando limiar</v>
      </c>
    </row>
    <row r="1296" spans="1:31" x14ac:dyDescent="0.25">
      <c r="A1296">
        <v>9289</v>
      </c>
      <c r="C1296" t="s">
        <v>468</v>
      </c>
      <c r="D1296" t="s">
        <v>1090</v>
      </c>
      <c r="E1296" t="s">
        <v>467</v>
      </c>
      <c r="F1296" t="s">
        <v>332</v>
      </c>
      <c r="G1296" t="s">
        <v>331</v>
      </c>
      <c r="H1296" t="s">
        <v>330</v>
      </c>
      <c r="I1296" t="s">
        <v>424</v>
      </c>
      <c r="J1296" t="s">
        <v>424</v>
      </c>
      <c r="K1296" s="4">
        <v>520.97</v>
      </c>
      <c r="L1296" s="4">
        <v>520.97</v>
      </c>
      <c r="M1296" t="s">
        <v>44</v>
      </c>
      <c r="N1296" t="s">
        <v>77</v>
      </c>
      <c r="O1296" t="s">
        <v>99</v>
      </c>
      <c r="P1296" t="s">
        <v>99</v>
      </c>
      <c r="Q1296" t="s">
        <v>333</v>
      </c>
      <c r="R1296" t="s">
        <v>334</v>
      </c>
      <c r="S1296" t="s">
        <v>197</v>
      </c>
      <c r="T1296" t="s">
        <v>198</v>
      </c>
      <c r="U1296" t="s">
        <v>163</v>
      </c>
      <c r="V1296" t="s">
        <v>186</v>
      </c>
      <c r="W1296" t="s">
        <v>116</v>
      </c>
      <c r="X1296" t="s">
        <v>44</v>
      </c>
      <c r="Y1296" t="s">
        <v>99</v>
      </c>
      <c r="Z1296" t="s">
        <v>421</v>
      </c>
      <c r="AC1296" t="str">
        <f>IF(AA1296="",M1296,AA1296)</f>
        <v>sim</v>
      </c>
      <c r="AD1296" t="str">
        <f>IF(AB1296="",X1296,AB1296)</f>
        <v>sim</v>
      </c>
      <c r="AE1296" t="str">
        <f>IF(OR(Configuracao!B9="",Configuracao!B10=""),"aguardando limiar",IF(AND(K1296&gt;=Configuracao!B9,K1296/MAX(Reconciliacao!C2,1)&gt;=Configuracao!B10/100),"sim","não"))</f>
        <v>aguardando limiar</v>
      </c>
    </row>
    <row r="1297" spans="1:31" x14ac:dyDescent="0.25">
      <c r="A1297">
        <v>17025</v>
      </c>
      <c r="C1297" t="s">
        <v>1091</v>
      </c>
      <c r="D1297" t="s">
        <v>1090</v>
      </c>
      <c r="E1297" t="s">
        <v>474</v>
      </c>
      <c r="F1297" t="s">
        <v>332</v>
      </c>
      <c r="G1297" t="s">
        <v>331</v>
      </c>
      <c r="H1297" t="s">
        <v>330</v>
      </c>
      <c r="I1297" t="s">
        <v>442</v>
      </c>
      <c r="J1297" t="s">
        <v>442</v>
      </c>
      <c r="K1297" s="4">
        <v>988.56</v>
      </c>
      <c r="L1297" s="4">
        <v>988.56</v>
      </c>
      <c r="M1297" t="s">
        <v>44</v>
      </c>
      <c r="N1297" t="s">
        <v>77</v>
      </c>
      <c r="O1297" t="s">
        <v>99</v>
      </c>
      <c r="P1297" t="s">
        <v>99</v>
      </c>
      <c r="Q1297" t="s">
        <v>333</v>
      </c>
      <c r="R1297" t="s">
        <v>334</v>
      </c>
      <c r="S1297" t="s">
        <v>197</v>
      </c>
      <c r="T1297" t="s">
        <v>198</v>
      </c>
      <c r="U1297" t="s">
        <v>163</v>
      </c>
      <c r="V1297" t="s">
        <v>186</v>
      </c>
      <c r="W1297" t="s">
        <v>116</v>
      </c>
      <c r="X1297" t="s">
        <v>44</v>
      </c>
      <c r="Y1297" t="s">
        <v>99</v>
      </c>
      <c r="Z1297" t="s">
        <v>421</v>
      </c>
      <c r="AC1297" t="str">
        <f>IF(AA1297="",M1297,AA1297)</f>
        <v>sim</v>
      </c>
      <c r="AD1297" t="str">
        <f>IF(AB1297="",X1297,AB1297)</f>
        <v>sim</v>
      </c>
      <c r="AE1297" t="str">
        <f>IF(OR(Configuracao!B9="",Configuracao!B10=""),"aguardando limiar",IF(AND(K1297&gt;=Configuracao!B9,K1297/MAX(Reconciliacao!C2,1)&gt;=Configuracao!B10/100),"sim","não"))</f>
        <v>aguardando limiar</v>
      </c>
    </row>
    <row r="1298" spans="1:31" x14ac:dyDescent="0.25">
      <c r="A1298">
        <v>17026</v>
      </c>
      <c r="C1298" t="s">
        <v>1091</v>
      </c>
      <c r="D1298" t="s">
        <v>1090</v>
      </c>
      <c r="E1298" t="s">
        <v>474</v>
      </c>
      <c r="F1298" t="s">
        <v>332</v>
      </c>
      <c r="G1298" t="s">
        <v>331</v>
      </c>
      <c r="H1298" t="s">
        <v>330</v>
      </c>
      <c r="I1298" t="s">
        <v>439</v>
      </c>
      <c r="J1298" t="s">
        <v>439</v>
      </c>
      <c r="K1298" s="4">
        <v>988.56</v>
      </c>
      <c r="L1298" s="4">
        <v>988.56</v>
      </c>
      <c r="M1298" t="s">
        <v>44</v>
      </c>
      <c r="N1298" t="s">
        <v>77</v>
      </c>
      <c r="O1298" t="s">
        <v>99</v>
      </c>
      <c r="P1298" t="s">
        <v>99</v>
      </c>
      <c r="Q1298" t="s">
        <v>333</v>
      </c>
      <c r="R1298" t="s">
        <v>334</v>
      </c>
      <c r="S1298" t="s">
        <v>197</v>
      </c>
      <c r="T1298" t="s">
        <v>198</v>
      </c>
      <c r="U1298" t="s">
        <v>163</v>
      </c>
      <c r="V1298" t="s">
        <v>186</v>
      </c>
      <c r="W1298" t="s">
        <v>116</v>
      </c>
      <c r="X1298" t="s">
        <v>44</v>
      </c>
      <c r="Y1298" t="s">
        <v>99</v>
      </c>
      <c r="Z1298" t="s">
        <v>421</v>
      </c>
      <c r="AC1298" t="str">
        <f>IF(AA1298="",M1298,AA1298)</f>
        <v>sim</v>
      </c>
      <c r="AD1298" t="str">
        <f>IF(AB1298="",X1298,AB1298)</f>
        <v>sim</v>
      </c>
      <c r="AE1298" t="str">
        <f>IF(OR(Configuracao!B9="",Configuracao!B10=""),"aguardando limiar",IF(AND(K1298&gt;=Configuracao!B9,K1298/MAX(Reconciliacao!C2,1)&gt;=Configuracao!B10/100),"sim","não"))</f>
        <v>aguardando limiar</v>
      </c>
    </row>
    <row r="1299" spans="1:31" x14ac:dyDescent="0.25">
      <c r="A1299">
        <v>17027</v>
      </c>
      <c r="C1299" t="s">
        <v>1091</v>
      </c>
      <c r="D1299" t="s">
        <v>1090</v>
      </c>
      <c r="E1299" t="s">
        <v>474</v>
      </c>
      <c r="F1299" t="s">
        <v>332</v>
      </c>
      <c r="G1299" t="s">
        <v>331</v>
      </c>
      <c r="H1299" t="s">
        <v>330</v>
      </c>
      <c r="I1299" t="s">
        <v>35</v>
      </c>
      <c r="J1299" t="s">
        <v>35</v>
      </c>
      <c r="K1299" s="4">
        <v>988.56</v>
      </c>
      <c r="L1299" s="4">
        <v>988.56</v>
      </c>
      <c r="M1299" t="s">
        <v>44</v>
      </c>
      <c r="N1299" t="s">
        <v>77</v>
      </c>
      <c r="O1299" t="s">
        <v>99</v>
      </c>
      <c r="P1299" t="s">
        <v>99</v>
      </c>
      <c r="Q1299" t="s">
        <v>333</v>
      </c>
      <c r="R1299" t="s">
        <v>334</v>
      </c>
      <c r="S1299" t="s">
        <v>197</v>
      </c>
      <c r="T1299" t="s">
        <v>198</v>
      </c>
      <c r="U1299" t="s">
        <v>163</v>
      </c>
      <c r="V1299" t="s">
        <v>186</v>
      </c>
      <c r="W1299" t="s">
        <v>116</v>
      </c>
      <c r="X1299" t="s">
        <v>44</v>
      </c>
      <c r="Y1299" t="s">
        <v>99</v>
      </c>
      <c r="Z1299" t="s">
        <v>421</v>
      </c>
      <c r="AC1299" t="str">
        <f>IF(AA1299="",M1299,AA1299)</f>
        <v>sim</v>
      </c>
      <c r="AD1299" t="str">
        <f>IF(AB1299="",X1299,AB1299)</f>
        <v>sim</v>
      </c>
      <c r="AE1299" t="str">
        <f>IF(OR(Configuracao!B9="",Configuracao!B10=""),"aguardando limiar",IF(AND(K1299&gt;=Configuracao!B9,K1299/MAX(Reconciliacao!C2,1)&gt;=Configuracao!B10/100),"sim","não"))</f>
        <v>aguardando limiar</v>
      </c>
    </row>
    <row r="1300" spans="1:31" x14ac:dyDescent="0.25">
      <c r="A1300">
        <v>17024</v>
      </c>
      <c r="C1300" t="s">
        <v>1091</v>
      </c>
      <c r="D1300" t="s">
        <v>1090</v>
      </c>
      <c r="E1300" t="s">
        <v>474</v>
      </c>
      <c r="F1300" t="s">
        <v>332</v>
      </c>
      <c r="G1300" t="s">
        <v>331</v>
      </c>
      <c r="H1300" t="s">
        <v>330</v>
      </c>
      <c r="I1300" t="s">
        <v>461</v>
      </c>
      <c r="J1300" t="s">
        <v>461</v>
      </c>
      <c r="K1300" s="4">
        <v>988.58</v>
      </c>
      <c r="L1300" s="4">
        <v>988.58</v>
      </c>
      <c r="M1300" t="s">
        <v>44</v>
      </c>
      <c r="N1300" t="s">
        <v>77</v>
      </c>
      <c r="O1300" t="s">
        <v>99</v>
      </c>
      <c r="P1300" t="s">
        <v>99</v>
      </c>
      <c r="Q1300" t="s">
        <v>333</v>
      </c>
      <c r="R1300" t="s">
        <v>334</v>
      </c>
      <c r="S1300" t="s">
        <v>197</v>
      </c>
      <c r="T1300" t="s">
        <v>198</v>
      </c>
      <c r="U1300" t="s">
        <v>163</v>
      </c>
      <c r="V1300" t="s">
        <v>186</v>
      </c>
      <c r="W1300" t="s">
        <v>116</v>
      </c>
      <c r="X1300" t="s">
        <v>44</v>
      </c>
      <c r="Y1300" t="s">
        <v>99</v>
      </c>
      <c r="Z1300" t="s">
        <v>421</v>
      </c>
      <c r="AC1300" t="str">
        <f>IF(AA1300="",M1300,AA1300)</f>
        <v>sim</v>
      </c>
      <c r="AD1300" t="str">
        <f>IF(AB1300="",X1300,AB1300)</f>
        <v>sim</v>
      </c>
      <c r="AE1300" t="str">
        <f>IF(OR(Configuracao!B9="",Configuracao!B10=""),"aguardando limiar",IF(AND(K1300&gt;=Configuracao!B9,K1300/MAX(Reconciliacao!C2,1)&gt;=Configuracao!B10/100),"sim","não"))</f>
        <v>aguardando limiar</v>
      </c>
    </row>
    <row r="1301" spans="1:31" x14ac:dyDescent="0.25">
      <c r="A1301">
        <v>12008</v>
      </c>
      <c r="C1301" t="s">
        <v>1092</v>
      </c>
      <c r="D1301" t="s">
        <v>1093</v>
      </c>
      <c r="E1301" t="s">
        <v>1094</v>
      </c>
      <c r="F1301" t="s">
        <v>182</v>
      </c>
      <c r="G1301" t="s">
        <v>252</v>
      </c>
      <c r="H1301" t="s">
        <v>251</v>
      </c>
      <c r="I1301" t="s">
        <v>424</v>
      </c>
      <c r="J1301" t="s">
        <v>424</v>
      </c>
      <c r="K1301" s="4">
        <v>220</v>
      </c>
      <c r="L1301" s="4">
        <v>220</v>
      </c>
      <c r="M1301" t="s">
        <v>44</v>
      </c>
      <c r="N1301" t="s">
        <v>77</v>
      </c>
      <c r="O1301" t="s">
        <v>99</v>
      </c>
      <c r="P1301" t="s">
        <v>99</v>
      </c>
      <c r="Q1301" t="s">
        <v>202</v>
      </c>
      <c r="R1301" t="s">
        <v>203</v>
      </c>
      <c r="S1301" t="s">
        <v>161</v>
      </c>
      <c r="T1301" t="s">
        <v>162</v>
      </c>
      <c r="U1301" t="s">
        <v>163</v>
      </c>
      <c r="V1301" t="s">
        <v>164</v>
      </c>
      <c r="W1301" t="s">
        <v>116</v>
      </c>
      <c r="X1301" t="s">
        <v>44</v>
      </c>
      <c r="Y1301" t="s">
        <v>99</v>
      </c>
      <c r="Z1301" t="s">
        <v>421</v>
      </c>
      <c r="AC1301" t="str">
        <f>IF(AA1301="",M1301,AA1301)</f>
        <v>sim</v>
      </c>
      <c r="AD1301" t="str">
        <f>IF(AB1301="",X1301,AB1301)</f>
        <v>sim</v>
      </c>
      <c r="AE1301" t="str">
        <f>IF(OR(Configuracao!B9="",Configuracao!B10=""),"aguardando limiar",IF(AND(K1301&gt;=Configuracao!B9,K1301/MAX(Reconciliacao!C2,1)&gt;=Configuracao!B10/100),"sim","não"))</f>
        <v>aguardando limiar</v>
      </c>
    </row>
    <row r="1302" spans="1:31" x14ac:dyDescent="0.25">
      <c r="A1302">
        <v>16240</v>
      </c>
      <c r="C1302" t="s">
        <v>1095</v>
      </c>
      <c r="D1302" t="s">
        <v>1093</v>
      </c>
      <c r="E1302" t="s">
        <v>1094</v>
      </c>
      <c r="F1302" t="s">
        <v>182</v>
      </c>
      <c r="G1302" t="s">
        <v>252</v>
      </c>
      <c r="H1302" t="s">
        <v>251</v>
      </c>
      <c r="I1302" t="s">
        <v>461</v>
      </c>
      <c r="J1302" t="s">
        <v>461</v>
      </c>
      <c r="K1302" s="4">
        <v>220</v>
      </c>
      <c r="L1302" s="4">
        <v>220</v>
      </c>
      <c r="M1302" t="s">
        <v>44</v>
      </c>
      <c r="N1302" t="s">
        <v>77</v>
      </c>
      <c r="O1302" t="s">
        <v>99</v>
      </c>
      <c r="P1302" t="s">
        <v>99</v>
      </c>
      <c r="Q1302" t="s">
        <v>202</v>
      </c>
      <c r="R1302" t="s">
        <v>203</v>
      </c>
      <c r="S1302" t="s">
        <v>161</v>
      </c>
      <c r="T1302" t="s">
        <v>162</v>
      </c>
      <c r="U1302" t="s">
        <v>163</v>
      </c>
      <c r="V1302" t="s">
        <v>164</v>
      </c>
      <c r="W1302" t="s">
        <v>116</v>
      </c>
      <c r="X1302" t="s">
        <v>44</v>
      </c>
      <c r="Y1302" t="s">
        <v>99</v>
      </c>
      <c r="Z1302" t="s">
        <v>421</v>
      </c>
      <c r="AC1302" t="str">
        <f>IF(AA1302="",M1302,AA1302)</f>
        <v>sim</v>
      </c>
      <c r="AD1302" t="str">
        <f>IF(AB1302="",X1302,AB1302)</f>
        <v>sim</v>
      </c>
      <c r="AE1302" t="str">
        <f>IF(OR(Configuracao!B9="",Configuracao!B10=""),"aguardando limiar",IF(AND(K1302&gt;=Configuracao!B9,K1302/MAX(Reconciliacao!C2,1)&gt;=Configuracao!B10/100),"sim","não"))</f>
        <v>aguardando limiar</v>
      </c>
    </row>
    <row r="1303" spans="1:31" x14ac:dyDescent="0.25">
      <c r="A1303">
        <v>17748</v>
      </c>
      <c r="C1303" t="s">
        <v>1096</v>
      </c>
      <c r="D1303" t="s">
        <v>1093</v>
      </c>
      <c r="E1303" t="s">
        <v>451</v>
      </c>
      <c r="F1303" t="s">
        <v>182</v>
      </c>
      <c r="G1303" t="s">
        <v>252</v>
      </c>
      <c r="H1303" t="s">
        <v>251</v>
      </c>
      <c r="I1303" t="s">
        <v>439</v>
      </c>
      <c r="J1303" t="s">
        <v>439</v>
      </c>
      <c r="K1303" s="4">
        <v>220</v>
      </c>
      <c r="L1303" s="4">
        <v>220</v>
      </c>
      <c r="M1303" t="s">
        <v>44</v>
      </c>
      <c r="N1303" t="s">
        <v>77</v>
      </c>
      <c r="O1303" t="s">
        <v>99</v>
      </c>
      <c r="P1303" t="s">
        <v>99</v>
      </c>
      <c r="Q1303" t="s">
        <v>202</v>
      </c>
      <c r="R1303" t="s">
        <v>203</v>
      </c>
      <c r="S1303" t="s">
        <v>161</v>
      </c>
      <c r="T1303" t="s">
        <v>162</v>
      </c>
      <c r="U1303" t="s">
        <v>163</v>
      </c>
      <c r="V1303" t="s">
        <v>164</v>
      </c>
      <c r="W1303" t="s">
        <v>116</v>
      </c>
      <c r="X1303" t="s">
        <v>44</v>
      </c>
      <c r="Y1303" t="s">
        <v>99</v>
      </c>
      <c r="Z1303" t="s">
        <v>421</v>
      </c>
      <c r="AC1303" t="str">
        <f>IF(AA1303="",M1303,AA1303)</f>
        <v>sim</v>
      </c>
      <c r="AD1303" t="str">
        <f>IF(AB1303="",X1303,AB1303)</f>
        <v>sim</v>
      </c>
      <c r="AE1303" t="str">
        <f>IF(OR(Configuracao!B9="",Configuracao!B10=""),"aguardando limiar",IF(AND(K1303&gt;=Configuracao!B9,K1303/MAX(Reconciliacao!C2,1)&gt;=Configuracao!B10/100),"sim","não"))</f>
        <v>aguardando limiar</v>
      </c>
    </row>
    <row r="1304" spans="1:31" x14ac:dyDescent="0.25">
      <c r="A1304">
        <v>18848</v>
      </c>
      <c r="C1304" t="s">
        <v>1097</v>
      </c>
      <c r="D1304" t="s">
        <v>1093</v>
      </c>
      <c r="E1304" t="s">
        <v>451</v>
      </c>
      <c r="F1304" t="s">
        <v>182</v>
      </c>
      <c r="G1304" t="s">
        <v>252</v>
      </c>
      <c r="H1304" t="s">
        <v>251</v>
      </c>
      <c r="I1304" t="s">
        <v>35</v>
      </c>
      <c r="J1304" t="s">
        <v>35</v>
      </c>
      <c r="K1304" s="4">
        <v>220</v>
      </c>
      <c r="L1304" s="4">
        <v>220</v>
      </c>
      <c r="M1304" t="s">
        <v>44</v>
      </c>
      <c r="N1304" t="s">
        <v>77</v>
      </c>
      <c r="O1304" t="s">
        <v>99</v>
      </c>
      <c r="P1304" t="s">
        <v>99</v>
      </c>
      <c r="Q1304" t="s">
        <v>202</v>
      </c>
      <c r="R1304" t="s">
        <v>203</v>
      </c>
      <c r="S1304" t="s">
        <v>161</v>
      </c>
      <c r="T1304" t="s">
        <v>162</v>
      </c>
      <c r="U1304" t="s">
        <v>163</v>
      </c>
      <c r="V1304" t="s">
        <v>164</v>
      </c>
      <c r="W1304" t="s">
        <v>116</v>
      </c>
      <c r="X1304" t="s">
        <v>44</v>
      </c>
      <c r="Y1304" t="s">
        <v>99</v>
      </c>
      <c r="Z1304" t="s">
        <v>421</v>
      </c>
      <c r="AC1304" t="str">
        <f>IF(AA1304="",M1304,AA1304)</f>
        <v>sim</v>
      </c>
      <c r="AD1304" t="str">
        <f>IF(AB1304="",X1304,AB1304)</f>
        <v>sim</v>
      </c>
      <c r="AE1304" t="str">
        <f>IF(OR(Configuracao!B9="",Configuracao!B10=""),"aguardando limiar",IF(AND(K1304&gt;=Configuracao!B9,K1304/MAX(Reconciliacao!C2,1)&gt;=Configuracao!B10/100),"sim","não"))</f>
        <v>aguardando limiar</v>
      </c>
    </row>
    <row r="1305" spans="1:31" x14ac:dyDescent="0.25">
      <c r="A1305">
        <v>13809</v>
      </c>
      <c r="C1305" t="s">
        <v>1098</v>
      </c>
      <c r="D1305" t="s">
        <v>1093</v>
      </c>
      <c r="E1305" t="s">
        <v>1094</v>
      </c>
      <c r="F1305" t="s">
        <v>182</v>
      </c>
      <c r="G1305" t="s">
        <v>252</v>
      </c>
      <c r="H1305" t="s">
        <v>251</v>
      </c>
      <c r="I1305" t="s">
        <v>454</v>
      </c>
      <c r="J1305" t="s">
        <v>454</v>
      </c>
      <c r="K1305" s="4">
        <v>440</v>
      </c>
      <c r="L1305" s="4">
        <v>440</v>
      </c>
      <c r="M1305" t="s">
        <v>44</v>
      </c>
      <c r="N1305" t="s">
        <v>77</v>
      </c>
      <c r="O1305" t="s">
        <v>99</v>
      </c>
      <c r="P1305" t="s">
        <v>99</v>
      </c>
      <c r="Q1305" t="s">
        <v>202</v>
      </c>
      <c r="R1305" t="s">
        <v>203</v>
      </c>
      <c r="S1305" t="s">
        <v>161</v>
      </c>
      <c r="T1305" t="s">
        <v>162</v>
      </c>
      <c r="U1305" t="s">
        <v>163</v>
      </c>
      <c r="V1305" t="s">
        <v>164</v>
      </c>
      <c r="W1305" t="s">
        <v>116</v>
      </c>
      <c r="X1305" t="s">
        <v>44</v>
      </c>
      <c r="Y1305" t="s">
        <v>99</v>
      </c>
      <c r="Z1305" t="s">
        <v>421</v>
      </c>
      <c r="AC1305" t="str">
        <f>IF(AA1305="",M1305,AA1305)</f>
        <v>sim</v>
      </c>
      <c r="AD1305" t="str">
        <f>IF(AB1305="",X1305,AB1305)</f>
        <v>sim</v>
      </c>
      <c r="AE1305" t="str">
        <f>IF(OR(Configuracao!B9="",Configuracao!B10=""),"aguardando limiar",IF(AND(K1305&gt;=Configuracao!B9,K1305/MAX(Reconciliacao!C2,1)&gt;=Configuracao!B10/100),"sim","não"))</f>
        <v>aguardando limiar</v>
      </c>
    </row>
    <row r="1306" spans="1:31" x14ac:dyDescent="0.25">
      <c r="A1306">
        <v>5987</v>
      </c>
      <c r="D1306" t="s">
        <v>1093</v>
      </c>
      <c r="E1306" t="s">
        <v>1094</v>
      </c>
      <c r="F1306" t="s">
        <v>182</v>
      </c>
      <c r="G1306" t="s">
        <v>252</v>
      </c>
      <c r="H1306" t="s">
        <v>251</v>
      </c>
      <c r="I1306" t="s">
        <v>32</v>
      </c>
      <c r="J1306" t="s">
        <v>32</v>
      </c>
      <c r="K1306" s="4">
        <v>3006.07</v>
      </c>
      <c r="L1306" s="4">
        <v>3006.07</v>
      </c>
      <c r="M1306" t="s">
        <v>44</v>
      </c>
      <c r="N1306" t="s">
        <v>77</v>
      </c>
      <c r="O1306" t="s">
        <v>99</v>
      </c>
      <c r="P1306" t="s">
        <v>99</v>
      </c>
      <c r="Q1306" t="s">
        <v>202</v>
      </c>
      <c r="R1306" t="s">
        <v>203</v>
      </c>
      <c r="S1306" t="s">
        <v>161</v>
      </c>
      <c r="T1306" t="s">
        <v>162</v>
      </c>
      <c r="U1306" t="s">
        <v>163</v>
      </c>
      <c r="V1306" t="s">
        <v>164</v>
      </c>
      <c r="W1306" t="s">
        <v>116</v>
      </c>
      <c r="X1306" t="s">
        <v>44</v>
      </c>
      <c r="Y1306" t="s">
        <v>99</v>
      </c>
      <c r="Z1306" t="s">
        <v>421</v>
      </c>
      <c r="AC1306" t="str">
        <f>IF(AA1306="",M1306,AA1306)</f>
        <v>sim</v>
      </c>
      <c r="AD1306" t="str">
        <f>IF(AB1306="",X1306,AB1306)</f>
        <v>sim</v>
      </c>
      <c r="AE1306" t="str">
        <f>IF(OR(Configuracao!B9="",Configuracao!B10=""),"aguardando limiar",IF(AND(K1306&gt;=Configuracao!B9,K1306/MAX(Reconciliacao!C2,1)&gt;=Configuracao!B10/100),"sim","não"))</f>
        <v>aguardando limiar</v>
      </c>
    </row>
    <row r="1307" spans="1:31" x14ac:dyDescent="0.25">
      <c r="A1307">
        <v>5988</v>
      </c>
      <c r="D1307" t="s">
        <v>1093</v>
      </c>
      <c r="E1307" t="s">
        <v>1094</v>
      </c>
      <c r="F1307" t="s">
        <v>182</v>
      </c>
      <c r="G1307" t="s">
        <v>252</v>
      </c>
      <c r="H1307" t="s">
        <v>251</v>
      </c>
      <c r="I1307" t="s">
        <v>424</v>
      </c>
      <c r="J1307" t="s">
        <v>424</v>
      </c>
      <c r="K1307" s="4">
        <v>3006.07</v>
      </c>
      <c r="L1307" s="4">
        <v>3006.07</v>
      </c>
      <c r="M1307" t="s">
        <v>44</v>
      </c>
      <c r="N1307" t="s">
        <v>77</v>
      </c>
      <c r="O1307" t="s">
        <v>99</v>
      </c>
      <c r="P1307" t="s">
        <v>99</v>
      </c>
      <c r="Q1307" t="s">
        <v>202</v>
      </c>
      <c r="R1307" t="s">
        <v>203</v>
      </c>
      <c r="S1307" t="s">
        <v>161</v>
      </c>
      <c r="T1307" t="s">
        <v>162</v>
      </c>
      <c r="U1307" t="s">
        <v>163</v>
      </c>
      <c r="V1307" t="s">
        <v>164</v>
      </c>
      <c r="W1307" t="s">
        <v>116</v>
      </c>
      <c r="X1307" t="s">
        <v>44</v>
      </c>
      <c r="Y1307" t="s">
        <v>99</v>
      </c>
      <c r="Z1307" t="s">
        <v>421</v>
      </c>
      <c r="AC1307" t="str">
        <f>IF(AA1307="",M1307,AA1307)</f>
        <v>sim</v>
      </c>
      <c r="AD1307" t="str">
        <f>IF(AB1307="",X1307,AB1307)</f>
        <v>sim</v>
      </c>
      <c r="AE1307" t="str">
        <f>IF(OR(Configuracao!B9="",Configuracao!B10=""),"aguardando limiar",IF(AND(K1307&gt;=Configuracao!B9,K1307/MAX(Reconciliacao!C2,1)&gt;=Configuracao!B10/100),"sim","não"))</f>
        <v>aguardando limiar</v>
      </c>
    </row>
    <row r="1308" spans="1:31" x14ac:dyDescent="0.25">
      <c r="A1308">
        <v>5989</v>
      </c>
      <c r="D1308" t="s">
        <v>1093</v>
      </c>
      <c r="E1308" t="s">
        <v>1094</v>
      </c>
      <c r="F1308" t="s">
        <v>182</v>
      </c>
      <c r="G1308" t="s">
        <v>252</v>
      </c>
      <c r="H1308" t="s">
        <v>251</v>
      </c>
      <c r="I1308" t="s">
        <v>420</v>
      </c>
      <c r="J1308" t="s">
        <v>420</v>
      </c>
      <c r="K1308" s="4">
        <v>3006.07</v>
      </c>
      <c r="L1308" s="4">
        <v>3006.07</v>
      </c>
      <c r="M1308" t="s">
        <v>44</v>
      </c>
      <c r="N1308" t="s">
        <v>77</v>
      </c>
      <c r="O1308" t="s">
        <v>99</v>
      </c>
      <c r="P1308" t="s">
        <v>99</v>
      </c>
      <c r="Q1308" t="s">
        <v>202</v>
      </c>
      <c r="R1308" t="s">
        <v>203</v>
      </c>
      <c r="S1308" t="s">
        <v>161</v>
      </c>
      <c r="T1308" t="s">
        <v>162</v>
      </c>
      <c r="U1308" t="s">
        <v>163</v>
      </c>
      <c r="V1308" t="s">
        <v>164</v>
      </c>
      <c r="W1308" t="s">
        <v>116</v>
      </c>
      <c r="X1308" t="s">
        <v>44</v>
      </c>
      <c r="Y1308" t="s">
        <v>99</v>
      </c>
      <c r="Z1308" t="s">
        <v>421</v>
      </c>
      <c r="AC1308" t="str">
        <f>IF(AA1308="",M1308,AA1308)</f>
        <v>sim</v>
      </c>
      <c r="AD1308" t="str">
        <f>IF(AB1308="",X1308,AB1308)</f>
        <v>sim</v>
      </c>
      <c r="AE1308" t="str">
        <f>IF(OR(Configuracao!B9="",Configuracao!B10=""),"aguardando limiar",IF(AND(K1308&gt;=Configuracao!B9,K1308/MAX(Reconciliacao!C2,1)&gt;=Configuracao!B10/100),"sim","não"))</f>
        <v>aguardando limiar</v>
      </c>
    </row>
    <row r="1309" spans="1:31" x14ac:dyDescent="0.25">
      <c r="A1309">
        <v>5990</v>
      </c>
      <c r="D1309" t="s">
        <v>1093</v>
      </c>
      <c r="E1309" t="s">
        <v>1094</v>
      </c>
      <c r="F1309" t="s">
        <v>182</v>
      </c>
      <c r="G1309" t="s">
        <v>252</v>
      </c>
      <c r="H1309" t="s">
        <v>251</v>
      </c>
      <c r="I1309" t="s">
        <v>454</v>
      </c>
      <c r="J1309" t="s">
        <v>454</v>
      </c>
      <c r="K1309" s="4">
        <v>3006.07</v>
      </c>
      <c r="L1309" s="4">
        <v>3006.07</v>
      </c>
      <c r="M1309" t="s">
        <v>44</v>
      </c>
      <c r="N1309" t="s">
        <v>77</v>
      </c>
      <c r="O1309" t="s">
        <v>99</v>
      </c>
      <c r="P1309" t="s">
        <v>99</v>
      </c>
      <c r="Q1309" t="s">
        <v>202</v>
      </c>
      <c r="R1309" t="s">
        <v>203</v>
      </c>
      <c r="S1309" t="s">
        <v>161</v>
      </c>
      <c r="T1309" t="s">
        <v>162</v>
      </c>
      <c r="U1309" t="s">
        <v>163</v>
      </c>
      <c r="V1309" t="s">
        <v>164</v>
      </c>
      <c r="W1309" t="s">
        <v>116</v>
      </c>
      <c r="X1309" t="s">
        <v>44</v>
      </c>
      <c r="Y1309" t="s">
        <v>99</v>
      </c>
      <c r="Z1309" t="s">
        <v>421</v>
      </c>
      <c r="AC1309" t="str">
        <f>IF(AA1309="",M1309,AA1309)</f>
        <v>sim</v>
      </c>
      <c r="AD1309" t="str">
        <f>IF(AB1309="",X1309,AB1309)</f>
        <v>sim</v>
      </c>
      <c r="AE1309" t="str">
        <f>IF(OR(Configuracao!B9="",Configuracao!B10=""),"aguardando limiar",IF(AND(K1309&gt;=Configuracao!B9,K1309/MAX(Reconciliacao!C2,1)&gt;=Configuracao!B10/100),"sim","não"))</f>
        <v>aguardando limiar</v>
      </c>
    </row>
    <row r="1310" spans="1:31" x14ac:dyDescent="0.25">
      <c r="A1310">
        <v>5991</v>
      </c>
      <c r="D1310" t="s">
        <v>1093</v>
      </c>
      <c r="E1310" t="s">
        <v>1094</v>
      </c>
      <c r="F1310" t="s">
        <v>182</v>
      </c>
      <c r="G1310" t="s">
        <v>252</v>
      </c>
      <c r="H1310" t="s">
        <v>251</v>
      </c>
      <c r="I1310" t="s">
        <v>461</v>
      </c>
      <c r="J1310" t="s">
        <v>461</v>
      </c>
      <c r="K1310" s="4">
        <v>3006.07</v>
      </c>
      <c r="L1310" s="4">
        <v>3006.07</v>
      </c>
      <c r="M1310" t="s">
        <v>44</v>
      </c>
      <c r="N1310" t="s">
        <v>77</v>
      </c>
      <c r="O1310" t="s">
        <v>99</v>
      </c>
      <c r="P1310" t="s">
        <v>99</v>
      </c>
      <c r="Q1310" t="s">
        <v>202</v>
      </c>
      <c r="R1310" t="s">
        <v>203</v>
      </c>
      <c r="S1310" t="s">
        <v>161</v>
      </c>
      <c r="T1310" t="s">
        <v>162</v>
      </c>
      <c r="U1310" t="s">
        <v>163</v>
      </c>
      <c r="V1310" t="s">
        <v>164</v>
      </c>
      <c r="W1310" t="s">
        <v>116</v>
      </c>
      <c r="X1310" t="s">
        <v>44</v>
      </c>
      <c r="Y1310" t="s">
        <v>99</v>
      </c>
      <c r="Z1310" t="s">
        <v>421</v>
      </c>
      <c r="AC1310" t="str">
        <f>IF(AA1310="",M1310,AA1310)</f>
        <v>sim</v>
      </c>
      <c r="AD1310" t="str">
        <f>IF(AB1310="",X1310,AB1310)</f>
        <v>sim</v>
      </c>
      <c r="AE1310" t="str">
        <f>IF(OR(Configuracao!B9="",Configuracao!B10=""),"aguardando limiar",IF(AND(K1310&gt;=Configuracao!B9,K1310/MAX(Reconciliacao!C2,1)&gt;=Configuracao!B10/100),"sim","não"))</f>
        <v>aguardando limiar</v>
      </c>
    </row>
    <row r="1311" spans="1:31" x14ac:dyDescent="0.25">
      <c r="A1311">
        <v>5992</v>
      </c>
      <c r="D1311" t="s">
        <v>1093</v>
      </c>
      <c r="E1311" t="s">
        <v>1094</v>
      </c>
      <c r="F1311" t="s">
        <v>182</v>
      </c>
      <c r="G1311" t="s">
        <v>252</v>
      </c>
      <c r="H1311" t="s">
        <v>251</v>
      </c>
      <c r="I1311" t="s">
        <v>442</v>
      </c>
      <c r="J1311" t="s">
        <v>442</v>
      </c>
      <c r="K1311" s="4">
        <v>3006.07</v>
      </c>
      <c r="L1311" s="4">
        <v>3006.07</v>
      </c>
      <c r="M1311" t="s">
        <v>44</v>
      </c>
      <c r="N1311" t="s">
        <v>77</v>
      </c>
      <c r="O1311" t="s">
        <v>99</v>
      </c>
      <c r="P1311" t="s">
        <v>99</v>
      </c>
      <c r="Q1311" t="s">
        <v>202</v>
      </c>
      <c r="R1311" t="s">
        <v>203</v>
      </c>
      <c r="S1311" t="s">
        <v>161</v>
      </c>
      <c r="T1311" t="s">
        <v>162</v>
      </c>
      <c r="U1311" t="s">
        <v>163</v>
      </c>
      <c r="V1311" t="s">
        <v>164</v>
      </c>
      <c r="W1311" t="s">
        <v>116</v>
      </c>
      <c r="X1311" t="s">
        <v>44</v>
      </c>
      <c r="Y1311" t="s">
        <v>99</v>
      </c>
      <c r="Z1311" t="s">
        <v>421</v>
      </c>
      <c r="AC1311" t="str">
        <f>IF(AA1311="",M1311,AA1311)</f>
        <v>sim</v>
      </c>
      <c r="AD1311" t="str">
        <f>IF(AB1311="",X1311,AB1311)</f>
        <v>sim</v>
      </c>
      <c r="AE1311" t="str">
        <f>IF(OR(Configuracao!B9="",Configuracao!B10=""),"aguardando limiar",IF(AND(K1311&gt;=Configuracao!B9,K1311/MAX(Reconciliacao!C2,1)&gt;=Configuracao!B10/100),"sim","não"))</f>
        <v>aguardando limiar</v>
      </c>
    </row>
    <row r="1312" spans="1:31" x14ac:dyDescent="0.25">
      <c r="A1312">
        <v>5993</v>
      </c>
      <c r="D1312" t="s">
        <v>1093</v>
      </c>
      <c r="E1312" t="s">
        <v>1094</v>
      </c>
      <c r="F1312" t="s">
        <v>182</v>
      </c>
      <c r="G1312" t="s">
        <v>252</v>
      </c>
      <c r="H1312" t="s">
        <v>251</v>
      </c>
      <c r="I1312" t="s">
        <v>439</v>
      </c>
      <c r="J1312" t="s">
        <v>439</v>
      </c>
      <c r="K1312" s="4">
        <v>3006.07</v>
      </c>
      <c r="L1312" s="4">
        <v>3006.07</v>
      </c>
      <c r="M1312" t="s">
        <v>44</v>
      </c>
      <c r="N1312" t="s">
        <v>77</v>
      </c>
      <c r="O1312" t="s">
        <v>99</v>
      </c>
      <c r="P1312" t="s">
        <v>99</v>
      </c>
      <c r="Q1312" t="s">
        <v>202</v>
      </c>
      <c r="R1312" t="s">
        <v>203</v>
      </c>
      <c r="S1312" t="s">
        <v>161</v>
      </c>
      <c r="T1312" t="s">
        <v>162</v>
      </c>
      <c r="U1312" t="s">
        <v>163</v>
      </c>
      <c r="V1312" t="s">
        <v>164</v>
      </c>
      <c r="W1312" t="s">
        <v>116</v>
      </c>
      <c r="X1312" t="s">
        <v>44</v>
      </c>
      <c r="Y1312" t="s">
        <v>99</v>
      </c>
      <c r="Z1312" t="s">
        <v>421</v>
      </c>
      <c r="AC1312" t="str">
        <f>IF(AA1312="",M1312,AA1312)</f>
        <v>sim</v>
      </c>
      <c r="AD1312" t="str">
        <f>IF(AB1312="",X1312,AB1312)</f>
        <v>sim</v>
      </c>
      <c r="AE1312" t="str">
        <f>IF(OR(Configuracao!B9="",Configuracao!B10=""),"aguardando limiar",IF(AND(K1312&gt;=Configuracao!B9,K1312/MAX(Reconciliacao!C2,1)&gt;=Configuracao!B10/100),"sim","não"))</f>
        <v>aguardando limiar</v>
      </c>
    </row>
    <row r="1313" spans="1:31" x14ac:dyDescent="0.25">
      <c r="A1313">
        <v>5994</v>
      </c>
      <c r="D1313" t="s">
        <v>1093</v>
      </c>
      <c r="E1313" t="s">
        <v>1094</v>
      </c>
      <c r="F1313" t="s">
        <v>182</v>
      </c>
      <c r="G1313" t="s">
        <v>252</v>
      </c>
      <c r="H1313" t="s">
        <v>251</v>
      </c>
      <c r="I1313" t="s">
        <v>35</v>
      </c>
      <c r="J1313" t="s">
        <v>35</v>
      </c>
      <c r="K1313" s="4">
        <v>3006.07</v>
      </c>
      <c r="L1313" s="4">
        <v>3006.07</v>
      </c>
      <c r="M1313" t="s">
        <v>44</v>
      </c>
      <c r="N1313" t="s">
        <v>77</v>
      </c>
      <c r="O1313" t="s">
        <v>99</v>
      </c>
      <c r="P1313" t="s">
        <v>99</v>
      </c>
      <c r="Q1313" t="s">
        <v>202</v>
      </c>
      <c r="R1313" t="s">
        <v>203</v>
      </c>
      <c r="S1313" t="s">
        <v>161</v>
      </c>
      <c r="T1313" t="s">
        <v>162</v>
      </c>
      <c r="U1313" t="s">
        <v>163</v>
      </c>
      <c r="V1313" t="s">
        <v>164</v>
      </c>
      <c r="W1313" t="s">
        <v>116</v>
      </c>
      <c r="X1313" t="s">
        <v>44</v>
      </c>
      <c r="Y1313" t="s">
        <v>99</v>
      </c>
      <c r="Z1313" t="s">
        <v>421</v>
      </c>
      <c r="AC1313" t="str">
        <f>IF(AA1313="",M1313,AA1313)</f>
        <v>sim</v>
      </c>
      <c r="AD1313" t="str">
        <f>IF(AB1313="",X1313,AB1313)</f>
        <v>sim</v>
      </c>
      <c r="AE1313" t="str">
        <f>IF(OR(Configuracao!B9="",Configuracao!B10=""),"aguardando limiar",IF(AND(K1313&gt;=Configuracao!B9,K1313/MAX(Reconciliacao!C2,1)&gt;=Configuracao!B10/100),"sim","não"))</f>
        <v>aguardando limiar</v>
      </c>
    </row>
    <row r="1314" spans="1:31" x14ac:dyDescent="0.25">
      <c r="A1314">
        <v>12058</v>
      </c>
      <c r="C1314" t="s">
        <v>377</v>
      </c>
      <c r="D1314" t="s">
        <v>1099</v>
      </c>
      <c r="E1314" t="s">
        <v>451</v>
      </c>
      <c r="F1314" t="s">
        <v>182</v>
      </c>
      <c r="G1314" t="s">
        <v>377</v>
      </c>
      <c r="H1314" t="s">
        <v>376</v>
      </c>
      <c r="I1314" t="s">
        <v>424</v>
      </c>
      <c r="J1314" t="s">
        <v>424</v>
      </c>
      <c r="K1314" s="4">
        <v>30</v>
      </c>
      <c r="L1314" s="4">
        <v>30</v>
      </c>
      <c r="M1314" t="s">
        <v>44</v>
      </c>
      <c r="N1314" t="s">
        <v>77</v>
      </c>
      <c r="O1314" t="s">
        <v>99</v>
      </c>
      <c r="P1314" t="s">
        <v>99</v>
      </c>
      <c r="Q1314" t="s">
        <v>183</v>
      </c>
      <c r="R1314" t="s">
        <v>184</v>
      </c>
      <c r="S1314" t="s">
        <v>185</v>
      </c>
      <c r="T1314" t="s">
        <v>162</v>
      </c>
      <c r="U1314" t="s">
        <v>163</v>
      </c>
      <c r="V1314" t="s">
        <v>186</v>
      </c>
      <c r="W1314" t="s">
        <v>116</v>
      </c>
      <c r="X1314" t="s">
        <v>44</v>
      </c>
      <c r="Y1314" t="s">
        <v>99</v>
      </c>
      <c r="Z1314" t="s">
        <v>421</v>
      </c>
      <c r="AC1314" t="str">
        <f>IF(AA1314="",M1314,AA1314)</f>
        <v>sim</v>
      </c>
      <c r="AD1314" t="str">
        <f>IF(AB1314="",X1314,AB1314)</f>
        <v>sim</v>
      </c>
      <c r="AE1314" t="str">
        <f>IF(OR(Configuracao!B9="",Configuracao!B10=""),"aguardando limiar",IF(AND(K1314&gt;=Configuracao!B9,K1314/MAX(Reconciliacao!C2,1)&gt;=Configuracao!B10/100),"sim","não"))</f>
        <v>aguardando limiar</v>
      </c>
    </row>
    <row r="1315" spans="1:31" x14ac:dyDescent="0.25">
      <c r="A1315">
        <v>12165</v>
      </c>
      <c r="C1315" t="s">
        <v>377</v>
      </c>
      <c r="D1315" t="s">
        <v>1099</v>
      </c>
      <c r="E1315" t="s">
        <v>451</v>
      </c>
      <c r="F1315" t="s">
        <v>182</v>
      </c>
      <c r="G1315" t="s">
        <v>377</v>
      </c>
      <c r="H1315" t="s">
        <v>376</v>
      </c>
      <c r="I1315" t="s">
        <v>424</v>
      </c>
      <c r="J1315" t="s">
        <v>424</v>
      </c>
      <c r="K1315" s="4">
        <v>30</v>
      </c>
      <c r="L1315" s="4">
        <v>30</v>
      </c>
      <c r="M1315" t="s">
        <v>44</v>
      </c>
      <c r="N1315" t="s">
        <v>77</v>
      </c>
      <c r="O1315" t="s">
        <v>99</v>
      </c>
      <c r="P1315" t="s">
        <v>99</v>
      </c>
      <c r="Q1315" t="s">
        <v>183</v>
      </c>
      <c r="R1315" t="s">
        <v>184</v>
      </c>
      <c r="S1315" t="s">
        <v>185</v>
      </c>
      <c r="T1315" t="s">
        <v>162</v>
      </c>
      <c r="U1315" t="s">
        <v>163</v>
      </c>
      <c r="V1315" t="s">
        <v>186</v>
      </c>
      <c r="W1315" t="s">
        <v>116</v>
      </c>
      <c r="X1315" t="s">
        <v>44</v>
      </c>
      <c r="Y1315" t="s">
        <v>99</v>
      </c>
      <c r="Z1315" t="s">
        <v>421</v>
      </c>
      <c r="AC1315" t="str">
        <f>IF(AA1315="",M1315,AA1315)</f>
        <v>sim</v>
      </c>
      <c r="AD1315" t="str">
        <f>IF(AB1315="",X1315,AB1315)</f>
        <v>sim</v>
      </c>
      <c r="AE1315" t="str">
        <f>IF(OR(Configuracao!B9="",Configuracao!B10=""),"aguardando limiar",IF(AND(K1315&gt;=Configuracao!B9,K1315/MAX(Reconciliacao!C2,1)&gt;=Configuracao!B10/100),"sim","não"))</f>
        <v>aguardando limiar</v>
      </c>
    </row>
    <row r="1316" spans="1:31" x14ac:dyDescent="0.25">
      <c r="A1316">
        <v>12250</v>
      </c>
      <c r="C1316" t="s">
        <v>377</v>
      </c>
      <c r="D1316" t="s">
        <v>1099</v>
      </c>
      <c r="E1316" t="s">
        <v>451</v>
      </c>
      <c r="F1316" t="s">
        <v>182</v>
      </c>
      <c r="G1316" t="s">
        <v>377</v>
      </c>
      <c r="H1316" t="s">
        <v>376</v>
      </c>
      <c r="I1316" t="s">
        <v>424</v>
      </c>
      <c r="J1316" t="s">
        <v>424</v>
      </c>
      <c r="K1316" s="4">
        <v>30</v>
      </c>
      <c r="L1316" s="4">
        <v>30</v>
      </c>
      <c r="M1316" t="s">
        <v>44</v>
      </c>
      <c r="N1316" t="s">
        <v>77</v>
      </c>
      <c r="O1316" t="s">
        <v>99</v>
      </c>
      <c r="P1316" t="s">
        <v>99</v>
      </c>
      <c r="Q1316" t="s">
        <v>183</v>
      </c>
      <c r="R1316" t="s">
        <v>184</v>
      </c>
      <c r="S1316" t="s">
        <v>185</v>
      </c>
      <c r="T1316" t="s">
        <v>162</v>
      </c>
      <c r="U1316" t="s">
        <v>163</v>
      </c>
      <c r="V1316" t="s">
        <v>186</v>
      </c>
      <c r="W1316" t="s">
        <v>116</v>
      </c>
      <c r="X1316" t="s">
        <v>44</v>
      </c>
      <c r="Y1316" t="s">
        <v>99</v>
      </c>
      <c r="Z1316" t="s">
        <v>421</v>
      </c>
      <c r="AC1316" t="str">
        <f>IF(AA1316="",M1316,AA1316)</f>
        <v>sim</v>
      </c>
      <c r="AD1316" t="str">
        <f>IF(AB1316="",X1316,AB1316)</f>
        <v>sim</v>
      </c>
      <c r="AE1316" t="str">
        <f>IF(OR(Configuracao!B9="",Configuracao!B10=""),"aguardando limiar",IF(AND(K1316&gt;=Configuracao!B9,K1316/MAX(Reconciliacao!C2,1)&gt;=Configuracao!B10/100),"sim","não"))</f>
        <v>aguardando limiar</v>
      </c>
    </row>
    <row r="1317" spans="1:31" x14ac:dyDescent="0.25">
      <c r="A1317">
        <v>12808</v>
      </c>
      <c r="C1317" t="s">
        <v>377</v>
      </c>
      <c r="D1317" t="s">
        <v>1099</v>
      </c>
      <c r="E1317" t="s">
        <v>451</v>
      </c>
      <c r="F1317" t="s">
        <v>182</v>
      </c>
      <c r="G1317" t="s">
        <v>377</v>
      </c>
      <c r="H1317" t="s">
        <v>376</v>
      </c>
      <c r="I1317" t="s">
        <v>420</v>
      </c>
      <c r="J1317" t="s">
        <v>420</v>
      </c>
      <c r="K1317" s="4">
        <v>30</v>
      </c>
      <c r="L1317" s="4">
        <v>30</v>
      </c>
      <c r="M1317" t="s">
        <v>44</v>
      </c>
      <c r="N1317" t="s">
        <v>77</v>
      </c>
      <c r="O1317" t="s">
        <v>99</v>
      </c>
      <c r="P1317" t="s">
        <v>99</v>
      </c>
      <c r="Q1317" t="s">
        <v>183</v>
      </c>
      <c r="R1317" t="s">
        <v>184</v>
      </c>
      <c r="S1317" t="s">
        <v>185</v>
      </c>
      <c r="T1317" t="s">
        <v>162</v>
      </c>
      <c r="U1317" t="s">
        <v>163</v>
      </c>
      <c r="V1317" t="s">
        <v>186</v>
      </c>
      <c r="W1317" t="s">
        <v>116</v>
      </c>
      <c r="X1317" t="s">
        <v>44</v>
      </c>
      <c r="Y1317" t="s">
        <v>99</v>
      </c>
      <c r="Z1317" t="s">
        <v>421</v>
      </c>
      <c r="AC1317" t="str">
        <f>IF(AA1317="",M1317,AA1317)</f>
        <v>sim</v>
      </c>
      <c r="AD1317" t="str">
        <f>IF(AB1317="",X1317,AB1317)</f>
        <v>sim</v>
      </c>
      <c r="AE1317" t="str">
        <f>IF(OR(Configuracao!B9="",Configuracao!B10=""),"aguardando limiar",IF(AND(K1317&gt;=Configuracao!B9,K1317/MAX(Reconciliacao!C2,1)&gt;=Configuracao!B10/100),"sim","não"))</f>
        <v>aguardando limiar</v>
      </c>
    </row>
    <row r="1318" spans="1:31" x14ac:dyDescent="0.25">
      <c r="A1318">
        <v>12855</v>
      </c>
      <c r="C1318" t="s">
        <v>377</v>
      </c>
      <c r="D1318" t="s">
        <v>1099</v>
      </c>
      <c r="E1318" t="s">
        <v>451</v>
      </c>
      <c r="F1318" t="s">
        <v>182</v>
      </c>
      <c r="G1318" t="s">
        <v>377</v>
      </c>
      <c r="H1318" t="s">
        <v>376</v>
      </c>
      <c r="I1318" t="s">
        <v>420</v>
      </c>
      <c r="J1318" t="s">
        <v>420</v>
      </c>
      <c r="K1318" s="4">
        <v>30</v>
      </c>
      <c r="L1318" s="4">
        <v>30</v>
      </c>
      <c r="M1318" t="s">
        <v>44</v>
      </c>
      <c r="N1318" t="s">
        <v>77</v>
      </c>
      <c r="O1318" t="s">
        <v>99</v>
      </c>
      <c r="P1318" t="s">
        <v>99</v>
      </c>
      <c r="Q1318" t="s">
        <v>183</v>
      </c>
      <c r="R1318" t="s">
        <v>184</v>
      </c>
      <c r="S1318" t="s">
        <v>185</v>
      </c>
      <c r="T1318" t="s">
        <v>162</v>
      </c>
      <c r="U1318" t="s">
        <v>163</v>
      </c>
      <c r="V1318" t="s">
        <v>186</v>
      </c>
      <c r="W1318" t="s">
        <v>116</v>
      </c>
      <c r="X1318" t="s">
        <v>44</v>
      </c>
      <c r="Y1318" t="s">
        <v>99</v>
      </c>
      <c r="Z1318" t="s">
        <v>421</v>
      </c>
      <c r="AC1318" t="str">
        <f>IF(AA1318="",M1318,AA1318)</f>
        <v>sim</v>
      </c>
      <c r="AD1318" t="str">
        <f>IF(AB1318="",X1318,AB1318)</f>
        <v>sim</v>
      </c>
      <c r="AE1318" t="str">
        <f>IF(OR(Configuracao!B9="",Configuracao!B10=""),"aguardando limiar",IF(AND(K1318&gt;=Configuracao!B9,K1318/MAX(Reconciliacao!C2,1)&gt;=Configuracao!B10/100),"sim","não"))</f>
        <v>aguardando limiar</v>
      </c>
    </row>
    <row r="1319" spans="1:31" x14ac:dyDescent="0.25">
      <c r="A1319">
        <v>13808</v>
      </c>
      <c r="C1319" t="s">
        <v>377</v>
      </c>
      <c r="D1319" t="s">
        <v>1099</v>
      </c>
      <c r="E1319" t="s">
        <v>451</v>
      </c>
      <c r="F1319" t="s">
        <v>182</v>
      </c>
      <c r="G1319" t="s">
        <v>377</v>
      </c>
      <c r="H1319" t="s">
        <v>376</v>
      </c>
      <c r="I1319" t="s">
        <v>454</v>
      </c>
      <c r="J1319" t="s">
        <v>454</v>
      </c>
      <c r="K1319" s="4">
        <v>30</v>
      </c>
      <c r="L1319" s="4">
        <v>30</v>
      </c>
      <c r="M1319" t="s">
        <v>44</v>
      </c>
      <c r="N1319" t="s">
        <v>77</v>
      </c>
      <c r="O1319" t="s">
        <v>99</v>
      </c>
      <c r="P1319" t="s">
        <v>99</v>
      </c>
      <c r="Q1319" t="s">
        <v>183</v>
      </c>
      <c r="R1319" t="s">
        <v>184</v>
      </c>
      <c r="S1319" t="s">
        <v>185</v>
      </c>
      <c r="T1319" t="s">
        <v>162</v>
      </c>
      <c r="U1319" t="s">
        <v>163</v>
      </c>
      <c r="V1319" t="s">
        <v>186</v>
      </c>
      <c r="W1319" t="s">
        <v>116</v>
      </c>
      <c r="X1319" t="s">
        <v>44</v>
      </c>
      <c r="Y1319" t="s">
        <v>99</v>
      </c>
      <c r="Z1319" t="s">
        <v>421</v>
      </c>
      <c r="AC1319" t="str">
        <f>IF(AA1319="",M1319,AA1319)</f>
        <v>sim</v>
      </c>
      <c r="AD1319" t="str">
        <f>IF(AB1319="",X1319,AB1319)</f>
        <v>sim</v>
      </c>
      <c r="AE1319" t="str">
        <f>IF(OR(Configuracao!B9="",Configuracao!B10=""),"aguardando limiar",IF(AND(K1319&gt;=Configuracao!B9,K1319/MAX(Reconciliacao!C2,1)&gt;=Configuracao!B10/100),"sim","não"))</f>
        <v>aguardando limiar</v>
      </c>
    </row>
    <row r="1320" spans="1:31" x14ac:dyDescent="0.25">
      <c r="A1320">
        <v>15034</v>
      </c>
      <c r="C1320" t="s">
        <v>377</v>
      </c>
      <c r="D1320" t="s">
        <v>1099</v>
      </c>
      <c r="E1320" t="s">
        <v>451</v>
      </c>
      <c r="F1320" t="s">
        <v>182</v>
      </c>
      <c r="G1320" t="s">
        <v>377</v>
      </c>
      <c r="H1320" t="s">
        <v>376</v>
      </c>
      <c r="I1320" t="s">
        <v>454</v>
      </c>
      <c r="J1320" t="s">
        <v>454</v>
      </c>
      <c r="K1320" s="4">
        <v>30</v>
      </c>
      <c r="L1320" s="4">
        <v>30</v>
      </c>
      <c r="M1320" t="s">
        <v>44</v>
      </c>
      <c r="N1320" t="s">
        <v>77</v>
      </c>
      <c r="O1320" t="s">
        <v>99</v>
      </c>
      <c r="P1320" t="s">
        <v>99</v>
      </c>
      <c r="Q1320" t="s">
        <v>183</v>
      </c>
      <c r="R1320" t="s">
        <v>184</v>
      </c>
      <c r="S1320" t="s">
        <v>185</v>
      </c>
      <c r="T1320" t="s">
        <v>162</v>
      </c>
      <c r="U1320" t="s">
        <v>163</v>
      </c>
      <c r="V1320" t="s">
        <v>186</v>
      </c>
      <c r="W1320" t="s">
        <v>116</v>
      </c>
      <c r="X1320" t="s">
        <v>44</v>
      </c>
      <c r="Y1320" t="s">
        <v>99</v>
      </c>
      <c r="Z1320" t="s">
        <v>421</v>
      </c>
      <c r="AC1320" t="str">
        <f>IF(AA1320="",M1320,AA1320)</f>
        <v>sim</v>
      </c>
      <c r="AD1320" t="str">
        <f>IF(AB1320="",X1320,AB1320)</f>
        <v>sim</v>
      </c>
      <c r="AE1320" t="str">
        <f>IF(OR(Configuracao!B9="",Configuracao!B10=""),"aguardando limiar",IF(AND(K1320&gt;=Configuracao!B9,K1320/MAX(Reconciliacao!C2,1)&gt;=Configuracao!B10/100),"sim","não"))</f>
        <v>aguardando limiar</v>
      </c>
    </row>
    <row r="1321" spans="1:31" x14ac:dyDescent="0.25">
      <c r="A1321">
        <v>16438</v>
      </c>
      <c r="C1321" t="s">
        <v>377</v>
      </c>
      <c r="D1321" t="s">
        <v>1099</v>
      </c>
      <c r="E1321" t="s">
        <v>451</v>
      </c>
      <c r="F1321" t="s">
        <v>182</v>
      </c>
      <c r="G1321" t="s">
        <v>377</v>
      </c>
      <c r="H1321" t="s">
        <v>376</v>
      </c>
      <c r="I1321" t="s">
        <v>461</v>
      </c>
      <c r="J1321" t="s">
        <v>461</v>
      </c>
      <c r="K1321" s="4">
        <v>30</v>
      </c>
      <c r="L1321" s="4">
        <v>30</v>
      </c>
      <c r="M1321" t="s">
        <v>44</v>
      </c>
      <c r="N1321" t="s">
        <v>77</v>
      </c>
      <c r="O1321" t="s">
        <v>99</v>
      </c>
      <c r="P1321" t="s">
        <v>99</v>
      </c>
      <c r="Q1321" t="s">
        <v>183</v>
      </c>
      <c r="R1321" t="s">
        <v>184</v>
      </c>
      <c r="S1321" t="s">
        <v>185</v>
      </c>
      <c r="T1321" t="s">
        <v>162</v>
      </c>
      <c r="U1321" t="s">
        <v>163</v>
      </c>
      <c r="V1321" t="s">
        <v>186</v>
      </c>
      <c r="W1321" t="s">
        <v>116</v>
      </c>
      <c r="X1321" t="s">
        <v>44</v>
      </c>
      <c r="Y1321" t="s">
        <v>99</v>
      </c>
      <c r="Z1321" t="s">
        <v>421</v>
      </c>
      <c r="AC1321" t="str">
        <f>IF(AA1321="",M1321,AA1321)</f>
        <v>sim</v>
      </c>
      <c r="AD1321" t="str">
        <f>IF(AB1321="",X1321,AB1321)</f>
        <v>sim</v>
      </c>
      <c r="AE1321" t="str">
        <f>IF(OR(Configuracao!B9="",Configuracao!B10=""),"aguardando limiar",IF(AND(K1321&gt;=Configuracao!B9,K1321/MAX(Reconciliacao!C2,1)&gt;=Configuracao!B10/100),"sim","não"))</f>
        <v>aguardando limiar</v>
      </c>
    </row>
    <row r="1322" spans="1:31" x14ac:dyDescent="0.25">
      <c r="A1322">
        <v>16479</v>
      </c>
      <c r="C1322" t="s">
        <v>377</v>
      </c>
      <c r="D1322" t="s">
        <v>1099</v>
      </c>
      <c r="E1322" t="s">
        <v>451</v>
      </c>
      <c r="F1322" t="s">
        <v>182</v>
      </c>
      <c r="G1322" t="s">
        <v>377</v>
      </c>
      <c r="H1322" t="s">
        <v>376</v>
      </c>
      <c r="I1322" t="s">
        <v>461</v>
      </c>
      <c r="J1322" t="s">
        <v>461</v>
      </c>
      <c r="K1322" s="4">
        <v>30</v>
      </c>
      <c r="L1322" s="4">
        <v>30</v>
      </c>
      <c r="M1322" t="s">
        <v>44</v>
      </c>
      <c r="N1322" t="s">
        <v>77</v>
      </c>
      <c r="O1322" t="s">
        <v>99</v>
      </c>
      <c r="P1322" t="s">
        <v>99</v>
      </c>
      <c r="Q1322" t="s">
        <v>183</v>
      </c>
      <c r="R1322" t="s">
        <v>184</v>
      </c>
      <c r="S1322" t="s">
        <v>185</v>
      </c>
      <c r="T1322" t="s">
        <v>162</v>
      </c>
      <c r="U1322" t="s">
        <v>163</v>
      </c>
      <c r="V1322" t="s">
        <v>186</v>
      </c>
      <c r="W1322" t="s">
        <v>116</v>
      </c>
      <c r="X1322" t="s">
        <v>44</v>
      </c>
      <c r="Y1322" t="s">
        <v>99</v>
      </c>
      <c r="Z1322" t="s">
        <v>421</v>
      </c>
      <c r="AC1322" t="str">
        <f>IF(AA1322="",M1322,AA1322)</f>
        <v>sim</v>
      </c>
      <c r="AD1322" t="str">
        <f>IF(AB1322="",X1322,AB1322)</f>
        <v>sim</v>
      </c>
      <c r="AE1322" t="str">
        <f>IF(OR(Configuracao!B9="",Configuracao!B10=""),"aguardando limiar",IF(AND(K1322&gt;=Configuracao!B9,K1322/MAX(Reconciliacao!C2,1)&gt;=Configuracao!B10/100),"sim","não"))</f>
        <v>aguardando limiar</v>
      </c>
    </row>
    <row r="1323" spans="1:31" x14ac:dyDescent="0.25">
      <c r="A1323">
        <v>16734</v>
      </c>
      <c r="C1323" t="s">
        <v>377</v>
      </c>
      <c r="D1323" t="s">
        <v>1099</v>
      </c>
      <c r="E1323" t="s">
        <v>451</v>
      </c>
      <c r="F1323" t="s">
        <v>182</v>
      </c>
      <c r="G1323" t="s">
        <v>377</v>
      </c>
      <c r="H1323" t="s">
        <v>376</v>
      </c>
      <c r="I1323" t="s">
        <v>442</v>
      </c>
      <c r="J1323" t="s">
        <v>442</v>
      </c>
      <c r="K1323" s="4">
        <v>30</v>
      </c>
      <c r="L1323" s="4">
        <v>30</v>
      </c>
      <c r="M1323" t="s">
        <v>44</v>
      </c>
      <c r="N1323" t="s">
        <v>77</v>
      </c>
      <c r="O1323" t="s">
        <v>99</v>
      </c>
      <c r="P1323" t="s">
        <v>99</v>
      </c>
      <c r="Q1323" t="s">
        <v>183</v>
      </c>
      <c r="R1323" t="s">
        <v>184</v>
      </c>
      <c r="S1323" t="s">
        <v>185</v>
      </c>
      <c r="T1323" t="s">
        <v>162</v>
      </c>
      <c r="U1323" t="s">
        <v>163</v>
      </c>
      <c r="V1323" t="s">
        <v>186</v>
      </c>
      <c r="W1323" t="s">
        <v>116</v>
      </c>
      <c r="X1323" t="s">
        <v>44</v>
      </c>
      <c r="Y1323" t="s">
        <v>99</v>
      </c>
      <c r="Z1323" t="s">
        <v>421</v>
      </c>
      <c r="AC1323" t="str">
        <f>IF(AA1323="",M1323,AA1323)</f>
        <v>sim</v>
      </c>
      <c r="AD1323" t="str">
        <f>IF(AB1323="",X1323,AB1323)</f>
        <v>sim</v>
      </c>
      <c r="AE1323" t="str">
        <f>IF(OR(Configuracao!B9="",Configuracao!B10=""),"aguardando limiar",IF(AND(K1323&gt;=Configuracao!B9,K1323/MAX(Reconciliacao!C2,1)&gt;=Configuracao!B10/100),"sim","não"))</f>
        <v>aguardando limiar</v>
      </c>
    </row>
    <row r="1324" spans="1:31" x14ac:dyDescent="0.25">
      <c r="A1324">
        <v>17082</v>
      </c>
      <c r="C1324" t="s">
        <v>377</v>
      </c>
      <c r="D1324" t="s">
        <v>1099</v>
      </c>
      <c r="E1324" t="s">
        <v>451</v>
      </c>
      <c r="F1324" t="s">
        <v>182</v>
      </c>
      <c r="G1324" t="s">
        <v>377</v>
      </c>
      <c r="H1324" t="s">
        <v>376</v>
      </c>
      <c r="I1324" t="s">
        <v>442</v>
      </c>
      <c r="J1324" t="s">
        <v>442</v>
      </c>
      <c r="K1324" s="4">
        <v>30</v>
      </c>
      <c r="L1324" s="4">
        <v>30</v>
      </c>
      <c r="M1324" t="s">
        <v>44</v>
      </c>
      <c r="N1324" t="s">
        <v>77</v>
      </c>
      <c r="O1324" t="s">
        <v>99</v>
      </c>
      <c r="P1324" t="s">
        <v>99</v>
      </c>
      <c r="Q1324" t="s">
        <v>183</v>
      </c>
      <c r="R1324" t="s">
        <v>184</v>
      </c>
      <c r="S1324" t="s">
        <v>185</v>
      </c>
      <c r="T1324" t="s">
        <v>162</v>
      </c>
      <c r="U1324" t="s">
        <v>163</v>
      </c>
      <c r="V1324" t="s">
        <v>186</v>
      </c>
      <c r="W1324" t="s">
        <v>116</v>
      </c>
      <c r="X1324" t="s">
        <v>44</v>
      </c>
      <c r="Y1324" t="s">
        <v>99</v>
      </c>
      <c r="Z1324" t="s">
        <v>421</v>
      </c>
      <c r="AC1324" t="str">
        <f>IF(AA1324="",M1324,AA1324)</f>
        <v>sim</v>
      </c>
      <c r="AD1324" t="str">
        <f>IF(AB1324="",X1324,AB1324)</f>
        <v>sim</v>
      </c>
      <c r="AE1324" t="str">
        <f>IF(OR(Configuracao!B9="",Configuracao!B10=""),"aguardando limiar",IF(AND(K1324&gt;=Configuracao!B9,K1324/MAX(Reconciliacao!C2,1)&gt;=Configuracao!B10/100),"sim","não"))</f>
        <v>aguardando limiar</v>
      </c>
    </row>
    <row r="1325" spans="1:31" x14ac:dyDescent="0.25">
      <c r="A1325">
        <v>17735</v>
      </c>
      <c r="C1325" t="s">
        <v>377</v>
      </c>
      <c r="D1325" t="s">
        <v>1099</v>
      </c>
      <c r="E1325" t="s">
        <v>451</v>
      </c>
      <c r="F1325" t="s">
        <v>182</v>
      </c>
      <c r="G1325" t="s">
        <v>377</v>
      </c>
      <c r="H1325" t="s">
        <v>376</v>
      </c>
      <c r="I1325" t="s">
        <v>439</v>
      </c>
      <c r="J1325" t="s">
        <v>439</v>
      </c>
      <c r="K1325" s="4">
        <v>30</v>
      </c>
      <c r="L1325" s="4">
        <v>30</v>
      </c>
      <c r="M1325" t="s">
        <v>44</v>
      </c>
      <c r="N1325" t="s">
        <v>77</v>
      </c>
      <c r="O1325" t="s">
        <v>99</v>
      </c>
      <c r="P1325" t="s">
        <v>99</v>
      </c>
      <c r="Q1325" t="s">
        <v>183</v>
      </c>
      <c r="R1325" t="s">
        <v>184</v>
      </c>
      <c r="S1325" t="s">
        <v>185</v>
      </c>
      <c r="T1325" t="s">
        <v>162</v>
      </c>
      <c r="U1325" t="s">
        <v>163</v>
      </c>
      <c r="V1325" t="s">
        <v>186</v>
      </c>
      <c r="W1325" t="s">
        <v>116</v>
      </c>
      <c r="X1325" t="s">
        <v>44</v>
      </c>
      <c r="Y1325" t="s">
        <v>99</v>
      </c>
      <c r="Z1325" t="s">
        <v>421</v>
      </c>
      <c r="AC1325" t="str">
        <f>IF(AA1325="",M1325,AA1325)</f>
        <v>sim</v>
      </c>
      <c r="AD1325" t="str">
        <f>IF(AB1325="",X1325,AB1325)</f>
        <v>sim</v>
      </c>
      <c r="AE1325" t="str">
        <f>IF(OR(Configuracao!B9="",Configuracao!B10=""),"aguardando limiar",IF(AND(K1325&gt;=Configuracao!B9,K1325/MAX(Reconciliacao!C2,1)&gt;=Configuracao!B10/100),"sim","não"))</f>
        <v>aguardando limiar</v>
      </c>
    </row>
    <row r="1326" spans="1:31" x14ac:dyDescent="0.25">
      <c r="A1326">
        <v>13432</v>
      </c>
      <c r="C1326" t="s">
        <v>377</v>
      </c>
      <c r="D1326" t="s">
        <v>1100</v>
      </c>
      <c r="E1326" t="s">
        <v>451</v>
      </c>
      <c r="F1326" t="s">
        <v>182</v>
      </c>
      <c r="G1326" t="s">
        <v>377</v>
      </c>
      <c r="H1326" t="s">
        <v>376</v>
      </c>
      <c r="I1326" t="s">
        <v>454</v>
      </c>
      <c r="J1326" t="s">
        <v>454</v>
      </c>
      <c r="K1326" s="4">
        <v>35</v>
      </c>
      <c r="L1326" s="4">
        <v>35</v>
      </c>
      <c r="M1326" t="s">
        <v>44</v>
      </c>
      <c r="N1326" t="s">
        <v>77</v>
      </c>
      <c r="O1326" t="s">
        <v>99</v>
      </c>
      <c r="P1326" t="s">
        <v>99</v>
      </c>
      <c r="Q1326" t="s">
        <v>183</v>
      </c>
      <c r="R1326" t="s">
        <v>184</v>
      </c>
      <c r="S1326" t="s">
        <v>185</v>
      </c>
      <c r="T1326" t="s">
        <v>162</v>
      </c>
      <c r="U1326" t="s">
        <v>163</v>
      </c>
      <c r="V1326" t="s">
        <v>186</v>
      </c>
      <c r="W1326" t="s">
        <v>116</v>
      </c>
      <c r="X1326" t="s">
        <v>44</v>
      </c>
      <c r="Y1326" t="s">
        <v>99</v>
      </c>
      <c r="Z1326" t="s">
        <v>421</v>
      </c>
      <c r="AC1326" t="str">
        <f>IF(AA1326="",M1326,AA1326)</f>
        <v>sim</v>
      </c>
      <c r="AD1326" t="str">
        <f>IF(AB1326="",X1326,AB1326)</f>
        <v>sim</v>
      </c>
      <c r="AE1326" t="str">
        <f>IF(OR(Configuracao!B9="",Configuracao!B10=""),"aguardando limiar",IF(AND(K1326&gt;=Configuracao!B9,K1326/MAX(Reconciliacao!C2,1)&gt;=Configuracao!B10/100),"sim","não"))</f>
        <v>aguardando limiar</v>
      </c>
    </row>
    <row r="1327" spans="1:31" x14ac:dyDescent="0.25">
      <c r="A1327">
        <v>18338</v>
      </c>
      <c r="C1327" t="s">
        <v>377</v>
      </c>
      <c r="D1327" t="s">
        <v>1099</v>
      </c>
      <c r="E1327" t="s">
        <v>451</v>
      </c>
      <c r="F1327" t="s">
        <v>182</v>
      </c>
      <c r="G1327" t="s">
        <v>377</v>
      </c>
      <c r="H1327" t="s">
        <v>376</v>
      </c>
      <c r="I1327" t="s">
        <v>439</v>
      </c>
      <c r="J1327" t="s">
        <v>439</v>
      </c>
      <c r="K1327" s="4">
        <v>50</v>
      </c>
      <c r="L1327" s="4">
        <v>50</v>
      </c>
      <c r="M1327" t="s">
        <v>44</v>
      </c>
      <c r="N1327" t="s">
        <v>77</v>
      </c>
      <c r="O1327" t="s">
        <v>99</v>
      </c>
      <c r="P1327" t="s">
        <v>99</v>
      </c>
      <c r="Q1327" t="s">
        <v>183</v>
      </c>
      <c r="R1327" t="s">
        <v>184</v>
      </c>
      <c r="S1327" t="s">
        <v>185</v>
      </c>
      <c r="T1327" t="s">
        <v>162</v>
      </c>
      <c r="U1327" t="s">
        <v>163</v>
      </c>
      <c r="V1327" t="s">
        <v>186</v>
      </c>
      <c r="W1327" t="s">
        <v>116</v>
      </c>
      <c r="X1327" t="s">
        <v>44</v>
      </c>
      <c r="Y1327" t="s">
        <v>99</v>
      </c>
      <c r="Z1327" t="s">
        <v>421</v>
      </c>
      <c r="AC1327" t="str">
        <f>IF(AA1327="",M1327,AA1327)</f>
        <v>sim</v>
      </c>
      <c r="AD1327" t="str">
        <f>IF(AB1327="",X1327,AB1327)</f>
        <v>sim</v>
      </c>
      <c r="AE1327" t="str">
        <f>IF(OR(Configuracao!B9="",Configuracao!B10=""),"aguardando limiar",IF(AND(K1327&gt;=Configuracao!B9,K1327/MAX(Reconciliacao!C2,1)&gt;=Configuracao!B10/100),"sim","não"))</f>
        <v>aguardando limiar</v>
      </c>
    </row>
    <row r="1328" spans="1:31" x14ac:dyDescent="0.25">
      <c r="A1328">
        <v>12164</v>
      </c>
      <c r="C1328" t="s">
        <v>377</v>
      </c>
      <c r="D1328" t="s">
        <v>1101</v>
      </c>
      <c r="E1328" t="s">
        <v>451</v>
      </c>
      <c r="F1328" t="s">
        <v>182</v>
      </c>
      <c r="G1328" t="s">
        <v>377</v>
      </c>
      <c r="H1328" t="s">
        <v>376</v>
      </c>
      <c r="I1328" t="s">
        <v>424</v>
      </c>
      <c r="J1328" t="s">
        <v>424</v>
      </c>
      <c r="K1328" s="4">
        <v>60</v>
      </c>
      <c r="L1328" s="4">
        <v>60</v>
      </c>
      <c r="M1328" t="s">
        <v>44</v>
      </c>
      <c r="N1328" t="s">
        <v>77</v>
      </c>
      <c r="O1328" t="s">
        <v>99</v>
      </c>
      <c r="P1328" t="s">
        <v>99</v>
      </c>
      <c r="Q1328" t="s">
        <v>183</v>
      </c>
      <c r="R1328" t="s">
        <v>184</v>
      </c>
      <c r="S1328" t="s">
        <v>185</v>
      </c>
      <c r="T1328" t="s">
        <v>162</v>
      </c>
      <c r="U1328" t="s">
        <v>163</v>
      </c>
      <c r="V1328" t="s">
        <v>186</v>
      </c>
      <c r="W1328" t="s">
        <v>116</v>
      </c>
      <c r="X1328" t="s">
        <v>44</v>
      </c>
      <c r="Y1328" t="s">
        <v>99</v>
      </c>
      <c r="Z1328" t="s">
        <v>421</v>
      </c>
      <c r="AC1328" t="str">
        <f>IF(AA1328="",M1328,AA1328)</f>
        <v>sim</v>
      </c>
      <c r="AD1328" t="str">
        <f>IF(AB1328="",X1328,AB1328)</f>
        <v>sim</v>
      </c>
      <c r="AE1328" t="str">
        <f>IF(OR(Configuracao!B9="",Configuracao!B10=""),"aguardando limiar",IF(AND(K1328&gt;=Configuracao!B9,K1328/MAX(Reconciliacao!C2,1)&gt;=Configuracao!B10/100),"sim","não"))</f>
        <v>aguardando limiar</v>
      </c>
    </row>
    <row r="1329" spans="1:31" x14ac:dyDescent="0.25">
      <c r="A1329">
        <v>12991</v>
      </c>
      <c r="C1329" t="s">
        <v>377</v>
      </c>
      <c r="D1329" t="s">
        <v>1099</v>
      </c>
      <c r="E1329" t="s">
        <v>451</v>
      </c>
      <c r="F1329" t="s">
        <v>182</v>
      </c>
      <c r="G1329" t="s">
        <v>377</v>
      </c>
      <c r="H1329" t="s">
        <v>376</v>
      </c>
      <c r="I1329" t="s">
        <v>420</v>
      </c>
      <c r="J1329" t="s">
        <v>420</v>
      </c>
      <c r="K1329" s="4">
        <v>60</v>
      </c>
      <c r="L1329" s="4">
        <v>60</v>
      </c>
      <c r="M1329" t="s">
        <v>44</v>
      </c>
      <c r="N1329" t="s">
        <v>77</v>
      </c>
      <c r="O1329" t="s">
        <v>99</v>
      </c>
      <c r="P1329" t="s">
        <v>99</v>
      </c>
      <c r="Q1329" t="s">
        <v>183</v>
      </c>
      <c r="R1329" t="s">
        <v>184</v>
      </c>
      <c r="S1329" t="s">
        <v>185</v>
      </c>
      <c r="T1329" t="s">
        <v>162</v>
      </c>
      <c r="U1329" t="s">
        <v>163</v>
      </c>
      <c r="V1329" t="s">
        <v>186</v>
      </c>
      <c r="W1329" t="s">
        <v>116</v>
      </c>
      <c r="X1329" t="s">
        <v>44</v>
      </c>
      <c r="Y1329" t="s">
        <v>99</v>
      </c>
      <c r="Z1329" t="s">
        <v>421</v>
      </c>
      <c r="AC1329" t="str">
        <f>IF(AA1329="",M1329,AA1329)</f>
        <v>sim</v>
      </c>
      <c r="AD1329" t="str">
        <f>IF(AB1329="",X1329,AB1329)</f>
        <v>sim</v>
      </c>
      <c r="AE1329" t="str">
        <f>IF(OR(Configuracao!B9="",Configuracao!B10=""),"aguardando limiar",IF(AND(K1329&gt;=Configuracao!B9,K1329/MAX(Reconciliacao!C2,1)&gt;=Configuracao!B10/100),"sim","não"))</f>
        <v>aguardando limiar</v>
      </c>
    </row>
    <row r="1330" spans="1:31" x14ac:dyDescent="0.25">
      <c r="A1330">
        <v>14570</v>
      </c>
      <c r="C1330" t="s">
        <v>377</v>
      </c>
      <c r="D1330" t="s">
        <v>1102</v>
      </c>
      <c r="E1330" t="s">
        <v>451</v>
      </c>
      <c r="F1330" t="s">
        <v>182</v>
      </c>
      <c r="G1330" t="s">
        <v>377</v>
      </c>
      <c r="H1330" t="s">
        <v>376</v>
      </c>
      <c r="I1330" t="s">
        <v>454</v>
      </c>
      <c r="J1330" t="s">
        <v>454</v>
      </c>
      <c r="K1330" s="4">
        <v>60</v>
      </c>
      <c r="L1330" s="4">
        <v>60</v>
      </c>
      <c r="M1330" t="s">
        <v>44</v>
      </c>
      <c r="N1330" t="s">
        <v>77</v>
      </c>
      <c r="O1330" t="s">
        <v>99</v>
      </c>
      <c r="P1330" t="s">
        <v>99</v>
      </c>
      <c r="Q1330" t="s">
        <v>183</v>
      </c>
      <c r="R1330" t="s">
        <v>184</v>
      </c>
      <c r="S1330" t="s">
        <v>185</v>
      </c>
      <c r="T1330" t="s">
        <v>162</v>
      </c>
      <c r="U1330" t="s">
        <v>163</v>
      </c>
      <c r="V1330" t="s">
        <v>186</v>
      </c>
      <c r="W1330" t="s">
        <v>116</v>
      </c>
      <c r="X1330" t="s">
        <v>44</v>
      </c>
      <c r="Y1330" t="s">
        <v>99</v>
      </c>
      <c r="Z1330" t="s">
        <v>421</v>
      </c>
      <c r="AC1330" t="str">
        <f>IF(AA1330="",M1330,AA1330)</f>
        <v>sim</v>
      </c>
      <c r="AD1330" t="str">
        <f>IF(AB1330="",X1330,AB1330)</f>
        <v>sim</v>
      </c>
      <c r="AE1330" t="str">
        <f>IF(OR(Configuracao!B9="",Configuracao!B10=""),"aguardando limiar",IF(AND(K1330&gt;=Configuracao!B9,K1330/MAX(Reconciliacao!C2,1)&gt;=Configuracao!B10/100),"sim","não"))</f>
        <v>aguardando limiar</v>
      </c>
    </row>
    <row r="1331" spans="1:31" x14ac:dyDescent="0.25">
      <c r="A1331">
        <v>15943</v>
      </c>
      <c r="C1331" t="s">
        <v>377</v>
      </c>
      <c r="D1331" t="s">
        <v>1099</v>
      </c>
      <c r="E1331" t="s">
        <v>451</v>
      </c>
      <c r="F1331" t="s">
        <v>182</v>
      </c>
      <c r="G1331" t="s">
        <v>377</v>
      </c>
      <c r="H1331" t="s">
        <v>376</v>
      </c>
      <c r="I1331" t="s">
        <v>461</v>
      </c>
      <c r="J1331" t="s">
        <v>461</v>
      </c>
      <c r="K1331" s="4">
        <v>60</v>
      </c>
      <c r="L1331" s="4">
        <v>60</v>
      </c>
      <c r="M1331" t="s">
        <v>44</v>
      </c>
      <c r="N1331" t="s">
        <v>77</v>
      </c>
      <c r="O1331" t="s">
        <v>99</v>
      </c>
      <c r="P1331" t="s">
        <v>99</v>
      </c>
      <c r="Q1331" t="s">
        <v>183</v>
      </c>
      <c r="R1331" t="s">
        <v>184</v>
      </c>
      <c r="S1331" t="s">
        <v>185</v>
      </c>
      <c r="T1331" t="s">
        <v>162</v>
      </c>
      <c r="U1331" t="s">
        <v>163</v>
      </c>
      <c r="V1331" t="s">
        <v>186</v>
      </c>
      <c r="W1331" t="s">
        <v>116</v>
      </c>
      <c r="X1331" t="s">
        <v>44</v>
      </c>
      <c r="Y1331" t="s">
        <v>99</v>
      </c>
      <c r="Z1331" t="s">
        <v>421</v>
      </c>
      <c r="AC1331" t="str">
        <f>IF(AA1331="",M1331,AA1331)</f>
        <v>sim</v>
      </c>
      <c r="AD1331" t="str">
        <f>IF(AB1331="",X1331,AB1331)</f>
        <v>sim</v>
      </c>
      <c r="AE1331" t="str">
        <f>IF(OR(Configuracao!B9="",Configuracao!B10=""),"aguardando limiar",IF(AND(K1331&gt;=Configuracao!B9,K1331/MAX(Reconciliacao!C2,1)&gt;=Configuracao!B10/100),"sim","não"))</f>
        <v>aguardando limiar</v>
      </c>
    </row>
    <row r="1332" spans="1:31" x14ac:dyDescent="0.25">
      <c r="A1332">
        <v>17081</v>
      </c>
      <c r="C1332" t="s">
        <v>377</v>
      </c>
      <c r="D1332" t="s">
        <v>1102</v>
      </c>
      <c r="E1332" t="s">
        <v>451</v>
      </c>
      <c r="F1332" t="s">
        <v>182</v>
      </c>
      <c r="G1332" t="s">
        <v>377</v>
      </c>
      <c r="H1332" t="s">
        <v>376</v>
      </c>
      <c r="I1332" t="s">
        <v>442</v>
      </c>
      <c r="J1332" t="s">
        <v>442</v>
      </c>
      <c r="K1332" s="4">
        <v>60</v>
      </c>
      <c r="L1332" s="4">
        <v>60</v>
      </c>
      <c r="M1332" t="s">
        <v>44</v>
      </c>
      <c r="N1332" t="s">
        <v>77</v>
      </c>
      <c r="O1332" t="s">
        <v>99</v>
      </c>
      <c r="P1332" t="s">
        <v>99</v>
      </c>
      <c r="Q1332" t="s">
        <v>183</v>
      </c>
      <c r="R1332" t="s">
        <v>184</v>
      </c>
      <c r="S1332" t="s">
        <v>185</v>
      </c>
      <c r="T1332" t="s">
        <v>162</v>
      </c>
      <c r="U1332" t="s">
        <v>163</v>
      </c>
      <c r="V1332" t="s">
        <v>186</v>
      </c>
      <c r="W1332" t="s">
        <v>116</v>
      </c>
      <c r="X1332" t="s">
        <v>44</v>
      </c>
      <c r="Y1332" t="s">
        <v>99</v>
      </c>
      <c r="Z1332" t="s">
        <v>421</v>
      </c>
      <c r="AC1332" t="str">
        <f>IF(AA1332="",M1332,AA1332)</f>
        <v>sim</v>
      </c>
      <c r="AD1332" t="str">
        <f>IF(AB1332="",X1332,AB1332)</f>
        <v>sim</v>
      </c>
      <c r="AE1332" t="str">
        <f>IF(OR(Configuracao!B9="",Configuracao!B10=""),"aguardando limiar",IF(AND(K1332&gt;=Configuracao!B9,K1332/MAX(Reconciliacao!C2,1)&gt;=Configuracao!B10/100),"sim","não"))</f>
        <v>aguardando limiar</v>
      </c>
    </row>
    <row r="1333" spans="1:31" x14ac:dyDescent="0.25">
      <c r="A1333">
        <v>18047</v>
      </c>
      <c r="C1333" t="s">
        <v>377</v>
      </c>
      <c r="D1333" t="s">
        <v>1102</v>
      </c>
      <c r="E1333" t="s">
        <v>451</v>
      </c>
      <c r="F1333" t="s">
        <v>182</v>
      </c>
      <c r="G1333" t="s">
        <v>377</v>
      </c>
      <c r="H1333" t="s">
        <v>376</v>
      </c>
      <c r="I1333" t="s">
        <v>439</v>
      </c>
      <c r="J1333" t="s">
        <v>439</v>
      </c>
      <c r="K1333" s="4">
        <v>80</v>
      </c>
      <c r="L1333" s="4">
        <v>80</v>
      </c>
      <c r="M1333" t="s">
        <v>44</v>
      </c>
      <c r="N1333" t="s">
        <v>77</v>
      </c>
      <c r="O1333" t="s">
        <v>99</v>
      </c>
      <c r="P1333" t="s">
        <v>99</v>
      </c>
      <c r="Q1333" t="s">
        <v>183</v>
      </c>
      <c r="R1333" t="s">
        <v>184</v>
      </c>
      <c r="S1333" t="s">
        <v>185</v>
      </c>
      <c r="T1333" t="s">
        <v>162</v>
      </c>
      <c r="U1333" t="s">
        <v>163</v>
      </c>
      <c r="V1333" t="s">
        <v>186</v>
      </c>
      <c r="W1333" t="s">
        <v>116</v>
      </c>
      <c r="X1333" t="s">
        <v>44</v>
      </c>
      <c r="Y1333" t="s">
        <v>99</v>
      </c>
      <c r="Z1333" t="s">
        <v>421</v>
      </c>
      <c r="AC1333" t="str">
        <f>IF(AA1333="",M1333,AA1333)</f>
        <v>sim</v>
      </c>
      <c r="AD1333" t="str">
        <f>IF(AB1333="",X1333,AB1333)</f>
        <v>sim</v>
      </c>
      <c r="AE1333" t="str">
        <f>IF(OR(Configuracao!B9="",Configuracao!B10=""),"aguardando limiar",IF(AND(K1333&gt;=Configuracao!B9,K1333/MAX(Reconciliacao!C2,1)&gt;=Configuracao!B10/100),"sim","não"))</f>
        <v>aguardando limiar</v>
      </c>
    </row>
    <row r="1334" spans="1:31" x14ac:dyDescent="0.25">
      <c r="A1334">
        <v>16477</v>
      </c>
      <c r="C1334" t="s">
        <v>377</v>
      </c>
      <c r="D1334" t="s">
        <v>1102</v>
      </c>
      <c r="E1334" t="s">
        <v>451</v>
      </c>
      <c r="F1334" t="s">
        <v>182</v>
      </c>
      <c r="G1334" t="s">
        <v>377</v>
      </c>
      <c r="H1334" t="s">
        <v>376</v>
      </c>
      <c r="I1334" t="s">
        <v>461</v>
      </c>
      <c r="J1334" t="s">
        <v>461</v>
      </c>
      <c r="K1334" s="4">
        <v>110</v>
      </c>
      <c r="L1334" s="4">
        <v>110</v>
      </c>
      <c r="M1334" t="s">
        <v>44</v>
      </c>
      <c r="N1334" t="s">
        <v>77</v>
      </c>
      <c r="O1334" t="s">
        <v>99</v>
      </c>
      <c r="P1334" t="s">
        <v>99</v>
      </c>
      <c r="Q1334" t="s">
        <v>183</v>
      </c>
      <c r="R1334" t="s">
        <v>184</v>
      </c>
      <c r="S1334" t="s">
        <v>185</v>
      </c>
      <c r="T1334" t="s">
        <v>162</v>
      </c>
      <c r="U1334" t="s">
        <v>163</v>
      </c>
      <c r="V1334" t="s">
        <v>186</v>
      </c>
      <c r="W1334" t="s">
        <v>116</v>
      </c>
      <c r="X1334" t="s">
        <v>44</v>
      </c>
      <c r="Y1334" t="s">
        <v>99</v>
      </c>
      <c r="Z1334" t="s">
        <v>421</v>
      </c>
      <c r="AC1334" t="str">
        <f>IF(AA1334="",M1334,AA1334)</f>
        <v>sim</v>
      </c>
      <c r="AD1334" t="str">
        <f>IF(AB1334="",X1334,AB1334)</f>
        <v>sim</v>
      </c>
      <c r="AE1334" t="str">
        <f>IF(OR(Configuracao!B9="",Configuracao!B10=""),"aguardando limiar",IF(AND(K1334&gt;=Configuracao!B9,K1334/MAX(Reconciliacao!C2,1)&gt;=Configuracao!B10/100),"sim","não"))</f>
        <v>aguardando limiar</v>
      </c>
    </row>
    <row r="1335" spans="1:31" x14ac:dyDescent="0.25">
      <c r="A1335">
        <v>18685</v>
      </c>
      <c r="C1335" t="s">
        <v>377</v>
      </c>
      <c r="D1335" t="s">
        <v>1102</v>
      </c>
      <c r="E1335" t="s">
        <v>451</v>
      </c>
      <c r="F1335" t="s">
        <v>182</v>
      </c>
      <c r="G1335" t="s">
        <v>377</v>
      </c>
      <c r="H1335" t="s">
        <v>376</v>
      </c>
      <c r="I1335" t="s">
        <v>35</v>
      </c>
      <c r="J1335" t="s">
        <v>35</v>
      </c>
      <c r="K1335" s="4">
        <v>125</v>
      </c>
      <c r="L1335" s="4">
        <v>125</v>
      </c>
      <c r="M1335" t="s">
        <v>44</v>
      </c>
      <c r="N1335" t="s">
        <v>77</v>
      </c>
      <c r="O1335" t="s">
        <v>99</v>
      </c>
      <c r="P1335" t="s">
        <v>99</v>
      </c>
      <c r="Q1335" t="s">
        <v>183</v>
      </c>
      <c r="R1335" t="s">
        <v>184</v>
      </c>
      <c r="S1335" t="s">
        <v>185</v>
      </c>
      <c r="T1335" t="s">
        <v>162</v>
      </c>
      <c r="U1335" t="s">
        <v>163</v>
      </c>
      <c r="V1335" t="s">
        <v>186</v>
      </c>
      <c r="W1335" t="s">
        <v>116</v>
      </c>
      <c r="X1335" t="s">
        <v>44</v>
      </c>
      <c r="Y1335" t="s">
        <v>99</v>
      </c>
      <c r="Z1335" t="s">
        <v>421</v>
      </c>
      <c r="AC1335" t="str">
        <f>IF(AA1335="",M1335,AA1335)</f>
        <v>sim</v>
      </c>
      <c r="AD1335" t="str">
        <f>IF(AB1335="",X1335,AB1335)</f>
        <v>sim</v>
      </c>
      <c r="AE1335" t="str">
        <f>IF(OR(Configuracao!B9="",Configuracao!B10=""),"aguardando limiar",IF(AND(K1335&gt;=Configuracao!B9,K1335/MAX(Reconciliacao!C2,1)&gt;=Configuracao!B10/100),"sim","não"))</f>
        <v>aguardando limiar</v>
      </c>
    </row>
    <row r="1336" spans="1:31" x14ac:dyDescent="0.25">
      <c r="A1336">
        <v>18545</v>
      </c>
      <c r="C1336" t="s">
        <v>1103</v>
      </c>
      <c r="D1336" t="s">
        <v>1104</v>
      </c>
      <c r="E1336" t="s">
        <v>465</v>
      </c>
      <c r="F1336" t="s">
        <v>182</v>
      </c>
      <c r="G1336" t="s">
        <v>379</v>
      </c>
      <c r="H1336" t="s">
        <v>378</v>
      </c>
      <c r="I1336" t="s">
        <v>439</v>
      </c>
      <c r="J1336" t="s">
        <v>439</v>
      </c>
      <c r="K1336" s="4">
        <v>28.9</v>
      </c>
      <c r="L1336" s="4">
        <v>28.9</v>
      </c>
      <c r="M1336" t="s">
        <v>44</v>
      </c>
      <c r="N1336" t="s">
        <v>77</v>
      </c>
      <c r="O1336" t="s">
        <v>99</v>
      </c>
      <c r="P1336" t="s">
        <v>99</v>
      </c>
      <c r="Q1336" t="s">
        <v>183</v>
      </c>
      <c r="R1336" t="s">
        <v>184</v>
      </c>
      <c r="S1336" t="s">
        <v>185</v>
      </c>
      <c r="T1336" t="s">
        <v>162</v>
      </c>
      <c r="U1336" t="s">
        <v>163</v>
      </c>
      <c r="V1336" t="s">
        <v>186</v>
      </c>
      <c r="W1336" t="s">
        <v>116</v>
      </c>
      <c r="X1336" t="s">
        <v>44</v>
      </c>
      <c r="Y1336" t="s">
        <v>99</v>
      </c>
      <c r="Z1336" t="s">
        <v>421</v>
      </c>
      <c r="AC1336" t="str">
        <f>IF(AA1336="",M1336,AA1336)</f>
        <v>sim</v>
      </c>
      <c r="AD1336" t="str">
        <f>IF(AB1336="",X1336,AB1336)</f>
        <v>sim</v>
      </c>
      <c r="AE1336" t="str">
        <f>IF(OR(Configuracao!B9="",Configuracao!B10=""),"aguardando limiar",IF(AND(K1336&gt;=Configuracao!B9,K1336/MAX(Reconciliacao!C2,1)&gt;=Configuracao!B10/100),"sim","não"))</f>
        <v>aguardando limiar</v>
      </c>
    </row>
    <row r="1337" spans="1:31" x14ac:dyDescent="0.25">
      <c r="A1337">
        <v>11640</v>
      </c>
      <c r="C1337" t="s">
        <v>1105</v>
      </c>
      <c r="D1337" t="s">
        <v>1104</v>
      </c>
      <c r="E1337" t="s">
        <v>451</v>
      </c>
      <c r="F1337" t="s">
        <v>182</v>
      </c>
      <c r="G1337" t="s">
        <v>379</v>
      </c>
      <c r="H1337" t="s">
        <v>378</v>
      </c>
      <c r="I1337" t="s">
        <v>32</v>
      </c>
      <c r="J1337" t="s">
        <v>32</v>
      </c>
      <c r="K1337" s="4">
        <v>31.95</v>
      </c>
      <c r="L1337" s="4">
        <v>31.95</v>
      </c>
      <c r="M1337" t="s">
        <v>44</v>
      </c>
      <c r="N1337" t="s">
        <v>77</v>
      </c>
      <c r="O1337" t="s">
        <v>99</v>
      </c>
      <c r="P1337" t="s">
        <v>99</v>
      </c>
      <c r="Q1337" t="s">
        <v>183</v>
      </c>
      <c r="R1337" t="s">
        <v>184</v>
      </c>
      <c r="S1337" t="s">
        <v>185</v>
      </c>
      <c r="T1337" t="s">
        <v>162</v>
      </c>
      <c r="U1337" t="s">
        <v>163</v>
      </c>
      <c r="V1337" t="s">
        <v>186</v>
      </c>
      <c r="W1337" t="s">
        <v>116</v>
      </c>
      <c r="X1337" t="s">
        <v>44</v>
      </c>
      <c r="Y1337" t="s">
        <v>99</v>
      </c>
      <c r="Z1337" t="s">
        <v>421</v>
      </c>
      <c r="AC1337" t="str">
        <f>IF(AA1337="",M1337,AA1337)</f>
        <v>sim</v>
      </c>
      <c r="AD1337" t="str">
        <f>IF(AB1337="",X1337,AB1337)</f>
        <v>sim</v>
      </c>
      <c r="AE1337" t="str">
        <f>IF(OR(Configuracao!B9="",Configuracao!B10=""),"aguardando limiar",IF(AND(K1337&gt;=Configuracao!B9,K1337/MAX(Reconciliacao!C2,1)&gt;=Configuracao!B10/100),"sim","não"))</f>
        <v>aguardando limiar</v>
      </c>
    </row>
    <row r="1338" spans="1:31" x14ac:dyDescent="0.25">
      <c r="A1338">
        <v>17155</v>
      </c>
      <c r="C1338" t="s">
        <v>1106</v>
      </c>
      <c r="D1338" t="s">
        <v>1104</v>
      </c>
      <c r="E1338" t="s">
        <v>465</v>
      </c>
      <c r="F1338" t="s">
        <v>182</v>
      </c>
      <c r="G1338" t="s">
        <v>379</v>
      </c>
      <c r="H1338" t="s">
        <v>378</v>
      </c>
      <c r="I1338" t="s">
        <v>442</v>
      </c>
      <c r="J1338" t="s">
        <v>442</v>
      </c>
      <c r="K1338" s="4">
        <v>33.9</v>
      </c>
      <c r="L1338" s="4">
        <v>33.9</v>
      </c>
      <c r="M1338" t="s">
        <v>44</v>
      </c>
      <c r="N1338" t="s">
        <v>77</v>
      </c>
      <c r="O1338" t="s">
        <v>99</v>
      </c>
      <c r="P1338" t="s">
        <v>99</v>
      </c>
      <c r="Q1338" t="s">
        <v>183</v>
      </c>
      <c r="R1338" t="s">
        <v>184</v>
      </c>
      <c r="S1338" t="s">
        <v>185</v>
      </c>
      <c r="T1338" t="s">
        <v>162</v>
      </c>
      <c r="U1338" t="s">
        <v>163</v>
      </c>
      <c r="V1338" t="s">
        <v>186</v>
      </c>
      <c r="W1338" t="s">
        <v>116</v>
      </c>
      <c r="X1338" t="s">
        <v>44</v>
      </c>
      <c r="Y1338" t="s">
        <v>99</v>
      </c>
      <c r="Z1338" t="s">
        <v>421</v>
      </c>
      <c r="AC1338" t="str">
        <f>IF(AA1338="",M1338,AA1338)</f>
        <v>sim</v>
      </c>
      <c r="AD1338" t="str">
        <f>IF(AB1338="",X1338,AB1338)</f>
        <v>sim</v>
      </c>
      <c r="AE1338" t="str">
        <f>IF(OR(Configuracao!B9="",Configuracao!B10=""),"aguardando limiar",IF(AND(K1338&gt;=Configuracao!B9,K1338/MAX(Reconciliacao!C2,1)&gt;=Configuracao!B10/100),"sim","não"))</f>
        <v>aguardando limiar</v>
      </c>
    </row>
    <row r="1339" spans="1:31" x14ac:dyDescent="0.25">
      <c r="A1339">
        <v>14187</v>
      </c>
      <c r="C1339" t="s">
        <v>1107</v>
      </c>
      <c r="D1339" t="s">
        <v>657</v>
      </c>
      <c r="E1339" t="s">
        <v>525</v>
      </c>
      <c r="F1339" t="s">
        <v>182</v>
      </c>
      <c r="G1339" t="s">
        <v>379</v>
      </c>
      <c r="H1339" t="s">
        <v>378</v>
      </c>
      <c r="I1339" t="s">
        <v>454</v>
      </c>
      <c r="J1339" t="s">
        <v>454</v>
      </c>
      <c r="K1339" s="4">
        <v>36.2</v>
      </c>
      <c r="L1339" s="4">
        <v>36.2</v>
      </c>
      <c r="M1339" t="s">
        <v>44</v>
      </c>
      <c r="N1339" t="s">
        <v>77</v>
      </c>
      <c r="O1339" t="s">
        <v>99</v>
      </c>
      <c r="P1339" t="s">
        <v>99</v>
      </c>
      <c r="Q1339" t="s">
        <v>183</v>
      </c>
      <c r="R1339" t="s">
        <v>184</v>
      </c>
      <c r="S1339" t="s">
        <v>185</v>
      </c>
      <c r="T1339" t="s">
        <v>162</v>
      </c>
      <c r="U1339" t="s">
        <v>163</v>
      </c>
      <c r="V1339" t="s">
        <v>186</v>
      </c>
      <c r="W1339" t="s">
        <v>116</v>
      </c>
      <c r="X1339" t="s">
        <v>44</v>
      </c>
      <c r="Y1339" t="s">
        <v>99</v>
      </c>
      <c r="Z1339" t="s">
        <v>421</v>
      </c>
      <c r="AC1339" t="str">
        <f>IF(AA1339="",M1339,AA1339)</f>
        <v>sim</v>
      </c>
      <c r="AD1339" t="str">
        <f>IF(AB1339="",X1339,AB1339)</f>
        <v>sim</v>
      </c>
      <c r="AE1339" t="str">
        <f>IF(OR(Configuracao!B9="",Configuracao!B10=""),"aguardando limiar",IF(AND(K1339&gt;=Configuracao!B9,K1339/MAX(Reconciliacao!C2,1)&gt;=Configuracao!B10/100),"sim","não"))</f>
        <v>aguardando limiar</v>
      </c>
    </row>
    <row r="1340" spans="1:31" x14ac:dyDescent="0.25">
      <c r="A1340">
        <v>12240</v>
      </c>
      <c r="C1340" t="s">
        <v>1108</v>
      </c>
      <c r="D1340" t="s">
        <v>1104</v>
      </c>
      <c r="E1340" t="s">
        <v>465</v>
      </c>
      <c r="F1340" t="s">
        <v>182</v>
      </c>
      <c r="G1340" t="s">
        <v>379</v>
      </c>
      <c r="H1340" t="s">
        <v>378</v>
      </c>
      <c r="I1340" t="s">
        <v>424</v>
      </c>
      <c r="J1340" t="s">
        <v>424</v>
      </c>
      <c r="K1340" s="4">
        <v>63.9</v>
      </c>
      <c r="L1340" s="4">
        <v>63.9</v>
      </c>
      <c r="M1340" t="s">
        <v>44</v>
      </c>
      <c r="N1340" t="s">
        <v>77</v>
      </c>
      <c r="O1340" t="s">
        <v>99</v>
      </c>
      <c r="P1340" t="s">
        <v>99</v>
      </c>
      <c r="Q1340" t="s">
        <v>183</v>
      </c>
      <c r="R1340" t="s">
        <v>184</v>
      </c>
      <c r="S1340" t="s">
        <v>185</v>
      </c>
      <c r="T1340" t="s">
        <v>162</v>
      </c>
      <c r="U1340" t="s">
        <v>163</v>
      </c>
      <c r="V1340" t="s">
        <v>186</v>
      </c>
      <c r="W1340" t="s">
        <v>116</v>
      </c>
      <c r="X1340" t="s">
        <v>44</v>
      </c>
      <c r="Y1340" t="s">
        <v>99</v>
      </c>
      <c r="Z1340" t="s">
        <v>421</v>
      </c>
      <c r="AC1340" t="str">
        <f>IF(AA1340="",M1340,AA1340)</f>
        <v>sim</v>
      </c>
      <c r="AD1340" t="str">
        <f>IF(AB1340="",X1340,AB1340)</f>
        <v>sim</v>
      </c>
      <c r="AE1340" t="str">
        <f>IF(OR(Configuracao!B9="",Configuracao!B10=""),"aguardando limiar",IF(AND(K1340&gt;=Configuracao!B9,K1340/MAX(Reconciliacao!C2,1)&gt;=Configuracao!B10/100),"sim","não"))</f>
        <v>aguardando limiar</v>
      </c>
    </row>
    <row r="1341" spans="1:31" x14ac:dyDescent="0.25">
      <c r="A1341">
        <v>14186</v>
      </c>
      <c r="C1341" t="s">
        <v>1107</v>
      </c>
      <c r="D1341" t="s">
        <v>657</v>
      </c>
      <c r="E1341" t="s">
        <v>467</v>
      </c>
      <c r="F1341" t="s">
        <v>182</v>
      </c>
      <c r="G1341" t="s">
        <v>379</v>
      </c>
      <c r="H1341" t="s">
        <v>378</v>
      </c>
      <c r="I1341" t="s">
        <v>454</v>
      </c>
      <c r="J1341" t="s">
        <v>454</v>
      </c>
      <c r="K1341" s="4">
        <v>72.4</v>
      </c>
      <c r="L1341" s="4">
        <v>72.4</v>
      </c>
      <c r="M1341" t="s">
        <v>44</v>
      </c>
      <c r="N1341" t="s">
        <v>77</v>
      </c>
      <c r="O1341" t="s">
        <v>99</v>
      </c>
      <c r="P1341" t="s">
        <v>99</v>
      </c>
      <c r="Q1341" t="s">
        <v>183</v>
      </c>
      <c r="R1341" t="s">
        <v>184</v>
      </c>
      <c r="S1341" t="s">
        <v>185</v>
      </c>
      <c r="T1341" t="s">
        <v>162</v>
      </c>
      <c r="U1341" t="s">
        <v>163</v>
      </c>
      <c r="V1341" t="s">
        <v>186</v>
      </c>
      <c r="W1341" t="s">
        <v>116</v>
      </c>
      <c r="X1341" t="s">
        <v>44</v>
      </c>
      <c r="Y1341" t="s">
        <v>99</v>
      </c>
      <c r="Z1341" t="s">
        <v>421</v>
      </c>
      <c r="AC1341" t="str">
        <f>IF(AA1341="",M1341,AA1341)</f>
        <v>sim</v>
      </c>
      <c r="AD1341" t="str">
        <f>IF(AB1341="",X1341,AB1341)</f>
        <v>sim</v>
      </c>
      <c r="AE1341" t="str">
        <f>IF(OR(Configuracao!B9="",Configuracao!B10=""),"aguardando limiar",IF(AND(K1341&gt;=Configuracao!B9,K1341/MAX(Reconciliacao!C2,1)&gt;=Configuracao!B10/100),"sim","não"))</f>
        <v>aguardando limiar</v>
      </c>
    </row>
    <row r="1342" spans="1:31" x14ac:dyDescent="0.25">
      <c r="A1342">
        <v>18851</v>
      </c>
      <c r="C1342" t="s">
        <v>1109</v>
      </c>
      <c r="D1342" t="s">
        <v>1104</v>
      </c>
      <c r="E1342" t="s">
        <v>465</v>
      </c>
      <c r="F1342" t="s">
        <v>182</v>
      </c>
      <c r="G1342" t="s">
        <v>379</v>
      </c>
      <c r="H1342" t="s">
        <v>378</v>
      </c>
      <c r="I1342" t="s">
        <v>35</v>
      </c>
      <c r="J1342" t="s">
        <v>35</v>
      </c>
      <c r="K1342" s="4">
        <v>86.7</v>
      </c>
      <c r="L1342" s="4">
        <v>86.7</v>
      </c>
      <c r="M1342" t="s">
        <v>44</v>
      </c>
      <c r="N1342" t="s">
        <v>77</v>
      </c>
      <c r="O1342" t="s">
        <v>99</v>
      </c>
      <c r="P1342" t="s">
        <v>99</v>
      </c>
      <c r="Q1342" t="s">
        <v>183</v>
      </c>
      <c r="R1342" t="s">
        <v>184</v>
      </c>
      <c r="S1342" t="s">
        <v>185</v>
      </c>
      <c r="T1342" t="s">
        <v>162</v>
      </c>
      <c r="U1342" t="s">
        <v>163</v>
      </c>
      <c r="V1342" t="s">
        <v>186</v>
      </c>
      <c r="W1342" t="s">
        <v>116</v>
      </c>
      <c r="X1342" t="s">
        <v>44</v>
      </c>
      <c r="Y1342" t="s">
        <v>99</v>
      </c>
      <c r="Z1342" t="s">
        <v>421</v>
      </c>
      <c r="AC1342" t="str">
        <f>IF(AA1342="",M1342,AA1342)</f>
        <v>sim</v>
      </c>
      <c r="AD1342" t="str">
        <f>IF(AB1342="",X1342,AB1342)</f>
        <v>sim</v>
      </c>
      <c r="AE1342" t="str">
        <f>IF(OR(Configuracao!B9="",Configuracao!B10=""),"aguardando limiar",IF(AND(K1342&gt;=Configuracao!B9,K1342/MAX(Reconciliacao!C2,1)&gt;=Configuracao!B10/100),"sim","não"))</f>
        <v>aguardando limiar</v>
      </c>
    </row>
    <row r="1343" spans="1:31" x14ac:dyDescent="0.25">
      <c r="A1343">
        <v>12424</v>
      </c>
      <c r="C1343" t="s">
        <v>1107</v>
      </c>
      <c r="D1343" t="s">
        <v>657</v>
      </c>
      <c r="E1343" t="s">
        <v>525</v>
      </c>
      <c r="F1343" t="s">
        <v>182</v>
      </c>
      <c r="G1343" t="s">
        <v>379</v>
      </c>
      <c r="H1343" t="s">
        <v>378</v>
      </c>
      <c r="I1343" t="s">
        <v>424</v>
      </c>
      <c r="J1343" t="s">
        <v>424</v>
      </c>
      <c r="K1343" s="4">
        <v>202.4</v>
      </c>
      <c r="L1343" s="4">
        <v>202.4</v>
      </c>
      <c r="M1343" t="s">
        <v>44</v>
      </c>
      <c r="N1343" t="s">
        <v>77</v>
      </c>
      <c r="O1343" t="s">
        <v>99</v>
      </c>
      <c r="P1343" t="s">
        <v>99</v>
      </c>
      <c r="Q1343" t="s">
        <v>183</v>
      </c>
      <c r="R1343" t="s">
        <v>184</v>
      </c>
      <c r="S1343" t="s">
        <v>185</v>
      </c>
      <c r="T1343" t="s">
        <v>162</v>
      </c>
      <c r="U1343" t="s">
        <v>163</v>
      </c>
      <c r="V1343" t="s">
        <v>186</v>
      </c>
      <c r="W1343" t="s">
        <v>116</v>
      </c>
      <c r="X1343" t="s">
        <v>44</v>
      </c>
      <c r="Y1343" t="s">
        <v>99</v>
      </c>
      <c r="Z1343" t="s">
        <v>421</v>
      </c>
      <c r="AC1343" t="str">
        <f>IF(AA1343="",M1343,AA1343)</f>
        <v>sim</v>
      </c>
      <c r="AD1343" t="str">
        <f>IF(AB1343="",X1343,AB1343)</f>
        <v>sim</v>
      </c>
      <c r="AE1343" t="str">
        <f>IF(OR(Configuracao!B9="",Configuracao!B10=""),"aguardando limiar",IF(AND(K1343&gt;=Configuracao!B9,K1343/MAX(Reconciliacao!C2,1)&gt;=Configuracao!B10/100),"sim","não"))</f>
        <v>aguardando limiar</v>
      </c>
    </row>
    <row r="1344" spans="1:31" x14ac:dyDescent="0.25">
      <c r="A1344">
        <v>12423</v>
      </c>
      <c r="C1344" t="s">
        <v>1107</v>
      </c>
      <c r="D1344" t="s">
        <v>657</v>
      </c>
      <c r="E1344" t="s">
        <v>467</v>
      </c>
      <c r="F1344" t="s">
        <v>182</v>
      </c>
      <c r="G1344" t="s">
        <v>379</v>
      </c>
      <c r="H1344" t="s">
        <v>378</v>
      </c>
      <c r="I1344" t="s">
        <v>424</v>
      </c>
      <c r="J1344" t="s">
        <v>424</v>
      </c>
      <c r="K1344" s="4">
        <v>404.8</v>
      </c>
      <c r="L1344" s="4">
        <v>404.8</v>
      </c>
      <c r="M1344" t="s">
        <v>44</v>
      </c>
      <c r="N1344" t="s">
        <v>77</v>
      </c>
      <c r="O1344" t="s">
        <v>99</v>
      </c>
      <c r="P1344" t="s">
        <v>99</v>
      </c>
      <c r="Q1344" t="s">
        <v>183</v>
      </c>
      <c r="R1344" t="s">
        <v>184</v>
      </c>
      <c r="S1344" t="s">
        <v>185</v>
      </c>
      <c r="T1344" t="s">
        <v>162</v>
      </c>
      <c r="U1344" t="s">
        <v>163</v>
      </c>
      <c r="V1344" t="s">
        <v>186</v>
      </c>
      <c r="W1344" t="s">
        <v>116</v>
      </c>
      <c r="X1344" t="s">
        <v>44</v>
      </c>
      <c r="Y1344" t="s">
        <v>99</v>
      </c>
      <c r="Z1344" t="s">
        <v>421</v>
      </c>
      <c r="AC1344" t="str">
        <f>IF(AA1344="",M1344,AA1344)</f>
        <v>sim</v>
      </c>
      <c r="AD1344" t="str">
        <f>IF(AB1344="",X1344,AB1344)</f>
        <v>sim</v>
      </c>
      <c r="AE1344" t="str">
        <f>IF(OR(Configuracao!B9="",Configuracao!B10=""),"aguardando limiar",IF(AND(K1344&gt;=Configuracao!B9,K1344/MAX(Reconciliacao!C2,1)&gt;=Configuracao!B10/100),"sim","não"))</f>
        <v>aguardando limiar</v>
      </c>
    </row>
    <row r="1345" spans="1:31" x14ac:dyDescent="0.25">
      <c r="A1345">
        <v>12179</v>
      </c>
      <c r="C1345" t="s">
        <v>1110</v>
      </c>
      <c r="D1345" t="s">
        <v>830</v>
      </c>
      <c r="E1345" t="s">
        <v>525</v>
      </c>
      <c r="F1345" t="s">
        <v>182</v>
      </c>
      <c r="G1345" t="s">
        <v>259</v>
      </c>
      <c r="H1345" t="s">
        <v>258</v>
      </c>
      <c r="I1345" t="s">
        <v>424</v>
      </c>
      <c r="J1345" t="s">
        <v>424</v>
      </c>
      <c r="K1345" s="4">
        <v>80</v>
      </c>
      <c r="L1345" s="4">
        <v>80</v>
      </c>
      <c r="M1345" t="s">
        <v>44</v>
      </c>
      <c r="N1345" t="s">
        <v>77</v>
      </c>
      <c r="O1345" t="s">
        <v>99</v>
      </c>
      <c r="P1345" t="s">
        <v>99</v>
      </c>
      <c r="Q1345" t="s">
        <v>183</v>
      </c>
      <c r="R1345" t="s">
        <v>184</v>
      </c>
      <c r="S1345" t="s">
        <v>185</v>
      </c>
      <c r="T1345" t="s">
        <v>162</v>
      </c>
      <c r="U1345" t="s">
        <v>163</v>
      </c>
      <c r="V1345" t="s">
        <v>186</v>
      </c>
      <c r="W1345" t="s">
        <v>116</v>
      </c>
      <c r="X1345" t="s">
        <v>44</v>
      </c>
      <c r="Y1345" t="s">
        <v>99</v>
      </c>
      <c r="Z1345" t="s">
        <v>421</v>
      </c>
      <c r="AC1345" t="str">
        <f>IF(AA1345="",M1345,AA1345)</f>
        <v>sim</v>
      </c>
      <c r="AD1345" t="str">
        <f>IF(AB1345="",X1345,AB1345)</f>
        <v>sim</v>
      </c>
      <c r="AE1345" t="str">
        <f>IF(OR(Configuracao!B9="",Configuracao!B10=""),"aguardando limiar",IF(AND(K1345&gt;=Configuracao!B9,K1345/MAX(Reconciliacao!C2,1)&gt;=Configuracao!B10/100),"sim","não"))</f>
        <v>aguardando limiar</v>
      </c>
    </row>
    <row r="1346" spans="1:31" x14ac:dyDescent="0.25">
      <c r="A1346">
        <v>12024</v>
      </c>
      <c r="C1346" t="s">
        <v>1111</v>
      </c>
      <c r="D1346" t="s">
        <v>830</v>
      </c>
      <c r="E1346" t="s">
        <v>451</v>
      </c>
      <c r="F1346" t="s">
        <v>182</v>
      </c>
      <c r="G1346" t="s">
        <v>259</v>
      </c>
      <c r="H1346" t="s">
        <v>258</v>
      </c>
      <c r="I1346" t="s">
        <v>424</v>
      </c>
      <c r="J1346" t="s">
        <v>424</v>
      </c>
      <c r="K1346" s="4">
        <v>105</v>
      </c>
      <c r="L1346" s="4">
        <v>105</v>
      </c>
      <c r="M1346" t="s">
        <v>44</v>
      </c>
      <c r="N1346" t="s">
        <v>77</v>
      </c>
      <c r="O1346" t="s">
        <v>99</v>
      </c>
      <c r="P1346" t="s">
        <v>99</v>
      </c>
      <c r="Q1346" t="s">
        <v>183</v>
      </c>
      <c r="R1346" t="s">
        <v>184</v>
      </c>
      <c r="S1346" t="s">
        <v>185</v>
      </c>
      <c r="T1346" t="s">
        <v>162</v>
      </c>
      <c r="U1346" t="s">
        <v>163</v>
      </c>
      <c r="V1346" t="s">
        <v>186</v>
      </c>
      <c r="W1346" t="s">
        <v>116</v>
      </c>
      <c r="X1346" t="s">
        <v>44</v>
      </c>
      <c r="Y1346" t="s">
        <v>99</v>
      </c>
      <c r="Z1346" t="s">
        <v>421</v>
      </c>
      <c r="AC1346" t="str">
        <f>IF(AA1346="",M1346,AA1346)</f>
        <v>sim</v>
      </c>
      <c r="AD1346" t="str">
        <f>IF(AB1346="",X1346,AB1346)</f>
        <v>sim</v>
      </c>
      <c r="AE1346" t="str">
        <f>IF(OR(Configuracao!B9="",Configuracao!B10=""),"aguardando limiar",IF(AND(K1346&gt;=Configuracao!B9,K1346/MAX(Reconciliacao!C2,1)&gt;=Configuracao!B10/100),"sim","não"))</f>
        <v>aguardando limiar</v>
      </c>
    </row>
    <row r="1347" spans="1:31" x14ac:dyDescent="0.25">
      <c r="A1347">
        <v>12057</v>
      </c>
      <c r="C1347" t="s">
        <v>1110</v>
      </c>
      <c r="D1347" t="s">
        <v>830</v>
      </c>
      <c r="E1347" t="s">
        <v>467</v>
      </c>
      <c r="F1347" t="s">
        <v>182</v>
      </c>
      <c r="G1347" t="s">
        <v>259</v>
      </c>
      <c r="H1347" t="s">
        <v>258</v>
      </c>
      <c r="I1347" t="s">
        <v>424</v>
      </c>
      <c r="J1347" t="s">
        <v>424</v>
      </c>
      <c r="K1347" s="4">
        <v>160</v>
      </c>
      <c r="L1347" s="4">
        <v>160</v>
      </c>
      <c r="M1347" t="s">
        <v>44</v>
      </c>
      <c r="N1347" t="s">
        <v>77</v>
      </c>
      <c r="O1347" t="s">
        <v>99</v>
      </c>
      <c r="P1347" t="s">
        <v>99</v>
      </c>
      <c r="Q1347" t="s">
        <v>183</v>
      </c>
      <c r="R1347" t="s">
        <v>184</v>
      </c>
      <c r="S1347" t="s">
        <v>185</v>
      </c>
      <c r="T1347" t="s">
        <v>162</v>
      </c>
      <c r="U1347" t="s">
        <v>163</v>
      </c>
      <c r="V1347" t="s">
        <v>186</v>
      </c>
      <c r="W1347" t="s">
        <v>116</v>
      </c>
      <c r="X1347" t="s">
        <v>44</v>
      </c>
      <c r="Y1347" t="s">
        <v>99</v>
      </c>
      <c r="Z1347" t="s">
        <v>421</v>
      </c>
      <c r="AC1347" t="str">
        <f>IF(AA1347="",M1347,AA1347)</f>
        <v>sim</v>
      </c>
      <c r="AD1347" t="str">
        <f>IF(AB1347="",X1347,AB1347)</f>
        <v>sim</v>
      </c>
      <c r="AE1347" t="str">
        <f>IF(OR(Configuracao!B9="",Configuracao!B10=""),"aguardando limiar",IF(AND(K1347&gt;=Configuracao!B9,K1347/MAX(Reconciliacao!C2,1)&gt;=Configuracao!B10/100),"sim","não"))</f>
        <v>aguardando limiar</v>
      </c>
    </row>
    <row r="1348" spans="1:31" x14ac:dyDescent="0.25">
      <c r="A1348">
        <v>12908</v>
      </c>
      <c r="C1348" t="s">
        <v>1112</v>
      </c>
      <c r="D1348" t="s">
        <v>1113</v>
      </c>
      <c r="E1348" t="s">
        <v>451</v>
      </c>
      <c r="F1348" t="s">
        <v>182</v>
      </c>
      <c r="G1348" t="s">
        <v>259</v>
      </c>
      <c r="H1348" t="s">
        <v>258</v>
      </c>
      <c r="I1348" t="s">
        <v>420</v>
      </c>
      <c r="J1348" t="s">
        <v>420</v>
      </c>
      <c r="K1348" s="4">
        <v>180</v>
      </c>
      <c r="L1348" s="4">
        <v>180</v>
      </c>
      <c r="M1348" t="s">
        <v>44</v>
      </c>
      <c r="N1348" t="s">
        <v>77</v>
      </c>
      <c r="O1348" t="s">
        <v>99</v>
      </c>
      <c r="P1348" t="s">
        <v>99</v>
      </c>
      <c r="Q1348" t="s">
        <v>183</v>
      </c>
      <c r="R1348" t="s">
        <v>184</v>
      </c>
      <c r="S1348" t="s">
        <v>185</v>
      </c>
      <c r="T1348" t="s">
        <v>162</v>
      </c>
      <c r="U1348" t="s">
        <v>163</v>
      </c>
      <c r="V1348" t="s">
        <v>186</v>
      </c>
      <c r="W1348" t="s">
        <v>116</v>
      </c>
      <c r="X1348" t="s">
        <v>44</v>
      </c>
      <c r="Y1348" t="s">
        <v>99</v>
      </c>
      <c r="Z1348" t="s">
        <v>421</v>
      </c>
      <c r="AC1348" t="str">
        <f>IF(AA1348="",M1348,AA1348)</f>
        <v>sim</v>
      </c>
      <c r="AD1348" t="str">
        <f>IF(AB1348="",X1348,AB1348)</f>
        <v>sim</v>
      </c>
      <c r="AE1348" t="str">
        <f>IF(OR(Configuracao!B9="",Configuracao!B10=""),"aguardando limiar",IF(AND(K1348&gt;=Configuracao!B9,K1348/MAX(Reconciliacao!C2,1)&gt;=Configuracao!B10/100),"sim","não"))</f>
        <v>aguardando limiar</v>
      </c>
    </row>
    <row r="1349" spans="1:31" x14ac:dyDescent="0.25">
      <c r="A1349">
        <v>12522</v>
      </c>
      <c r="C1349" t="s">
        <v>1114</v>
      </c>
      <c r="D1349" t="s">
        <v>1115</v>
      </c>
      <c r="E1349" t="s">
        <v>451</v>
      </c>
      <c r="F1349" t="s">
        <v>182</v>
      </c>
      <c r="G1349" t="s">
        <v>259</v>
      </c>
      <c r="H1349" t="s">
        <v>258</v>
      </c>
      <c r="I1349" t="s">
        <v>420</v>
      </c>
      <c r="J1349" t="s">
        <v>420</v>
      </c>
      <c r="K1349" s="4">
        <v>360</v>
      </c>
      <c r="L1349" s="4">
        <v>360</v>
      </c>
      <c r="M1349" t="s">
        <v>44</v>
      </c>
      <c r="N1349" t="s">
        <v>77</v>
      </c>
      <c r="O1349" t="s">
        <v>99</v>
      </c>
      <c r="P1349" t="s">
        <v>99</v>
      </c>
      <c r="Q1349" t="s">
        <v>183</v>
      </c>
      <c r="R1349" t="s">
        <v>184</v>
      </c>
      <c r="S1349" t="s">
        <v>185</v>
      </c>
      <c r="T1349" t="s">
        <v>162</v>
      </c>
      <c r="U1349" t="s">
        <v>163</v>
      </c>
      <c r="V1349" t="s">
        <v>186</v>
      </c>
      <c r="W1349" t="s">
        <v>116</v>
      </c>
      <c r="X1349" t="s">
        <v>44</v>
      </c>
      <c r="Y1349" t="s">
        <v>99</v>
      </c>
      <c r="Z1349" t="s">
        <v>421</v>
      </c>
      <c r="AC1349" t="str">
        <f>IF(AA1349="",M1349,AA1349)</f>
        <v>sim</v>
      </c>
      <c r="AD1349" t="str">
        <f>IF(AB1349="",X1349,AB1349)</f>
        <v>sim</v>
      </c>
      <c r="AE1349" t="str">
        <f>IF(OR(Configuracao!B9="",Configuracao!B10=""),"aguardando limiar",IF(AND(K1349&gt;=Configuracao!B9,K1349/MAX(Reconciliacao!C2,1)&gt;=Configuracao!B10/100),"sim","não"))</f>
        <v>aguardando limiar</v>
      </c>
    </row>
    <row r="1350" spans="1:31" x14ac:dyDescent="0.25">
      <c r="A1350">
        <v>8100</v>
      </c>
      <c r="C1350" t="s">
        <v>1116</v>
      </c>
      <c r="D1350" t="s">
        <v>1117</v>
      </c>
      <c r="E1350" t="s">
        <v>525</v>
      </c>
      <c r="F1350" t="s">
        <v>182</v>
      </c>
      <c r="G1350" t="s">
        <v>259</v>
      </c>
      <c r="H1350" t="s">
        <v>258</v>
      </c>
      <c r="I1350" t="s">
        <v>32</v>
      </c>
      <c r="J1350" t="s">
        <v>32</v>
      </c>
      <c r="K1350" s="4">
        <v>1111.11</v>
      </c>
      <c r="L1350" s="4">
        <v>1111.11</v>
      </c>
      <c r="M1350" t="s">
        <v>44</v>
      </c>
      <c r="N1350" t="s">
        <v>77</v>
      </c>
      <c r="O1350" t="s">
        <v>99</v>
      </c>
      <c r="P1350" t="s">
        <v>99</v>
      </c>
      <c r="Q1350" t="s">
        <v>183</v>
      </c>
      <c r="R1350" t="s">
        <v>184</v>
      </c>
      <c r="S1350" t="s">
        <v>185</v>
      </c>
      <c r="T1350" t="s">
        <v>162</v>
      </c>
      <c r="U1350" t="s">
        <v>163</v>
      </c>
      <c r="V1350" t="s">
        <v>186</v>
      </c>
      <c r="W1350" t="s">
        <v>116</v>
      </c>
      <c r="X1350" t="s">
        <v>44</v>
      </c>
      <c r="Y1350" t="s">
        <v>99</v>
      </c>
      <c r="Z1350" t="s">
        <v>421</v>
      </c>
      <c r="AC1350" t="str">
        <f>IF(AA1350="",M1350,AA1350)</f>
        <v>sim</v>
      </c>
      <c r="AD1350" t="str">
        <f>IF(AB1350="",X1350,AB1350)</f>
        <v>sim</v>
      </c>
      <c r="AE1350" t="str">
        <f>IF(OR(Configuracao!B9="",Configuracao!B10=""),"aguardando limiar",IF(AND(K1350&gt;=Configuracao!B9,K1350/MAX(Reconciliacao!C2,1)&gt;=Configuracao!B10/100),"sim","não"))</f>
        <v>aguardando limiar</v>
      </c>
    </row>
    <row r="1351" spans="1:31" x14ac:dyDescent="0.25">
      <c r="A1351">
        <v>8101</v>
      </c>
      <c r="C1351" t="s">
        <v>1118</v>
      </c>
      <c r="D1351" t="s">
        <v>1117</v>
      </c>
      <c r="E1351" t="s">
        <v>525</v>
      </c>
      <c r="F1351" t="s">
        <v>182</v>
      </c>
      <c r="G1351" t="s">
        <v>259</v>
      </c>
      <c r="H1351" t="s">
        <v>258</v>
      </c>
      <c r="I1351" t="s">
        <v>424</v>
      </c>
      <c r="J1351" t="s">
        <v>424</v>
      </c>
      <c r="K1351" s="4">
        <v>1111.11</v>
      </c>
      <c r="L1351" s="4">
        <v>1111.11</v>
      </c>
      <c r="M1351" t="s">
        <v>44</v>
      </c>
      <c r="N1351" t="s">
        <v>77</v>
      </c>
      <c r="O1351" t="s">
        <v>99</v>
      </c>
      <c r="P1351" t="s">
        <v>99</v>
      </c>
      <c r="Q1351" t="s">
        <v>183</v>
      </c>
      <c r="R1351" t="s">
        <v>184</v>
      </c>
      <c r="S1351" t="s">
        <v>185</v>
      </c>
      <c r="T1351" t="s">
        <v>162</v>
      </c>
      <c r="U1351" t="s">
        <v>163</v>
      </c>
      <c r="V1351" t="s">
        <v>186</v>
      </c>
      <c r="W1351" t="s">
        <v>116</v>
      </c>
      <c r="X1351" t="s">
        <v>44</v>
      </c>
      <c r="Y1351" t="s">
        <v>99</v>
      </c>
      <c r="Z1351" t="s">
        <v>421</v>
      </c>
      <c r="AC1351" t="str">
        <f>IF(AA1351="",M1351,AA1351)</f>
        <v>sim</v>
      </c>
      <c r="AD1351" t="str">
        <f>IF(AB1351="",X1351,AB1351)</f>
        <v>sim</v>
      </c>
      <c r="AE1351" t="str">
        <f>IF(OR(Configuracao!B9="",Configuracao!B10=""),"aguardando limiar",IF(AND(K1351&gt;=Configuracao!B9,K1351/MAX(Reconciliacao!C2,1)&gt;=Configuracao!B10/100),"sim","não"))</f>
        <v>aguardando limiar</v>
      </c>
    </row>
    <row r="1352" spans="1:31" x14ac:dyDescent="0.25">
      <c r="A1352">
        <v>18621</v>
      </c>
      <c r="C1352" t="s">
        <v>1119</v>
      </c>
      <c r="D1352" t="s">
        <v>1120</v>
      </c>
      <c r="E1352" t="s">
        <v>525</v>
      </c>
      <c r="F1352" t="s">
        <v>182</v>
      </c>
      <c r="G1352" t="s">
        <v>259</v>
      </c>
      <c r="H1352" t="s">
        <v>258</v>
      </c>
      <c r="I1352" t="s">
        <v>35</v>
      </c>
      <c r="J1352" t="s">
        <v>35</v>
      </c>
      <c r="K1352" s="4">
        <v>1161.12</v>
      </c>
      <c r="L1352" s="4">
        <v>1161.12</v>
      </c>
      <c r="M1352" t="s">
        <v>44</v>
      </c>
      <c r="N1352" t="s">
        <v>77</v>
      </c>
      <c r="O1352" t="s">
        <v>99</v>
      </c>
      <c r="P1352" t="s">
        <v>99</v>
      </c>
      <c r="Q1352" t="s">
        <v>183</v>
      </c>
      <c r="R1352" t="s">
        <v>184</v>
      </c>
      <c r="S1352" t="s">
        <v>185</v>
      </c>
      <c r="T1352" t="s">
        <v>162</v>
      </c>
      <c r="U1352" t="s">
        <v>163</v>
      </c>
      <c r="V1352" t="s">
        <v>186</v>
      </c>
      <c r="W1352" t="s">
        <v>116</v>
      </c>
      <c r="X1352" t="s">
        <v>44</v>
      </c>
      <c r="Y1352" t="s">
        <v>99</v>
      </c>
      <c r="Z1352" t="s">
        <v>421</v>
      </c>
      <c r="AC1352" t="str">
        <f>IF(AA1352="",M1352,AA1352)</f>
        <v>sim</v>
      </c>
      <c r="AD1352" t="str">
        <f>IF(AB1352="",X1352,AB1352)</f>
        <v>sim</v>
      </c>
      <c r="AE1352" t="str">
        <f>IF(OR(Configuracao!B9="",Configuracao!B10=""),"aguardando limiar",IF(AND(K1352&gt;=Configuracao!B9,K1352/MAX(Reconciliacao!C2,1)&gt;=Configuracao!B10/100),"sim","não"))</f>
        <v>aguardando limiar</v>
      </c>
    </row>
    <row r="1353" spans="1:31" x14ac:dyDescent="0.25">
      <c r="A1353">
        <v>18623</v>
      </c>
      <c r="C1353" t="s">
        <v>1121</v>
      </c>
      <c r="D1353" t="s">
        <v>1120</v>
      </c>
      <c r="E1353" t="s">
        <v>525</v>
      </c>
      <c r="F1353" t="s">
        <v>182</v>
      </c>
      <c r="G1353" t="s">
        <v>259</v>
      </c>
      <c r="H1353" t="s">
        <v>258</v>
      </c>
      <c r="I1353" t="s">
        <v>35</v>
      </c>
      <c r="J1353" t="s">
        <v>459</v>
      </c>
      <c r="K1353" s="4">
        <v>1309.99</v>
      </c>
      <c r="L1353" s="4">
        <v>0</v>
      </c>
      <c r="M1353" t="s">
        <v>44</v>
      </c>
      <c r="N1353" t="s">
        <v>77</v>
      </c>
      <c r="O1353" t="s">
        <v>99</v>
      </c>
      <c r="P1353" t="s">
        <v>99</v>
      </c>
      <c r="Q1353" t="s">
        <v>183</v>
      </c>
      <c r="R1353" t="s">
        <v>184</v>
      </c>
      <c r="S1353" t="s">
        <v>185</v>
      </c>
      <c r="T1353" t="s">
        <v>162</v>
      </c>
      <c r="U1353" t="s">
        <v>163</v>
      </c>
      <c r="V1353" t="s">
        <v>186</v>
      </c>
      <c r="W1353" t="s">
        <v>116</v>
      </c>
      <c r="X1353" t="s">
        <v>166</v>
      </c>
      <c r="Y1353" t="s">
        <v>1122</v>
      </c>
      <c r="Z1353" t="s">
        <v>434</v>
      </c>
      <c r="AC1353" t="str">
        <f>IF(AA1353="",M1353,AA1353)</f>
        <v>sim</v>
      </c>
      <c r="AD1353" t="str">
        <f>IF(AB1353="",X1353,AB1353)</f>
        <v>não</v>
      </c>
      <c r="AE1353" t="str">
        <f>IF(OR(Configuracao!B9="",Configuracao!B10=""),"aguardando limiar",IF(AND(K1353&gt;=Configuracao!B9,K1353/MAX(Reconciliacao!C2,1)&gt;=Configuracao!B10/100),"sim","não"))</f>
        <v>aguardando limiar</v>
      </c>
    </row>
    <row r="1354" spans="1:31" x14ac:dyDescent="0.25">
      <c r="A1354">
        <v>18679</v>
      </c>
      <c r="C1354" t="s">
        <v>1123</v>
      </c>
      <c r="D1354" t="s">
        <v>1120</v>
      </c>
      <c r="E1354" t="s">
        <v>525</v>
      </c>
      <c r="F1354" t="s">
        <v>182</v>
      </c>
      <c r="G1354" t="s">
        <v>259</v>
      </c>
      <c r="H1354" t="s">
        <v>258</v>
      </c>
      <c r="I1354" t="s">
        <v>35</v>
      </c>
      <c r="J1354" t="s">
        <v>35</v>
      </c>
      <c r="K1354" s="4">
        <v>2040</v>
      </c>
      <c r="L1354" s="4">
        <v>2040</v>
      </c>
      <c r="M1354" t="s">
        <v>44</v>
      </c>
      <c r="N1354" t="s">
        <v>77</v>
      </c>
      <c r="O1354" t="s">
        <v>99</v>
      </c>
      <c r="P1354" t="s">
        <v>99</v>
      </c>
      <c r="Q1354" t="s">
        <v>183</v>
      </c>
      <c r="R1354" t="s">
        <v>184</v>
      </c>
      <c r="S1354" t="s">
        <v>185</v>
      </c>
      <c r="T1354" t="s">
        <v>162</v>
      </c>
      <c r="U1354" t="s">
        <v>163</v>
      </c>
      <c r="V1354" t="s">
        <v>186</v>
      </c>
      <c r="W1354" t="s">
        <v>116</v>
      </c>
      <c r="X1354" t="s">
        <v>166</v>
      </c>
      <c r="Y1354" t="s">
        <v>1122</v>
      </c>
      <c r="Z1354" t="s">
        <v>434</v>
      </c>
      <c r="AC1354" t="str">
        <f>IF(AA1354="",M1354,AA1354)</f>
        <v>sim</v>
      </c>
      <c r="AD1354" t="str">
        <f>IF(AB1354="",X1354,AB1354)</f>
        <v>não</v>
      </c>
      <c r="AE1354" t="str">
        <f>IF(OR(Configuracao!B9="",Configuracao!B10=""),"aguardando limiar",IF(AND(K1354&gt;=Configuracao!B9,K1354/MAX(Reconciliacao!C2,1)&gt;=Configuracao!B10/100),"sim","não"))</f>
        <v>aguardando limiar</v>
      </c>
    </row>
    <row r="1355" spans="1:31" x14ac:dyDescent="0.25">
      <c r="A1355">
        <v>7868</v>
      </c>
      <c r="C1355" t="s">
        <v>1116</v>
      </c>
      <c r="D1355" t="s">
        <v>1117</v>
      </c>
      <c r="E1355" t="s">
        <v>467</v>
      </c>
      <c r="F1355" t="s">
        <v>182</v>
      </c>
      <c r="G1355" t="s">
        <v>259</v>
      </c>
      <c r="H1355" t="s">
        <v>258</v>
      </c>
      <c r="I1355" t="s">
        <v>32</v>
      </c>
      <c r="J1355" t="s">
        <v>32</v>
      </c>
      <c r="K1355" s="4">
        <v>2222.22</v>
      </c>
      <c r="L1355" s="4">
        <v>2222.22</v>
      </c>
      <c r="M1355" t="s">
        <v>44</v>
      </c>
      <c r="N1355" t="s">
        <v>77</v>
      </c>
      <c r="O1355" t="s">
        <v>99</v>
      </c>
      <c r="P1355" t="s">
        <v>99</v>
      </c>
      <c r="Q1355" t="s">
        <v>183</v>
      </c>
      <c r="R1355" t="s">
        <v>184</v>
      </c>
      <c r="S1355" t="s">
        <v>185</v>
      </c>
      <c r="T1355" t="s">
        <v>162</v>
      </c>
      <c r="U1355" t="s">
        <v>163</v>
      </c>
      <c r="V1355" t="s">
        <v>186</v>
      </c>
      <c r="W1355" t="s">
        <v>116</v>
      </c>
      <c r="X1355" t="s">
        <v>166</v>
      </c>
      <c r="Y1355" t="s">
        <v>1122</v>
      </c>
      <c r="Z1355" t="s">
        <v>434</v>
      </c>
      <c r="AC1355" t="str">
        <f>IF(AA1355="",M1355,AA1355)</f>
        <v>sim</v>
      </c>
      <c r="AD1355" t="str">
        <f>IF(AB1355="",X1355,AB1355)</f>
        <v>não</v>
      </c>
      <c r="AE1355" t="str">
        <f>IF(OR(Configuracao!B9="",Configuracao!B10=""),"aguardando limiar",IF(AND(K1355&gt;=Configuracao!B9,K1355/MAX(Reconciliacao!C2,1)&gt;=Configuracao!B10/100),"sim","não"))</f>
        <v>aguardando limiar</v>
      </c>
    </row>
    <row r="1356" spans="1:31" x14ac:dyDescent="0.25">
      <c r="A1356">
        <v>7869</v>
      </c>
      <c r="C1356" t="s">
        <v>1118</v>
      </c>
      <c r="D1356" t="s">
        <v>1117</v>
      </c>
      <c r="E1356" t="s">
        <v>467</v>
      </c>
      <c r="F1356" t="s">
        <v>182</v>
      </c>
      <c r="G1356" t="s">
        <v>259</v>
      </c>
      <c r="H1356" t="s">
        <v>258</v>
      </c>
      <c r="I1356" t="s">
        <v>424</v>
      </c>
      <c r="J1356" t="s">
        <v>424</v>
      </c>
      <c r="K1356" s="4">
        <v>2222.22</v>
      </c>
      <c r="L1356" s="4">
        <v>2222.22</v>
      </c>
      <c r="M1356" t="s">
        <v>44</v>
      </c>
      <c r="N1356" t="s">
        <v>77</v>
      </c>
      <c r="O1356" t="s">
        <v>99</v>
      </c>
      <c r="P1356" t="s">
        <v>99</v>
      </c>
      <c r="Q1356" t="s">
        <v>183</v>
      </c>
      <c r="R1356" t="s">
        <v>184</v>
      </c>
      <c r="S1356" t="s">
        <v>185</v>
      </c>
      <c r="T1356" t="s">
        <v>162</v>
      </c>
      <c r="U1356" t="s">
        <v>163</v>
      </c>
      <c r="V1356" t="s">
        <v>186</v>
      </c>
      <c r="W1356" t="s">
        <v>116</v>
      </c>
      <c r="X1356" t="s">
        <v>166</v>
      </c>
      <c r="Y1356" t="s">
        <v>1122</v>
      </c>
      <c r="Z1356" t="s">
        <v>434</v>
      </c>
      <c r="AC1356" t="str">
        <f>IF(AA1356="",M1356,AA1356)</f>
        <v>sim</v>
      </c>
      <c r="AD1356" t="str">
        <f>IF(AB1356="",X1356,AB1356)</f>
        <v>não</v>
      </c>
      <c r="AE1356" t="str">
        <f>IF(OR(Configuracao!B9="",Configuracao!B10=""),"aguardando limiar",IF(AND(K1356&gt;=Configuracao!B9,K1356/MAX(Reconciliacao!C2,1)&gt;=Configuracao!B10/100),"sim","não"))</f>
        <v>aguardando limiar</v>
      </c>
    </row>
    <row r="1357" spans="1:31" x14ac:dyDescent="0.25">
      <c r="A1357">
        <v>18620</v>
      </c>
      <c r="C1357" t="s">
        <v>1119</v>
      </c>
      <c r="D1357" t="s">
        <v>1120</v>
      </c>
      <c r="E1357" t="s">
        <v>467</v>
      </c>
      <c r="F1357" t="s">
        <v>182</v>
      </c>
      <c r="G1357" t="s">
        <v>259</v>
      </c>
      <c r="H1357" t="s">
        <v>258</v>
      </c>
      <c r="I1357" t="s">
        <v>35</v>
      </c>
      <c r="J1357" t="s">
        <v>35</v>
      </c>
      <c r="K1357" s="4">
        <v>2322.22</v>
      </c>
      <c r="L1357" s="4">
        <v>2322.22</v>
      </c>
      <c r="M1357" t="s">
        <v>44</v>
      </c>
      <c r="N1357" t="s">
        <v>77</v>
      </c>
      <c r="O1357" t="s">
        <v>99</v>
      </c>
      <c r="P1357" t="s">
        <v>99</v>
      </c>
      <c r="Q1357" t="s">
        <v>183</v>
      </c>
      <c r="R1357" t="s">
        <v>184</v>
      </c>
      <c r="S1357" t="s">
        <v>185</v>
      </c>
      <c r="T1357" t="s">
        <v>162</v>
      </c>
      <c r="U1357" t="s">
        <v>163</v>
      </c>
      <c r="V1357" t="s">
        <v>186</v>
      </c>
      <c r="W1357" t="s">
        <v>116</v>
      </c>
      <c r="X1357" t="s">
        <v>166</v>
      </c>
      <c r="Y1357" t="s">
        <v>1122</v>
      </c>
      <c r="Z1357" t="s">
        <v>434</v>
      </c>
      <c r="AC1357" t="str">
        <f>IF(AA1357="",M1357,AA1357)</f>
        <v>sim</v>
      </c>
      <c r="AD1357" t="str">
        <f>IF(AB1357="",X1357,AB1357)</f>
        <v>não</v>
      </c>
      <c r="AE1357" t="str">
        <f>IF(OR(Configuracao!B9="",Configuracao!B10=""),"aguardando limiar",IF(AND(K1357&gt;=Configuracao!B9,K1357/MAX(Reconciliacao!C2,1)&gt;=Configuracao!B10/100),"sim","não"))</f>
        <v>aguardando limiar</v>
      </c>
    </row>
    <row r="1358" spans="1:31" x14ac:dyDescent="0.25">
      <c r="A1358">
        <v>18622</v>
      </c>
      <c r="C1358" t="s">
        <v>1121</v>
      </c>
      <c r="D1358" t="s">
        <v>1120</v>
      </c>
      <c r="E1358" t="s">
        <v>467</v>
      </c>
      <c r="F1358" t="s">
        <v>182</v>
      </c>
      <c r="G1358" t="s">
        <v>259</v>
      </c>
      <c r="H1358" t="s">
        <v>258</v>
      </c>
      <c r="I1358" t="s">
        <v>35</v>
      </c>
      <c r="J1358" t="s">
        <v>459</v>
      </c>
      <c r="K1358" s="4">
        <v>2620</v>
      </c>
      <c r="L1358" s="4">
        <v>0</v>
      </c>
      <c r="M1358" t="s">
        <v>44</v>
      </c>
      <c r="N1358" t="s">
        <v>77</v>
      </c>
      <c r="O1358" t="s">
        <v>99</v>
      </c>
      <c r="P1358" t="s">
        <v>99</v>
      </c>
      <c r="Q1358" t="s">
        <v>183</v>
      </c>
      <c r="R1358" t="s">
        <v>184</v>
      </c>
      <c r="S1358" t="s">
        <v>185</v>
      </c>
      <c r="T1358" t="s">
        <v>162</v>
      </c>
      <c r="U1358" t="s">
        <v>163</v>
      </c>
      <c r="V1358" t="s">
        <v>186</v>
      </c>
      <c r="W1358" t="s">
        <v>116</v>
      </c>
      <c r="X1358" t="s">
        <v>166</v>
      </c>
      <c r="Y1358" t="s">
        <v>1122</v>
      </c>
      <c r="Z1358" t="s">
        <v>434</v>
      </c>
      <c r="AC1358" t="str">
        <f>IF(AA1358="",M1358,AA1358)</f>
        <v>sim</v>
      </c>
      <c r="AD1358" t="str">
        <f>IF(AB1358="",X1358,AB1358)</f>
        <v>não</v>
      </c>
      <c r="AE1358" t="str">
        <f>IF(OR(Configuracao!B9="",Configuracao!B10=""),"aguardando limiar",IF(AND(K1358&gt;=Configuracao!B9,K1358/MAX(Reconciliacao!C2,1)&gt;=Configuracao!B10/100),"sim","não"))</f>
        <v>aguardando limiar</v>
      </c>
    </row>
    <row r="1359" spans="1:31" x14ac:dyDescent="0.25">
      <c r="A1359">
        <v>18680</v>
      </c>
      <c r="C1359" t="s">
        <v>1123</v>
      </c>
      <c r="D1359" t="s">
        <v>1120</v>
      </c>
      <c r="E1359" t="s">
        <v>467</v>
      </c>
      <c r="F1359" t="s">
        <v>182</v>
      </c>
      <c r="G1359" t="s">
        <v>259</v>
      </c>
      <c r="H1359" t="s">
        <v>258</v>
      </c>
      <c r="I1359" t="s">
        <v>35</v>
      </c>
      <c r="J1359" t="s">
        <v>35</v>
      </c>
      <c r="K1359" s="4">
        <v>4080</v>
      </c>
      <c r="L1359" s="4">
        <v>4080</v>
      </c>
      <c r="M1359" t="s">
        <v>44</v>
      </c>
      <c r="N1359" t="s">
        <v>77</v>
      </c>
      <c r="O1359" t="s">
        <v>99</v>
      </c>
      <c r="P1359" t="s">
        <v>99</v>
      </c>
      <c r="Q1359" t="s">
        <v>183</v>
      </c>
      <c r="R1359" t="s">
        <v>184</v>
      </c>
      <c r="S1359" t="s">
        <v>185</v>
      </c>
      <c r="T1359" t="s">
        <v>162</v>
      </c>
      <c r="U1359" t="s">
        <v>163</v>
      </c>
      <c r="V1359" t="s">
        <v>186</v>
      </c>
      <c r="W1359" t="s">
        <v>116</v>
      </c>
      <c r="X1359" t="s">
        <v>166</v>
      </c>
      <c r="Y1359" t="s">
        <v>1122</v>
      </c>
      <c r="Z1359" t="s">
        <v>434</v>
      </c>
      <c r="AC1359" t="str">
        <f>IF(AA1359="",M1359,AA1359)</f>
        <v>sim</v>
      </c>
      <c r="AD1359" t="str">
        <f>IF(AB1359="",X1359,AB1359)</f>
        <v>não</v>
      </c>
      <c r="AE1359" t="str">
        <f>IF(OR(Configuracao!B9="",Configuracao!B10=""),"aguardando limiar",IF(AND(K1359&gt;=Configuracao!B9,K1359/MAX(Reconciliacao!C2,1)&gt;=Configuracao!B10/100),"sim","não"))</f>
        <v>aguardando limiar</v>
      </c>
    </row>
    <row r="1360" spans="1:31" x14ac:dyDescent="0.25">
      <c r="A1360">
        <v>11768</v>
      </c>
      <c r="C1360" t="s">
        <v>1124</v>
      </c>
      <c r="D1360" t="s">
        <v>1125</v>
      </c>
      <c r="E1360" t="s">
        <v>451</v>
      </c>
      <c r="F1360" t="s">
        <v>182</v>
      </c>
      <c r="G1360" t="s">
        <v>394</v>
      </c>
      <c r="H1360" t="s">
        <v>393</v>
      </c>
      <c r="I1360" t="s">
        <v>32</v>
      </c>
      <c r="J1360" t="s">
        <v>32</v>
      </c>
      <c r="K1360" s="4">
        <v>139</v>
      </c>
      <c r="L1360" s="4">
        <v>139</v>
      </c>
      <c r="M1360" t="s">
        <v>44</v>
      </c>
      <c r="N1360" t="s">
        <v>77</v>
      </c>
      <c r="O1360" t="s">
        <v>99</v>
      </c>
      <c r="P1360" t="s">
        <v>99</v>
      </c>
      <c r="Q1360" t="s">
        <v>183</v>
      </c>
      <c r="R1360" t="s">
        <v>184</v>
      </c>
      <c r="S1360" t="s">
        <v>185</v>
      </c>
      <c r="T1360" t="s">
        <v>162</v>
      </c>
      <c r="U1360" t="s">
        <v>163</v>
      </c>
      <c r="V1360" t="s">
        <v>186</v>
      </c>
      <c r="W1360" t="s">
        <v>116</v>
      </c>
      <c r="X1360" t="s">
        <v>44</v>
      </c>
      <c r="Y1360" t="s">
        <v>99</v>
      </c>
      <c r="Z1360" t="s">
        <v>421</v>
      </c>
      <c r="AC1360" t="str">
        <f>IF(AA1360="",M1360,AA1360)</f>
        <v>sim</v>
      </c>
      <c r="AD1360" t="str">
        <f>IF(AB1360="",X1360,AB1360)</f>
        <v>sim</v>
      </c>
      <c r="AE1360" t="str">
        <f>IF(OR(Configuracao!B9="",Configuracao!B10=""),"aguardando limiar",IF(AND(K1360&gt;=Configuracao!B9,K1360/MAX(Reconciliacao!C2,1)&gt;=Configuracao!B10/100),"sim","não"))</f>
        <v>aguardando limiar</v>
      </c>
    </row>
    <row r="1361" spans="1:31" x14ac:dyDescent="0.25">
      <c r="A1361">
        <v>12472</v>
      </c>
      <c r="C1361" t="s">
        <v>1126</v>
      </c>
      <c r="D1361" t="s">
        <v>1125</v>
      </c>
      <c r="E1361" t="s">
        <v>451</v>
      </c>
      <c r="F1361" t="s">
        <v>182</v>
      </c>
      <c r="G1361" t="s">
        <v>394</v>
      </c>
      <c r="H1361" t="s">
        <v>393</v>
      </c>
      <c r="I1361" t="s">
        <v>420</v>
      </c>
      <c r="J1361" t="s">
        <v>420</v>
      </c>
      <c r="K1361" s="4">
        <v>139</v>
      </c>
      <c r="L1361" s="4">
        <v>139</v>
      </c>
      <c r="M1361" t="s">
        <v>44</v>
      </c>
      <c r="N1361" t="s">
        <v>77</v>
      </c>
      <c r="O1361" t="s">
        <v>99</v>
      </c>
      <c r="P1361" t="s">
        <v>99</v>
      </c>
      <c r="Q1361" t="s">
        <v>183</v>
      </c>
      <c r="R1361" t="s">
        <v>184</v>
      </c>
      <c r="S1361" t="s">
        <v>185</v>
      </c>
      <c r="T1361" t="s">
        <v>162</v>
      </c>
      <c r="U1361" t="s">
        <v>163</v>
      </c>
      <c r="V1361" t="s">
        <v>186</v>
      </c>
      <c r="W1361" t="s">
        <v>116</v>
      </c>
      <c r="X1361" t="s">
        <v>44</v>
      </c>
      <c r="Y1361" t="s">
        <v>99</v>
      </c>
      <c r="Z1361" t="s">
        <v>421</v>
      </c>
      <c r="AC1361" t="str">
        <f>IF(AA1361="",M1361,AA1361)</f>
        <v>sim</v>
      </c>
      <c r="AD1361" t="str">
        <f>IF(AB1361="",X1361,AB1361)</f>
        <v>sim</v>
      </c>
      <c r="AE1361" t="str">
        <f>IF(OR(Configuracao!B9="",Configuracao!B10=""),"aguardando limiar",IF(AND(K1361&gt;=Configuracao!B9,K1361/MAX(Reconciliacao!C2,1)&gt;=Configuracao!B10/100),"sim","não"))</f>
        <v>aguardando limiar</v>
      </c>
    </row>
    <row r="1362" spans="1:31" x14ac:dyDescent="0.25">
      <c r="A1362">
        <v>12518</v>
      </c>
      <c r="C1362" t="s">
        <v>1127</v>
      </c>
      <c r="D1362" t="s">
        <v>1128</v>
      </c>
      <c r="E1362" t="s">
        <v>445</v>
      </c>
      <c r="F1362" t="s">
        <v>182</v>
      </c>
      <c r="G1362" t="s">
        <v>245</v>
      </c>
      <c r="H1362" t="s">
        <v>244</v>
      </c>
      <c r="I1362" t="s">
        <v>420</v>
      </c>
      <c r="J1362" t="s">
        <v>420</v>
      </c>
      <c r="K1362" s="4">
        <v>600</v>
      </c>
      <c r="L1362" s="4">
        <v>600</v>
      </c>
      <c r="M1362" t="s">
        <v>44</v>
      </c>
      <c r="N1362" t="s">
        <v>77</v>
      </c>
      <c r="O1362" t="s">
        <v>99</v>
      </c>
      <c r="P1362" t="s">
        <v>99</v>
      </c>
      <c r="Q1362" t="s">
        <v>183</v>
      </c>
      <c r="R1362" t="s">
        <v>184</v>
      </c>
      <c r="S1362" t="s">
        <v>185</v>
      </c>
      <c r="T1362" t="s">
        <v>162</v>
      </c>
      <c r="U1362" t="s">
        <v>163</v>
      </c>
      <c r="V1362" t="s">
        <v>186</v>
      </c>
      <c r="W1362" t="s">
        <v>116</v>
      </c>
      <c r="X1362" t="s">
        <v>44</v>
      </c>
      <c r="Y1362" t="s">
        <v>99</v>
      </c>
      <c r="Z1362" t="s">
        <v>421</v>
      </c>
      <c r="AC1362" t="str">
        <f>IF(AA1362="",M1362,AA1362)</f>
        <v>sim</v>
      </c>
      <c r="AD1362" t="str">
        <f>IF(AB1362="",X1362,AB1362)</f>
        <v>sim</v>
      </c>
      <c r="AE1362" t="str">
        <f>IF(OR(Configuracao!B9="",Configuracao!B10=""),"aguardando limiar",IF(AND(K1362&gt;=Configuracao!B9,K1362/MAX(Reconciliacao!C2,1)&gt;=Configuracao!B10/100),"sim","não"))</f>
        <v>aguardando limiar</v>
      </c>
    </row>
    <row r="1363" spans="1:31" x14ac:dyDescent="0.25">
      <c r="A1363">
        <v>14571</v>
      </c>
      <c r="C1363" t="s">
        <v>1129</v>
      </c>
      <c r="D1363" t="s">
        <v>1130</v>
      </c>
      <c r="E1363" t="s">
        <v>451</v>
      </c>
      <c r="F1363" t="s">
        <v>182</v>
      </c>
      <c r="G1363" t="s">
        <v>245</v>
      </c>
      <c r="H1363" t="s">
        <v>244</v>
      </c>
      <c r="I1363" t="s">
        <v>454</v>
      </c>
      <c r="J1363" t="s">
        <v>454</v>
      </c>
      <c r="K1363" s="4">
        <v>800</v>
      </c>
      <c r="L1363" s="4">
        <v>800</v>
      </c>
      <c r="M1363" t="s">
        <v>44</v>
      </c>
      <c r="N1363" t="s">
        <v>77</v>
      </c>
      <c r="O1363" t="s">
        <v>99</v>
      </c>
      <c r="P1363" t="s">
        <v>99</v>
      </c>
      <c r="Q1363" t="s">
        <v>183</v>
      </c>
      <c r="R1363" t="s">
        <v>184</v>
      </c>
      <c r="S1363" t="s">
        <v>185</v>
      </c>
      <c r="T1363" t="s">
        <v>162</v>
      </c>
      <c r="U1363" t="s">
        <v>163</v>
      </c>
      <c r="V1363" t="s">
        <v>186</v>
      </c>
      <c r="W1363" t="s">
        <v>116</v>
      </c>
      <c r="X1363" t="s">
        <v>44</v>
      </c>
      <c r="Y1363" t="s">
        <v>99</v>
      </c>
      <c r="Z1363" t="s">
        <v>421</v>
      </c>
      <c r="AC1363" t="str">
        <f>IF(AA1363="",M1363,AA1363)</f>
        <v>sim</v>
      </c>
      <c r="AD1363" t="str">
        <f>IF(AB1363="",X1363,AB1363)</f>
        <v>sim</v>
      </c>
      <c r="AE1363" t="str">
        <f>IF(OR(Configuracao!B9="",Configuracao!B10=""),"aguardando limiar",IF(AND(K1363&gt;=Configuracao!B9,K1363/MAX(Reconciliacao!C2,1)&gt;=Configuracao!B10/100),"sim","não"))</f>
        <v>aguardando limiar</v>
      </c>
    </row>
    <row r="1364" spans="1:31" x14ac:dyDescent="0.25">
      <c r="A1364">
        <v>6080</v>
      </c>
      <c r="C1364" t="s">
        <v>1131</v>
      </c>
      <c r="D1364" t="s">
        <v>1130</v>
      </c>
      <c r="E1364" t="s">
        <v>451</v>
      </c>
      <c r="F1364" t="s">
        <v>182</v>
      </c>
      <c r="G1364" t="s">
        <v>245</v>
      </c>
      <c r="H1364" t="s">
        <v>244</v>
      </c>
      <c r="I1364" t="s">
        <v>32</v>
      </c>
      <c r="J1364" t="s">
        <v>32</v>
      </c>
      <c r="K1364" s="4">
        <v>2000</v>
      </c>
      <c r="L1364" s="4">
        <v>2000</v>
      </c>
      <c r="M1364" t="s">
        <v>44</v>
      </c>
      <c r="N1364" t="s">
        <v>77</v>
      </c>
      <c r="O1364" t="s">
        <v>99</v>
      </c>
      <c r="P1364" t="s">
        <v>99</v>
      </c>
      <c r="Q1364" t="s">
        <v>183</v>
      </c>
      <c r="R1364" t="s">
        <v>184</v>
      </c>
      <c r="S1364" t="s">
        <v>185</v>
      </c>
      <c r="T1364" t="s">
        <v>162</v>
      </c>
      <c r="U1364" t="s">
        <v>163</v>
      </c>
      <c r="V1364" t="s">
        <v>186</v>
      </c>
      <c r="W1364" t="s">
        <v>116</v>
      </c>
      <c r="X1364" t="s">
        <v>44</v>
      </c>
      <c r="Y1364" t="s">
        <v>99</v>
      </c>
      <c r="Z1364" t="s">
        <v>421</v>
      </c>
      <c r="AC1364" t="str">
        <f>IF(AA1364="",M1364,AA1364)</f>
        <v>sim</v>
      </c>
      <c r="AD1364" t="str">
        <f>IF(AB1364="",X1364,AB1364)</f>
        <v>sim</v>
      </c>
      <c r="AE1364" t="str">
        <f>IF(OR(Configuracao!B9="",Configuracao!B10=""),"aguardando limiar",IF(AND(K1364&gt;=Configuracao!B9,K1364/MAX(Reconciliacao!C2,1)&gt;=Configuracao!B10/100),"sim","não"))</f>
        <v>aguardando limiar</v>
      </c>
    </row>
    <row r="1365" spans="1:31" x14ac:dyDescent="0.25">
      <c r="A1365">
        <v>6081</v>
      </c>
      <c r="C1365" t="s">
        <v>1132</v>
      </c>
      <c r="D1365" t="s">
        <v>1130</v>
      </c>
      <c r="E1365" t="s">
        <v>451</v>
      </c>
      <c r="F1365" t="s">
        <v>182</v>
      </c>
      <c r="G1365" t="s">
        <v>245</v>
      </c>
      <c r="H1365" t="s">
        <v>244</v>
      </c>
      <c r="I1365" t="s">
        <v>424</v>
      </c>
      <c r="J1365" t="s">
        <v>424</v>
      </c>
      <c r="K1365" s="4">
        <v>2000</v>
      </c>
      <c r="L1365" s="4">
        <v>2000</v>
      </c>
      <c r="M1365" t="s">
        <v>44</v>
      </c>
      <c r="N1365" t="s">
        <v>77</v>
      </c>
      <c r="O1365" t="s">
        <v>99</v>
      </c>
      <c r="P1365" t="s">
        <v>99</v>
      </c>
      <c r="Q1365" t="s">
        <v>183</v>
      </c>
      <c r="R1365" t="s">
        <v>184</v>
      </c>
      <c r="S1365" t="s">
        <v>185</v>
      </c>
      <c r="T1365" t="s">
        <v>162</v>
      </c>
      <c r="U1365" t="s">
        <v>163</v>
      </c>
      <c r="V1365" t="s">
        <v>186</v>
      </c>
      <c r="W1365" t="s">
        <v>116</v>
      </c>
      <c r="X1365" t="s">
        <v>44</v>
      </c>
      <c r="Y1365" t="s">
        <v>99</v>
      </c>
      <c r="Z1365" t="s">
        <v>421</v>
      </c>
      <c r="AC1365" t="str">
        <f>IF(AA1365="",M1365,AA1365)</f>
        <v>sim</v>
      </c>
      <c r="AD1365" t="str">
        <f>IF(AB1365="",X1365,AB1365)</f>
        <v>sim</v>
      </c>
      <c r="AE1365" t="str">
        <f>IF(OR(Configuracao!B9="",Configuracao!B10=""),"aguardando limiar",IF(AND(K1365&gt;=Configuracao!B9,K1365/MAX(Reconciliacao!C2,1)&gt;=Configuracao!B10/100),"sim","não"))</f>
        <v>aguardando limiar</v>
      </c>
    </row>
    <row r="1366" spans="1:31" x14ac:dyDescent="0.25">
      <c r="A1366">
        <v>6082</v>
      </c>
      <c r="C1366" t="s">
        <v>1133</v>
      </c>
      <c r="D1366" t="s">
        <v>1130</v>
      </c>
      <c r="E1366" t="s">
        <v>451</v>
      </c>
      <c r="F1366" t="s">
        <v>182</v>
      </c>
      <c r="G1366" t="s">
        <v>245</v>
      </c>
      <c r="H1366" t="s">
        <v>244</v>
      </c>
      <c r="I1366" t="s">
        <v>420</v>
      </c>
      <c r="J1366" t="s">
        <v>420</v>
      </c>
      <c r="K1366" s="4">
        <v>2000</v>
      </c>
      <c r="L1366" s="4">
        <v>2000</v>
      </c>
      <c r="M1366" t="s">
        <v>44</v>
      </c>
      <c r="N1366" t="s">
        <v>77</v>
      </c>
      <c r="O1366" t="s">
        <v>99</v>
      </c>
      <c r="P1366" t="s">
        <v>99</v>
      </c>
      <c r="Q1366" t="s">
        <v>183</v>
      </c>
      <c r="R1366" t="s">
        <v>184</v>
      </c>
      <c r="S1366" t="s">
        <v>185</v>
      </c>
      <c r="T1366" t="s">
        <v>162</v>
      </c>
      <c r="U1366" t="s">
        <v>163</v>
      </c>
      <c r="V1366" t="s">
        <v>186</v>
      </c>
      <c r="W1366" t="s">
        <v>116</v>
      </c>
      <c r="X1366" t="s">
        <v>44</v>
      </c>
      <c r="Y1366" t="s">
        <v>99</v>
      </c>
      <c r="Z1366" t="s">
        <v>421</v>
      </c>
      <c r="AC1366" t="str">
        <f>IF(AA1366="",M1366,AA1366)</f>
        <v>sim</v>
      </c>
      <c r="AD1366" t="str">
        <f>IF(AB1366="",X1366,AB1366)</f>
        <v>sim</v>
      </c>
      <c r="AE1366" t="str">
        <f>IF(OR(Configuracao!B9="",Configuracao!B10=""),"aguardando limiar",IF(AND(K1366&gt;=Configuracao!B9,K1366/MAX(Reconciliacao!C2,1)&gt;=Configuracao!B10/100),"sim","não"))</f>
        <v>aguardando limiar</v>
      </c>
    </row>
    <row r="1367" spans="1:31" x14ac:dyDescent="0.25">
      <c r="A1367">
        <v>7012</v>
      </c>
      <c r="D1367" t="s">
        <v>1130</v>
      </c>
      <c r="E1367" t="s">
        <v>451</v>
      </c>
      <c r="F1367" t="s">
        <v>182</v>
      </c>
      <c r="G1367" t="s">
        <v>245</v>
      </c>
      <c r="H1367" t="s">
        <v>244</v>
      </c>
      <c r="I1367" t="s">
        <v>32</v>
      </c>
      <c r="J1367" t="s">
        <v>32</v>
      </c>
      <c r="K1367" s="4">
        <v>2544.15</v>
      </c>
      <c r="L1367" s="4">
        <v>2544.15</v>
      </c>
      <c r="M1367" t="s">
        <v>44</v>
      </c>
      <c r="N1367" t="s">
        <v>77</v>
      </c>
      <c r="O1367" t="s">
        <v>99</v>
      </c>
      <c r="P1367" t="s">
        <v>99</v>
      </c>
      <c r="Q1367" t="s">
        <v>183</v>
      </c>
      <c r="R1367" t="s">
        <v>184</v>
      </c>
      <c r="S1367" t="s">
        <v>185</v>
      </c>
      <c r="T1367" t="s">
        <v>162</v>
      </c>
      <c r="U1367" t="s">
        <v>163</v>
      </c>
      <c r="V1367" t="s">
        <v>186</v>
      </c>
      <c r="W1367" t="s">
        <v>116</v>
      </c>
      <c r="X1367" t="s">
        <v>44</v>
      </c>
      <c r="Y1367" t="s">
        <v>99</v>
      </c>
      <c r="Z1367" t="s">
        <v>421</v>
      </c>
      <c r="AC1367" t="str">
        <f>IF(AA1367="",M1367,AA1367)</f>
        <v>sim</v>
      </c>
      <c r="AD1367" t="str">
        <f>IF(AB1367="",X1367,AB1367)</f>
        <v>sim</v>
      </c>
      <c r="AE1367" t="str">
        <f>IF(OR(Configuracao!B9="",Configuracao!B10=""),"aguardando limiar",IF(AND(K1367&gt;=Configuracao!B9,K1367/MAX(Reconciliacao!C2,1)&gt;=Configuracao!B10/100),"sim","não"))</f>
        <v>aguardando limiar</v>
      </c>
    </row>
    <row r="1368" spans="1:31" x14ac:dyDescent="0.25">
      <c r="A1368">
        <v>7013</v>
      </c>
      <c r="D1368" t="s">
        <v>1130</v>
      </c>
      <c r="E1368" t="s">
        <v>451</v>
      </c>
      <c r="F1368" t="s">
        <v>182</v>
      </c>
      <c r="G1368" t="s">
        <v>245</v>
      </c>
      <c r="H1368" t="s">
        <v>244</v>
      </c>
      <c r="I1368" t="s">
        <v>424</v>
      </c>
      <c r="J1368" t="s">
        <v>424</v>
      </c>
      <c r="K1368" s="4">
        <v>2544.15</v>
      </c>
      <c r="L1368" s="4">
        <v>2544.15</v>
      </c>
      <c r="M1368" t="s">
        <v>44</v>
      </c>
      <c r="N1368" t="s">
        <v>77</v>
      </c>
      <c r="O1368" t="s">
        <v>99</v>
      </c>
      <c r="P1368" t="s">
        <v>99</v>
      </c>
      <c r="Q1368" t="s">
        <v>183</v>
      </c>
      <c r="R1368" t="s">
        <v>184</v>
      </c>
      <c r="S1368" t="s">
        <v>185</v>
      </c>
      <c r="T1368" t="s">
        <v>162</v>
      </c>
      <c r="U1368" t="s">
        <v>163</v>
      </c>
      <c r="V1368" t="s">
        <v>186</v>
      </c>
      <c r="W1368" t="s">
        <v>116</v>
      </c>
      <c r="X1368" t="s">
        <v>44</v>
      </c>
      <c r="Y1368" t="s">
        <v>99</v>
      </c>
      <c r="Z1368" t="s">
        <v>421</v>
      </c>
      <c r="AC1368" t="str">
        <f>IF(AA1368="",M1368,AA1368)</f>
        <v>sim</v>
      </c>
      <c r="AD1368" t="str">
        <f>IF(AB1368="",X1368,AB1368)</f>
        <v>sim</v>
      </c>
      <c r="AE1368" t="str">
        <f>IF(OR(Configuracao!B9="",Configuracao!B10=""),"aguardando limiar",IF(AND(K1368&gt;=Configuracao!B9,K1368/MAX(Reconciliacao!C2,1)&gt;=Configuracao!B10/100),"sim","não"))</f>
        <v>aguardando limiar</v>
      </c>
    </row>
    <row r="1369" spans="1:31" x14ac:dyDescent="0.25">
      <c r="A1369">
        <v>7014</v>
      </c>
      <c r="D1369" t="s">
        <v>1130</v>
      </c>
      <c r="E1369" t="s">
        <v>451</v>
      </c>
      <c r="F1369" t="s">
        <v>182</v>
      </c>
      <c r="G1369" t="s">
        <v>245</v>
      </c>
      <c r="H1369" t="s">
        <v>244</v>
      </c>
      <c r="I1369" t="s">
        <v>420</v>
      </c>
      <c r="J1369" t="s">
        <v>420</v>
      </c>
      <c r="K1369" s="4">
        <v>2544.15</v>
      </c>
      <c r="L1369" s="4">
        <v>2544.15</v>
      </c>
      <c r="M1369" t="s">
        <v>44</v>
      </c>
      <c r="N1369" t="s">
        <v>77</v>
      </c>
      <c r="O1369" t="s">
        <v>99</v>
      </c>
      <c r="P1369" t="s">
        <v>99</v>
      </c>
      <c r="Q1369" t="s">
        <v>183</v>
      </c>
      <c r="R1369" t="s">
        <v>184</v>
      </c>
      <c r="S1369" t="s">
        <v>185</v>
      </c>
      <c r="T1369" t="s">
        <v>162</v>
      </c>
      <c r="U1369" t="s">
        <v>163</v>
      </c>
      <c r="V1369" t="s">
        <v>186</v>
      </c>
      <c r="W1369" t="s">
        <v>116</v>
      </c>
      <c r="X1369" t="s">
        <v>44</v>
      </c>
      <c r="Y1369" t="s">
        <v>99</v>
      </c>
      <c r="Z1369" t="s">
        <v>421</v>
      </c>
      <c r="AC1369" t="str">
        <f>IF(AA1369="",M1369,AA1369)</f>
        <v>sim</v>
      </c>
      <c r="AD1369" t="str">
        <f>IF(AB1369="",X1369,AB1369)</f>
        <v>sim</v>
      </c>
      <c r="AE1369" t="str">
        <f>IF(OR(Configuracao!B9="",Configuracao!B10=""),"aguardando limiar",IF(AND(K1369&gt;=Configuracao!B9,K1369/MAX(Reconciliacao!C2,1)&gt;=Configuracao!B10/100),"sim","não"))</f>
        <v>aguardando limiar</v>
      </c>
    </row>
    <row r="1370" spans="1:31" x14ac:dyDescent="0.25">
      <c r="A1370">
        <v>7015</v>
      </c>
      <c r="D1370" t="s">
        <v>1130</v>
      </c>
      <c r="E1370" t="s">
        <v>451</v>
      </c>
      <c r="F1370" t="s">
        <v>182</v>
      </c>
      <c r="G1370" t="s">
        <v>245</v>
      </c>
      <c r="H1370" t="s">
        <v>244</v>
      </c>
      <c r="I1370" t="s">
        <v>454</v>
      </c>
      <c r="J1370" t="s">
        <v>454</v>
      </c>
      <c r="K1370" s="4">
        <v>2544.15</v>
      </c>
      <c r="L1370" s="4">
        <v>2544.15</v>
      </c>
      <c r="M1370" t="s">
        <v>44</v>
      </c>
      <c r="N1370" t="s">
        <v>77</v>
      </c>
      <c r="O1370" t="s">
        <v>99</v>
      </c>
      <c r="P1370" t="s">
        <v>99</v>
      </c>
      <c r="Q1370" t="s">
        <v>183</v>
      </c>
      <c r="R1370" t="s">
        <v>184</v>
      </c>
      <c r="S1370" t="s">
        <v>185</v>
      </c>
      <c r="T1370" t="s">
        <v>162</v>
      </c>
      <c r="U1370" t="s">
        <v>163</v>
      </c>
      <c r="V1370" t="s">
        <v>186</v>
      </c>
      <c r="W1370" t="s">
        <v>116</v>
      </c>
      <c r="X1370" t="s">
        <v>44</v>
      </c>
      <c r="Y1370" t="s">
        <v>99</v>
      </c>
      <c r="Z1370" t="s">
        <v>421</v>
      </c>
      <c r="AC1370" t="str">
        <f>IF(AA1370="",M1370,AA1370)</f>
        <v>sim</v>
      </c>
      <c r="AD1370" t="str">
        <f>IF(AB1370="",X1370,AB1370)</f>
        <v>sim</v>
      </c>
      <c r="AE1370" t="str">
        <f>IF(OR(Configuracao!B9="",Configuracao!B10=""),"aguardando limiar",IF(AND(K1370&gt;=Configuracao!B9,K1370/MAX(Reconciliacao!C2,1)&gt;=Configuracao!B10/100),"sim","não"))</f>
        <v>aguardando limiar</v>
      </c>
    </row>
    <row r="1371" spans="1:31" x14ac:dyDescent="0.25">
      <c r="A1371">
        <v>7016</v>
      </c>
      <c r="D1371" t="s">
        <v>1130</v>
      </c>
      <c r="E1371" t="s">
        <v>451</v>
      </c>
      <c r="F1371" t="s">
        <v>182</v>
      </c>
      <c r="G1371" t="s">
        <v>245</v>
      </c>
      <c r="H1371" t="s">
        <v>244</v>
      </c>
      <c r="I1371" t="s">
        <v>461</v>
      </c>
      <c r="J1371" t="s">
        <v>461</v>
      </c>
      <c r="K1371" s="4">
        <v>2544.15</v>
      </c>
      <c r="L1371" s="4">
        <v>2544.15</v>
      </c>
      <c r="M1371" t="s">
        <v>44</v>
      </c>
      <c r="N1371" t="s">
        <v>77</v>
      </c>
      <c r="O1371" t="s">
        <v>99</v>
      </c>
      <c r="P1371" t="s">
        <v>99</v>
      </c>
      <c r="Q1371" t="s">
        <v>183</v>
      </c>
      <c r="R1371" t="s">
        <v>184</v>
      </c>
      <c r="S1371" t="s">
        <v>185</v>
      </c>
      <c r="T1371" t="s">
        <v>162</v>
      </c>
      <c r="U1371" t="s">
        <v>163</v>
      </c>
      <c r="V1371" t="s">
        <v>186</v>
      </c>
      <c r="W1371" t="s">
        <v>116</v>
      </c>
      <c r="X1371" t="s">
        <v>44</v>
      </c>
      <c r="Y1371" t="s">
        <v>99</v>
      </c>
      <c r="Z1371" t="s">
        <v>421</v>
      </c>
      <c r="AC1371" t="str">
        <f>IF(AA1371="",M1371,AA1371)</f>
        <v>sim</v>
      </c>
      <c r="AD1371" t="str">
        <f>IF(AB1371="",X1371,AB1371)</f>
        <v>sim</v>
      </c>
      <c r="AE1371" t="str">
        <f>IF(OR(Configuracao!B9="",Configuracao!B10=""),"aguardando limiar",IF(AND(K1371&gt;=Configuracao!B9,K1371/MAX(Reconciliacao!C2,1)&gt;=Configuracao!B10/100),"sim","não"))</f>
        <v>aguardando limiar</v>
      </c>
    </row>
    <row r="1372" spans="1:31" x14ac:dyDescent="0.25">
      <c r="A1372">
        <v>7017</v>
      </c>
      <c r="D1372" t="s">
        <v>1130</v>
      </c>
      <c r="E1372" t="s">
        <v>451</v>
      </c>
      <c r="F1372" t="s">
        <v>182</v>
      </c>
      <c r="G1372" t="s">
        <v>245</v>
      </c>
      <c r="H1372" t="s">
        <v>244</v>
      </c>
      <c r="I1372" t="s">
        <v>442</v>
      </c>
      <c r="J1372" t="s">
        <v>442</v>
      </c>
      <c r="K1372" s="4">
        <v>2544.15</v>
      </c>
      <c r="L1372" s="4">
        <v>2544.15</v>
      </c>
      <c r="M1372" t="s">
        <v>44</v>
      </c>
      <c r="N1372" t="s">
        <v>77</v>
      </c>
      <c r="O1372" t="s">
        <v>99</v>
      </c>
      <c r="P1372" t="s">
        <v>99</v>
      </c>
      <c r="Q1372" t="s">
        <v>183</v>
      </c>
      <c r="R1372" t="s">
        <v>184</v>
      </c>
      <c r="S1372" t="s">
        <v>185</v>
      </c>
      <c r="T1372" t="s">
        <v>162</v>
      </c>
      <c r="U1372" t="s">
        <v>163</v>
      </c>
      <c r="V1372" t="s">
        <v>186</v>
      </c>
      <c r="W1372" t="s">
        <v>116</v>
      </c>
      <c r="X1372" t="s">
        <v>44</v>
      </c>
      <c r="Y1372" t="s">
        <v>99</v>
      </c>
      <c r="Z1372" t="s">
        <v>421</v>
      </c>
      <c r="AC1372" t="str">
        <f>IF(AA1372="",M1372,AA1372)</f>
        <v>sim</v>
      </c>
      <c r="AD1372" t="str">
        <f>IF(AB1372="",X1372,AB1372)</f>
        <v>sim</v>
      </c>
      <c r="AE1372" t="str">
        <f>IF(OR(Configuracao!B9="",Configuracao!B10=""),"aguardando limiar",IF(AND(K1372&gt;=Configuracao!B9,K1372/MAX(Reconciliacao!C2,1)&gt;=Configuracao!B10/100),"sim","não"))</f>
        <v>aguardando limiar</v>
      </c>
    </row>
    <row r="1373" spans="1:31" x14ac:dyDescent="0.25">
      <c r="A1373">
        <v>7018</v>
      </c>
      <c r="D1373" t="s">
        <v>1130</v>
      </c>
      <c r="E1373" t="s">
        <v>451</v>
      </c>
      <c r="F1373" t="s">
        <v>182</v>
      </c>
      <c r="G1373" t="s">
        <v>245</v>
      </c>
      <c r="H1373" t="s">
        <v>244</v>
      </c>
      <c r="I1373" t="s">
        <v>439</v>
      </c>
      <c r="J1373" t="s">
        <v>439</v>
      </c>
      <c r="K1373" s="4">
        <v>2544.15</v>
      </c>
      <c r="L1373" s="4">
        <v>2544.15</v>
      </c>
      <c r="M1373" t="s">
        <v>44</v>
      </c>
      <c r="N1373" t="s">
        <v>77</v>
      </c>
      <c r="O1373" t="s">
        <v>99</v>
      </c>
      <c r="P1373" t="s">
        <v>99</v>
      </c>
      <c r="Q1373" t="s">
        <v>183</v>
      </c>
      <c r="R1373" t="s">
        <v>184</v>
      </c>
      <c r="S1373" t="s">
        <v>185</v>
      </c>
      <c r="T1373" t="s">
        <v>162</v>
      </c>
      <c r="U1373" t="s">
        <v>163</v>
      </c>
      <c r="V1373" t="s">
        <v>186</v>
      </c>
      <c r="W1373" t="s">
        <v>116</v>
      </c>
      <c r="X1373" t="s">
        <v>44</v>
      </c>
      <c r="Y1373" t="s">
        <v>99</v>
      </c>
      <c r="Z1373" t="s">
        <v>421</v>
      </c>
      <c r="AC1373" t="str">
        <f>IF(AA1373="",M1373,AA1373)</f>
        <v>sim</v>
      </c>
      <c r="AD1373" t="str">
        <f>IF(AB1373="",X1373,AB1373)</f>
        <v>sim</v>
      </c>
      <c r="AE1373" t="str">
        <f>IF(OR(Configuracao!B9="",Configuracao!B10=""),"aguardando limiar",IF(AND(K1373&gt;=Configuracao!B9,K1373/MAX(Reconciliacao!C2,1)&gt;=Configuracao!B10/100),"sim","não"))</f>
        <v>aguardando limiar</v>
      </c>
    </row>
    <row r="1374" spans="1:31" x14ac:dyDescent="0.25">
      <c r="A1374">
        <v>7019</v>
      </c>
      <c r="D1374" t="s">
        <v>1130</v>
      </c>
      <c r="E1374" t="s">
        <v>451</v>
      </c>
      <c r="F1374" t="s">
        <v>182</v>
      </c>
      <c r="G1374" t="s">
        <v>245</v>
      </c>
      <c r="H1374" t="s">
        <v>244</v>
      </c>
      <c r="I1374" t="s">
        <v>35</v>
      </c>
      <c r="J1374" t="s">
        <v>35</v>
      </c>
      <c r="K1374" s="4">
        <v>2544.15</v>
      </c>
      <c r="L1374" s="4">
        <v>2544.15</v>
      </c>
      <c r="M1374" t="s">
        <v>44</v>
      </c>
      <c r="N1374" t="s">
        <v>77</v>
      </c>
      <c r="O1374" t="s">
        <v>99</v>
      </c>
      <c r="P1374" t="s">
        <v>99</v>
      </c>
      <c r="Q1374" t="s">
        <v>183</v>
      </c>
      <c r="R1374" t="s">
        <v>184</v>
      </c>
      <c r="S1374" t="s">
        <v>185</v>
      </c>
      <c r="T1374" t="s">
        <v>162</v>
      </c>
      <c r="U1374" t="s">
        <v>163</v>
      </c>
      <c r="V1374" t="s">
        <v>186</v>
      </c>
      <c r="W1374" t="s">
        <v>116</v>
      </c>
      <c r="X1374" t="s">
        <v>44</v>
      </c>
      <c r="Y1374" t="s">
        <v>99</v>
      </c>
      <c r="Z1374" t="s">
        <v>421</v>
      </c>
      <c r="AC1374" t="str">
        <f>IF(AA1374="",M1374,AA1374)</f>
        <v>sim</v>
      </c>
      <c r="AD1374" t="str">
        <f>IF(AB1374="",X1374,AB1374)</f>
        <v>sim</v>
      </c>
      <c r="AE1374" t="str">
        <f>IF(OR(Configuracao!B9="",Configuracao!B10=""),"aguardando limiar",IF(AND(K1374&gt;=Configuracao!B9,K1374/MAX(Reconciliacao!C2,1)&gt;=Configuracao!B10/100),"sim","não"))</f>
        <v>aguardando limiar</v>
      </c>
    </row>
    <row r="1375" spans="1:31" x14ac:dyDescent="0.25">
      <c r="A1375">
        <v>11916</v>
      </c>
      <c r="C1375" t="s">
        <v>1134</v>
      </c>
      <c r="D1375" t="s">
        <v>1135</v>
      </c>
      <c r="E1375" t="s">
        <v>451</v>
      </c>
      <c r="F1375" t="s">
        <v>182</v>
      </c>
      <c r="G1375" t="s">
        <v>181</v>
      </c>
      <c r="H1375" t="s">
        <v>180</v>
      </c>
      <c r="I1375" t="s">
        <v>32</v>
      </c>
      <c r="J1375" t="s">
        <v>424</v>
      </c>
      <c r="K1375" s="4">
        <v>195.22</v>
      </c>
      <c r="L1375" s="4">
        <v>195.22</v>
      </c>
      <c r="M1375" t="s">
        <v>44</v>
      </c>
      <c r="N1375" t="s">
        <v>77</v>
      </c>
      <c r="O1375" t="s">
        <v>99</v>
      </c>
      <c r="P1375" t="s">
        <v>99</v>
      </c>
      <c r="Q1375" t="s">
        <v>183</v>
      </c>
      <c r="R1375" t="s">
        <v>184</v>
      </c>
      <c r="S1375" t="s">
        <v>185</v>
      </c>
      <c r="T1375" t="s">
        <v>162</v>
      </c>
      <c r="U1375" t="s">
        <v>163</v>
      </c>
      <c r="V1375" t="s">
        <v>186</v>
      </c>
      <c r="W1375" t="s">
        <v>116</v>
      </c>
      <c r="X1375" t="s">
        <v>44</v>
      </c>
      <c r="Y1375" t="s">
        <v>99</v>
      </c>
      <c r="Z1375" t="s">
        <v>421</v>
      </c>
      <c r="AC1375" t="str">
        <f>IF(AA1375="",M1375,AA1375)</f>
        <v>sim</v>
      </c>
      <c r="AD1375" t="str">
        <f>IF(AB1375="",X1375,AB1375)</f>
        <v>sim</v>
      </c>
      <c r="AE1375" t="str">
        <f>IF(OR(Configuracao!B9="",Configuracao!B10=""),"aguardando limiar",IF(AND(K1375&gt;=Configuracao!B9,K1375/MAX(Reconciliacao!C2,1)&gt;=Configuracao!B10/100),"sim","não"))</f>
        <v>aguardando limiar</v>
      </c>
    </row>
    <row r="1376" spans="1:31" x14ac:dyDescent="0.25">
      <c r="A1376">
        <v>15851</v>
      </c>
      <c r="C1376" t="s">
        <v>1134</v>
      </c>
      <c r="D1376" t="s">
        <v>1135</v>
      </c>
      <c r="E1376" t="s">
        <v>451</v>
      </c>
      <c r="F1376" t="s">
        <v>182</v>
      </c>
      <c r="G1376" t="s">
        <v>181</v>
      </c>
      <c r="H1376" t="s">
        <v>180</v>
      </c>
      <c r="I1376" t="s">
        <v>454</v>
      </c>
      <c r="J1376" t="s">
        <v>454</v>
      </c>
      <c r="K1376" s="4">
        <v>262.38</v>
      </c>
      <c r="L1376" s="4">
        <v>262.38</v>
      </c>
      <c r="M1376" t="s">
        <v>44</v>
      </c>
      <c r="N1376" t="s">
        <v>77</v>
      </c>
      <c r="O1376" t="s">
        <v>99</v>
      </c>
      <c r="P1376" t="s">
        <v>99</v>
      </c>
      <c r="Q1376" t="s">
        <v>183</v>
      </c>
      <c r="R1376" t="s">
        <v>184</v>
      </c>
      <c r="S1376" t="s">
        <v>185</v>
      </c>
      <c r="T1376" t="s">
        <v>162</v>
      </c>
      <c r="U1376" t="s">
        <v>163</v>
      </c>
      <c r="V1376" t="s">
        <v>186</v>
      </c>
      <c r="W1376" t="s">
        <v>116</v>
      </c>
      <c r="X1376" t="s">
        <v>44</v>
      </c>
      <c r="Y1376" t="s">
        <v>99</v>
      </c>
      <c r="Z1376" t="s">
        <v>421</v>
      </c>
      <c r="AC1376" t="str">
        <f>IF(AA1376="",M1376,AA1376)</f>
        <v>sim</v>
      </c>
      <c r="AD1376" t="str">
        <f>IF(AB1376="",X1376,AB1376)</f>
        <v>sim</v>
      </c>
      <c r="AE1376" t="str">
        <f>IF(OR(Configuracao!B9="",Configuracao!B10=""),"aguardando limiar",IF(AND(K1376&gt;=Configuracao!B9,K1376/MAX(Reconciliacao!C2,1)&gt;=Configuracao!B10/100),"sim","não"))</f>
        <v>aguardando limiar</v>
      </c>
    </row>
    <row r="1377" spans="1:31" x14ac:dyDescent="0.25">
      <c r="A1377">
        <v>12271</v>
      </c>
      <c r="C1377" t="s">
        <v>1134</v>
      </c>
      <c r="D1377" t="s">
        <v>1135</v>
      </c>
      <c r="E1377" t="s">
        <v>451</v>
      </c>
      <c r="F1377" t="s">
        <v>182</v>
      </c>
      <c r="G1377" t="s">
        <v>181</v>
      </c>
      <c r="H1377" t="s">
        <v>180</v>
      </c>
      <c r="I1377" t="s">
        <v>424</v>
      </c>
      <c r="J1377" t="s">
        <v>424</v>
      </c>
      <c r="K1377" s="4">
        <v>297.92</v>
      </c>
      <c r="L1377" s="4">
        <v>297.92</v>
      </c>
      <c r="M1377" t="s">
        <v>44</v>
      </c>
      <c r="N1377" t="s">
        <v>77</v>
      </c>
      <c r="O1377" t="s">
        <v>99</v>
      </c>
      <c r="P1377" t="s">
        <v>99</v>
      </c>
      <c r="Q1377" t="s">
        <v>183</v>
      </c>
      <c r="R1377" t="s">
        <v>184</v>
      </c>
      <c r="S1377" t="s">
        <v>185</v>
      </c>
      <c r="T1377" t="s">
        <v>162</v>
      </c>
      <c r="U1377" t="s">
        <v>163</v>
      </c>
      <c r="V1377" t="s">
        <v>186</v>
      </c>
      <c r="W1377" t="s">
        <v>116</v>
      </c>
      <c r="X1377" t="s">
        <v>44</v>
      </c>
      <c r="Y1377" t="s">
        <v>99</v>
      </c>
      <c r="Z1377" t="s">
        <v>421</v>
      </c>
      <c r="AC1377" t="str">
        <f>IF(AA1377="",M1377,AA1377)</f>
        <v>sim</v>
      </c>
      <c r="AD1377" t="str">
        <f>IF(AB1377="",X1377,AB1377)</f>
        <v>sim</v>
      </c>
      <c r="AE1377" t="str">
        <f>IF(OR(Configuracao!B9="",Configuracao!B10=""),"aguardando limiar",IF(AND(K1377&gt;=Configuracao!B9,K1377/MAX(Reconciliacao!C2,1)&gt;=Configuracao!B10/100),"sim","não"))</f>
        <v>aguardando limiar</v>
      </c>
    </row>
    <row r="1378" spans="1:31" x14ac:dyDescent="0.25">
      <c r="A1378">
        <v>16683</v>
      </c>
      <c r="C1378" t="s">
        <v>1134</v>
      </c>
      <c r="D1378" t="s">
        <v>1135</v>
      </c>
      <c r="E1378" t="s">
        <v>451</v>
      </c>
      <c r="F1378" t="s">
        <v>182</v>
      </c>
      <c r="G1378" t="s">
        <v>181</v>
      </c>
      <c r="H1378" t="s">
        <v>180</v>
      </c>
      <c r="I1378" t="s">
        <v>35</v>
      </c>
      <c r="J1378" t="s">
        <v>459</v>
      </c>
      <c r="K1378" s="4">
        <v>328.51</v>
      </c>
      <c r="L1378" s="4">
        <v>0</v>
      </c>
      <c r="M1378" t="s">
        <v>44</v>
      </c>
      <c r="N1378" t="s">
        <v>77</v>
      </c>
      <c r="O1378" t="s">
        <v>99</v>
      </c>
      <c r="P1378" t="s">
        <v>99</v>
      </c>
      <c r="Q1378" t="s">
        <v>183</v>
      </c>
      <c r="R1378" t="s">
        <v>184</v>
      </c>
      <c r="S1378" t="s">
        <v>185</v>
      </c>
      <c r="T1378" t="s">
        <v>162</v>
      </c>
      <c r="U1378" t="s">
        <v>163</v>
      </c>
      <c r="V1378" t="s">
        <v>186</v>
      </c>
      <c r="W1378" t="s">
        <v>116</v>
      </c>
      <c r="X1378" t="s">
        <v>44</v>
      </c>
      <c r="Y1378" t="s">
        <v>99</v>
      </c>
      <c r="Z1378" t="s">
        <v>421</v>
      </c>
      <c r="AC1378" t="str">
        <f>IF(AA1378="",M1378,AA1378)</f>
        <v>sim</v>
      </c>
      <c r="AD1378" t="str">
        <f>IF(AB1378="",X1378,AB1378)</f>
        <v>sim</v>
      </c>
      <c r="AE1378" t="str">
        <f>IF(OR(Configuracao!B9="",Configuracao!B10=""),"aguardando limiar",IF(AND(K1378&gt;=Configuracao!B9,K1378/MAX(Reconciliacao!C2,1)&gt;=Configuracao!B10/100),"sim","não"))</f>
        <v>aguardando limiar</v>
      </c>
    </row>
    <row r="1379" spans="1:31" x14ac:dyDescent="0.25">
      <c r="A1379">
        <v>16680</v>
      </c>
      <c r="C1379" t="s">
        <v>1134</v>
      </c>
      <c r="D1379" t="s">
        <v>1135</v>
      </c>
      <c r="E1379" t="s">
        <v>451</v>
      </c>
      <c r="F1379" t="s">
        <v>182</v>
      </c>
      <c r="G1379" t="s">
        <v>181</v>
      </c>
      <c r="H1379" t="s">
        <v>180</v>
      </c>
      <c r="I1379" t="s">
        <v>461</v>
      </c>
      <c r="J1379" t="s">
        <v>461</v>
      </c>
      <c r="K1379" s="4">
        <v>396.06</v>
      </c>
      <c r="L1379" s="4">
        <v>396.06</v>
      </c>
      <c r="M1379" t="s">
        <v>44</v>
      </c>
      <c r="N1379" t="s">
        <v>77</v>
      </c>
      <c r="O1379" t="s">
        <v>99</v>
      </c>
      <c r="P1379" t="s">
        <v>99</v>
      </c>
      <c r="Q1379" t="s">
        <v>183</v>
      </c>
      <c r="R1379" t="s">
        <v>184</v>
      </c>
      <c r="S1379" t="s">
        <v>185</v>
      </c>
      <c r="T1379" t="s">
        <v>162</v>
      </c>
      <c r="U1379" t="s">
        <v>163</v>
      </c>
      <c r="V1379" t="s">
        <v>186</v>
      </c>
      <c r="W1379" t="s">
        <v>116</v>
      </c>
      <c r="X1379" t="s">
        <v>44</v>
      </c>
      <c r="Y1379" t="s">
        <v>99</v>
      </c>
      <c r="Z1379" t="s">
        <v>421</v>
      </c>
      <c r="AC1379" t="str">
        <f>IF(AA1379="",M1379,AA1379)</f>
        <v>sim</v>
      </c>
      <c r="AD1379" t="str">
        <f>IF(AB1379="",X1379,AB1379)</f>
        <v>sim</v>
      </c>
      <c r="AE1379" t="str">
        <f>IF(OR(Configuracao!B9="",Configuracao!B10=""),"aguardando limiar",IF(AND(K1379&gt;=Configuracao!B9,K1379/MAX(Reconciliacao!C2,1)&gt;=Configuracao!B10/100),"sim","não"))</f>
        <v>aguardando limiar</v>
      </c>
    </row>
    <row r="1380" spans="1:31" x14ac:dyDescent="0.25">
      <c r="A1380">
        <v>16681</v>
      </c>
      <c r="C1380" t="s">
        <v>1134</v>
      </c>
      <c r="D1380" t="s">
        <v>1135</v>
      </c>
      <c r="E1380" t="s">
        <v>451</v>
      </c>
      <c r="F1380" t="s">
        <v>182</v>
      </c>
      <c r="G1380" t="s">
        <v>181</v>
      </c>
      <c r="H1380" t="s">
        <v>180</v>
      </c>
      <c r="I1380" t="s">
        <v>442</v>
      </c>
      <c r="J1380" t="s">
        <v>442</v>
      </c>
      <c r="K1380" s="4">
        <v>410.36</v>
      </c>
      <c r="L1380" s="4">
        <v>410.36</v>
      </c>
      <c r="M1380" t="s">
        <v>44</v>
      </c>
      <c r="N1380" t="s">
        <v>77</v>
      </c>
      <c r="O1380" t="s">
        <v>99</v>
      </c>
      <c r="P1380" t="s">
        <v>99</v>
      </c>
      <c r="Q1380" t="s">
        <v>183</v>
      </c>
      <c r="R1380" t="s">
        <v>184</v>
      </c>
      <c r="S1380" t="s">
        <v>185</v>
      </c>
      <c r="T1380" t="s">
        <v>162</v>
      </c>
      <c r="U1380" t="s">
        <v>163</v>
      </c>
      <c r="V1380" t="s">
        <v>186</v>
      </c>
      <c r="W1380" t="s">
        <v>116</v>
      </c>
      <c r="X1380" t="s">
        <v>44</v>
      </c>
      <c r="Y1380" t="s">
        <v>99</v>
      </c>
      <c r="Z1380" t="s">
        <v>421</v>
      </c>
      <c r="AC1380" t="str">
        <f>IF(AA1380="",M1380,AA1380)</f>
        <v>sim</v>
      </c>
      <c r="AD1380" t="str">
        <f>IF(AB1380="",X1380,AB1380)</f>
        <v>sim</v>
      </c>
      <c r="AE1380" t="str">
        <f>IF(OR(Configuracao!B9="",Configuracao!B10=""),"aguardando limiar",IF(AND(K1380&gt;=Configuracao!B9,K1380/MAX(Reconciliacao!C2,1)&gt;=Configuracao!B10/100),"sim","não"))</f>
        <v>aguardando limiar</v>
      </c>
    </row>
    <row r="1381" spans="1:31" x14ac:dyDescent="0.25">
      <c r="A1381">
        <v>16682</v>
      </c>
      <c r="C1381" t="s">
        <v>1134</v>
      </c>
      <c r="D1381" t="s">
        <v>1135</v>
      </c>
      <c r="E1381" t="s">
        <v>451</v>
      </c>
      <c r="F1381" t="s">
        <v>182</v>
      </c>
      <c r="G1381" t="s">
        <v>181</v>
      </c>
      <c r="H1381" t="s">
        <v>180</v>
      </c>
      <c r="I1381" t="s">
        <v>439</v>
      </c>
      <c r="J1381" t="s">
        <v>35</v>
      </c>
      <c r="K1381" s="4">
        <v>420.91</v>
      </c>
      <c r="L1381" s="4">
        <v>420.91</v>
      </c>
      <c r="M1381" t="s">
        <v>44</v>
      </c>
      <c r="N1381" t="s">
        <v>77</v>
      </c>
      <c r="O1381" t="s">
        <v>99</v>
      </c>
      <c r="P1381" t="s">
        <v>99</v>
      </c>
      <c r="Q1381" t="s">
        <v>183</v>
      </c>
      <c r="R1381" t="s">
        <v>184</v>
      </c>
      <c r="S1381" t="s">
        <v>185</v>
      </c>
      <c r="T1381" t="s">
        <v>162</v>
      </c>
      <c r="U1381" t="s">
        <v>163</v>
      </c>
      <c r="V1381" t="s">
        <v>186</v>
      </c>
      <c r="W1381" t="s">
        <v>116</v>
      </c>
      <c r="X1381" t="s">
        <v>44</v>
      </c>
      <c r="Y1381" t="s">
        <v>99</v>
      </c>
      <c r="Z1381" t="s">
        <v>421</v>
      </c>
      <c r="AC1381" t="str">
        <f>IF(AA1381="",M1381,AA1381)</f>
        <v>sim</v>
      </c>
      <c r="AD1381" t="str">
        <f>IF(AB1381="",X1381,AB1381)</f>
        <v>sim</v>
      </c>
      <c r="AE1381" t="str">
        <f>IF(OR(Configuracao!B9="",Configuracao!B10=""),"aguardando limiar",IF(AND(K1381&gt;=Configuracao!B9,K1381/MAX(Reconciliacao!C2,1)&gt;=Configuracao!B10/100),"sim","não"))</f>
        <v>aguardando limiar</v>
      </c>
    </row>
    <row r="1382" spans="1:31" x14ac:dyDescent="0.25">
      <c r="A1382">
        <v>13244</v>
      </c>
      <c r="C1382" t="s">
        <v>1134</v>
      </c>
      <c r="D1382" t="s">
        <v>1135</v>
      </c>
      <c r="E1382" t="s">
        <v>451</v>
      </c>
      <c r="F1382" t="s">
        <v>182</v>
      </c>
      <c r="G1382" t="s">
        <v>181</v>
      </c>
      <c r="H1382" t="s">
        <v>180</v>
      </c>
      <c r="I1382" t="s">
        <v>420</v>
      </c>
      <c r="J1382" t="s">
        <v>420</v>
      </c>
      <c r="K1382" s="4">
        <v>514.01</v>
      </c>
      <c r="L1382" s="4">
        <v>514.01</v>
      </c>
      <c r="M1382" t="s">
        <v>44</v>
      </c>
      <c r="N1382" t="s">
        <v>77</v>
      </c>
      <c r="O1382" t="s">
        <v>99</v>
      </c>
      <c r="P1382" t="s">
        <v>99</v>
      </c>
      <c r="Q1382" t="s">
        <v>183</v>
      </c>
      <c r="R1382" t="s">
        <v>184</v>
      </c>
      <c r="S1382" t="s">
        <v>185</v>
      </c>
      <c r="T1382" t="s">
        <v>162</v>
      </c>
      <c r="U1382" t="s">
        <v>163</v>
      </c>
      <c r="V1382" t="s">
        <v>186</v>
      </c>
      <c r="W1382" t="s">
        <v>116</v>
      </c>
      <c r="X1382" t="s">
        <v>44</v>
      </c>
      <c r="Y1382" t="s">
        <v>99</v>
      </c>
      <c r="Z1382" t="s">
        <v>421</v>
      </c>
      <c r="AC1382" t="str">
        <f>IF(AA1382="",M1382,AA1382)</f>
        <v>sim</v>
      </c>
      <c r="AD1382" t="str">
        <f>IF(AB1382="",X1382,AB1382)</f>
        <v>sim</v>
      </c>
      <c r="AE1382" t="str">
        <f>IF(OR(Configuracao!B9="",Configuracao!B10=""),"aguardando limiar",IF(AND(K1382&gt;=Configuracao!B9,K1382/MAX(Reconciliacao!C2,1)&gt;=Configuracao!B10/100),"sim","não"))</f>
        <v>aguardando limiar</v>
      </c>
    </row>
    <row r="1383" spans="1:31" x14ac:dyDescent="0.25">
      <c r="A1383">
        <v>17742</v>
      </c>
      <c r="C1383" t="s">
        <v>1136</v>
      </c>
      <c r="D1383" t="s">
        <v>1137</v>
      </c>
      <c r="E1383" t="s">
        <v>458</v>
      </c>
      <c r="F1383" t="s">
        <v>182</v>
      </c>
      <c r="G1383" t="s">
        <v>181</v>
      </c>
      <c r="H1383" t="s">
        <v>180</v>
      </c>
      <c r="I1383" t="s">
        <v>35</v>
      </c>
      <c r="J1383" t="s">
        <v>35</v>
      </c>
      <c r="K1383" s="4">
        <v>750</v>
      </c>
      <c r="L1383" s="4">
        <v>750</v>
      </c>
      <c r="M1383" t="s">
        <v>44</v>
      </c>
      <c r="N1383" t="s">
        <v>77</v>
      </c>
      <c r="O1383" t="s">
        <v>99</v>
      </c>
      <c r="P1383" t="s">
        <v>99</v>
      </c>
      <c r="Q1383" t="s">
        <v>183</v>
      </c>
      <c r="R1383" t="s">
        <v>184</v>
      </c>
      <c r="S1383" t="s">
        <v>185</v>
      </c>
      <c r="T1383" t="s">
        <v>162</v>
      </c>
      <c r="U1383" t="s">
        <v>163</v>
      </c>
      <c r="V1383" t="s">
        <v>186</v>
      </c>
      <c r="W1383" t="s">
        <v>116</v>
      </c>
      <c r="X1383" t="s">
        <v>44</v>
      </c>
      <c r="Y1383" t="s">
        <v>99</v>
      </c>
      <c r="Z1383" t="s">
        <v>421</v>
      </c>
      <c r="AC1383" t="str">
        <f>IF(AA1383="",M1383,AA1383)</f>
        <v>sim</v>
      </c>
      <c r="AD1383" t="str">
        <f>IF(AB1383="",X1383,AB1383)</f>
        <v>sim</v>
      </c>
      <c r="AE1383" t="str">
        <f>IF(OR(Configuracao!B9="",Configuracao!B10=""),"aguardando limiar",IF(AND(K1383&gt;=Configuracao!B9,K1383/MAX(Reconciliacao!C2,1)&gt;=Configuracao!B10/100),"sim","não"))</f>
        <v>aguardando limiar</v>
      </c>
    </row>
    <row r="1384" spans="1:31" x14ac:dyDescent="0.25">
      <c r="A1384">
        <v>17743</v>
      </c>
      <c r="C1384" t="s">
        <v>1136</v>
      </c>
      <c r="D1384" t="s">
        <v>1137</v>
      </c>
      <c r="E1384" t="s">
        <v>1138</v>
      </c>
      <c r="F1384" t="s">
        <v>182</v>
      </c>
      <c r="G1384" t="s">
        <v>181</v>
      </c>
      <c r="H1384" t="s">
        <v>180</v>
      </c>
      <c r="I1384" t="s">
        <v>35</v>
      </c>
      <c r="J1384" t="s">
        <v>35</v>
      </c>
      <c r="K1384" s="4">
        <v>750</v>
      </c>
      <c r="L1384" s="4">
        <v>750</v>
      </c>
      <c r="M1384" t="s">
        <v>44</v>
      </c>
      <c r="N1384" t="s">
        <v>77</v>
      </c>
      <c r="O1384" t="s">
        <v>99</v>
      </c>
      <c r="P1384" t="s">
        <v>99</v>
      </c>
      <c r="Q1384" t="s">
        <v>183</v>
      </c>
      <c r="R1384" t="s">
        <v>184</v>
      </c>
      <c r="S1384" t="s">
        <v>185</v>
      </c>
      <c r="T1384" t="s">
        <v>162</v>
      </c>
      <c r="U1384" t="s">
        <v>163</v>
      </c>
      <c r="V1384" t="s">
        <v>186</v>
      </c>
      <c r="W1384" t="s">
        <v>116</v>
      </c>
      <c r="X1384" t="s">
        <v>44</v>
      </c>
      <c r="Y1384" t="s">
        <v>99</v>
      </c>
      <c r="Z1384" t="s">
        <v>421</v>
      </c>
      <c r="AC1384" t="str">
        <f>IF(AA1384="",M1384,AA1384)</f>
        <v>sim</v>
      </c>
      <c r="AD1384" t="str">
        <f>IF(AB1384="",X1384,AB1384)</f>
        <v>sim</v>
      </c>
      <c r="AE1384" t="str">
        <f>IF(OR(Configuracao!B9="",Configuracao!B10=""),"aguardando limiar",IF(AND(K1384&gt;=Configuracao!B9,K1384/MAX(Reconciliacao!C2,1)&gt;=Configuracao!B10/100),"sim","não"))</f>
        <v>aguardando limiar</v>
      </c>
    </row>
    <row r="1385" spans="1:31" x14ac:dyDescent="0.25">
      <c r="A1385">
        <v>17740</v>
      </c>
      <c r="C1385" t="s">
        <v>1136</v>
      </c>
      <c r="D1385" t="s">
        <v>1137</v>
      </c>
      <c r="E1385" t="s">
        <v>458</v>
      </c>
      <c r="F1385" t="s">
        <v>182</v>
      </c>
      <c r="G1385" t="s">
        <v>181</v>
      </c>
      <c r="H1385" t="s">
        <v>180</v>
      </c>
      <c r="I1385" t="s">
        <v>439</v>
      </c>
      <c r="J1385" t="s">
        <v>439</v>
      </c>
      <c r="K1385" s="4">
        <v>1000</v>
      </c>
      <c r="L1385" s="4">
        <v>1000</v>
      </c>
      <c r="M1385" t="s">
        <v>44</v>
      </c>
      <c r="N1385" t="s">
        <v>77</v>
      </c>
      <c r="O1385" t="s">
        <v>99</v>
      </c>
      <c r="P1385" t="s">
        <v>99</v>
      </c>
      <c r="Q1385" t="s">
        <v>183</v>
      </c>
      <c r="R1385" t="s">
        <v>184</v>
      </c>
      <c r="S1385" t="s">
        <v>185</v>
      </c>
      <c r="T1385" t="s">
        <v>162</v>
      </c>
      <c r="U1385" t="s">
        <v>163</v>
      </c>
      <c r="V1385" t="s">
        <v>186</v>
      </c>
      <c r="W1385" t="s">
        <v>116</v>
      </c>
      <c r="X1385" t="s">
        <v>44</v>
      </c>
      <c r="Y1385" t="s">
        <v>99</v>
      </c>
      <c r="Z1385" t="s">
        <v>421</v>
      </c>
      <c r="AC1385" t="str">
        <f>IF(AA1385="",M1385,AA1385)</f>
        <v>sim</v>
      </c>
      <c r="AD1385" t="str">
        <f>IF(AB1385="",X1385,AB1385)</f>
        <v>sim</v>
      </c>
      <c r="AE1385" t="str">
        <f>IF(OR(Configuracao!B9="",Configuracao!B10=""),"aguardando limiar",IF(AND(K1385&gt;=Configuracao!B9,K1385/MAX(Reconciliacao!C2,1)&gt;=Configuracao!B10/100),"sim","não"))</f>
        <v>aguardando limiar</v>
      </c>
    </row>
    <row r="1386" spans="1:31" x14ac:dyDescent="0.25">
      <c r="A1386">
        <v>17741</v>
      </c>
      <c r="C1386" t="s">
        <v>1136</v>
      </c>
      <c r="D1386" t="s">
        <v>1137</v>
      </c>
      <c r="E1386" t="s">
        <v>1138</v>
      </c>
      <c r="F1386" t="s">
        <v>182</v>
      </c>
      <c r="G1386" t="s">
        <v>181</v>
      </c>
      <c r="H1386" t="s">
        <v>180</v>
      </c>
      <c r="I1386" t="s">
        <v>439</v>
      </c>
      <c r="J1386" t="s">
        <v>439</v>
      </c>
      <c r="K1386" s="4">
        <v>1000</v>
      </c>
      <c r="L1386" s="4">
        <v>1000</v>
      </c>
      <c r="M1386" t="s">
        <v>44</v>
      </c>
      <c r="N1386" t="s">
        <v>77</v>
      </c>
      <c r="O1386" t="s">
        <v>99</v>
      </c>
      <c r="P1386" t="s">
        <v>99</v>
      </c>
      <c r="Q1386" t="s">
        <v>183</v>
      </c>
      <c r="R1386" t="s">
        <v>184</v>
      </c>
      <c r="S1386" t="s">
        <v>185</v>
      </c>
      <c r="T1386" t="s">
        <v>162</v>
      </c>
      <c r="U1386" t="s">
        <v>163</v>
      </c>
      <c r="V1386" t="s">
        <v>186</v>
      </c>
      <c r="W1386" t="s">
        <v>116</v>
      </c>
      <c r="X1386" t="s">
        <v>44</v>
      </c>
      <c r="Y1386" t="s">
        <v>99</v>
      </c>
      <c r="Z1386" t="s">
        <v>421</v>
      </c>
      <c r="AC1386" t="str">
        <f>IF(AA1386="",M1386,AA1386)</f>
        <v>sim</v>
      </c>
      <c r="AD1386" t="str">
        <f>IF(AB1386="",X1386,AB1386)</f>
        <v>sim</v>
      </c>
      <c r="AE1386" t="str">
        <f>IF(OR(Configuracao!B9="",Configuracao!B10=""),"aguardando limiar",IF(AND(K1386&gt;=Configuracao!B9,K1386/MAX(Reconciliacao!C2,1)&gt;=Configuracao!B10/100),"sim","não"))</f>
        <v>aguardando limiar</v>
      </c>
    </row>
    <row r="1387" spans="1:31" x14ac:dyDescent="0.25">
      <c r="A1387">
        <v>17351</v>
      </c>
      <c r="C1387" t="s">
        <v>1139</v>
      </c>
      <c r="D1387" t="s">
        <v>1137</v>
      </c>
      <c r="E1387" t="s">
        <v>467</v>
      </c>
      <c r="F1387" t="s">
        <v>182</v>
      </c>
      <c r="G1387" t="s">
        <v>181</v>
      </c>
      <c r="H1387" t="s">
        <v>180</v>
      </c>
      <c r="I1387" t="s">
        <v>439</v>
      </c>
      <c r="J1387" t="s">
        <v>439</v>
      </c>
      <c r="K1387" s="4">
        <v>1050</v>
      </c>
      <c r="L1387" s="4">
        <v>1050</v>
      </c>
      <c r="M1387" t="s">
        <v>44</v>
      </c>
      <c r="N1387" t="s">
        <v>77</v>
      </c>
      <c r="O1387" t="s">
        <v>99</v>
      </c>
      <c r="P1387" t="s">
        <v>99</v>
      </c>
      <c r="Q1387" t="s">
        <v>183</v>
      </c>
      <c r="R1387" t="s">
        <v>184</v>
      </c>
      <c r="S1387" t="s">
        <v>185</v>
      </c>
      <c r="T1387" t="s">
        <v>162</v>
      </c>
      <c r="U1387" t="s">
        <v>163</v>
      </c>
      <c r="V1387" t="s">
        <v>186</v>
      </c>
      <c r="W1387" t="s">
        <v>116</v>
      </c>
      <c r="X1387" t="s">
        <v>44</v>
      </c>
      <c r="Y1387" t="s">
        <v>99</v>
      </c>
      <c r="Z1387" t="s">
        <v>421</v>
      </c>
      <c r="AC1387" t="str">
        <f>IF(AA1387="",M1387,AA1387)</f>
        <v>sim</v>
      </c>
      <c r="AD1387" t="str">
        <f>IF(AB1387="",X1387,AB1387)</f>
        <v>sim</v>
      </c>
      <c r="AE1387" t="str">
        <f>IF(OR(Configuracao!B9="",Configuracao!B10=""),"aguardando limiar",IF(AND(K1387&gt;=Configuracao!B9,K1387/MAX(Reconciliacao!C2,1)&gt;=Configuracao!B10/100),"sim","não"))</f>
        <v>aguardando limiar</v>
      </c>
    </row>
    <row r="1388" spans="1:31" x14ac:dyDescent="0.25">
      <c r="A1388">
        <v>17352</v>
      </c>
      <c r="C1388" t="s">
        <v>1139</v>
      </c>
      <c r="D1388" t="s">
        <v>1137</v>
      </c>
      <c r="E1388" t="s">
        <v>467</v>
      </c>
      <c r="F1388" t="s">
        <v>182</v>
      </c>
      <c r="G1388" t="s">
        <v>181</v>
      </c>
      <c r="H1388" t="s">
        <v>180</v>
      </c>
      <c r="I1388" t="s">
        <v>35</v>
      </c>
      <c r="J1388" t="s">
        <v>35</v>
      </c>
      <c r="K1388" s="4">
        <v>1050</v>
      </c>
      <c r="L1388" s="4">
        <v>1050</v>
      </c>
      <c r="M1388" t="s">
        <v>44</v>
      </c>
      <c r="N1388" t="s">
        <v>77</v>
      </c>
      <c r="O1388" t="s">
        <v>99</v>
      </c>
      <c r="P1388" t="s">
        <v>99</v>
      </c>
      <c r="Q1388" t="s">
        <v>183</v>
      </c>
      <c r="R1388" t="s">
        <v>184</v>
      </c>
      <c r="S1388" t="s">
        <v>185</v>
      </c>
      <c r="T1388" t="s">
        <v>162</v>
      </c>
      <c r="U1388" t="s">
        <v>163</v>
      </c>
      <c r="V1388" t="s">
        <v>186</v>
      </c>
      <c r="W1388" t="s">
        <v>116</v>
      </c>
      <c r="X1388" t="s">
        <v>44</v>
      </c>
      <c r="Y1388" t="s">
        <v>99</v>
      </c>
      <c r="Z1388" t="s">
        <v>421</v>
      </c>
      <c r="AC1388" t="str">
        <f>IF(AA1388="",M1388,AA1388)</f>
        <v>sim</v>
      </c>
      <c r="AD1388" t="str">
        <f>IF(AB1388="",X1388,AB1388)</f>
        <v>sim</v>
      </c>
      <c r="AE1388" t="str">
        <f>IF(OR(Configuracao!B9="",Configuracao!B10=""),"aguardando limiar",IF(AND(K1388&gt;=Configuracao!B9,K1388/MAX(Reconciliacao!C2,1)&gt;=Configuracao!B10/100),"sim","não"))</f>
        <v>aguardando limiar</v>
      </c>
    </row>
    <row r="1389" spans="1:31" x14ac:dyDescent="0.25">
      <c r="A1389">
        <v>10511</v>
      </c>
      <c r="C1389" t="s">
        <v>1140</v>
      </c>
      <c r="D1389" t="s">
        <v>1141</v>
      </c>
      <c r="E1389" t="s">
        <v>467</v>
      </c>
      <c r="F1389" t="s">
        <v>182</v>
      </c>
      <c r="G1389" t="s">
        <v>181</v>
      </c>
      <c r="H1389" t="s">
        <v>180</v>
      </c>
      <c r="I1389" t="s">
        <v>32</v>
      </c>
      <c r="J1389" t="s">
        <v>32</v>
      </c>
      <c r="K1389" s="4">
        <v>1240</v>
      </c>
      <c r="L1389" s="4">
        <v>1240</v>
      </c>
      <c r="M1389" t="s">
        <v>44</v>
      </c>
      <c r="N1389" t="s">
        <v>77</v>
      </c>
      <c r="O1389" t="s">
        <v>99</v>
      </c>
      <c r="P1389" t="s">
        <v>99</v>
      </c>
      <c r="Q1389" t="s">
        <v>183</v>
      </c>
      <c r="R1389" t="s">
        <v>184</v>
      </c>
      <c r="S1389" t="s">
        <v>185</v>
      </c>
      <c r="T1389" t="s">
        <v>162</v>
      </c>
      <c r="U1389" t="s">
        <v>163</v>
      </c>
      <c r="V1389" t="s">
        <v>186</v>
      </c>
      <c r="W1389" t="s">
        <v>116</v>
      </c>
      <c r="X1389" t="s">
        <v>44</v>
      </c>
      <c r="Y1389" t="s">
        <v>99</v>
      </c>
      <c r="Z1389" t="s">
        <v>421</v>
      </c>
      <c r="AC1389" t="str">
        <f>IF(AA1389="",M1389,AA1389)</f>
        <v>sim</v>
      </c>
      <c r="AD1389" t="str">
        <f>IF(AB1389="",X1389,AB1389)</f>
        <v>sim</v>
      </c>
      <c r="AE1389" t="str">
        <f>IF(OR(Configuracao!B9="",Configuracao!B10=""),"aguardando limiar",IF(AND(K1389&gt;=Configuracao!B9,K1389/MAX(Reconciliacao!C2,1)&gt;=Configuracao!B10/100),"sim","não"))</f>
        <v>aguardando limiar</v>
      </c>
    </row>
    <row r="1390" spans="1:31" x14ac:dyDescent="0.25">
      <c r="A1390">
        <v>10512</v>
      </c>
      <c r="C1390" t="s">
        <v>1142</v>
      </c>
      <c r="D1390" t="s">
        <v>1141</v>
      </c>
      <c r="E1390" t="s">
        <v>467</v>
      </c>
      <c r="F1390" t="s">
        <v>182</v>
      </c>
      <c r="G1390" t="s">
        <v>181</v>
      </c>
      <c r="H1390" t="s">
        <v>180</v>
      </c>
      <c r="I1390" t="s">
        <v>424</v>
      </c>
      <c r="J1390" t="s">
        <v>424</v>
      </c>
      <c r="K1390" s="4">
        <v>1240</v>
      </c>
      <c r="L1390" s="4">
        <v>1240</v>
      </c>
      <c r="M1390" t="s">
        <v>44</v>
      </c>
      <c r="N1390" t="s">
        <v>77</v>
      </c>
      <c r="O1390" t="s">
        <v>99</v>
      </c>
      <c r="P1390" t="s">
        <v>99</v>
      </c>
      <c r="Q1390" t="s">
        <v>183</v>
      </c>
      <c r="R1390" t="s">
        <v>184</v>
      </c>
      <c r="S1390" t="s">
        <v>185</v>
      </c>
      <c r="T1390" t="s">
        <v>162</v>
      </c>
      <c r="U1390" t="s">
        <v>163</v>
      </c>
      <c r="V1390" t="s">
        <v>186</v>
      </c>
      <c r="W1390" t="s">
        <v>116</v>
      </c>
      <c r="X1390" t="s">
        <v>44</v>
      </c>
      <c r="Y1390" t="s">
        <v>99</v>
      </c>
      <c r="Z1390" t="s">
        <v>421</v>
      </c>
      <c r="AC1390" t="str">
        <f>IF(AA1390="",M1390,AA1390)</f>
        <v>sim</v>
      </c>
      <c r="AD1390" t="str">
        <f>IF(AB1390="",X1390,AB1390)</f>
        <v>sim</v>
      </c>
      <c r="AE1390" t="str">
        <f>IF(OR(Configuracao!B9="",Configuracao!B10=""),"aguardando limiar",IF(AND(K1390&gt;=Configuracao!B9,K1390/MAX(Reconciliacao!C2,1)&gt;=Configuracao!B10/100),"sim","não"))</f>
        <v>aguardando limiar</v>
      </c>
    </row>
    <row r="1391" spans="1:31" x14ac:dyDescent="0.25">
      <c r="A1391">
        <v>10513</v>
      </c>
      <c r="C1391" t="s">
        <v>1143</v>
      </c>
      <c r="D1391" t="s">
        <v>1141</v>
      </c>
      <c r="E1391" t="s">
        <v>467</v>
      </c>
      <c r="F1391" t="s">
        <v>182</v>
      </c>
      <c r="G1391" t="s">
        <v>181</v>
      </c>
      <c r="H1391" t="s">
        <v>180</v>
      </c>
      <c r="I1391" t="s">
        <v>420</v>
      </c>
      <c r="J1391" t="s">
        <v>454</v>
      </c>
      <c r="K1391" s="4">
        <v>1240</v>
      </c>
      <c r="L1391" s="4">
        <v>1240</v>
      </c>
      <c r="M1391" t="s">
        <v>44</v>
      </c>
      <c r="N1391" t="s">
        <v>77</v>
      </c>
      <c r="O1391" t="s">
        <v>99</v>
      </c>
      <c r="P1391" t="s">
        <v>99</v>
      </c>
      <c r="Q1391" t="s">
        <v>183</v>
      </c>
      <c r="R1391" t="s">
        <v>184</v>
      </c>
      <c r="S1391" t="s">
        <v>185</v>
      </c>
      <c r="T1391" t="s">
        <v>162</v>
      </c>
      <c r="U1391" t="s">
        <v>163</v>
      </c>
      <c r="V1391" t="s">
        <v>186</v>
      </c>
      <c r="W1391" t="s">
        <v>116</v>
      </c>
      <c r="X1391" t="s">
        <v>44</v>
      </c>
      <c r="Y1391" t="s">
        <v>99</v>
      </c>
      <c r="Z1391" t="s">
        <v>421</v>
      </c>
      <c r="AC1391" t="str">
        <f>IF(AA1391="",M1391,AA1391)</f>
        <v>sim</v>
      </c>
      <c r="AD1391" t="str">
        <f>IF(AB1391="",X1391,AB1391)</f>
        <v>sim</v>
      </c>
      <c r="AE1391" t="str">
        <f>IF(OR(Configuracao!B9="",Configuracao!B10=""),"aguardando limiar",IF(AND(K1391&gt;=Configuracao!B9,K1391/MAX(Reconciliacao!C2,1)&gt;=Configuracao!B10/100),"sim","não"))</f>
        <v>aguardando limiar</v>
      </c>
    </row>
    <row r="1392" spans="1:31" x14ac:dyDescent="0.25">
      <c r="A1392">
        <v>17350</v>
      </c>
      <c r="C1392" t="s">
        <v>1139</v>
      </c>
      <c r="D1392" t="s">
        <v>1137</v>
      </c>
      <c r="E1392" t="s">
        <v>467</v>
      </c>
      <c r="F1392" t="s">
        <v>182</v>
      </c>
      <c r="G1392" t="s">
        <v>181</v>
      </c>
      <c r="H1392" t="s">
        <v>180</v>
      </c>
      <c r="I1392" t="s">
        <v>442</v>
      </c>
      <c r="J1392" t="s">
        <v>442</v>
      </c>
      <c r="K1392" s="4">
        <v>1400</v>
      </c>
      <c r="L1392" s="4">
        <v>1400</v>
      </c>
      <c r="M1392" t="s">
        <v>44</v>
      </c>
      <c r="N1392" t="s">
        <v>77</v>
      </c>
      <c r="O1392" t="s">
        <v>99</v>
      </c>
      <c r="P1392" t="s">
        <v>99</v>
      </c>
      <c r="Q1392" t="s">
        <v>183</v>
      </c>
      <c r="R1392" t="s">
        <v>184</v>
      </c>
      <c r="S1392" t="s">
        <v>185</v>
      </c>
      <c r="T1392" t="s">
        <v>162</v>
      </c>
      <c r="U1392" t="s">
        <v>163</v>
      </c>
      <c r="V1392" t="s">
        <v>186</v>
      </c>
      <c r="W1392" t="s">
        <v>116</v>
      </c>
      <c r="X1392" t="s">
        <v>44</v>
      </c>
      <c r="Y1392" t="s">
        <v>99</v>
      </c>
      <c r="Z1392" t="s">
        <v>421</v>
      </c>
      <c r="AC1392" t="str">
        <f>IF(AA1392="",M1392,AA1392)</f>
        <v>sim</v>
      </c>
      <c r="AD1392" t="str">
        <f>IF(AB1392="",X1392,AB1392)</f>
        <v>sim</v>
      </c>
      <c r="AE1392" t="str">
        <f>IF(OR(Configuracao!B9="",Configuracao!B10=""),"aguardando limiar",IF(AND(K1392&gt;=Configuracao!B9,K1392/MAX(Reconciliacao!C2,1)&gt;=Configuracao!B10/100),"sim","não"))</f>
        <v>aguardando limiar</v>
      </c>
    </row>
    <row r="1393" spans="1:31" x14ac:dyDescent="0.25">
      <c r="A1393">
        <v>15749</v>
      </c>
      <c r="D1393" t="s">
        <v>1144</v>
      </c>
      <c r="E1393" t="s">
        <v>451</v>
      </c>
      <c r="F1393" t="s">
        <v>182</v>
      </c>
      <c r="G1393" t="s">
        <v>181</v>
      </c>
      <c r="H1393" t="s">
        <v>180</v>
      </c>
      <c r="I1393" t="s">
        <v>454</v>
      </c>
      <c r="J1393" t="s">
        <v>454</v>
      </c>
      <c r="K1393" s="4">
        <v>2000</v>
      </c>
      <c r="L1393" s="4">
        <v>2000</v>
      </c>
      <c r="M1393" t="s">
        <v>44</v>
      </c>
      <c r="N1393" t="s">
        <v>77</v>
      </c>
      <c r="O1393" t="s">
        <v>99</v>
      </c>
      <c r="P1393" t="s">
        <v>99</v>
      </c>
      <c r="Q1393" t="s">
        <v>183</v>
      </c>
      <c r="R1393" t="s">
        <v>184</v>
      </c>
      <c r="S1393" t="s">
        <v>185</v>
      </c>
      <c r="T1393" t="s">
        <v>162</v>
      </c>
      <c r="U1393" t="s">
        <v>163</v>
      </c>
      <c r="V1393" t="s">
        <v>186</v>
      </c>
      <c r="W1393" t="s">
        <v>116</v>
      </c>
      <c r="X1393" t="s">
        <v>44</v>
      </c>
      <c r="Y1393" t="s">
        <v>99</v>
      </c>
      <c r="Z1393" t="s">
        <v>421</v>
      </c>
      <c r="AC1393" t="str">
        <f>IF(AA1393="",M1393,AA1393)</f>
        <v>sim</v>
      </c>
      <c r="AD1393" t="str">
        <f>IF(AB1393="",X1393,AB1393)</f>
        <v>sim</v>
      </c>
      <c r="AE1393" t="str">
        <f>IF(OR(Configuracao!B9="",Configuracao!B10=""),"aguardando limiar",IF(AND(K1393&gt;=Configuracao!B9,K1393/MAX(Reconciliacao!C2,1)&gt;=Configuracao!B10/100),"sim","não"))</f>
        <v>aguardando limiar</v>
      </c>
    </row>
    <row r="1394" spans="1:31" x14ac:dyDescent="0.25">
      <c r="A1394">
        <v>17177</v>
      </c>
      <c r="D1394" t="s">
        <v>933</v>
      </c>
      <c r="E1394" t="s">
        <v>546</v>
      </c>
      <c r="F1394" t="s">
        <v>182</v>
      </c>
      <c r="G1394" t="s">
        <v>181</v>
      </c>
      <c r="H1394" t="s">
        <v>180</v>
      </c>
      <c r="I1394" t="s">
        <v>442</v>
      </c>
      <c r="J1394" t="s">
        <v>442</v>
      </c>
      <c r="K1394" s="4">
        <v>2061.42</v>
      </c>
      <c r="L1394" s="4">
        <v>2061.42</v>
      </c>
      <c r="M1394" t="s">
        <v>44</v>
      </c>
      <c r="N1394" t="s">
        <v>77</v>
      </c>
      <c r="O1394" t="s">
        <v>99</v>
      </c>
      <c r="P1394" t="s">
        <v>99</v>
      </c>
      <c r="Q1394" t="s">
        <v>183</v>
      </c>
      <c r="R1394" t="s">
        <v>184</v>
      </c>
      <c r="S1394" t="s">
        <v>185</v>
      </c>
      <c r="T1394" t="s">
        <v>162</v>
      </c>
      <c r="U1394" t="s">
        <v>163</v>
      </c>
      <c r="V1394" t="s">
        <v>186</v>
      </c>
      <c r="W1394" t="s">
        <v>116</v>
      </c>
      <c r="X1394" t="s">
        <v>44</v>
      </c>
      <c r="Y1394" t="s">
        <v>99</v>
      </c>
      <c r="Z1394" t="s">
        <v>421</v>
      </c>
      <c r="AC1394" t="str">
        <f>IF(AA1394="",M1394,AA1394)</f>
        <v>sim</v>
      </c>
      <c r="AD1394" t="str">
        <f>IF(AB1394="",X1394,AB1394)</f>
        <v>sim</v>
      </c>
      <c r="AE1394" t="str">
        <f>IF(OR(Configuracao!B9="",Configuracao!B10=""),"aguardando limiar",IF(AND(K1394&gt;=Configuracao!B9,K1394/MAX(Reconciliacao!C2,1)&gt;=Configuracao!B10/100),"sim","não"))</f>
        <v>aguardando limiar</v>
      </c>
    </row>
    <row r="1395" spans="1:31" x14ac:dyDescent="0.25">
      <c r="A1395">
        <v>17939</v>
      </c>
      <c r="D1395" t="s">
        <v>933</v>
      </c>
      <c r="E1395" t="s">
        <v>546</v>
      </c>
      <c r="F1395" t="s">
        <v>182</v>
      </c>
      <c r="G1395" t="s">
        <v>181</v>
      </c>
      <c r="H1395" t="s">
        <v>180</v>
      </c>
      <c r="I1395" t="s">
        <v>442</v>
      </c>
      <c r="J1395" t="s">
        <v>439</v>
      </c>
      <c r="K1395" s="4">
        <v>3746.94</v>
      </c>
      <c r="L1395" s="4">
        <v>3746.94</v>
      </c>
      <c r="M1395" t="s">
        <v>44</v>
      </c>
      <c r="N1395" t="s">
        <v>77</v>
      </c>
      <c r="O1395" t="s">
        <v>99</v>
      </c>
      <c r="P1395" t="s">
        <v>99</v>
      </c>
      <c r="Q1395" t="s">
        <v>183</v>
      </c>
      <c r="R1395" t="s">
        <v>184</v>
      </c>
      <c r="S1395" t="s">
        <v>185</v>
      </c>
      <c r="T1395" t="s">
        <v>162</v>
      </c>
      <c r="U1395" t="s">
        <v>163</v>
      </c>
      <c r="V1395" t="s">
        <v>186</v>
      </c>
      <c r="W1395" t="s">
        <v>116</v>
      </c>
      <c r="X1395" t="s">
        <v>44</v>
      </c>
      <c r="Y1395" t="s">
        <v>99</v>
      </c>
      <c r="Z1395" t="s">
        <v>421</v>
      </c>
      <c r="AC1395" t="str">
        <f>IF(AA1395="",M1395,AA1395)</f>
        <v>sim</v>
      </c>
      <c r="AD1395" t="str">
        <f>IF(AB1395="",X1395,AB1395)</f>
        <v>sim</v>
      </c>
      <c r="AE1395" t="str">
        <f>IF(OR(Configuracao!B9="",Configuracao!B10=""),"aguardando limiar",IF(AND(K1395&gt;=Configuracao!B9,K1395/MAX(Reconciliacao!C2,1)&gt;=Configuracao!B10/100),"sim","não"))</f>
        <v>aguardando limiar</v>
      </c>
    </row>
    <row r="1396" spans="1:31" x14ac:dyDescent="0.25">
      <c r="A1396">
        <v>18783</v>
      </c>
      <c r="D1396" t="s">
        <v>933</v>
      </c>
      <c r="E1396" t="s">
        <v>546</v>
      </c>
      <c r="F1396" t="s">
        <v>182</v>
      </c>
      <c r="G1396" t="s">
        <v>181</v>
      </c>
      <c r="H1396" t="s">
        <v>180</v>
      </c>
      <c r="I1396" t="s">
        <v>439</v>
      </c>
      <c r="J1396" t="s">
        <v>35</v>
      </c>
      <c r="K1396" s="4">
        <v>3971.69</v>
      </c>
      <c r="L1396" s="4">
        <v>3971.69</v>
      </c>
      <c r="M1396" t="s">
        <v>44</v>
      </c>
      <c r="N1396" t="s">
        <v>77</v>
      </c>
      <c r="O1396" t="s">
        <v>99</v>
      </c>
      <c r="P1396" t="s">
        <v>99</v>
      </c>
      <c r="Q1396" t="s">
        <v>183</v>
      </c>
      <c r="R1396" t="s">
        <v>184</v>
      </c>
      <c r="S1396" t="s">
        <v>185</v>
      </c>
      <c r="T1396" t="s">
        <v>162</v>
      </c>
      <c r="U1396" t="s">
        <v>163</v>
      </c>
      <c r="V1396" t="s">
        <v>186</v>
      </c>
      <c r="W1396" t="s">
        <v>116</v>
      </c>
      <c r="X1396" t="s">
        <v>44</v>
      </c>
      <c r="Y1396" t="s">
        <v>99</v>
      </c>
      <c r="Z1396" t="s">
        <v>421</v>
      </c>
      <c r="AC1396" t="str">
        <f>IF(AA1396="",M1396,AA1396)</f>
        <v>sim</v>
      </c>
      <c r="AD1396" t="str">
        <f>IF(AB1396="",X1396,AB1396)</f>
        <v>sim</v>
      </c>
      <c r="AE1396" t="str">
        <f>IF(OR(Configuracao!B9="",Configuracao!B10=""),"aguardando limiar",IF(AND(K1396&gt;=Configuracao!B9,K1396/MAX(Reconciliacao!C2,1)&gt;=Configuracao!B10/100),"sim","não"))</f>
        <v>aguardando limiar</v>
      </c>
    </row>
    <row r="1397" spans="1:31" x14ac:dyDescent="0.25">
      <c r="A1397">
        <v>12285</v>
      </c>
      <c r="D1397" t="s">
        <v>1144</v>
      </c>
      <c r="E1397" t="s">
        <v>451</v>
      </c>
      <c r="F1397" t="s">
        <v>182</v>
      </c>
      <c r="G1397" t="s">
        <v>181</v>
      </c>
      <c r="H1397" t="s">
        <v>180</v>
      </c>
      <c r="I1397" t="s">
        <v>424</v>
      </c>
      <c r="J1397" t="s">
        <v>424</v>
      </c>
      <c r="K1397" s="4">
        <v>4000</v>
      </c>
      <c r="L1397" s="4">
        <v>4000</v>
      </c>
      <c r="M1397" t="s">
        <v>44</v>
      </c>
      <c r="N1397" t="s">
        <v>77</v>
      </c>
      <c r="O1397" t="s">
        <v>99</v>
      </c>
      <c r="P1397" t="s">
        <v>99</v>
      </c>
      <c r="Q1397" t="s">
        <v>183</v>
      </c>
      <c r="R1397" t="s">
        <v>184</v>
      </c>
      <c r="S1397" t="s">
        <v>185</v>
      </c>
      <c r="T1397" t="s">
        <v>162</v>
      </c>
      <c r="U1397" t="s">
        <v>163</v>
      </c>
      <c r="V1397" t="s">
        <v>186</v>
      </c>
      <c r="W1397" t="s">
        <v>116</v>
      </c>
      <c r="X1397" t="s">
        <v>44</v>
      </c>
      <c r="Y1397" t="s">
        <v>99</v>
      </c>
      <c r="Z1397" t="s">
        <v>421</v>
      </c>
      <c r="AC1397" t="str">
        <f>IF(AA1397="",M1397,AA1397)</f>
        <v>sim</v>
      </c>
      <c r="AD1397" t="str">
        <f>IF(AB1397="",X1397,AB1397)</f>
        <v>sim</v>
      </c>
      <c r="AE1397" t="str">
        <f>IF(OR(Configuracao!B9="",Configuracao!B10=""),"aguardando limiar",IF(AND(K1397&gt;=Configuracao!B9,K1397/MAX(Reconciliacao!C2,1)&gt;=Configuracao!B10/100),"sim","não"))</f>
        <v>aguardando limiar</v>
      </c>
    </row>
    <row r="1398" spans="1:31" x14ac:dyDescent="0.25">
      <c r="A1398">
        <v>12286</v>
      </c>
      <c r="D1398" t="s">
        <v>1144</v>
      </c>
      <c r="E1398" t="s">
        <v>451</v>
      </c>
      <c r="F1398" t="s">
        <v>182</v>
      </c>
      <c r="G1398" t="s">
        <v>181</v>
      </c>
      <c r="H1398" t="s">
        <v>180</v>
      </c>
      <c r="I1398" t="s">
        <v>420</v>
      </c>
      <c r="J1398" t="s">
        <v>420</v>
      </c>
      <c r="K1398" s="4">
        <v>4000</v>
      </c>
      <c r="L1398" s="4">
        <v>4000</v>
      </c>
      <c r="M1398" t="s">
        <v>44</v>
      </c>
      <c r="N1398" t="s">
        <v>77</v>
      </c>
      <c r="O1398" t="s">
        <v>99</v>
      </c>
      <c r="P1398" t="s">
        <v>99</v>
      </c>
      <c r="Q1398" t="s">
        <v>183</v>
      </c>
      <c r="R1398" t="s">
        <v>184</v>
      </c>
      <c r="S1398" t="s">
        <v>185</v>
      </c>
      <c r="T1398" t="s">
        <v>162</v>
      </c>
      <c r="U1398" t="s">
        <v>163</v>
      </c>
      <c r="V1398" t="s">
        <v>186</v>
      </c>
      <c r="W1398" t="s">
        <v>116</v>
      </c>
      <c r="X1398" t="s">
        <v>44</v>
      </c>
      <c r="Y1398" t="s">
        <v>99</v>
      </c>
      <c r="Z1398" t="s">
        <v>421</v>
      </c>
      <c r="AC1398" t="str">
        <f>IF(AA1398="",M1398,AA1398)</f>
        <v>sim</v>
      </c>
      <c r="AD1398" t="str">
        <f>IF(AB1398="",X1398,AB1398)</f>
        <v>sim</v>
      </c>
      <c r="AE1398" t="str">
        <f>IF(OR(Configuracao!B9="",Configuracao!B10=""),"aguardando limiar",IF(AND(K1398&gt;=Configuracao!B9,K1398/MAX(Reconciliacao!C2,1)&gt;=Configuracao!B10/100),"sim","não"))</f>
        <v>aguardando limiar</v>
      </c>
    </row>
    <row r="1399" spans="1:31" x14ac:dyDescent="0.25">
      <c r="A1399">
        <v>12287</v>
      </c>
      <c r="D1399" t="s">
        <v>1144</v>
      </c>
      <c r="E1399" t="s">
        <v>451</v>
      </c>
      <c r="F1399" t="s">
        <v>182</v>
      </c>
      <c r="G1399" t="s">
        <v>181</v>
      </c>
      <c r="H1399" t="s">
        <v>180</v>
      </c>
      <c r="I1399" t="s">
        <v>454</v>
      </c>
      <c r="J1399" t="s">
        <v>454</v>
      </c>
      <c r="K1399" s="4">
        <v>4000</v>
      </c>
      <c r="L1399" s="4">
        <v>4000</v>
      </c>
      <c r="M1399" t="s">
        <v>44</v>
      </c>
      <c r="N1399" t="s">
        <v>77</v>
      </c>
      <c r="O1399" t="s">
        <v>99</v>
      </c>
      <c r="P1399" t="s">
        <v>99</v>
      </c>
      <c r="Q1399" t="s">
        <v>183</v>
      </c>
      <c r="R1399" t="s">
        <v>184</v>
      </c>
      <c r="S1399" t="s">
        <v>185</v>
      </c>
      <c r="T1399" t="s">
        <v>162</v>
      </c>
      <c r="U1399" t="s">
        <v>163</v>
      </c>
      <c r="V1399" t="s">
        <v>186</v>
      </c>
      <c r="W1399" t="s">
        <v>116</v>
      </c>
      <c r="X1399" t="s">
        <v>44</v>
      </c>
      <c r="Y1399" t="s">
        <v>99</v>
      </c>
      <c r="Z1399" t="s">
        <v>421</v>
      </c>
      <c r="AC1399" t="str">
        <f>IF(AA1399="",M1399,AA1399)</f>
        <v>sim</v>
      </c>
      <c r="AD1399" t="str">
        <f>IF(AB1399="",X1399,AB1399)</f>
        <v>sim</v>
      </c>
      <c r="AE1399" t="str">
        <f>IF(OR(Configuracao!B9="",Configuracao!B10=""),"aguardando limiar",IF(AND(K1399&gt;=Configuracao!B9,K1399/MAX(Reconciliacao!C2,1)&gt;=Configuracao!B10/100),"sim","não"))</f>
        <v>aguardando limiar</v>
      </c>
    </row>
    <row r="1400" spans="1:31" x14ac:dyDescent="0.25">
      <c r="A1400">
        <v>12289</v>
      </c>
      <c r="D1400" t="s">
        <v>1144</v>
      </c>
      <c r="E1400" t="s">
        <v>451</v>
      </c>
      <c r="F1400" t="s">
        <v>182</v>
      </c>
      <c r="G1400" t="s">
        <v>181</v>
      </c>
      <c r="H1400" t="s">
        <v>180</v>
      </c>
      <c r="I1400" t="s">
        <v>442</v>
      </c>
      <c r="J1400" t="s">
        <v>442</v>
      </c>
      <c r="K1400" s="4">
        <v>4000</v>
      </c>
      <c r="L1400" s="4">
        <v>4000</v>
      </c>
      <c r="M1400" t="s">
        <v>44</v>
      </c>
      <c r="N1400" t="s">
        <v>77</v>
      </c>
      <c r="O1400" t="s">
        <v>99</v>
      </c>
      <c r="P1400" t="s">
        <v>99</v>
      </c>
      <c r="Q1400" t="s">
        <v>183</v>
      </c>
      <c r="R1400" t="s">
        <v>184</v>
      </c>
      <c r="S1400" t="s">
        <v>185</v>
      </c>
      <c r="T1400" t="s">
        <v>162</v>
      </c>
      <c r="U1400" t="s">
        <v>163</v>
      </c>
      <c r="V1400" t="s">
        <v>186</v>
      </c>
      <c r="W1400" t="s">
        <v>116</v>
      </c>
      <c r="X1400" t="s">
        <v>44</v>
      </c>
      <c r="Y1400" t="s">
        <v>99</v>
      </c>
      <c r="Z1400" t="s">
        <v>421</v>
      </c>
      <c r="AC1400" t="str">
        <f>IF(AA1400="",M1400,AA1400)</f>
        <v>sim</v>
      </c>
      <c r="AD1400" t="str">
        <f>IF(AB1400="",X1400,AB1400)</f>
        <v>sim</v>
      </c>
      <c r="AE1400" t="str">
        <f>IF(OR(Configuracao!B9="",Configuracao!B10=""),"aguardando limiar",IF(AND(K1400&gt;=Configuracao!B9,K1400/MAX(Reconciliacao!C2,1)&gt;=Configuracao!B10/100),"sim","não"))</f>
        <v>aguardando limiar</v>
      </c>
    </row>
    <row r="1401" spans="1:31" x14ac:dyDescent="0.25">
      <c r="A1401">
        <v>12290</v>
      </c>
      <c r="D1401" t="s">
        <v>1144</v>
      </c>
      <c r="E1401" t="s">
        <v>451</v>
      </c>
      <c r="F1401" t="s">
        <v>182</v>
      </c>
      <c r="G1401" t="s">
        <v>181</v>
      </c>
      <c r="H1401" t="s">
        <v>180</v>
      </c>
      <c r="I1401" t="s">
        <v>439</v>
      </c>
      <c r="J1401" t="s">
        <v>439</v>
      </c>
      <c r="K1401" s="4">
        <v>4000</v>
      </c>
      <c r="L1401" s="4">
        <v>4000</v>
      </c>
      <c r="M1401" t="s">
        <v>44</v>
      </c>
      <c r="N1401" t="s">
        <v>77</v>
      </c>
      <c r="O1401" t="s">
        <v>99</v>
      </c>
      <c r="P1401" t="s">
        <v>99</v>
      </c>
      <c r="Q1401" t="s">
        <v>183</v>
      </c>
      <c r="R1401" t="s">
        <v>184</v>
      </c>
      <c r="S1401" t="s">
        <v>185</v>
      </c>
      <c r="T1401" t="s">
        <v>162</v>
      </c>
      <c r="U1401" t="s">
        <v>163</v>
      </c>
      <c r="V1401" t="s">
        <v>186</v>
      </c>
      <c r="W1401" t="s">
        <v>116</v>
      </c>
      <c r="X1401" t="s">
        <v>44</v>
      </c>
      <c r="Y1401" t="s">
        <v>99</v>
      </c>
      <c r="Z1401" t="s">
        <v>421</v>
      </c>
      <c r="AC1401" t="str">
        <f>IF(AA1401="",M1401,AA1401)</f>
        <v>sim</v>
      </c>
      <c r="AD1401" t="str">
        <f>IF(AB1401="",X1401,AB1401)</f>
        <v>sim</v>
      </c>
      <c r="AE1401" t="str">
        <f>IF(OR(Configuracao!B9="",Configuracao!B10=""),"aguardando limiar",IF(AND(K1401&gt;=Configuracao!B9,K1401/MAX(Reconciliacao!C2,1)&gt;=Configuracao!B10/100),"sim","não"))</f>
        <v>aguardando limiar</v>
      </c>
    </row>
    <row r="1402" spans="1:31" x14ac:dyDescent="0.25">
      <c r="A1402">
        <v>12291</v>
      </c>
      <c r="D1402" t="s">
        <v>1144</v>
      </c>
      <c r="E1402" t="s">
        <v>451</v>
      </c>
      <c r="F1402" t="s">
        <v>182</v>
      </c>
      <c r="G1402" t="s">
        <v>181</v>
      </c>
      <c r="H1402" t="s">
        <v>180</v>
      </c>
      <c r="I1402" t="s">
        <v>35</v>
      </c>
      <c r="J1402" t="s">
        <v>35</v>
      </c>
      <c r="K1402" s="4">
        <v>4000</v>
      </c>
      <c r="L1402" s="4">
        <v>4000</v>
      </c>
      <c r="M1402" t="s">
        <v>44</v>
      </c>
      <c r="N1402" t="s">
        <v>77</v>
      </c>
      <c r="O1402" t="s">
        <v>99</v>
      </c>
      <c r="P1402" t="s">
        <v>99</v>
      </c>
      <c r="Q1402" t="s">
        <v>183</v>
      </c>
      <c r="R1402" t="s">
        <v>184</v>
      </c>
      <c r="S1402" t="s">
        <v>185</v>
      </c>
      <c r="T1402" t="s">
        <v>162</v>
      </c>
      <c r="U1402" t="s">
        <v>163</v>
      </c>
      <c r="V1402" t="s">
        <v>186</v>
      </c>
      <c r="W1402" t="s">
        <v>116</v>
      </c>
      <c r="X1402" t="s">
        <v>44</v>
      </c>
      <c r="Y1402" t="s">
        <v>99</v>
      </c>
      <c r="Z1402" t="s">
        <v>421</v>
      </c>
      <c r="AC1402" t="str">
        <f>IF(AA1402="",M1402,AA1402)</f>
        <v>sim</v>
      </c>
      <c r="AD1402" t="str">
        <f>IF(AB1402="",X1402,AB1402)</f>
        <v>sim</v>
      </c>
      <c r="AE1402" t="str">
        <f>IF(OR(Configuracao!B9="",Configuracao!B10=""),"aguardando limiar",IF(AND(K1402&gt;=Configuracao!B9,K1402/MAX(Reconciliacao!C2,1)&gt;=Configuracao!B10/100),"sim","não"))</f>
        <v>aguardando limiar</v>
      </c>
    </row>
    <row r="1403" spans="1:31" x14ac:dyDescent="0.25">
      <c r="A1403">
        <v>7744</v>
      </c>
      <c r="C1403" t="s">
        <v>1145</v>
      </c>
      <c r="D1403" t="s">
        <v>1146</v>
      </c>
      <c r="E1403" t="s">
        <v>451</v>
      </c>
      <c r="F1403" t="s">
        <v>182</v>
      </c>
      <c r="G1403" t="s">
        <v>181</v>
      </c>
      <c r="H1403" t="s">
        <v>180</v>
      </c>
      <c r="I1403" t="s">
        <v>32</v>
      </c>
      <c r="J1403" t="s">
        <v>32</v>
      </c>
      <c r="K1403" s="4">
        <v>4692.5</v>
      </c>
      <c r="L1403" s="4">
        <v>4692.5</v>
      </c>
      <c r="M1403" t="s">
        <v>44</v>
      </c>
      <c r="N1403" t="s">
        <v>77</v>
      </c>
      <c r="O1403" t="s">
        <v>99</v>
      </c>
      <c r="P1403" t="s">
        <v>99</v>
      </c>
      <c r="Q1403" t="s">
        <v>183</v>
      </c>
      <c r="R1403" t="s">
        <v>184</v>
      </c>
      <c r="S1403" t="s">
        <v>185</v>
      </c>
      <c r="T1403" t="s">
        <v>162</v>
      </c>
      <c r="U1403" t="s">
        <v>163</v>
      </c>
      <c r="V1403" t="s">
        <v>186</v>
      </c>
      <c r="W1403" t="s">
        <v>116</v>
      </c>
      <c r="X1403" t="s">
        <v>44</v>
      </c>
      <c r="Y1403" t="s">
        <v>99</v>
      </c>
      <c r="Z1403" t="s">
        <v>421</v>
      </c>
      <c r="AC1403" t="str">
        <f>IF(AA1403="",M1403,AA1403)</f>
        <v>sim</v>
      </c>
      <c r="AD1403" t="str">
        <f>IF(AB1403="",X1403,AB1403)</f>
        <v>sim</v>
      </c>
      <c r="AE1403" t="str">
        <f>IF(OR(Configuracao!B9="",Configuracao!B10=""),"aguardando limiar",IF(AND(K1403&gt;=Configuracao!B9,K1403/MAX(Reconciliacao!C2,1)&gt;=Configuracao!B10/100),"sim","não"))</f>
        <v>aguardando limiar</v>
      </c>
    </row>
    <row r="1404" spans="1:31" x14ac:dyDescent="0.25">
      <c r="A1404">
        <v>6102</v>
      </c>
      <c r="D1404" t="s">
        <v>1147</v>
      </c>
      <c r="E1404" t="s">
        <v>451</v>
      </c>
      <c r="F1404" t="s">
        <v>182</v>
      </c>
      <c r="G1404" t="s">
        <v>181</v>
      </c>
      <c r="H1404" t="s">
        <v>180</v>
      </c>
      <c r="I1404" t="s">
        <v>32</v>
      </c>
      <c r="J1404" t="s">
        <v>32</v>
      </c>
      <c r="K1404" s="4">
        <v>6000</v>
      </c>
      <c r="L1404" s="4">
        <v>6000</v>
      </c>
      <c r="M1404" t="s">
        <v>44</v>
      </c>
      <c r="N1404" t="s">
        <v>77</v>
      </c>
      <c r="O1404" t="s">
        <v>99</v>
      </c>
      <c r="P1404" t="s">
        <v>99</v>
      </c>
      <c r="Q1404" t="s">
        <v>183</v>
      </c>
      <c r="R1404" t="s">
        <v>184</v>
      </c>
      <c r="S1404" t="s">
        <v>185</v>
      </c>
      <c r="T1404" t="s">
        <v>162</v>
      </c>
      <c r="U1404" t="s">
        <v>163</v>
      </c>
      <c r="V1404" t="s">
        <v>186</v>
      </c>
      <c r="W1404" t="s">
        <v>116</v>
      </c>
      <c r="X1404" t="s">
        <v>44</v>
      </c>
      <c r="Y1404" t="s">
        <v>99</v>
      </c>
      <c r="Z1404" t="s">
        <v>421</v>
      </c>
      <c r="AC1404" t="str">
        <f>IF(AA1404="",M1404,AA1404)</f>
        <v>sim</v>
      </c>
      <c r="AD1404" t="str">
        <f>IF(AB1404="",X1404,AB1404)</f>
        <v>sim</v>
      </c>
      <c r="AE1404" t="str">
        <f>IF(OR(Configuracao!B9="",Configuracao!B10=""),"aguardando limiar",IF(AND(K1404&gt;=Configuracao!B9,K1404/MAX(Reconciliacao!C2,1)&gt;=Configuracao!B10/100),"sim","não"))</f>
        <v>aguardando limiar</v>
      </c>
    </row>
    <row r="1405" spans="1:31" x14ac:dyDescent="0.25">
      <c r="A1405">
        <v>6103</v>
      </c>
      <c r="D1405" t="s">
        <v>1147</v>
      </c>
      <c r="E1405" t="s">
        <v>451</v>
      </c>
      <c r="F1405" t="s">
        <v>182</v>
      </c>
      <c r="G1405" t="s">
        <v>181</v>
      </c>
      <c r="H1405" t="s">
        <v>180</v>
      </c>
      <c r="I1405" t="s">
        <v>424</v>
      </c>
      <c r="J1405" t="s">
        <v>424</v>
      </c>
      <c r="K1405" s="4">
        <v>6000</v>
      </c>
      <c r="L1405" s="4">
        <v>6000</v>
      </c>
      <c r="M1405" t="s">
        <v>44</v>
      </c>
      <c r="N1405" t="s">
        <v>77</v>
      </c>
      <c r="O1405" t="s">
        <v>99</v>
      </c>
      <c r="P1405" t="s">
        <v>99</v>
      </c>
      <c r="Q1405" t="s">
        <v>183</v>
      </c>
      <c r="R1405" t="s">
        <v>184</v>
      </c>
      <c r="S1405" t="s">
        <v>185</v>
      </c>
      <c r="T1405" t="s">
        <v>162</v>
      </c>
      <c r="U1405" t="s">
        <v>163</v>
      </c>
      <c r="V1405" t="s">
        <v>186</v>
      </c>
      <c r="W1405" t="s">
        <v>116</v>
      </c>
      <c r="X1405" t="s">
        <v>44</v>
      </c>
      <c r="Y1405" t="s">
        <v>99</v>
      </c>
      <c r="Z1405" t="s">
        <v>421</v>
      </c>
      <c r="AC1405" t="str">
        <f>IF(AA1405="",M1405,AA1405)</f>
        <v>sim</v>
      </c>
      <c r="AD1405" t="str">
        <f>IF(AB1405="",X1405,AB1405)</f>
        <v>sim</v>
      </c>
      <c r="AE1405" t="str">
        <f>IF(OR(Configuracao!B9="",Configuracao!B10=""),"aguardando limiar",IF(AND(K1405&gt;=Configuracao!B9,K1405/MAX(Reconciliacao!C2,1)&gt;=Configuracao!B10/100),"sim","não"))</f>
        <v>aguardando limiar</v>
      </c>
    </row>
    <row r="1406" spans="1:31" x14ac:dyDescent="0.25">
      <c r="A1406">
        <v>6104</v>
      </c>
      <c r="D1406" t="s">
        <v>1147</v>
      </c>
      <c r="E1406" t="s">
        <v>451</v>
      </c>
      <c r="F1406" t="s">
        <v>182</v>
      </c>
      <c r="G1406" t="s">
        <v>181</v>
      </c>
      <c r="H1406" t="s">
        <v>180</v>
      </c>
      <c r="I1406" t="s">
        <v>420</v>
      </c>
      <c r="J1406" t="s">
        <v>420</v>
      </c>
      <c r="K1406" s="4">
        <v>6000</v>
      </c>
      <c r="L1406" s="4">
        <v>6000</v>
      </c>
      <c r="M1406" t="s">
        <v>44</v>
      </c>
      <c r="N1406" t="s">
        <v>77</v>
      </c>
      <c r="O1406" t="s">
        <v>99</v>
      </c>
      <c r="P1406" t="s">
        <v>99</v>
      </c>
      <c r="Q1406" t="s">
        <v>183</v>
      </c>
      <c r="R1406" t="s">
        <v>184</v>
      </c>
      <c r="S1406" t="s">
        <v>185</v>
      </c>
      <c r="T1406" t="s">
        <v>162</v>
      </c>
      <c r="U1406" t="s">
        <v>163</v>
      </c>
      <c r="V1406" t="s">
        <v>186</v>
      </c>
      <c r="W1406" t="s">
        <v>116</v>
      </c>
      <c r="X1406" t="s">
        <v>44</v>
      </c>
      <c r="Y1406" t="s">
        <v>99</v>
      </c>
      <c r="Z1406" t="s">
        <v>421</v>
      </c>
      <c r="AC1406" t="str">
        <f>IF(AA1406="",M1406,AA1406)</f>
        <v>sim</v>
      </c>
      <c r="AD1406" t="str">
        <f>IF(AB1406="",X1406,AB1406)</f>
        <v>sim</v>
      </c>
      <c r="AE1406" t="str">
        <f>IF(OR(Configuracao!B9="",Configuracao!B10=""),"aguardando limiar",IF(AND(K1406&gt;=Configuracao!B9,K1406/MAX(Reconciliacao!C2,1)&gt;=Configuracao!B10/100),"sim","não"))</f>
        <v>aguardando limiar</v>
      </c>
    </row>
    <row r="1407" spans="1:31" x14ac:dyDescent="0.25">
      <c r="A1407">
        <v>6105</v>
      </c>
      <c r="D1407" t="s">
        <v>1147</v>
      </c>
      <c r="E1407" t="s">
        <v>451</v>
      </c>
      <c r="F1407" t="s">
        <v>182</v>
      </c>
      <c r="G1407" t="s">
        <v>181</v>
      </c>
      <c r="H1407" t="s">
        <v>180</v>
      </c>
      <c r="I1407" t="s">
        <v>454</v>
      </c>
      <c r="J1407" t="s">
        <v>454</v>
      </c>
      <c r="K1407" s="4">
        <v>6000</v>
      </c>
      <c r="L1407" s="4">
        <v>6000</v>
      </c>
      <c r="M1407" t="s">
        <v>44</v>
      </c>
      <c r="N1407" t="s">
        <v>77</v>
      </c>
      <c r="O1407" t="s">
        <v>99</v>
      </c>
      <c r="P1407" t="s">
        <v>99</v>
      </c>
      <c r="Q1407" t="s">
        <v>183</v>
      </c>
      <c r="R1407" t="s">
        <v>184</v>
      </c>
      <c r="S1407" t="s">
        <v>185</v>
      </c>
      <c r="T1407" t="s">
        <v>162</v>
      </c>
      <c r="U1407" t="s">
        <v>163</v>
      </c>
      <c r="V1407" t="s">
        <v>186</v>
      </c>
      <c r="W1407" t="s">
        <v>116</v>
      </c>
      <c r="X1407" t="s">
        <v>44</v>
      </c>
      <c r="Y1407" t="s">
        <v>99</v>
      </c>
      <c r="Z1407" t="s">
        <v>421</v>
      </c>
      <c r="AC1407" t="str">
        <f>IF(AA1407="",M1407,AA1407)</f>
        <v>sim</v>
      </c>
      <c r="AD1407" t="str">
        <f>IF(AB1407="",X1407,AB1407)</f>
        <v>sim</v>
      </c>
      <c r="AE1407" t="str">
        <f>IF(OR(Configuracao!B9="",Configuracao!B10=""),"aguardando limiar",IF(AND(K1407&gt;=Configuracao!B9,K1407/MAX(Reconciliacao!C2,1)&gt;=Configuracao!B10/100),"sim","não"))</f>
        <v>aguardando limiar</v>
      </c>
    </row>
    <row r="1408" spans="1:31" x14ac:dyDescent="0.25">
      <c r="A1408">
        <v>6106</v>
      </c>
      <c r="D1408" t="s">
        <v>1147</v>
      </c>
      <c r="E1408" t="s">
        <v>451</v>
      </c>
      <c r="F1408" t="s">
        <v>182</v>
      </c>
      <c r="G1408" t="s">
        <v>181</v>
      </c>
      <c r="H1408" t="s">
        <v>180</v>
      </c>
      <c r="I1408" t="s">
        <v>461</v>
      </c>
      <c r="J1408" t="s">
        <v>461</v>
      </c>
      <c r="K1408" s="4">
        <v>6000</v>
      </c>
      <c r="L1408" s="4">
        <v>6000</v>
      </c>
      <c r="M1408" t="s">
        <v>44</v>
      </c>
      <c r="N1408" t="s">
        <v>77</v>
      </c>
      <c r="O1408" t="s">
        <v>99</v>
      </c>
      <c r="P1408" t="s">
        <v>99</v>
      </c>
      <c r="Q1408" t="s">
        <v>183</v>
      </c>
      <c r="R1408" t="s">
        <v>184</v>
      </c>
      <c r="S1408" t="s">
        <v>185</v>
      </c>
      <c r="T1408" t="s">
        <v>162</v>
      </c>
      <c r="U1408" t="s">
        <v>163</v>
      </c>
      <c r="V1408" t="s">
        <v>186</v>
      </c>
      <c r="W1408" t="s">
        <v>116</v>
      </c>
      <c r="X1408" t="s">
        <v>44</v>
      </c>
      <c r="Y1408" t="s">
        <v>99</v>
      </c>
      <c r="Z1408" t="s">
        <v>421</v>
      </c>
      <c r="AC1408" t="str">
        <f>IF(AA1408="",M1408,AA1408)</f>
        <v>sim</v>
      </c>
      <c r="AD1408" t="str">
        <f>IF(AB1408="",X1408,AB1408)</f>
        <v>sim</v>
      </c>
      <c r="AE1408" t="str">
        <f>IF(OR(Configuracao!B9="",Configuracao!B10=""),"aguardando limiar",IF(AND(K1408&gt;=Configuracao!B9,K1408/MAX(Reconciliacao!C2,1)&gt;=Configuracao!B10/100),"sim","não"))</f>
        <v>aguardando limiar</v>
      </c>
    </row>
    <row r="1409" spans="1:31" x14ac:dyDescent="0.25">
      <c r="A1409">
        <v>12288</v>
      </c>
      <c r="D1409" t="s">
        <v>1144</v>
      </c>
      <c r="E1409" t="s">
        <v>451</v>
      </c>
      <c r="F1409" t="s">
        <v>182</v>
      </c>
      <c r="G1409" t="s">
        <v>181</v>
      </c>
      <c r="H1409" t="s">
        <v>180</v>
      </c>
      <c r="I1409" t="s">
        <v>461</v>
      </c>
      <c r="J1409" t="s">
        <v>461</v>
      </c>
      <c r="K1409" s="4">
        <v>6000</v>
      </c>
      <c r="L1409" s="4">
        <v>6000</v>
      </c>
      <c r="M1409" t="s">
        <v>44</v>
      </c>
      <c r="N1409" t="s">
        <v>77</v>
      </c>
      <c r="O1409" t="s">
        <v>99</v>
      </c>
      <c r="P1409" t="s">
        <v>99</v>
      </c>
      <c r="Q1409" t="s">
        <v>183</v>
      </c>
      <c r="R1409" t="s">
        <v>184</v>
      </c>
      <c r="S1409" t="s">
        <v>185</v>
      </c>
      <c r="T1409" t="s">
        <v>162</v>
      </c>
      <c r="U1409" t="s">
        <v>163</v>
      </c>
      <c r="V1409" t="s">
        <v>186</v>
      </c>
      <c r="W1409" t="s">
        <v>116</v>
      </c>
      <c r="X1409" t="s">
        <v>44</v>
      </c>
      <c r="Y1409" t="s">
        <v>99</v>
      </c>
      <c r="Z1409" t="s">
        <v>421</v>
      </c>
      <c r="AC1409" t="str">
        <f>IF(AA1409="",M1409,AA1409)</f>
        <v>sim</v>
      </c>
      <c r="AD1409" t="str">
        <f>IF(AB1409="",X1409,AB1409)</f>
        <v>sim</v>
      </c>
      <c r="AE1409" t="str">
        <f>IF(OR(Configuracao!B9="",Configuracao!B10=""),"aguardando limiar",IF(AND(K1409&gt;=Configuracao!B9,K1409/MAX(Reconciliacao!C2,1)&gt;=Configuracao!B10/100),"sim","não"))</f>
        <v>aguardando limiar</v>
      </c>
    </row>
    <row r="1410" spans="1:31" x14ac:dyDescent="0.25">
      <c r="A1410">
        <v>13388</v>
      </c>
      <c r="D1410" t="s">
        <v>1148</v>
      </c>
      <c r="E1410" t="s">
        <v>451</v>
      </c>
      <c r="F1410" t="s">
        <v>182</v>
      </c>
      <c r="G1410" t="s">
        <v>181</v>
      </c>
      <c r="H1410" t="s">
        <v>180</v>
      </c>
      <c r="I1410" t="s">
        <v>420</v>
      </c>
      <c r="J1410" t="s">
        <v>420</v>
      </c>
      <c r="K1410" s="4">
        <v>7500</v>
      </c>
      <c r="L1410" s="4">
        <v>7500</v>
      </c>
      <c r="M1410" t="s">
        <v>44</v>
      </c>
      <c r="N1410" t="s">
        <v>77</v>
      </c>
      <c r="O1410" t="s">
        <v>99</v>
      </c>
      <c r="P1410" t="s">
        <v>99</v>
      </c>
      <c r="Q1410" t="s">
        <v>183</v>
      </c>
      <c r="R1410" t="s">
        <v>184</v>
      </c>
      <c r="S1410" t="s">
        <v>185</v>
      </c>
      <c r="T1410" t="s">
        <v>162</v>
      </c>
      <c r="U1410" t="s">
        <v>163</v>
      </c>
      <c r="V1410" t="s">
        <v>186</v>
      </c>
      <c r="W1410" t="s">
        <v>116</v>
      </c>
      <c r="X1410" t="s">
        <v>44</v>
      </c>
      <c r="Y1410" t="s">
        <v>99</v>
      </c>
      <c r="Z1410" t="s">
        <v>421</v>
      </c>
      <c r="AC1410" t="str">
        <f>IF(AA1410="",M1410,AA1410)</f>
        <v>sim</v>
      </c>
      <c r="AD1410" t="str">
        <f>IF(AB1410="",X1410,AB1410)</f>
        <v>sim</v>
      </c>
      <c r="AE1410" t="str">
        <f>IF(OR(Configuracao!B9="",Configuracao!B10=""),"aguardando limiar",IF(AND(K1410&gt;=Configuracao!B9,K1410/MAX(Reconciliacao!C2,1)&gt;=Configuracao!B10/100),"sim","não"))</f>
        <v>aguardando limiar</v>
      </c>
    </row>
    <row r="1411" spans="1:31" x14ac:dyDescent="0.25">
      <c r="A1411">
        <v>13389</v>
      </c>
      <c r="D1411" t="s">
        <v>1148</v>
      </c>
      <c r="E1411" t="s">
        <v>451</v>
      </c>
      <c r="F1411" t="s">
        <v>182</v>
      </c>
      <c r="G1411" t="s">
        <v>181</v>
      </c>
      <c r="H1411" t="s">
        <v>180</v>
      </c>
      <c r="I1411" t="s">
        <v>454</v>
      </c>
      <c r="J1411" t="s">
        <v>454</v>
      </c>
      <c r="K1411" s="4">
        <v>7500</v>
      </c>
      <c r="L1411" s="4">
        <v>7500</v>
      </c>
      <c r="M1411" t="s">
        <v>44</v>
      </c>
      <c r="N1411" t="s">
        <v>77</v>
      </c>
      <c r="O1411" t="s">
        <v>99</v>
      </c>
      <c r="P1411" t="s">
        <v>99</v>
      </c>
      <c r="Q1411" t="s">
        <v>183</v>
      </c>
      <c r="R1411" t="s">
        <v>184</v>
      </c>
      <c r="S1411" t="s">
        <v>185</v>
      </c>
      <c r="T1411" t="s">
        <v>162</v>
      </c>
      <c r="U1411" t="s">
        <v>163</v>
      </c>
      <c r="V1411" t="s">
        <v>186</v>
      </c>
      <c r="W1411" t="s">
        <v>116</v>
      </c>
      <c r="X1411" t="s">
        <v>44</v>
      </c>
      <c r="Y1411" t="s">
        <v>99</v>
      </c>
      <c r="Z1411" t="s">
        <v>421</v>
      </c>
      <c r="AC1411" t="str">
        <f>IF(AA1411="",M1411,AA1411)</f>
        <v>sim</v>
      </c>
      <c r="AD1411" t="str">
        <f>IF(AB1411="",X1411,AB1411)</f>
        <v>sim</v>
      </c>
      <c r="AE1411" t="str">
        <f>IF(OR(Configuracao!B9="",Configuracao!B10=""),"aguardando limiar",IF(AND(K1411&gt;=Configuracao!B9,K1411/MAX(Reconciliacao!C2,1)&gt;=Configuracao!B10/100),"sim","não"))</f>
        <v>aguardando limiar</v>
      </c>
    </row>
    <row r="1412" spans="1:31" x14ac:dyDescent="0.25">
      <c r="A1412">
        <v>13390</v>
      </c>
      <c r="D1412" t="s">
        <v>1148</v>
      </c>
      <c r="E1412" t="s">
        <v>451</v>
      </c>
      <c r="F1412" t="s">
        <v>182</v>
      </c>
      <c r="G1412" t="s">
        <v>181</v>
      </c>
      <c r="H1412" t="s">
        <v>180</v>
      </c>
      <c r="I1412" t="s">
        <v>461</v>
      </c>
      <c r="J1412" t="s">
        <v>461</v>
      </c>
      <c r="K1412" s="4">
        <v>7500</v>
      </c>
      <c r="L1412" s="4">
        <v>7500</v>
      </c>
      <c r="M1412" t="s">
        <v>44</v>
      </c>
      <c r="N1412" t="s">
        <v>77</v>
      </c>
      <c r="O1412" t="s">
        <v>99</v>
      </c>
      <c r="P1412" t="s">
        <v>99</v>
      </c>
      <c r="Q1412" t="s">
        <v>183</v>
      </c>
      <c r="R1412" t="s">
        <v>184</v>
      </c>
      <c r="S1412" t="s">
        <v>185</v>
      </c>
      <c r="T1412" t="s">
        <v>162</v>
      </c>
      <c r="U1412" t="s">
        <v>163</v>
      </c>
      <c r="V1412" t="s">
        <v>186</v>
      </c>
      <c r="W1412" t="s">
        <v>116</v>
      </c>
      <c r="X1412" t="s">
        <v>44</v>
      </c>
      <c r="Y1412" t="s">
        <v>99</v>
      </c>
      <c r="Z1412" t="s">
        <v>421</v>
      </c>
      <c r="AC1412" t="str">
        <f>IF(AA1412="",M1412,AA1412)</f>
        <v>sim</v>
      </c>
      <c r="AD1412" t="str">
        <f>IF(AB1412="",X1412,AB1412)</f>
        <v>sim</v>
      </c>
      <c r="AE1412" t="str">
        <f>IF(OR(Configuracao!B9="",Configuracao!B10=""),"aguardando limiar",IF(AND(K1412&gt;=Configuracao!B9,K1412/MAX(Reconciliacao!C2,1)&gt;=Configuracao!B10/100),"sim","não"))</f>
        <v>aguardando limiar</v>
      </c>
    </row>
    <row r="1413" spans="1:31" x14ac:dyDescent="0.25">
      <c r="A1413">
        <v>13391</v>
      </c>
      <c r="D1413" t="s">
        <v>1148</v>
      </c>
      <c r="E1413" t="s">
        <v>451</v>
      </c>
      <c r="F1413" t="s">
        <v>182</v>
      </c>
      <c r="G1413" t="s">
        <v>181</v>
      </c>
      <c r="H1413" t="s">
        <v>180</v>
      </c>
      <c r="I1413" t="s">
        <v>442</v>
      </c>
      <c r="J1413" t="s">
        <v>442</v>
      </c>
      <c r="K1413" s="4">
        <v>7500</v>
      </c>
      <c r="L1413" s="4">
        <v>7500</v>
      </c>
      <c r="M1413" t="s">
        <v>44</v>
      </c>
      <c r="N1413" t="s">
        <v>77</v>
      </c>
      <c r="O1413" t="s">
        <v>99</v>
      </c>
      <c r="P1413" t="s">
        <v>99</v>
      </c>
      <c r="Q1413" t="s">
        <v>183</v>
      </c>
      <c r="R1413" t="s">
        <v>184</v>
      </c>
      <c r="S1413" t="s">
        <v>185</v>
      </c>
      <c r="T1413" t="s">
        <v>162</v>
      </c>
      <c r="U1413" t="s">
        <v>163</v>
      </c>
      <c r="V1413" t="s">
        <v>186</v>
      </c>
      <c r="W1413" t="s">
        <v>116</v>
      </c>
      <c r="X1413" t="s">
        <v>44</v>
      </c>
      <c r="Y1413" t="s">
        <v>99</v>
      </c>
      <c r="Z1413" t="s">
        <v>421</v>
      </c>
      <c r="AC1413" t="str">
        <f>IF(AA1413="",M1413,AA1413)</f>
        <v>sim</v>
      </c>
      <c r="AD1413" t="str">
        <f>IF(AB1413="",X1413,AB1413)</f>
        <v>sim</v>
      </c>
      <c r="AE1413" t="str">
        <f>IF(OR(Configuracao!B9="",Configuracao!B10=""),"aguardando limiar",IF(AND(K1413&gt;=Configuracao!B9,K1413/MAX(Reconciliacao!C2,1)&gt;=Configuracao!B10/100),"sim","não"))</f>
        <v>aguardando limiar</v>
      </c>
    </row>
    <row r="1414" spans="1:31" x14ac:dyDescent="0.25">
      <c r="A1414">
        <v>16254</v>
      </c>
      <c r="C1414" t="s">
        <v>1149</v>
      </c>
      <c r="D1414" t="s">
        <v>933</v>
      </c>
      <c r="E1414" t="s">
        <v>546</v>
      </c>
      <c r="F1414" t="s">
        <v>182</v>
      </c>
      <c r="G1414" t="s">
        <v>181</v>
      </c>
      <c r="H1414" t="s">
        <v>180</v>
      </c>
      <c r="I1414" t="s">
        <v>461</v>
      </c>
      <c r="J1414" t="s">
        <v>461</v>
      </c>
      <c r="K1414" s="4">
        <v>8045.27</v>
      </c>
      <c r="L1414" s="4">
        <v>8045.27</v>
      </c>
      <c r="M1414" t="s">
        <v>44</v>
      </c>
      <c r="N1414" t="s">
        <v>77</v>
      </c>
      <c r="O1414" t="s">
        <v>99</v>
      </c>
      <c r="P1414" t="s">
        <v>99</v>
      </c>
      <c r="Q1414" t="s">
        <v>183</v>
      </c>
      <c r="R1414" t="s">
        <v>184</v>
      </c>
      <c r="S1414" t="s">
        <v>185</v>
      </c>
      <c r="T1414" t="s">
        <v>162</v>
      </c>
      <c r="U1414" t="s">
        <v>163</v>
      </c>
      <c r="V1414" t="s">
        <v>186</v>
      </c>
      <c r="W1414" t="s">
        <v>116</v>
      </c>
      <c r="X1414" t="s">
        <v>44</v>
      </c>
      <c r="Y1414" t="s">
        <v>99</v>
      </c>
      <c r="Z1414" t="s">
        <v>421</v>
      </c>
      <c r="AC1414" t="str">
        <f>IF(AA1414="",M1414,AA1414)</f>
        <v>sim</v>
      </c>
      <c r="AD1414" t="str">
        <f>IF(AB1414="",X1414,AB1414)</f>
        <v>sim</v>
      </c>
      <c r="AE1414" t="str">
        <f>IF(OR(Configuracao!B9="",Configuracao!B10=""),"aguardando limiar",IF(AND(K1414&gt;=Configuracao!B9,K1414/MAX(Reconciliacao!C2,1)&gt;=Configuracao!B10/100),"sim","não"))</f>
        <v>aguardando limiar</v>
      </c>
    </row>
    <row r="1415" spans="1:31" x14ac:dyDescent="0.25">
      <c r="A1415">
        <v>16255</v>
      </c>
      <c r="C1415" t="s">
        <v>1149</v>
      </c>
      <c r="D1415" t="s">
        <v>933</v>
      </c>
      <c r="E1415" t="s">
        <v>546</v>
      </c>
      <c r="F1415" t="s">
        <v>182</v>
      </c>
      <c r="G1415" t="s">
        <v>181</v>
      </c>
      <c r="H1415" t="s">
        <v>180</v>
      </c>
      <c r="I1415" t="s">
        <v>442</v>
      </c>
      <c r="J1415" t="s">
        <v>442</v>
      </c>
      <c r="K1415" s="4">
        <v>8045.27</v>
      </c>
      <c r="L1415" s="4">
        <v>8045.27</v>
      </c>
      <c r="M1415" t="s">
        <v>44</v>
      </c>
      <c r="N1415" t="s">
        <v>77</v>
      </c>
      <c r="O1415" t="s">
        <v>99</v>
      </c>
      <c r="P1415" t="s">
        <v>99</v>
      </c>
      <c r="Q1415" t="s">
        <v>183</v>
      </c>
      <c r="R1415" t="s">
        <v>184</v>
      </c>
      <c r="S1415" t="s">
        <v>185</v>
      </c>
      <c r="T1415" t="s">
        <v>162</v>
      </c>
      <c r="U1415" t="s">
        <v>163</v>
      </c>
      <c r="V1415" t="s">
        <v>186</v>
      </c>
      <c r="W1415" t="s">
        <v>116</v>
      </c>
      <c r="X1415" t="s">
        <v>44</v>
      </c>
      <c r="Y1415" t="s">
        <v>99</v>
      </c>
      <c r="Z1415" t="s">
        <v>421</v>
      </c>
      <c r="AC1415" t="str">
        <f>IF(AA1415="",M1415,AA1415)</f>
        <v>sim</v>
      </c>
      <c r="AD1415" t="str">
        <f>IF(AB1415="",X1415,AB1415)</f>
        <v>sim</v>
      </c>
      <c r="AE1415" t="str">
        <f>IF(OR(Configuracao!B9="",Configuracao!B10=""),"aguardando limiar",IF(AND(K1415&gt;=Configuracao!B9,K1415/MAX(Reconciliacao!C2,1)&gt;=Configuracao!B10/100),"sim","não"))</f>
        <v>aguardando limiar</v>
      </c>
    </row>
    <row r="1416" spans="1:31" x14ac:dyDescent="0.25">
      <c r="A1416">
        <v>16256</v>
      </c>
      <c r="C1416" t="s">
        <v>1149</v>
      </c>
      <c r="D1416" t="s">
        <v>933</v>
      </c>
      <c r="E1416" t="s">
        <v>546</v>
      </c>
      <c r="F1416" t="s">
        <v>182</v>
      </c>
      <c r="G1416" t="s">
        <v>181</v>
      </c>
      <c r="H1416" t="s">
        <v>180</v>
      </c>
      <c r="I1416" t="s">
        <v>439</v>
      </c>
      <c r="J1416" t="s">
        <v>439</v>
      </c>
      <c r="K1416" s="4">
        <v>8045.27</v>
      </c>
      <c r="L1416" s="4">
        <v>8045.27</v>
      </c>
      <c r="M1416" t="s">
        <v>44</v>
      </c>
      <c r="N1416" t="s">
        <v>77</v>
      </c>
      <c r="O1416" t="s">
        <v>99</v>
      </c>
      <c r="P1416" t="s">
        <v>99</v>
      </c>
      <c r="Q1416" t="s">
        <v>183</v>
      </c>
      <c r="R1416" t="s">
        <v>184</v>
      </c>
      <c r="S1416" t="s">
        <v>185</v>
      </c>
      <c r="T1416" t="s">
        <v>162</v>
      </c>
      <c r="U1416" t="s">
        <v>163</v>
      </c>
      <c r="V1416" t="s">
        <v>186</v>
      </c>
      <c r="W1416" t="s">
        <v>116</v>
      </c>
      <c r="X1416" t="s">
        <v>44</v>
      </c>
      <c r="Y1416" t="s">
        <v>99</v>
      </c>
      <c r="Z1416" t="s">
        <v>421</v>
      </c>
      <c r="AC1416" t="str">
        <f>IF(AA1416="",M1416,AA1416)</f>
        <v>sim</v>
      </c>
      <c r="AD1416" t="str">
        <f>IF(AB1416="",X1416,AB1416)</f>
        <v>sim</v>
      </c>
      <c r="AE1416" t="str">
        <f>IF(OR(Configuracao!B9="",Configuracao!B10=""),"aguardando limiar",IF(AND(K1416&gt;=Configuracao!B9,K1416/MAX(Reconciliacao!C2,1)&gt;=Configuracao!B10/100),"sim","não"))</f>
        <v>aguardando limiar</v>
      </c>
    </row>
    <row r="1417" spans="1:31" x14ac:dyDescent="0.25">
      <c r="A1417">
        <v>13392</v>
      </c>
      <c r="D1417" t="s">
        <v>1148</v>
      </c>
      <c r="E1417" t="s">
        <v>451</v>
      </c>
      <c r="F1417" t="s">
        <v>182</v>
      </c>
      <c r="G1417" t="s">
        <v>181</v>
      </c>
      <c r="H1417" t="s">
        <v>180</v>
      </c>
      <c r="I1417" t="s">
        <v>439</v>
      </c>
      <c r="J1417" t="s">
        <v>439</v>
      </c>
      <c r="K1417" s="4">
        <v>10000</v>
      </c>
      <c r="L1417" s="4">
        <v>10000</v>
      </c>
      <c r="M1417" t="s">
        <v>44</v>
      </c>
      <c r="N1417" t="s">
        <v>77</v>
      </c>
      <c r="O1417" t="s">
        <v>99</v>
      </c>
      <c r="P1417" t="s">
        <v>99</v>
      </c>
      <c r="Q1417" t="s">
        <v>183</v>
      </c>
      <c r="R1417" t="s">
        <v>184</v>
      </c>
      <c r="S1417" t="s">
        <v>185</v>
      </c>
      <c r="T1417" t="s">
        <v>162</v>
      </c>
      <c r="U1417" t="s">
        <v>163</v>
      </c>
      <c r="V1417" t="s">
        <v>186</v>
      </c>
      <c r="W1417" t="s">
        <v>116</v>
      </c>
      <c r="X1417" t="s">
        <v>44</v>
      </c>
      <c r="Y1417" t="s">
        <v>99</v>
      </c>
      <c r="Z1417" t="s">
        <v>421</v>
      </c>
      <c r="AC1417" t="str">
        <f>IF(AA1417="",M1417,AA1417)</f>
        <v>sim</v>
      </c>
      <c r="AD1417" t="str">
        <f>IF(AB1417="",X1417,AB1417)</f>
        <v>sim</v>
      </c>
      <c r="AE1417" t="str">
        <f>IF(OR(Configuracao!B9="",Configuracao!B10=""),"aguardando limiar",IF(AND(K1417&gt;=Configuracao!B9,K1417/MAX(Reconciliacao!C2,1)&gt;=Configuracao!B10/100),"sim","não"))</f>
        <v>aguardando limiar</v>
      </c>
    </row>
    <row r="1418" spans="1:31" x14ac:dyDescent="0.25">
      <c r="A1418">
        <v>13393</v>
      </c>
      <c r="D1418" t="s">
        <v>1148</v>
      </c>
      <c r="E1418" t="s">
        <v>451</v>
      </c>
      <c r="F1418" t="s">
        <v>182</v>
      </c>
      <c r="G1418" t="s">
        <v>181</v>
      </c>
      <c r="H1418" t="s">
        <v>180</v>
      </c>
      <c r="I1418" t="s">
        <v>35</v>
      </c>
      <c r="J1418" t="s">
        <v>35</v>
      </c>
      <c r="K1418" s="4">
        <v>10000</v>
      </c>
      <c r="L1418" s="4">
        <v>10000</v>
      </c>
      <c r="M1418" t="s">
        <v>44</v>
      </c>
      <c r="N1418" t="s">
        <v>77</v>
      </c>
      <c r="O1418" t="s">
        <v>99</v>
      </c>
      <c r="P1418" t="s">
        <v>99</v>
      </c>
      <c r="Q1418" t="s">
        <v>183</v>
      </c>
      <c r="R1418" t="s">
        <v>184</v>
      </c>
      <c r="S1418" t="s">
        <v>185</v>
      </c>
      <c r="T1418" t="s">
        <v>162</v>
      </c>
      <c r="U1418" t="s">
        <v>163</v>
      </c>
      <c r="V1418" t="s">
        <v>186</v>
      </c>
      <c r="W1418" t="s">
        <v>116</v>
      </c>
      <c r="X1418" t="s">
        <v>44</v>
      </c>
      <c r="Y1418" t="s">
        <v>99</v>
      </c>
      <c r="Z1418" t="s">
        <v>421</v>
      </c>
      <c r="AC1418" t="str">
        <f>IF(AA1418="",M1418,AA1418)</f>
        <v>sim</v>
      </c>
      <c r="AD1418" t="str">
        <f>IF(AB1418="",X1418,AB1418)</f>
        <v>sim</v>
      </c>
      <c r="AE1418" t="str">
        <f>IF(OR(Configuracao!B9="",Configuracao!B10=""),"aguardando limiar",IF(AND(K1418&gt;=Configuracao!B9,K1418/MAX(Reconciliacao!C2,1)&gt;=Configuracao!B10/100),"sim","não"))</f>
        <v>aguardando limiar</v>
      </c>
    </row>
    <row r="1419" spans="1:31" x14ac:dyDescent="0.25">
      <c r="A1419">
        <v>8764</v>
      </c>
      <c r="C1419" t="s">
        <v>1150</v>
      </c>
      <c r="D1419" t="s">
        <v>1135</v>
      </c>
      <c r="E1419" t="s">
        <v>451</v>
      </c>
      <c r="F1419" t="s">
        <v>182</v>
      </c>
      <c r="G1419" t="s">
        <v>181</v>
      </c>
      <c r="H1419" t="s">
        <v>180</v>
      </c>
      <c r="I1419" t="s">
        <v>32</v>
      </c>
      <c r="J1419" t="s">
        <v>32</v>
      </c>
      <c r="K1419" s="4">
        <v>11062.4</v>
      </c>
      <c r="L1419" s="4">
        <v>11062.4</v>
      </c>
      <c r="M1419" t="s">
        <v>44</v>
      </c>
      <c r="N1419" t="s">
        <v>77</v>
      </c>
      <c r="O1419" t="s">
        <v>99</v>
      </c>
      <c r="P1419" t="s">
        <v>99</v>
      </c>
      <c r="Q1419" t="s">
        <v>183</v>
      </c>
      <c r="R1419" t="s">
        <v>184</v>
      </c>
      <c r="S1419" t="s">
        <v>185</v>
      </c>
      <c r="T1419" t="s">
        <v>162</v>
      </c>
      <c r="U1419" t="s">
        <v>163</v>
      </c>
      <c r="V1419" t="s">
        <v>186</v>
      </c>
      <c r="W1419" t="s">
        <v>116</v>
      </c>
      <c r="X1419" t="s">
        <v>44</v>
      </c>
      <c r="Y1419" t="s">
        <v>99</v>
      </c>
      <c r="Z1419" t="s">
        <v>421</v>
      </c>
      <c r="AC1419" t="str">
        <f>IF(AA1419="",M1419,AA1419)</f>
        <v>sim</v>
      </c>
      <c r="AD1419" t="str">
        <f>IF(AB1419="",X1419,AB1419)</f>
        <v>sim</v>
      </c>
      <c r="AE1419" t="str">
        <f>IF(OR(Configuracao!B9="",Configuracao!B10=""),"aguardando limiar",IF(AND(K1419&gt;=Configuracao!B9,K1419/MAX(Reconciliacao!C2,1)&gt;=Configuracao!B10/100),"sim","não"))</f>
        <v>aguardando limiar</v>
      </c>
    </row>
    <row r="1420" spans="1:31" x14ac:dyDescent="0.25">
      <c r="A1420">
        <v>8765</v>
      </c>
      <c r="C1420" t="s">
        <v>1150</v>
      </c>
      <c r="D1420" t="s">
        <v>1135</v>
      </c>
      <c r="E1420" t="s">
        <v>451</v>
      </c>
      <c r="F1420" t="s">
        <v>182</v>
      </c>
      <c r="G1420" t="s">
        <v>181</v>
      </c>
      <c r="H1420" t="s">
        <v>180</v>
      </c>
      <c r="I1420" t="s">
        <v>424</v>
      </c>
      <c r="J1420" t="s">
        <v>424</v>
      </c>
      <c r="K1420" s="4">
        <v>11062.4</v>
      </c>
      <c r="L1420" s="4">
        <v>11062.4</v>
      </c>
      <c r="M1420" t="s">
        <v>44</v>
      </c>
      <c r="N1420" t="s">
        <v>77</v>
      </c>
      <c r="O1420" t="s">
        <v>99</v>
      </c>
      <c r="P1420" t="s">
        <v>99</v>
      </c>
      <c r="Q1420" t="s">
        <v>183</v>
      </c>
      <c r="R1420" t="s">
        <v>184</v>
      </c>
      <c r="S1420" t="s">
        <v>185</v>
      </c>
      <c r="T1420" t="s">
        <v>162</v>
      </c>
      <c r="U1420" t="s">
        <v>163</v>
      </c>
      <c r="V1420" t="s">
        <v>186</v>
      </c>
      <c r="W1420" t="s">
        <v>116</v>
      </c>
      <c r="X1420" t="s">
        <v>44</v>
      </c>
      <c r="Y1420" t="s">
        <v>99</v>
      </c>
      <c r="Z1420" t="s">
        <v>421</v>
      </c>
      <c r="AC1420" t="str">
        <f>IF(AA1420="",M1420,AA1420)</f>
        <v>sim</v>
      </c>
      <c r="AD1420" t="str">
        <f>IF(AB1420="",X1420,AB1420)</f>
        <v>sim</v>
      </c>
      <c r="AE1420" t="str">
        <f>IF(OR(Configuracao!B9="",Configuracao!B10=""),"aguardando limiar",IF(AND(K1420&gt;=Configuracao!B9,K1420/MAX(Reconciliacao!C2,1)&gt;=Configuracao!B10/100),"sim","não"))</f>
        <v>aguardando limiar</v>
      </c>
    </row>
    <row r="1421" spans="1:31" x14ac:dyDescent="0.25">
      <c r="A1421">
        <v>8766</v>
      </c>
      <c r="C1421" t="s">
        <v>1150</v>
      </c>
      <c r="D1421" t="s">
        <v>1135</v>
      </c>
      <c r="E1421" t="s">
        <v>451</v>
      </c>
      <c r="F1421" t="s">
        <v>182</v>
      </c>
      <c r="G1421" t="s">
        <v>181</v>
      </c>
      <c r="H1421" t="s">
        <v>180</v>
      </c>
      <c r="I1421" t="s">
        <v>420</v>
      </c>
      <c r="J1421" t="s">
        <v>420</v>
      </c>
      <c r="K1421" s="4">
        <v>11062.4</v>
      </c>
      <c r="L1421" s="4">
        <v>11062.4</v>
      </c>
      <c r="M1421" t="s">
        <v>44</v>
      </c>
      <c r="N1421" t="s">
        <v>77</v>
      </c>
      <c r="O1421" t="s">
        <v>99</v>
      </c>
      <c r="P1421" t="s">
        <v>99</v>
      </c>
      <c r="Q1421" t="s">
        <v>183</v>
      </c>
      <c r="R1421" t="s">
        <v>184</v>
      </c>
      <c r="S1421" t="s">
        <v>185</v>
      </c>
      <c r="T1421" t="s">
        <v>162</v>
      </c>
      <c r="U1421" t="s">
        <v>163</v>
      </c>
      <c r="V1421" t="s">
        <v>186</v>
      </c>
      <c r="W1421" t="s">
        <v>116</v>
      </c>
      <c r="X1421" t="s">
        <v>44</v>
      </c>
      <c r="Y1421" t="s">
        <v>99</v>
      </c>
      <c r="Z1421" t="s">
        <v>421</v>
      </c>
      <c r="AC1421" t="str">
        <f>IF(AA1421="",M1421,AA1421)</f>
        <v>sim</v>
      </c>
      <c r="AD1421" t="str">
        <f>IF(AB1421="",X1421,AB1421)</f>
        <v>sim</v>
      </c>
      <c r="AE1421" t="str">
        <f>IF(OR(Configuracao!B9="",Configuracao!B10=""),"aguardando limiar",IF(AND(K1421&gt;=Configuracao!B9,K1421/MAX(Reconciliacao!C2,1)&gt;=Configuracao!B10/100),"sim","não"))</f>
        <v>aguardando limiar</v>
      </c>
    </row>
    <row r="1422" spans="1:31" x14ac:dyDescent="0.25">
      <c r="A1422">
        <v>8767</v>
      </c>
      <c r="C1422" t="s">
        <v>1150</v>
      </c>
      <c r="D1422" t="s">
        <v>1135</v>
      </c>
      <c r="E1422" t="s">
        <v>451</v>
      </c>
      <c r="F1422" t="s">
        <v>182</v>
      </c>
      <c r="G1422" t="s">
        <v>181</v>
      </c>
      <c r="H1422" t="s">
        <v>180</v>
      </c>
      <c r="I1422" t="s">
        <v>454</v>
      </c>
      <c r="J1422" t="s">
        <v>454</v>
      </c>
      <c r="K1422" s="4">
        <v>11062.4</v>
      </c>
      <c r="L1422" s="4">
        <v>11062.4</v>
      </c>
      <c r="M1422" t="s">
        <v>44</v>
      </c>
      <c r="N1422" t="s">
        <v>77</v>
      </c>
      <c r="O1422" t="s">
        <v>99</v>
      </c>
      <c r="P1422" t="s">
        <v>99</v>
      </c>
      <c r="Q1422" t="s">
        <v>183</v>
      </c>
      <c r="R1422" t="s">
        <v>184</v>
      </c>
      <c r="S1422" t="s">
        <v>185</v>
      </c>
      <c r="T1422" t="s">
        <v>162</v>
      </c>
      <c r="U1422" t="s">
        <v>163</v>
      </c>
      <c r="V1422" t="s">
        <v>186</v>
      </c>
      <c r="W1422" t="s">
        <v>116</v>
      </c>
      <c r="X1422" t="s">
        <v>44</v>
      </c>
      <c r="Y1422" t="s">
        <v>99</v>
      </c>
      <c r="Z1422" t="s">
        <v>421</v>
      </c>
      <c r="AC1422" t="str">
        <f>IF(AA1422="",M1422,AA1422)</f>
        <v>sim</v>
      </c>
      <c r="AD1422" t="str">
        <f>IF(AB1422="",X1422,AB1422)</f>
        <v>sim</v>
      </c>
      <c r="AE1422" t="str">
        <f>IF(OR(Configuracao!B9="",Configuracao!B10=""),"aguardando limiar",IF(AND(K1422&gt;=Configuracao!B9,K1422/MAX(Reconciliacao!C2,1)&gt;=Configuracao!B10/100),"sim","não"))</f>
        <v>aguardando limiar</v>
      </c>
    </row>
    <row r="1423" spans="1:31" x14ac:dyDescent="0.25">
      <c r="A1423">
        <v>8768</v>
      </c>
      <c r="C1423" t="s">
        <v>1150</v>
      </c>
      <c r="D1423" t="s">
        <v>1135</v>
      </c>
      <c r="E1423" t="s">
        <v>451</v>
      </c>
      <c r="F1423" t="s">
        <v>182</v>
      </c>
      <c r="G1423" t="s">
        <v>181</v>
      </c>
      <c r="H1423" t="s">
        <v>180</v>
      </c>
      <c r="I1423" t="s">
        <v>461</v>
      </c>
      <c r="J1423" t="s">
        <v>461</v>
      </c>
      <c r="K1423" s="4">
        <v>11062.4</v>
      </c>
      <c r="L1423" s="4">
        <v>11062.4</v>
      </c>
      <c r="M1423" t="s">
        <v>44</v>
      </c>
      <c r="N1423" t="s">
        <v>77</v>
      </c>
      <c r="O1423" t="s">
        <v>99</v>
      </c>
      <c r="P1423" t="s">
        <v>99</v>
      </c>
      <c r="Q1423" t="s">
        <v>183</v>
      </c>
      <c r="R1423" t="s">
        <v>184</v>
      </c>
      <c r="S1423" t="s">
        <v>185</v>
      </c>
      <c r="T1423" t="s">
        <v>162</v>
      </c>
      <c r="U1423" t="s">
        <v>163</v>
      </c>
      <c r="V1423" t="s">
        <v>186</v>
      </c>
      <c r="W1423" t="s">
        <v>116</v>
      </c>
      <c r="X1423" t="s">
        <v>44</v>
      </c>
      <c r="Y1423" t="s">
        <v>99</v>
      </c>
      <c r="Z1423" t="s">
        <v>421</v>
      </c>
      <c r="AC1423" t="str">
        <f>IF(AA1423="",M1423,AA1423)</f>
        <v>sim</v>
      </c>
      <c r="AD1423" t="str">
        <f>IF(AB1423="",X1423,AB1423)</f>
        <v>sim</v>
      </c>
      <c r="AE1423" t="str">
        <f>IF(OR(Configuracao!B9="",Configuracao!B10=""),"aguardando limiar",IF(AND(K1423&gt;=Configuracao!B9,K1423/MAX(Reconciliacao!C2,1)&gt;=Configuracao!B10/100),"sim","não"))</f>
        <v>aguardando limiar</v>
      </c>
    </row>
    <row r="1424" spans="1:31" x14ac:dyDescent="0.25">
      <c r="A1424">
        <v>8769</v>
      </c>
      <c r="C1424" t="s">
        <v>1150</v>
      </c>
      <c r="D1424" t="s">
        <v>1135</v>
      </c>
      <c r="E1424" t="s">
        <v>451</v>
      </c>
      <c r="F1424" t="s">
        <v>182</v>
      </c>
      <c r="G1424" t="s">
        <v>181</v>
      </c>
      <c r="H1424" t="s">
        <v>180</v>
      </c>
      <c r="I1424" t="s">
        <v>442</v>
      </c>
      <c r="J1424" t="s">
        <v>442</v>
      </c>
      <c r="K1424" s="4">
        <v>11062.4</v>
      </c>
      <c r="L1424" s="4">
        <v>11062.4</v>
      </c>
      <c r="M1424" t="s">
        <v>44</v>
      </c>
      <c r="N1424" t="s">
        <v>77</v>
      </c>
      <c r="O1424" t="s">
        <v>99</v>
      </c>
      <c r="P1424" t="s">
        <v>99</v>
      </c>
      <c r="Q1424" t="s">
        <v>183</v>
      </c>
      <c r="R1424" t="s">
        <v>184</v>
      </c>
      <c r="S1424" t="s">
        <v>185</v>
      </c>
      <c r="T1424" t="s">
        <v>162</v>
      </c>
      <c r="U1424" t="s">
        <v>163</v>
      </c>
      <c r="V1424" t="s">
        <v>186</v>
      </c>
      <c r="W1424" t="s">
        <v>116</v>
      </c>
      <c r="X1424" t="s">
        <v>44</v>
      </c>
      <c r="Y1424" t="s">
        <v>99</v>
      </c>
      <c r="Z1424" t="s">
        <v>421</v>
      </c>
      <c r="AC1424" t="str">
        <f>IF(AA1424="",M1424,AA1424)</f>
        <v>sim</v>
      </c>
      <c r="AD1424" t="str">
        <f>IF(AB1424="",X1424,AB1424)</f>
        <v>sim</v>
      </c>
      <c r="AE1424" t="str">
        <f>IF(OR(Configuracao!B9="",Configuracao!B10=""),"aguardando limiar",IF(AND(K1424&gt;=Configuracao!B9,K1424/MAX(Reconciliacao!C2,1)&gt;=Configuracao!B10/100),"sim","não"))</f>
        <v>aguardando limiar</v>
      </c>
    </row>
    <row r="1425" spans="1:31" x14ac:dyDescent="0.25">
      <c r="A1425">
        <v>8770</v>
      </c>
      <c r="C1425" t="s">
        <v>1150</v>
      </c>
      <c r="D1425" t="s">
        <v>1135</v>
      </c>
      <c r="E1425" t="s">
        <v>451</v>
      </c>
      <c r="F1425" t="s">
        <v>182</v>
      </c>
      <c r="G1425" t="s">
        <v>181</v>
      </c>
      <c r="H1425" t="s">
        <v>180</v>
      </c>
      <c r="I1425" t="s">
        <v>439</v>
      </c>
      <c r="J1425" t="s">
        <v>439</v>
      </c>
      <c r="K1425" s="4">
        <v>11062.4</v>
      </c>
      <c r="L1425" s="4">
        <v>11062.4</v>
      </c>
      <c r="M1425" t="s">
        <v>44</v>
      </c>
      <c r="N1425" t="s">
        <v>77</v>
      </c>
      <c r="O1425" t="s">
        <v>99</v>
      </c>
      <c r="P1425" t="s">
        <v>99</v>
      </c>
      <c r="Q1425" t="s">
        <v>183</v>
      </c>
      <c r="R1425" t="s">
        <v>184</v>
      </c>
      <c r="S1425" t="s">
        <v>185</v>
      </c>
      <c r="T1425" t="s">
        <v>162</v>
      </c>
      <c r="U1425" t="s">
        <v>163</v>
      </c>
      <c r="V1425" t="s">
        <v>186</v>
      </c>
      <c r="W1425" t="s">
        <v>116</v>
      </c>
      <c r="X1425" t="s">
        <v>44</v>
      </c>
      <c r="Y1425" t="s">
        <v>99</v>
      </c>
      <c r="Z1425" t="s">
        <v>421</v>
      </c>
      <c r="AC1425" t="str">
        <f>IF(AA1425="",M1425,AA1425)</f>
        <v>sim</v>
      </c>
      <c r="AD1425" t="str">
        <f>IF(AB1425="",X1425,AB1425)</f>
        <v>sim</v>
      </c>
      <c r="AE1425" t="str">
        <f>IF(OR(Configuracao!B9="",Configuracao!B10=""),"aguardando limiar",IF(AND(K1425&gt;=Configuracao!B9,K1425/MAX(Reconciliacao!C2,1)&gt;=Configuracao!B10/100),"sim","não"))</f>
        <v>aguardando limiar</v>
      </c>
    </row>
    <row r="1426" spans="1:31" x14ac:dyDescent="0.25">
      <c r="A1426">
        <v>8771</v>
      </c>
      <c r="C1426" t="s">
        <v>1150</v>
      </c>
      <c r="D1426" t="s">
        <v>1135</v>
      </c>
      <c r="E1426" t="s">
        <v>451</v>
      </c>
      <c r="F1426" t="s">
        <v>182</v>
      </c>
      <c r="G1426" t="s">
        <v>181</v>
      </c>
      <c r="H1426" t="s">
        <v>180</v>
      </c>
      <c r="I1426" t="s">
        <v>35</v>
      </c>
      <c r="J1426" t="s">
        <v>35</v>
      </c>
      <c r="K1426" s="4">
        <v>11062.4</v>
      </c>
      <c r="L1426" s="4">
        <v>11062.4</v>
      </c>
      <c r="M1426" t="s">
        <v>44</v>
      </c>
      <c r="N1426" t="s">
        <v>77</v>
      </c>
      <c r="O1426" t="s">
        <v>99</v>
      </c>
      <c r="P1426" t="s">
        <v>99</v>
      </c>
      <c r="Q1426" t="s">
        <v>183</v>
      </c>
      <c r="R1426" t="s">
        <v>184</v>
      </c>
      <c r="S1426" t="s">
        <v>185</v>
      </c>
      <c r="T1426" t="s">
        <v>162</v>
      </c>
      <c r="U1426" t="s">
        <v>163</v>
      </c>
      <c r="V1426" t="s">
        <v>186</v>
      </c>
      <c r="W1426" t="s">
        <v>116</v>
      </c>
      <c r="X1426" t="s">
        <v>44</v>
      </c>
      <c r="Y1426" t="s">
        <v>99</v>
      </c>
      <c r="Z1426" t="s">
        <v>421</v>
      </c>
      <c r="AC1426" t="str">
        <f>IF(AA1426="",M1426,AA1426)</f>
        <v>sim</v>
      </c>
      <c r="AD1426" t="str">
        <f>IF(AB1426="",X1426,AB1426)</f>
        <v>sim</v>
      </c>
      <c r="AE1426" t="str">
        <f>IF(OR(Configuracao!B9="",Configuracao!B10=""),"aguardando limiar",IF(AND(K1426&gt;=Configuracao!B9,K1426/MAX(Reconciliacao!C2,1)&gt;=Configuracao!B10/100),"sim","não"))</f>
        <v>aguardando limiar</v>
      </c>
    </row>
    <row r="1427" spans="1:31" x14ac:dyDescent="0.25">
      <c r="A1427">
        <v>18208</v>
      </c>
      <c r="C1427" t="s">
        <v>1151</v>
      </c>
      <c r="D1427" t="s">
        <v>1152</v>
      </c>
      <c r="E1427" t="s">
        <v>451</v>
      </c>
      <c r="F1427" t="s">
        <v>182</v>
      </c>
      <c r="G1427" t="s">
        <v>350</v>
      </c>
      <c r="H1427" t="s">
        <v>349</v>
      </c>
      <c r="I1427" t="s">
        <v>439</v>
      </c>
      <c r="J1427" t="s">
        <v>439</v>
      </c>
      <c r="K1427" s="4">
        <v>225</v>
      </c>
      <c r="L1427" s="4">
        <v>225</v>
      </c>
      <c r="M1427" t="s">
        <v>44</v>
      </c>
      <c r="N1427" t="s">
        <v>77</v>
      </c>
      <c r="O1427" t="s">
        <v>99</v>
      </c>
      <c r="P1427" t="s">
        <v>99</v>
      </c>
      <c r="Q1427" t="s">
        <v>191</v>
      </c>
      <c r="R1427" t="s">
        <v>283</v>
      </c>
      <c r="S1427" t="s">
        <v>185</v>
      </c>
      <c r="T1427" t="s">
        <v>198</v>
      </c>
      <c r="U1427" t="s">
        <v>163</v>
      </c>
      <c r="V1427" t="s">
        <v>164</v>
      </c>
      <c r="W1427" t="s">
        <v>116</v>
      </c>
      <c r="X1427" t="s">
        <v>44</v>
      </c>
      <c r="Y1427" t="s">
        <v>99</v>
      </c>
      <c r="Z1427" t="s">
        <v>421</v>
      </c>
      <c r="AC1427" t="str">
        <f>IF(AA1427="",M1427,AA1427)</f>
        <v>sim</v>
      </c>
      <c r="AD1427" t="str">
        <f>IF(AB1427="",X1427,AB1427)</f>
        <v>sim</v>
      </c>
      <c r="AE1427" t="str">
        <f>IF(OR(Configuracao!B9="",Configuracao!B10=""),"aguardando limiar",IF(AND(K1427&gt;=Configuracao!B9,K1427/MAX(Reconciliacao!C2,1)&gt;=Configuracao!B10/100),"sim","não"))</f>
        <v>aguardando limiar</v>
      </c>
    </row>
    <row r="1428" spans="1:31" x14ac:dyDescent="0.25">
      <c r="A1428">
        <v>18209</v>
      </c>
      <c r="C1428" t="s">
        <v>1151</v>
      </c>
      <c r="D1428" t="s">
        <v>1152</v>
      </c>
      <c r="E1428" t="s">
        <v>451</v>
      </c>
      <c r="F1428" t="s">
        <v>182</v>
      </c>
      <c r="G1428" t="s">
        <v>350</v>
      </c>
      <c r="H1428" t="s">
        <v>349</v>
      </c>
      <c r="I1428" t="s">
        <v>35</v>
      </c>
      <c r="J1428" t="s">
        <v>35</v>
      </c>
      <c r="K1428" s="4">
        <v>225</v>
      </c>
      <c r="L1428" s="4">
        <v>225</v>
      </c>
      <c r="M1428" t="s">
        <v>44</v>
      </c>
      <c r="N1428" t="s">
        <v>77</v>
      </c>
      <c r="O1428" t="s">
        <v>99</v>
      </c>
      <c r="P1428" t="s">
        <v>99</v>
      </c>
      <c r="Q1428" t="s">
        <v>191</v>
      </c>
      <c r="R1428" t="s">
        <v>283</v>
      </c>
      <c r="S1428" t="s">
        <v>185</v>
      </c>
      <c r="T1428" t="s">
        <v>198</v>
      </c>
      <c r="U1428" t="s">
        <v>163</v>
      </c>
      <c r="V1428" t="s">
        <v>164</v>
      </c>
      <c r="W1428" t="s">
        <v>116</v>
      </c>
      <c r="X1428" t="s">
        <v>44</v>
      </c>
      <c r="Y1428" t="s">
        <v>99</v>
      </c>
      <c r="Z1428" t="s">
        <v>421</v>
      </c>
      <c r="AC1428" t="str">
        <f>IF(AA1428="",M1428,AA1428)</f>
        <v>sim</v>
      </c>
      <c r="AD1428" t="str">
        <f>IF(AB1428="",X1428,AB1428)</f>
        <v>sim</v>
      </c>
      <c r="AE1428" t="str">
        <f>IF(OR(Configuracao!B9="",Configuracao!B10=""),"aguardando limiar",IF(AND(K1428&gt;=Configuracao!B9,K1428/MAX(Reconciliacao!C2,1)&gt;=Configuracao!B10/100),"sim","não"))</f>
        <v>aguardando limiar</v>
      </c>
    </row>
    <row r="1429" spans="1:31" x14ac:dyDescent="0.25">
      <c r="A1429">
        <v>9790</v>
      </c>
      <c r="C1429" t="s">
        <v>1153</v>
      </c>
      <c r="D1429" t="s">
        <v>1154</v>
      </c>
      <c r="E1429" t="s">
        <v>451</v>
      </c>
      <c r="F1429" t="s">
        <v>182</v>
      </c>
      <c r="G1429" t="s">
        <v>350</v>
      </c>
      <c r="H1429" t="s">
        <v>349</v>
      </c>
      <c r="I1429" t="s">
        <v>32</v>
      </c>
      <c r="J1429" t="s">
        <v>32</v>
      </c>
      <c r="K1429" s="4">
        <v>675</v>
      </c>
      <c r="L1429" s="4">
        <v>675</v>
      </c>
      <c r="M1429" t="s">
        <v>44</v>
      </c>
      <c r="N1429" t="s">
        <v>77</v>
      </c>
      <c r="O1429" t="s">
        <v>99</v>
      </c>
      <c r="P1429" t="s">
        <v>99</v>
      </c>
      <c r="Q1429" t="s">
        <v>191</v>
      </c>
      <c r="R1429" t="s">
        <v>283</v>
      </c>
      <c r="S1429" t="s">
        <v>185</v>
      </c>
      <c r="T1429" t="s">
        <v>198</v>
      </c>
      <c r="U1429" t="s">
        <v>163</v>
      </c>
      <c r="V1429" t="s">
        <v>164</v>
      </c>
      <c r="W1429" t="s">
        <v>116</v>
      </c>
      <c r="X1429" t="s">
        <v>44</v>
      </c>
      <c r="Y1429" t="s">
        <v>99</v>
      </c>
      <c r="Z1429" t="s">
        <v>421</v>
      </c>
      <c r="AC1429" t="str">
        <f>IF(AA1429="",M1429,AA1429)</f>
        <v>sim</v>
      </c>
      <c r="AD1429" t="str">
        <f>IF(AB1429="",X1429,AB1429)</f>
        <v>sim</v>
      </c>
      <c r="AE1429" t="str">
        <f>IF(OR(Configuracao!B9="",Configuracao!B10=""),"aguardando limiar",IF(AND(K1429&gt;=Configuracao!B9,K1429/MAX(Reconciliacao!C2,1)&gt;=Configuracao!B10/100),"sim","não"))</f>
        <v>aguardando limiar</v>
      </c>
    </row>
    <row r="1430" spans="1:31" x14ac:dyDescent="0.25">
      <c r="A1430">
        <v>9792</v>
      </c>
      <c r="C1430" t="s">
        <v>1155</v>
      </c>
      <c r="D1430" t="s">
        <v>1156</v>
      </c>
      <c r="E1430" t="s">
        <v>451</v>
      </c>
      <c r="F1430" t="s">
        <v>182</v>
      </c>
      <c r="G1430" t="s">
        <v>350</v>
      </c>
      <c r="H1430" t="s">
        <v>349</v>
      </c>
      <c r="I1430" t="s">
        <v>32</v>
      </c>
      <c r="J1430" t="s">
        <v>32</v>
      </c>
      <c r="K1430" s="4">
        <v>1299.55</v>
      </c>
      <c r="L1430" s="4">
        <v>1299.55</v>
      </c>
      <c r="M1430" t="s">
        <v>44</v>
      </c>
      <c r="N1430" t="s">
        <v>77</v>
      </c>
      <c r="O1430" t="s">
        <v>99</v>
      </c>
      <c r="P1430" t="s">
        <v>99</v>
      </c>
      <c r="Q1430" t="s">
        <v>191</v>
      </c>
      <c r="R1430" t="s">
        <v>283</v>
      </c>
      <c r="S1430" t="s">
        <v>185</v>
      </c>
      <c r="T1430" t="s">
        <v>198</v>
      </c>
      <c r="U1430" t="s">
        <v>163</v>
      </c>
      <c r="V1430" t="s">
        <v>164</v>
      </c>
      <c r="W1430" t="s">
        <v>116</v>
      </c>
      <c r="X1430" t="s">
        <v>166</v>
      </c>
      <c r="Y1430" t="s">
        <v>1157</v>
      </c>
      <c r="Z1430" t="s">
        <v>434</v>
      </c>
      <c r="AC1430" t="str">
        <f>IF(AA1430="",M1430,AA1430)</f>
        <v>sim</v>
      </c>
      <c r="AD1430" t="str">
        <f>IF(AB1430="",X1430,AB1430)</f>
        <v>não</v>
      </c>
      <c r="AE1430" t="str">
        <f>IF(OR(Configuracao!B9="",Configuracao!B10=""),"aguardando limiar",IF(AND(K1430&gt;=Configuracao!B9,K1430/MAX(Reconciliacao!C2,1)&gt;=Configuracao!B10/100),"sim","não"))</f>
        <v>aguardando limiar</v>
      </c>
    </row>
    <row r="1431" spans="1:31" x14ac:dyDescent="0.25">
      <c r="A1431">
        <v>18871</v>
      </c>
      <c r="C1431" t="s">
        <v>293</v>
      </c>
      <c r="D1431" t="s">
        <v>1158</v>
      </c>
      <c r="E1431" t="s">
        <v>451</v>
      </c>
      <c r="F1431" t="s">
        <v>182</v>
      </c>
      <c r="G1431" t="s">
        <v>293</v>
      </c>
      <c r="H1431" t="s">
        <v>292</v>
      </c>
      <c r="I1431" t="s">
        <v>35</v>
      </c>
      <c r="J1431" t="s">
        <v>35</v>
      </c>
      <c r="K1431" s="4">
        <v>60</v>
      </c>
      <c r="L1431" s="4">
        <v>60</v>
      </c>
      <c r="M1431" t="s">
        <v>44</v>
      </c>
      <c r="N1431" t="s">
        <v>77</v>
      </c>
      <c r="O1431" t="s">
        <v>99</v>
      </c>
      <c r="P1431" t="s">
        <v>99</v>
      </c>
      <c r="Q1431" t="s">
        <v>191</v>
      </c>
      <c r="R1431" t="s">
        <v>283</v>
      </c>
      <c r="S1431" t="s">
        <v>185</v>
      </c>
      <c r="T1431" t="s">
        <v>198</v>
      </c>
      <c r="U1431" t="s">
        <v>163</v>
      </c>
      <c r="V1431" t="s">
        <v>164</v>
      </c>
      <c r="W1431" t="s">
        <v>116</v>
      </c>
      <c r="X1431" t="s">
        <v>44</v>
      </c>
      <c r="Y1431" t="s">
        <v>99</v>
      </c>
      <c r="Z1431" t="s">
        <v>421</v>
      </c>
      <c r="AC1431" t="str">
        <f>IF(AA1431="",M1431,AA1431)</f>
        <v>sim</v>
      </c>
      <c r="AD1431" t="str">
        <f>IF(AB1431="",X1431,AB1431)</f>
        <v>sim</v>
      </c>
      <c r="AE1431" t="str">
        <f>IF(OR(Configuracao!B9="",Configuracao!B10=""),"aguardando limiar",IF(AND(K1431&gt;=Configuracao!B9,K1431/MAX(Reconciliacao!C2,1)&gt;=Configuracao!B10/100),"sim","não"))</f>
        <v>aguardando limiar</v>
      </c>
    </row>
    <row r="1432" spans="1:31" x14ac:dyDescent="0.25">
      <c r="A1432">
        <v>11635</v>
      </c>
      <c r="C1432" t="s">
        <v>293</v>
      </c>
      <c r="D1432" t="s">
        <v>1158</v>
      </c>
      <c r="E1432" t="s">
        <v>451</v>
      </c>
      <c r="F1432" t="s">
        <v>182</v>
      </c>
      <c r="G1432" t="s">
        <v>293</v>
      </c>
      <c r="H1432" t="s">
        <v>292</v>
      </c>
      <c r="I1432" t="s">
        <v>32</v>
      </c>
      <c r="J1432" t="s">
        <v>32</v>
      </c>
      <c r="K1432" s="4">
        <v>200</v>
      </c>
      <c r="L1432" s="4">
        <v>200</v>
      </c>
      <c r="M1432" t="s">
        <v>44</v>
      </c>
      <c r="N1432" t="s">
        <v>77</v>
      </c>
      <c r="O1432" t="s">
        <v>99</v>
      </c>
      <c r="P1432" t="s">
        <v>99</v>
      </c>
      <c r="Q1432" t="s">
        <v>191</v>
      </c>
      <c r="R1432" t="s">
        <v>283</v>
      </c>
      <c r="S1432" t="s">
        <v>185</v>
      </c>
      <c r="T1432" t="s">
        <v>198</v>
      </c>
      <c r="U1432" t="s">
        <v>163</v>
      </c>
      <c r="V1432" t="s">
        <v>164</v>
      </c>
      <c r="W1432" t="s">
        <v>116</v>
      </c>
      <c r="X1432" t="s">
        <v>44</v>
      </c>
      <c r="Y1432" t="s">
        <v>99</v>
      </c>
      <c r="Z1432" t="s">
        <v>421</v>
      </c>
      <c r="AC1432" t="str">
        <f>IF(AA1432="",M1432,AA1432)</f>
        <v>sim</v>
      </c>
      <c r="AD1432" t="str">
        <f>IF(AB1432="",X1432,AB1432)</f>
        <v>sim</v>
      </c>
      <c r="AE1432" t="str">
        <f>IF(OR(Configuracao!B9="",Configuracao!B10=""),"aguardando limiar",IF(AND(K1432&gt;=Configuracao!B9,K1432/MAX(Reconciliacao!C2,1)&gt;=Configuracao!B10/100),"sim","não"))</f>
        <v>aguardando limiar</v>
      </c>
    </row>
    <row r="1433" spans="1:31" x14ac:dyDescent="0.25">
      <c r="A1433">
        <v>11636</v>
      </c>
      <c r="C1433" t="s">
        <v>293</v>
      </c>
      <c r="D1433" t="s">
        <v>1158</v>
      </c>
      <c r="E1433" t="s">
        <v>451</v>
      </c>
      <c r="F1433" t="s">
        <v>182</v>
      </c>
      <c r="G1433" t="s">
        <v>293</v>
      </c>
      <c r="H1433" t="s">
        <v>292</v>
      </c>
      <c r="I1433" t="s">
        <v>32</v>
      </c>
      <c r="J1433" t="s">
        <v>32</v>
      </c>
      <c r="K1433" s="4">
        <v>200</v>
      </c>
      <c r="L1433" s="4">
        <v>200</v>
      </c>
      <c r="M1433" t="s">
        <v>44</v>
      </c>
      <c r="N1433" t="s">
        <v>77</v>
      </c>
      <c r="O1433" t="s">
        <v>99</v>
      </c>
      <c r="P1433" t="s">
        <v>99</v>
      </c>
      <c r="Q1433" t="s">
        <v>191</v>
      </c>
      <c r="R1433" t="s">
        <v>283</v>
      </c>
      <c r="S1433" t="s">
        <v>185</v>
      </c>
      <c r="T1433" t="s">
        <v>198</v>
      </c>
      <c r="U1433" t="s">
        <v>163</v>
      </c>
      <c r="V1433" t="s">
        <v>164</v>
      </c>
      <c r="W1433" t="s">
        <v>116</v>
      </c>
      <c r="X1433" t="s">
        <v>44</v>
      </c>
      <c r="Y1433" t="s">
        <v>99</v>
      </c>
      <c r="Z1433" t="s">
        <v>421</v>
      </c>
      <c r="AC1433" t="str">
        <f>IF(AA1433="",M1433,AA1433)</f>
        <v>sim</v>
      </c>
      <c r="AD1433" t="str">
        <f>IF(AB1433="",X1433,AB1433)</f>
        <v>sim</v>
      </c>
      <c r="AE1433" t="str">
        <f>IF(OR(Configuracao!B9="",Configuracao!B10=""),"aguardando limiar",IF(AND(K1433&gt;=Configuracao!B9,K1433/MAX(Reconciliacao!C2,1)&gt;=Configuracao!B10/100),"sim","não"))</f>
        <v>aguardando limiar</v>
      </c>
    </row>
    <row r="1434" spans="1:31" x14ac:dyDescent="0.25">
      <c r="A1434">
        <v>11647</v>
      </c>
      <c r="C1434" t="s">
        <v>293</v>
      </c>
      <c r="D1434" t="s">
        <v>1158</v>
      </c>
      <c r="E1434" t="s">
        <v>451</v>
      </c>
      <c r="F1434" t="s">
        <v>182</v>
      </c>
      <c r="G1434" t="s">
        <v>293</v>
      </c>
      <c r="H1434" t="s">
        <v>292</v>
      </c>
      <c r="I1434" t="s">
        <v>32</v>
      </c>
      <c r="J1434" t="s">
        <v>32</v>
      </c>
      <c r="K1434" s="4">
        <v>220</v>
      </c>
      <c r="L1434" s="4">
        <v>220</v>
      </c>
      <c r="M1434" t="s">
        <v>44</v>
      </c>
      <c r="N1434" t="s">
        <v>77</v>
      </c>
      <c r="O1434" t="s">
        <v>99</v>
      </c>
      <c r="P1434" t="s">
        <v>99</v>
      </c>
      <c r="Q1434" t="s">
        <v>191</v>
      </c>
      <c r="R1434" t="s">
        <v>283</v>
      </c>
      <c r="S1434" t="s">
        <v>185</v>
      </c>
      <c r="T1434" t="s">
        <v>198</v>
      </c>
      <c r="U1434" t="s">
        <v>163</v>
      </c>
      <c r="V1434" t="s">
        <v>164</v>
      </c>
      <c r="W1434" t="s">
        <v>116</v>
      </c>
      <c r="X1434" t="s">
        <v>44</v>
      </c>
      <c r="Y1434" t="s">
        <v>99</v>
      </c>
      <c r="Z1434" t="s">
        <v>421</v>
      </c>
      <c r="AC1434" t="str">
        <f>IF(AA1434="",M1434,AA1434)</f>
        <v>sim</v>
      </c>
      <c r="AD1434" t="str">
        <f>IF(AB1434="",X1434,AB1434)</f>
        <v>sim</v>
      </c>
      <c r="AE1434" t="str">
        <f>IF(OR(Configuracao!B9="",Configuracao!B10=""),"aguardando limiar",IF(AND(K1434&gt;=Configuracao!B9,K1434/MAX(Reconciliacao!C2,1)&gt;=Configuracao!B10/100),"sim","não"))</f>
        <v>aguardando limiar</v>
      </c>
    </row>
    <row r="1435" spans="1:31" x14ac:dyDescent="0.25">
      <c r="A1435">
        <v>11849</v>
      </c>
      <c r="C1435" t="s">
        <v>293</v>
      </c>
      <c r="D1435" t="s">
        <v>1158</v>
      </c>
      <c r="E1435" t="s">
        <v>451</v>
      </c>
      <c r="F1435" t="s">
        <v>182</v>
      </c>
      <c r="G1435" t="s">
        <v>293</v>
      </c>
      <c r="H1435" t="s">
        <v>292</v>
      </c>
      <c r="I1435" t="s">
        <v>32</v>
      </c>
      <c r="J1435" t="s">
        <v>32</v>
      </c>
      <c r="K1435" s="4">
        <v>220</v>
      </c>
      <c r="L1435" s="4">
        <v>220</v>
      </c>
      <c r="M1435" t="s">
        <v>44</v>
      </c>
      <c r="N1435" t="s">
        <v>77</v>
      </c>
      <c r="O1435" t="s">
        <v>99</v>
      </c>
      <c r="P1435" t="s">
        <v>99</v>
      </c>
      <c r="Q1435" t="s">
        <v>191</v>
      </c>
      <c r="R1435" t="s">
        <v>283</v>
      </c>
      <c r="S1435" t="s">
        <v>185</v>
      </c>
      <c r="T1435" t="s">
        <v>198</v>
      </c>
      <c r="U1435" t="s">
        <v>163</v>
      </c>
      <c r="V1435" t="s">
        <v>164</v>
      </c>
      <c r="W1435" t="s">
        <v>116</v>
      </c>
      <c r="X1435" t="s">
        <v>44</v>
      </c>
      <c r="Y1435" t="s">
        <v>99</v>
      </c>
      <c r="Z1435" t="s">
        <v>421</v>
      </c>
      <c r="AC1435" t="str">
        <f>IF(AA1435="",M1435,AA1435)</f>
        <v>sim</v>
      </c>
      <c r="AD1435" t="str">
        <f>IF(AB1435="",X1435,AB1435)</f>
        <v>sim</v>
      </c>
      <c r="AE1435" t="str">
        <f>IF(OR(Configuracao!B9="",Configuracao!B10=""),"aguardando limiar",IF(AND(K1435&gt;=Configuracao!B9,K1435/MAX(Reconciliacao!C2,1)&gt;=Configuracao!B10/100),"sim","não"))</f>
        <v>aguardando limiar</v>
      </c>
    </row>
    <row r="1436" spans="1:31" x14ac:dyDescent="0.25">
      <c r="A1436">
        <v>11881</v>
      </c>
      <c r="C1436" t="s">
        <v>293</v>
      </c>
      <c r="D1436" t="s">
        <v>1158</v>
      </c>
      <c r="E1436" t="s">
        <v>451</v>
      </c>
      <c r="F1436" t="s">
        <v>182</v>
      </c>
      <c r="G1436" t="s">
        <v>293</v>
      </c>
      <c r="H1436" t="s">
        <v>292</v>
      </c>
      <c r="I1436" t="s">
        <v>32</v>
      </c>
      <c r="J1436" t="s">
        <v>32</v>
      </c>
      <c r="K1436" s="4">
        <v>220</v>
      </c>
      <c r="L1436" s="4">
        <v>220</v>
      </c>
      <c r="M1436" t="s">
        <v>44</v>
      </c>
      <c r="N1436" t="s">
        <v>77</v>
      </c>
      <c r="O1436" t="s">
        <v>99</v>
      </c>
      <c r="P1436" t="s">
        <v>99</v>
      </c>
      <c r="Q1436" t="s">
        <v>191</v>
      </c>
      <c r="R1436" t="s">
        <v>283</v>
      </c>
      <c r="S1436" t="s">
        <v>185</v>
      </c>
      <c r="T1436" t="s">
        <v>198</v>
      </c>
      <c r="U1436" t="s">
        <v>163</v>
      </c>
      <c r="V1436" t="s">
        <v>164</v>
      </c>
      <c r="W1436" t="s">
        <v>116</v>
      </c>
      <c r="X1436" t="s">
        <v>44</v>
      </c>
      <c r="Y1436" t="s">
        <v>99</v>
      </c>
      <c r="Z1436" t="s">
        <v>421</v>
      </c>
      <c r="AC1436" t="str">
        <f>IF(AA1436="",M1436,AA1436)</f>
        <v>sim</v>
      </c>
      <c r="AD1436" t="str">
        <f>IF(AB1436="",X1436,AB1436)</f>
        <v>sim</v>
      </c>
      <c r="AE1436" t="str">
        <f>IF(OR(Configuracao!B9="",Configuracao!B10=""),"aguardando limiar",IF(AND(K1436&gt;=Configuracao!B9,K1436/MAX(Reconciliacao!C2,1)&gt;=Configuracao!B10/100),"sim","não"))</f>
        <v>aguardando limiar</v>
      </c>
    </row>
    <row r="1437" spans="1:31" x14ac:dyDescent="0.25">
      <c r="A1437">
        <v>12228</v>
      </c>
      <c r="C1437" t="s">
        <v>293</v>
      </c>
      <c r="D1437" t="s">
        <v>1158</v>
      </c>
      <c r="E1437" t="s">
        <v>451</v>
      </c>
      <c r="F1437" t="s">
        <v>182</v>
      </c>
      <c r="G1437" t="s">
        <v>293</v>
      </c>
      <c r="H1437" t="s">
        <v>292</v>
      </c>
      <c r="I1437" t="s">
        <v>424</v>
      </c>
      <c r="J1437" t="s">
        <v>424</v>
      </c>
      <c r="K1437" s="4">
        <v>220</v>
      </c>
      <c r="L1437" s="4">
        <v>220</v>
      </c>
      <c r="M1437" t="s">
        <v>44</v>
      </c>
      <c r="N1437" t="s">
        <v>77</v>
      </c>
      <c r="O1437" t="s">
        <v>99</v>
      </c>
      <c r="P1437" t="s">
        <v>99</v>
      </c>
      <c r="Q1437" t="s">
        <v>191</v>
      </c>
      <c r="R1437" t="s">
        <v>283</v>
      </c>
      <c r="S1437" t="s">
        <v>185</v>
      </c>
      <c r="T1437" t="s">
        <v>198</v>
      </c>
      <c r="U1437" t="s">
        <v>163</v>
      </c>
      <c r="V1437" t="s">
        <v>164</v>
      </c>
      <c r="W1437" t="s">
        <v>116</v>
      </c>
      <c r="X1437" t="s">
        <v>44</v>
      </c>
      <c r="Y1437" t="s">
        <v>99</v>
      </c>
      <c r="Z1437" t="s">
        <v>421</v>
      </c>
      <c r="AC1437" t="str">
        <f>IF(AA1437="",M1437,AA1437)</f>
        <v>sim</v>
      </c>
      <c r="AD1437" t="str">
        <f>IF(AB1437="",X1437,AB1437)</f>
        <v>sim</v>
      </c>
      <c r="AE1437" t="str">
        <f>IF(OR(Configuracao!B9="",Configuracao!B10=""),"aguardando limiar",IF(AND(K1437&gt;=Configuracao!B9,K1437/MAX(Reconciliacao!C2,1)&gt;=Configuracao!B10/100),"sim","não"))</f>
        <v>aguardando limiar</v>
      </c>
    </row>
    <row r="1438" spans="1:31" x14ac:dyDescent="0.25">
      <c r="A1438">
        <v>12511</v>
      </c>
      <c r="C1438" t="s">
        <v>293</v>
      </c>
      <c r="D1438" t="s">
        <v>1158</v>
      </c>
      <c r="E1438" t="s">
        <v>451</v>
      </c>
      <c r="F1438" t="s">
        <v>182</v>
      </c>
      <c r="G1438" t="s">
        <v>293</v>
      </c>
      <c r="H1438" t="s">
        <v>292</v>
      </c>
      <c r="I1438" t="s">
        <v>420</v>
      </c>
      <c r="J1438" t="s">
        <v>420</v>
      </c>
      <c r="K1438" s="4">
        <v>220</v>
      </c>
      <c r="L1438" s="4">
        <v>220</v>
      </c>
      <c r="M1438" t="s">
        <v>44</v>
      </c>
      <c r="N1438" t="s">
        <v>77</v>
      </c>
      <c r="O1438" t="s">
        <v>99</v>
      </c>
      <c r="P1438" t="s">
        <v>99</v>
      </c>
      <c r="Q1438" t="s">
        <v>191</v>
      </c>
      <c r="R1438" t="s">
        <v>283</v>
      </c>
      <c r="S1438" t="s">
        <v>185</v>
      </c>
      <c r="T1438" t="s">
        <v>198</v>
      </c>
      <c r="U1438" t="s">
        <v>163</v>
      </c>
      <c r="V1438" t="s">
        <v>164</v>
      </c>
      <c r="W1438" t="s">
        <v>116</v>
      </c>
      <c r="X1438" t="s">
        <v>44</v>
      </c>
      <c r="Y1438" t="s">
        <v>99</v>
      </c>
      <c r="Z1438" t="s">
        <v>421</v>
      </c>
      <c r="AC1438" t="str">
        <f>IF(AA1438="",M1438,AA1438)</f>
        <v>sim</v>
      </c>
      <c r="AD1438" t="str">
        <f>IF(AB1438="",X1438,AB1438)</f>
        <v>sim</v>
      </c>
      <c r="AE1438" t="str">
        <f>IF(OR(Configuracao!B9="",Configuracao!B10=""),"aguardando limiar",IF(AND(K1438&gt;=Configuracao!B9,K1438/MAX(Reconciliacao!C2,1)&gt;=Configuracao!B10/100),"sim","não"))</f>
        <v>aguardando limiar</v>
      </c>
    </row>
    <row r="1439" spans="1:31" x14ac:dyDescent="0.25">
      <c r="A1439">
        <v>12641</v>
      </c>
      <c r="C1439" t="s">
        <v>293</v>
      </c>
      <c r="D1439" t="s">
        <v>1158</v>
      </c>
      <c r="E1439" t="s">
        <v>451</v>
      </c>
      <c r="F1439" t="s">
        <v>182</v>
      </c>
      <c r="G1439" t="s">
        <v>293</v>
      </c>
      <c r="H1439" t="s">
        <v>292</v>
      </c>
      <c r="I1439" t="s">
        <v>420</v>
      </c>
      <c r="J1439" t="s">
        <v>420</v>
      </c>
      <c r="K1439" s="4">
        <v>220</v>
      </c>
      <c r="L1439" s="4">
        <v>220</v>
      </c>
      <c r="M1439" t="s">
        <v>44</v>
      </c>
      <c r="N1439" t="s">
        <v>77</v>
      </c>
      <c r="O1439" t="s">
        <v>99</v>
      </c>
      <c r="P1439" t="s">
        <v>99</v>
      </c>
      <c r="Q1439" t="s">
        <v>191</v>
      </c>
      <c r="R1439" t="s">
        <v>283</v>
      </c>
      <c r="S1439" t="s">
        <v>185</v>
      </c>
      <c r="T1439" t="s">
        <v>198</v>
      </c>
      <c r="U1439" t="s">
        <v>163</v>
      </c>
      <c r="V1439" t="s">
        <v>164</v>
      </c>
      <c r="W1439" t="s">
        <v>116</v>
      </c>
      <c r="X1439" t="s">
        <v>44</v>
      </c>
      <c r="Y1439" t="s">
        <v>99</v>
      </c>
      <c r="Z1439" t="s">
        <v>421</v>
      </c>
      <c r="AC1439" t="str">
        <f>IF(AA1439="",M1439,AA1439)</f>
        <v>sim</v>
      </c>
      <c r="AD1439" t="str">
        <f>IF(AB1439="",X1439,AB1439)</f>
        <v>sim</v>
      </c>
      <c r="AE1439" t="str">
        <f>IF(OR(Configuracao!B9="",Configuracao!B10=""),"aguardando limiar",IF(AND(K1439&gt;=Configuracao!B9,K1439/MAX(Reconciliacao!C2,1)&gt;=Configuracao!B10/100),"sim","não"))</f>
        <v>aguardando limiar</v>
      </c>
    </row>
    <row r="1440" spans="1:31" x14ac:dyDescent="0.25">
      <c r="A1440">
        <v>12728</v>
      </c>
      <c r="C1440" t="s">
        <v>293</v>
      </c>
      <c r="D1440" t="s">
        <v>1158</v>
      </c>
      <c r="E1440" t="s">
        <v>451</v>
      </c>
      <c r="F1440" t="s">
        <v>182</v>
      </c>
      <c r="G1440" t="s">
        <v>293</v>
      </c>
      <c r="H1440" t="s">
        <v>292</v>
      </c>
      <c r="I1440" t="s">
        <v>420</v>
      </c>
      <c r="J1440" t="s">
        <v>420</v>
      </c>
      <c r="K1440" s="4">
        <v>220</v>
      </c>
      <c r="L1440" s="4">
        <v>220</v>
      </c>
      <c r="M1440" t="s">
        <v>44</v>
      </c>
      <c r="N1440" t="s">
        <v>77</v>
      </c>
      <c r="O1440" t="s">
        <v>99</v>
      </c>
      <c r="P1440" t="s">
        <v>99</v>
      </c>
      <c r="Q1440" t="s">
        <v>191</v>
      </c>
      <c r="R1440" t="s">
        <v>283</v>
      </c>
      <c r="S1440" t="s">
        <v>185</v>
      </c>
      <c r="T1440" t="s">
        <v>198</v>
      </c>
      <c r="U1440" t="s">
        <v>163</v>
      </c>
      <c r="V1440" t="s">
        <v>164</v>
      </c>
      <c r="W1440" t="s">
        <v>116</v>
      </c>
      <c r="X1440" t="s">
        <v>44</v>
      </c>
      <c r="Y1440" t="s">
        <v>99</v>
      </c>
      <c r="Z1440" t="s">
        <v>421</v>
      </c>
      <c r="AC1440" t="str">
        <f>IF(AA1440="",M1440,AA1440)</f>
        <v>sim</v>
      </c>
      <c r="AD1440" t="str">
        <f>IF(AB1440="",X1440,AB1440)</f>
        <v>sim</v>
      </c>
      <c r="AE1440" t="str">
        <f>IF(OR(Configuracao!B9="",Configuracao!B10=""),"aguardando limiar",IF(AND(K1440&gt;=Configuracao!B9,K1440/MAX(Reconciliacao!C2,1)&gt;=Configuracao!B10/100),"sim","não"))</f>
        <v>aguardando limiar</v>
      </c>
    </row>
    <row r="1441" spans="1:31" x14ac:dyDescent="0.25">
      <c r="A1441">
        <v>14569</v>
      </c>
      <c r="C1441" t="s">
        <v>293</v>
      </c>
      <c r="D1441" t="s">
        <v>1158</v>
      </c>
      <c r="E1441" t="s">
        <v>451</v>
      </c>
      <c r="F1441" t="s">
        <v>182</v>
      </c>
      <c r="G1441" t="s">
        <v>293</v>
      </c>
      <c r="H1441" t="s">
        <v>292</v>
      </c>
      <c r="I1441" t="s">
        <v>454</v>
      </c>
      <c r="J1441" t="s">
        <v>454</v>
      </c>
      <c r="K1441" s="4">
        <v>220</v>
      </c>
      <c r="L1441" s="4">
        <v>220</v>
      </c>
      <c r="M1441" t="s">
        <v>44</v>
      </c>
      <c r="N1441" t="s">
        <v>77</v>
      </c>
      <c r="O1441" t="s">
        <v>99</v>
      </c>
      <c r="P1441" t="s">
        <v>99</v>
      </c>
      <c r="Q1441" t="s">
        <v>191</v>
      </c>
      <c r="R1441" t="s">
        <v>283</v>
      </c>
      <c r="S1441" t="s">
        <v>185</v>
      </c>
      <c r="T1441" t="s">
        <v>198</v>
      </c>
      <c r="U1441" t="s">
        <v>163</v>
      </c>
      <c r="V1441" t="s">
        <v>164</v>
      </c>
      <c r="W1441" t="s">
        <v>116</v>
      </c>
      <c r="X1441" t="s">
        <v>44</v>
      </c>
      <c r="Y1441" t="s">
        <v>99</v>
      </c>
      <c r="Z1441" t="s">
        <v>421</v>
      </c>
      <c r="AC1441" t="str">
        <f>IF(AA1441="",M1441,AA1441)</f>
        <v>sim</v>
      </c>
      <c r="AD1441" t="str">
        <f>IF(AB1441="",X1441,AB1441)</f>
        <v>sim</v>
      </c>
      <c r="AE1441" t="str">
        <f>IF(OR(Configuracao!B9="",Configuracao!B10=""),"aguardando limiar",IF(AND(K1441&gt;=Configuracao!B9,K1441/MAX(Reconciliacao!C2,1)&gt;=Configuracao!B10/100),"sim","não"))</f>
        <v>aguardando limiar</v>
      </c>
    </row>
    <row r="1442" spans="1:31" x14ac:dyDescent="0.25">
      <c r="A1442">
        <v>14915</v>
      </c>
      <c r="C1442" t="s">
        <v>293</v>
      </c>
      <c r="D1442" t="s">
        <v>1158</v>
      </c>
      <c r="E1442" t="s">
        <v>451</v>
      </c>
      <c r="F1442" t="s">
        <v>182</v>
      </c>
      <c r="G1442" t="s">
        <v>293</v>
      </c>
      <c r="H1442" t="s">
        <v>292</v>
      </c>
      <c r="I1442" t="s">
        <v>454</v>
      </c>
      <c r="J1442" t="s">
        <v>454</v>
      </c>
      <c r="K1442" s="4">
        <v>220</v>
      </c>
      <c r="L1442" s="4">
        <v>220</v>
      </c>
      <c r="M1442" t="s">
        <v>44</v>
      </c>
      <c r="N1442" t="s">
        <v>77</v>
      </c>
      <c r="O1442" t="s">
        <v>99</v>
      </c>
      <c r="P1442" t="s">
        <v>99</v>
      </c>
      <c r="Q1442" t="s">
        <v>191</v>
      </c>
      <c r="R1442" t="s">
        <v>283</v>
      </c>
      <c r="S1442" t="s">
        <v>185</v>
      </c>
      <c r="T1442" t="s">
        <v>198</v>
      </c>
      <c r="U1442" t="s">
        <v>163</v>
      </c>
      <c r="V1442" t="s">
        <v>164</v>
      </c>
      <c r="W1442" t="s">
        <v>116</v>
      </c>
      <c r="X1442" t="s">
        <v>44</v>
      </c>
      <c r="Y1442" t="s">
        <v>99</v>
      </c>
      <c r="Z1442" t="s">
        <v>421</v>
      </c>
      <c r="AC1442" t="str">
        <f>IF(AA1442="",M1442,AA1442)</f>
        <v>sim</v>
      </c>
      <c r="AD1442" t="str">
        <f>IF(AB1442="",X1442,AB1442)</f>
        <v>sim</v>
      </c>
      <c r="AE1442" t="str">
        <f>IF(OR(Configuracao!B9="",Configuracao!B10=""),"aguardando limiar",IF(AND(K1442&gt;=Configuracao!B9,K1442/MAX(Reconciliacao!C2,1)&gt;=Configuracao!B10/100),"sim","não"))</f>
        <v>aguardando limiar</v>
      </c>
    </row>
    <row r="1443" spans="1:31" x14ac:dyDescent="0.25">
      <c r="A1443">
        <v>15887</v>
      </c>
      <c r="C1443" t="s">
        <v>293</v>
      </c>
      <c r="D1443" t="s">
        <v>1158</v>
      </c>
      <c r="E1443" t="s">
        <v>451</v>
      </c>
      <c r="F1443" t="s">
        <v>182</v>
      </c>
      <c r="G1443" t="s">
        <v>293</v>
      </c>
      <c r="H1443" t="s">
        <v>292</v>
      </c>
      <c r="I1443" t="s">
        <v>461</v>
      </c>
      <c r="J1443" t="s">
        <v>461</v>
      </c>
      <c r="K1443" s="4">
        <v>220</v>
      </c>
      <c r="L1443" s="4">
        <v>220</v>
      </c>
      <c r="M1443" t="s">
        <v>44</v>
      </c>
      <c r="N1443" t="s">
        <v>77</v>
      </c>
      <c r="O1443" t="s">
        <v>99</v>
      </c>
      <c r="P1443" t="s">
        <v>99</v>
      </c>
      <c r="Q1443" t="s">
        <v>191</v>
      </c>
      <c r="R1443" t="s">
        <v>283</v>
      </c>
      <c r="S1443" t="s">
        <v>185</v>
      </c>
      <c r="T1443" t="s">
        <v>198</v>
      </c>
      <c r="U1443" t="s">
        <v>163</v>
      </c>
      <c r="V1443" t="s">
        <v>164</v>
      </c>
      <c r="W1443" t="s">
        <v>116</v>
      </c>
      <c r="X1443" t="s">
        <v>44</v>
      </c>
      <c r="Y1443" t="s">
        <v>99</v>
      </c>
      <c r="Z1443" t="s">
        <v>421</v>
      </c>
      <c r="AC1443" t="str">
        <f>IF(AA1443="",M1443,AA1443)</f>
        <v>sim</v>
      </c>
      <c r="AD1443" t="str">
        <f>IF(AB1443="",X1443,AB1443)</f>
        <v>sim</v>
      </c>
      <c r="AE1443" t="str">
        <f>IF(OR(Configuracao!B9="",Configuracao!B10=""),"aguardando limiar",IF(AND(K1443&gt;=Configuracao!B9,K1443/MAX(Reconciliacao!C2,1)&gt;=Configuracao!B10/100),"sim","não"))</f>
        <v>aguardando limiar</v>
      </c>
    </row>
    <row r="1444" spans="1:31" x14ac:dyDescent="0.25">
      <c r="A1444">
        <v>16103</v>
      </c>
      <c r="C1444" t="s">
        <v>293</v>
      </c>
      <c r="D1444" t="s">
        <v>1158</v>
      </c>
      <c r="E1444" t="s">
        <v>451</v>
      </c>
      <c r="F1444" t="s">
        <v>182</v>
      </c>
      <c r="G1444" t="s">
        <v>293</v>
      </c>
      <c r="H1444" t="s">
        <v>292</v>
      </c>
      <c r="I1444" t="s">
        <v>461</v>
      </c>
      <c r="J1444" t="s">
        <v>461</v>
      </c>
      <c r="K1444" s="4">
        <v>220</v>
      </c>
      <c r="L1444" s="4">
        <v>220</v>
      </c>
      <c r="M1444" t="s">
        <v>44</v>
      </c>
      <c r="N1444" t="s">
        <v>77</v>
      </c>
      <c r="O1444" t="s">
        <v>99</v>
      </c>
      <c r="P1444" t="s">
        <v>99</v>
      </c>
      <c r="Q1444" t="s">
        <v>191</v>
      </c>
      <c r="R1444" t="s">
        <v>283</v>
      </c>
      <c r="S1444" t="s">
        <v>185</v>
      </c>
      <c r="T1444" t="s">
        <v>198</v>
      </c>
      <c r="U1444" t="s">
        <v>163</v>
      </c>
      <c r="V1444" t="s">
        <v>164</v>
      </c>
      <c r="W1444" t="s">
        <v>116</v>
      </c>
      <c r="X1444" t="s">
        <v>44</v>
      </c>
      <c r="Y1444" t="s">
        <v>99</v>
      </c>
      <c r="Z1444" t="s">
        <v>421</v>
      </c>
      <c r="AC1444" t="str">
        <f>IF(AA1444="",M1444,AA1444)</f>
        <v>sim</v>
      </c>
      <c r="AD1444" t="str">
        <f>IF(AB1444="",X1444,AB1444)</f>
        <v>sim</v>
      </c>
      <c r="AE1444" t="str">
        <f>IF(OR(Configuracao!B9="",Configuracao!B10=""),"aguardando limiar",IF(AND(K1444&gt;=Configuracao!B9,K1444/MAX(Reconciliacao!C2,1)&gt;=Configuracao!B10/100),"sim","não"))</f>
        <v>aguardando limiar</v>
      </c>
    </row>
    <row r="1445" spans="1:31" x14ac:dyDescent="0.25">
      <c r="A1445">
        <v>16269</v>
      </c>
      <c r="C1445" t="s">
        <v>293</v>
      </c>
      <c r="D1445" t="s">
        <v>1158</v>
      </c>
      <c r="E1445" t="s">
        <v>451</v>
      </c>
      <c r="F1445" t="s">
        <v>182</v>
      </c>
      <c r="G1445" t="s">
        <v>293</v>
      </c>
      <c r="H1445" t="s">
        <v>292</v>
      </c>
      <c r="I1445" t="s">
        <v>461</v>
      </c>
      <c r="J1445" t="s">
        <v>461</v>
      </c>
      <c r="K1445" s="4">
        <v>220</v>
      </c>
      <c r="L1445" s="4">
        <v>220</v>
      </c>
      <c r="M1445" t="s">
        <v>44</v>
      </c>
      <c r="N1445" t="s">
        <v>77</v>
      </c>
      <c r="O1445" t="s">
        <v>99</v>
      </c>
      <c r="P1445" t="s">
        <v>99</v>
      </c>
      <c r="Q1445" t="s">
        <v>191</v>
      </c>
      <c r="R1445" t="s">
        <v>283</v>
      </c>
      <c r="S1445" t="s">
        <v>185</v>
      </c>
      <c r="T1445" t="s">
        <v>198</v>
      </c>
      <c r="U1445" t="s">
        <v>163</v>
      </c>
      <c r="V1445" t="s">
        <v>164</v>
      </c>
      <c r="W1445" t="s">
        <v>116</v>
      </c>
      <c r="X1445" t="s">
        <v>44</v>
      </c>
      <c r="Y1445" t="s">
        <v>99</v>
      </c>
      <c r="Z1445" t="s">
        <v>421</v>
      </c>
      <c r="AC1445" t="str">
        <f>IF(AA1445="",M1445,AA1445)</f>
        <v>sim</v>
      </c>
      <c r="AD1445" t="str">
        <f>IF(AB1445="",X1445,AB1445)</f>
        <v>sim</v>
      </c>
      <c r="AE1445" t="str">
        <f>IF(OR(Configuracao!B9="",Configuracao!B10=""),"aguardando limiar",IF(AND(K1445&gt;=Configuracao!B9,K1445/MAX(Reconciliacao!C2,1)&gt;=Configuracao!B10/100),"sim","não"))</f>
        <v>aguardando limiar</v>
      </c>
    </row>
    <row r="1446" spans="1:31" x14ac:dyDescent="0.25">
      <c r="A1446">
        <v>16476</v>
      </c>
      <c r="C1446" t="s">
        <v>293</v>
      </c>
      <c r="D1446" t="s">
        <v>1158</v>
      </c>
      <c r="E1446" t="s">
        <v>451</v>
      </c>
      <c r="F1446" t="s">
        <v>182</v>
      </c>
      <c r="G1446" t="s">
        <v>293</v>
      </c>
      <c r="H1446" t="s">
        <v>292</v>
      </c>
      <c r="I1446" t="s">
        <v>461</v>
      </c>
      <c r="J1446" t="s">
        <v>461</v>
      </c>
      <c r="K1446" s="4">
        <v>220</v>
      </c>
      <c r="L1446" s="4">
        <v>220</v>
      </c>
      <c r="M1446" t="s">
        <v>44</v>
      </c>
      <c r="N1446" t="s">
        <v>77</v>
      </c>
      <c r="O1446" t="s">
        <v>99</v>
      </c>
      <c r="P1446" t="s">
        <v>99</v>
      </c>
      <c r="Q1446" t="s">
        <v>191</v>
      </c>
      <c r="R1446" t="s">
        <v>283</v>
      </c>
      <c r="S1446" t="s">
        <v>185</v>
      </c>
      <c r="T1446" t="s">
        <v>198</v>
      </c>
      <c r="U1446" t="s">
        <v>163</v>
      </c>
      <c r="V1446" t="s">
        <v>164</v>
      </c>
      <c r="W1446" t="s">
        <v>116</v>
      </c>
      <c r="X1446" t="s">
        <v>44</v>
      </c>
      <c r="Y1446" t="s">
        <v>99</v>
      </c>
      <c r="Z1446" t="s">
        <v>421</v>
      </c>
      <c r="AC1446" t="str">
        <f>IF(AA1446="",M1446,AA1446)</f>
        <v>sim</v>
      </c>
      <c r="AD1446" t="str">
        <f>IF(AB1446="",X1446,AB1446)</f>
        <v>sim</v>
      </c>
      <c r="AE1446" t="str">
        <f>IF(OR(Configuracao!B9="",Configuracao!B10=""),"aguardando limiar",IF(AND(K1446&gt;=Configuracao!B9,K1446/MAX(Reconciliacao!C2,1)&gt;=Configuracao!B10/100),"sim","não"))</f>
        <v>aguardando limiar</v>
      </c>
    </row>
    <row r="1447" spans="1:31" x14ac:dyDescent="0.25">
      <c r="A1447">
        <v>16640</v>
      </c>
      <c r="C1447" t="s">
        <v>293</v>
      </c>
      <c r="D1447" t="s">
        <v>1158</v>
      </c>
      <c r="E1447" t="s">
        <v>451</v>
      </c>
      <c r="F1447" t="s">
        <v>182</v>
      </c>
      <c r="G1447" t="s">
        <v>293</v>
      </c>
      <c r="H1447" t="s">
        <v>292</v>
      </c>
      <c r="I1447" t="s">
        <v>461</v>
      </c>
      <c r="J1447" t="s">
        <v>461</v>
      </c>
      <c r="K1447" s="4">
        <v>220</v>
      </c>
      <c r="L1447" s="4">
        <v>220</v>
      </c>
      <c r="M1447" t="s">
        <v>44</v>
      </c>
      <c r="N1447" t="s">
        <v>77</v>
      </c>
      <c r="O1447" t="s">
        <v>99</v>
      </c>
      <c r="P1447" t="s">
        <v>99</v>
      </c>
      <c r="Q1447" t="s">
        <v>191</v>
      </c>
      <c r="R1447" t="s">
        <v>283</v>
      </c>
      <c r="S1447" t="s">
        <v>185</v>
      </c>
      <c r="T1447" t="s">
        <v>198</v>
      </c>
      <c r="U1447" t="s">
        <v>163</v>
      </c>
      <c r="V1447" t="s">
        <v>164</v>
      </c>
      <c r="W1447" t="s">
        <v>116</v>
      </c>
      <c r="X1447" t="s">
        <v>44</v>
      </c>
      <c r="Y1447" t="s">
        <v>99</v>
      </c>
      <c r="Z1447" t="s">
        <v>421</v>
      </c>
      <c r="AC1447" t="str">
        <f>IF(AA1447="",M1447,AA1447)</f>
        <v>sim</v>
      </c>
      <c r="AD1447" t="str">
        <f>IF(AB1447="",X1447,AB1447)</f>
        <v>sim</v>
      </c>
      <c r="AE1447" t="str">
        <f>IF(OR(Configuracao!B9="",Configuracao!B10=""),"aguardando limiar",IF(AND(K1447&gt;=Configuracao!B9,K1447/MAX(Reconciliacao!C2,1)&gt;=Configuracao!B10/100),"sim","não"))</f>
        <v>aguardando limiar</v>
      </c>
    </row>
    <row r="1448" spans="1:31" x14ac:dyDescent="0.25">
      <c r="A1448">
        <v>16678</v>
      </c>
      <c r="C1448" t="s">
        <v>293</v>
      </c>
      <c r="D1448" t="s">
        <v>1158</v>
      </c>
      <c r="E1448" t="s">
        <v>451</v>
      </c>
      <c r="F1448" t="s">
        <v>182</v>
      </c>
      <c r="G1448" t="s">
        <v>293</v>
      </c>
      <c r="H1448" t="s">
        <v>292</v>
      </c>
      <c r="I1448" t="s">
        <v>461</v>
      </c>
      <c r="J1448" t="s">
        <v>461</v>
      </c>
      <c r="K1448" s="4">
        <v>220</v>
      </c>
      <c r="L1448" s="4">
        <v>220</v>
      </c>
      <c r="M1448" t="s">
        <v>44</v>
      </c>
      <c r="N1448" t="s">
        <v>77</v>
      </c>
      <c r="O1448" t="s">
        <v>99</v>
      </c>
      <c r="P1448" t="s">
        <v>99</v>
      </c>
      <c r="Q1448" t="s">
        <v>191</v>
      </c>
      <c r="R1448" t="s">
        <v>283</v>
      </c>
      <c r="S1448" t="s">
        <v>185</v>
      </c>
      <c r="T1448" t="s">
        <v>198</v>
      </c>
      <c r="U1448" t="s">
        <v>163</v>
      </c>
      <c r="V1448" t="s">
        <v>164</v>
      </c>
      <c r="W1448" t="s">
        <v>116</v>
      </c>
      <c r="X1448" t="s">
        <v>44</v>
      </c>
      <c r="Y1448" t="s">
        <v>99</v>
      </c>
      <c r="Z1448" t="s">
        <v>421</v>
      </c>
      <c r="AC1448" t="str">
        <f>IF(AA1448="",M1448,AA1448)</f>
        <v>sim</v>
      </c>
      <c r="AD1448" t="str">
        <f>IF(AB1448="",X1448,AB1448)</f>
        <v>sim</v>
      </c>
      <c r="AE1448" t="str">
        <f>IF(OR(Configuracao!B9="",Configuracao!B10=""),"aguardando limiar",IF(AND(K1448&gt;=Configuracao!B9,K1448/MAX(Reconciliacao!C2,1)&gt;=Configuracao!B10/100),"sim","não"))</f>
        <v>aguardando limiar</v>
      </c>
    </row>
    <row r="1449" spans="1:31" x14ac:dyDescent="0.25">
      <c r="A1449">
        <v>16735</v>
      </c>
      <c r="C1449" t="s">
        <v>293</v>
      </c>
      <c r="D1449" t="s">
        <v>1158</v>
      </c>
      <c r="E1449" t="s">
        <v>451</v>
      </c>
      <c r="F1449" t="s">
        <v>182</v>
      </c>
      <c r="G1449" t="s">
        <v>293</v>
      </c>
      <c r="H1449" t="s">
        <v>292</v>
      </c>
      <c r="I1449" t="s">
        <v>442</v>
      </c>
      <c r="J1449" t="s">
        <v>442</v>
      </c>
      <c r="K1449" s="4">
        <v>220</v>
      </c>
      <c r="L1449" s="4">
        <v>220</v>
      </c>
      <c r="M1449" t="s">
        <v>44</v>
      </c>
      <c r="N1449" t="s">
        <v>77</v>
      </c>
      <c r="O1449" t="s">
        <v>99</v>
      </c>
      <c r="P1449" t="s">
        <v>99</v>
      </c>
      <c r="Q1449" t="s">
        <v>191</v>
      </c>
      <c r="R1449" t="s">
        <v>283</v>
      </c>
      <c r="S1449" t="s">
        <v>185</v>
      </c>
      <c r="T1449" t="s">
        <v>198</v>
      </c>
      <c r="U1449" t="s">
        <v>163</v>
      </c>
      <c r="V1449" t="s">
        <v>164</v>
      </c>
      <c r="W1449" t="s">
        <v>116</v>
      </c>
      <c r="X1449" t="s">
        <v>44</v>
      </c>
      <c r="Y1449" t="s">
        <v>99</v>
      </c>
      <c r="Z1449" t="s">
        <v>421</v>
      </c>
      <c r="AC1449" t="str">
        <f>IF(AA1449="",M1449,AA1449)</f>
        <v>sim</v>
      </c>
      <c r="AD1449" t="str">
        <f>IF(AB1449="",X1449,AB1449)</f>
        <v>sim</v>
      </c>
      <c r="AE1449" t="str">
        <f>IF(OR(Configuracao!B9="",Configuracao!B10=""),"aguardando limiar",IF(AND(K1449&gt;=Configuracao!B9,K1449/MAX(Reconciliacao!C2,1)&gt;=Configuracao!B10/100),"sim","não"))</f>
        <v>aguardando limiar</v>
      </c>
    </row>
    <row r="1450" spans="1:31" x14ac:dyDescent="0.25">
      <c r="A1450">
        <v>16944</v>
      </c>
      <c r="C1450" t="s">
        <v>293</v>
      </c>
      <c r="D1450" t="s">
        <v>1158</v>
      </c>
      <c r="E1450" t="s">
        <v>451</v>
      </c>
      <c r="F1450" t="s">
        <v>182</v>
      </c>
      <c r="G1450" t="s">
        <v>293</v>
      </c>
      <c r="H1450" t="s">
        <v>292</v>
      </c>
      <c r="I1450" t="s">
        <v>442</v>
      </c>
      <c r="J1450" t="s">
        <v>442</v>
      </c>
      <c r="K1450" s="4">
        <v>220</v>
      </c>
      <c r="L1450" s="4">
        <v>220</v>
      </c>
      <c r="M1450" t="s">
        <v>44</v>
      </c>
      <c r="N1450" t="s">
        <v>77</v>
      </c>
      <c r="O1450" t="s">
        <v>99</v>
      </c>
      <c r="P1450" t="s">
        <v>99</v>
      </c>
      <c r="Q1450" t="s">
        <v>191</v>
      </c>
      <c r="R1450" t="s">
        <v>283</v>
      </c>
      <c r="S1450" t="s">
        <v>185</v>
      </c>
      <c r="T1450" t="s">
        <v>198</v>
      </c>
      <c r="U1450" t="s">
        <v>163</v>
      </c>
      <c r="V1450" t="s">
        <v>164</v>
      </c>
      <c r="W1450" t="s">
        <v>116</v>
      </c>
      <c r="X1450" t="s">
        <v>44</v>
      </c>
      <c r="Y1450" t="s">
        <v>99</v>
      </c>
      <c r="Z1450" t="s">
        <v>421</v>
      </c>
      <c r="AC1450" t="str">
        <f>IF(AA1450="",M1450,AA1450)</f>
        <v>sim</v>
      </c>
      <c r="AD1450" t="str">
        <f>IF(AB1450="",X1450,AB1450)</f>
        <v>sim</v>
      </c>
      <c r="AE1450" t="str">
        <f>IF(OR(Configuracao!B9="",Configuracao!B10=""),"aguardando limiar",IF(AND(K1450&gt;=Configuracao!B9,K1450/MAX(Reconciliacao!C2,1)&gt;=Configuracao!B10/100),"sim","não"))</f>
        <v>aguardando limiar</v>
      </c>
    </row>
    <row r="1451" spans="1:31" x14ac:dyDescent="0.25">
      <c r="A1451">
        <v>17098</v>
      </c>
      <c r="C1451" t="s">
        <v>293</v>
      </c>
      <c r="D1451" t="s">
        <v>1158</v>
      </c>
      <c r="E1451" t="s">
        <v>451</v>
      </c>
      <c r="F1451" t="s">
        <v>182</v>
      </c>
      <c r="G1451" t="s">
        <v>293</v>
      </c>
      <c r="H1451" t="s">
        <v>292</v>
      </c>
      <c r="I1451" t="s">
        <v>442</v>
      </c>
      <c r="J1451" t="s">
        <v>442</v>
      </c>
      <c r="K1451" s="4">
        <v>220</v>
      </c>
      <c r="L1451" s="4">
        <v>220</v>
      </c>
      <c r="M1451" t="s">
        <v>44</v>
      </c>
      <c r="N1451" t="s">
        <v>77</v>
      </c>
      <c r="O1451" t="s">
        <v>99</v>
      </c>
      <c r="P1451" t="s">
        <v>99</v>
      </c>
      <c r="Q1451" t="s">
        <v>191</v>
      </c>
      <c r="R1451" t="s">
        <v>283</v>
      </c>
      <c r="S1451" t="s">
        <v>185</v>
      </c>
      <c r="T1451" t="s">
        <v>198</v>
      </c>
      <c r="U1451" t="s">
        <v>163</v>
      </c>
      <c r="V1451" t="s">
        <v>164</v>
      </c>
      <c r="W1451" t="s">
        <v>116</v>
      </c>
      <c r="X1451" t="s">
        <v>44</v>
      </c>
      <c r="Y1451" t="s">
        <v>99</v>
      </c>
      <c r="Z1451" t="s">
        <v>421</v>
      </c>
      <c r="AC1451" t="str">
        <f>IF(AA1451="",M1451,AA1451)</f>
        <v>sim</v>
      </c>
      <c r="AD1451" t="str">
        <f>IF(AB1451="",X1451,AB1451)</f>
        <v>sim</v>
      </c>
      <c r="AE1451" t="str">
        <f>IF(OR(Configuracao!B9="",Configuracao!B10=""),"aguardando limiar",IF(AND(K1451&gt;=Configuracao!B9,K1451/MAX(Reconciliacao!C2,1)&gt;=Configuracao!B10/100),"sim","não"))</f>
        <v>aguardando limiar</v>
      </c>
    </row>
    <row r="1452" spans="1:31" x14ac:dyDescent="0.25">
      <c r="A1452">
        <v>17439</v>
      </c>
      <c r="C1452" t="s">
        <v>293</v>
      </c>
      <c r="D1452" t="s">
        <v>1158</v>
      </c>
      <c r="E1452" t="s">
        <v>451</v>
      </c>
      <c r="F1452" t="s">
        <v>182</v>
      </c>
      <c r="G1452" t="s">
        <v>293</v>
      </c>
      <c r="H1452" t="s">
        <v>292</v>
      </c>
      <c r="I1452" t="s">
        <v>442</v>
      </c>
      <c r="J1452" t="s">
        <v>442</v>
      </c>
      <c r="K1452" s="4">
        <v>220</v>
      </c>
      <c r="L1452" s="4">
        <v>220</v>
      </c>
      <c r="M1452" t="s">
        <v>44</v>
      </c>
      <c r="N1452" t="s">
        <v>77</v>
      </c>
      <c r="O1452" t="s">
        <v>99</v>
      </c>
      <c r="P1452" t="s">
        <v>99</v>
      </c>
      <c r="Q1452" t="s">
        <v>191</v>
      </c>
      <c r="R1452" t="s">
        <v>283</v>
      </c>
      <c r="S1452" t="s">
        <v>185</v>
      </c>
      <c r="T1452" t="s">
        <v>198</v>
      </c>
      <c r="U1452" t="s">
        <v>163</v>
      </c>
      <c r="V1452" t="s">
        <v>164</v>
      </c>
      <c r="W1452" t="s">
        <v>116</v>
      </c>
      <c r="X1452" t="s">
        <v>44</v>
      </c>
      <c r="Y1452" t="s">
        <v>99</v>
      </c>
      <c r="Z1452" t="s">
        <v>421</v>
      </c>
      <c r="AC1452" t="str">
        <f>IF(AA1452="",M1452,AA1452)</f>
        <v>sim</v>
      </c>
      <c r="AD1452" t="str">
        <f>IF(AB1452="",X1452,AB1452)</f>
        <v>sim</v>
      </c>
      <c r="AE1452" t="str">
        <f>IF(OR(Configuracao!B9="",Configuracao!B10=""),"aguardando limiar",IF(AND(K1452&gt;=Configuracao!B9,K1452/MAX(Reconciliacao!C2,1)&gt;=Configuracao!B10/100),"sim","não"))</f>
        <v>aguardando limiar</v>
      </c>
    </row>
    <row r="1453" spans="1:31" x14ac:dyDescent="0.25">
      <c r="A1453">
        <v>17707</v>
      </c>
      <c r="C1453" t="s">
        <v>293</v>
      </c>
      <c r="D1453" t="s">
        <v>1158</v>
      </c>
      <c r="E1453" t="s">
        <v>451</v>
      </c>
      <c r="F1453" t="s">
        <v>182</v>
      </c>
      <c r="G1453" t="s">
        <v>293</v>
      </c>
      <c r="H1453" t="s">
        <v>292</v>
      </c>
      <c r="I1453" t="s">
        <v>439</v>
      </c>
      <c r="J1453" t="s">
        <v>439</v>
      </c>
      <c r="K1453" s="4">
        <v>220</v>
      </c>
      <c r="L1453" s="4">
        <v>220</v>
      </c>
      <c r="M1453" t="s">
        <v>44</v>
      </c>
      <c r="N1453" t="s">
        <v>77</v>
      </c>
      <c r="O1453" t="s">
        <v>99</v>
      </c>
      <c r="P1453" t="s">
        <v>99</v>
      </c>
      <c r="Q1453" t="s">
        <v>191</v>
      </c>
      <c r="R1453" t="s">
        <v>283</v>
      </c>
      <c r="S1453" t="s">
        <v>185</v>
      </c>
      <c r="T1453" t="s">
        <v>198</v>
      </c>
      <c r="U1453" t="s">
        <v>163</v>
      </c>
      <c r="V1453" t="s">
        <v>164</v>
      </c>
      <c r="W1453" t="s">
        <v>116</v>
      </c>
      <c r="X1453" t="s">
        <v>44</v>
      </c>
      <c r="Y1453" t="s">
        <v>99</v>
      </c>
      <c r="Z1453" t="s">
        <v>421</v>
      </c>
      <c r="AC1453" t="str">
        <f>IF(AA1453="",M1453,AA1453)</f>
        <v>sim</v>
      </c>
      <c r="AD1453" t="str">
        <f>IF(AB1453="",X1453,AB1453)</f>
        <v>sim</v>
      </c>
      <c r="AE1453" t="str">
        <f>IF(OR(Configuracao!B9="",Configuracao!B10=""),"aguardando limiar",IF(AND(K1453&gt;=Configuracao!B9,K1453/MAX(Reconciliacao!C2,1)&gt;=Configuracao!B10/100),"sim","não"))</f>
        <v>aguardando limiar</v>
      </c>
    </row>
    <row r="1454" spans="1:31" x14ac:dyDescent="0.25">
      <c r="A1454">
        <v>18013</v>
      </c>
      <c r="C1454" t="s">
        <v>293</v>
      </c>
      <c r="D1454" t="s">
        <v>1158</v>
      </c>
      <c r="E1454" t="s">
        <v>451</v>
      </c>
      <c r="F1454" t="s">
        <v>182</v>
      </c>
      <c r="G1454" t="s">
        <v>293</v>
      </c>
      <c r="H1454" t="s">
        <v>292</v>
      </c>
      <c r="I1454" t="s">
        <v>439</v>
      </c>
      <c r="J1454" t="s">
        <v>439</v>
      </c>
      <c r="K1454" s="4">
        <v>220</v>
      </c>
      <c r="L1454" s="4">
        <v>220</v>
      </c>
      <c r="M1454" t="s">
        <v>44</v>
      </c>
      <c r="N1454" t="s">
        <v>77</v>
      </c>
      <c r="O1454" t="s">
        <v>99</v>
      </c>
      <c r="P1454" t="s">
        <v>99</v>
      </c>
      <c r="Q1454" t="s">
        <v>191</v>
      </c>
      <c r="R1454" t="s">
        <v>283</v>
      </c>
      <c r="S1454" t="s">
        <v>185</v>
      </c>
      <c r="T1454" t="s">
        <v>198</v>
      </c>
      <c r="U1454" t="s">
        <v>163</v>
      </c>
      <c r="V1454" t="s">
        <v>164</v>
      </c>
      <c r="W1454" t="s">
        <v>116</v>
      </c>
      <c r="X1454" t="s">
        <v>44</v>
      </c>
      <c r="Y1454" t="s">
        <v>99</v>
      </c>
      <c r="Z1454" t="s">
        <v>421</v>
      </c>
      <c r="AC1454" t="str">
        <f>IF(AA1454="",M1454,AA1454)</f>
        <v>sim</v>
      </c>
      <c r="AD1454" t="str">
        <f>IF(AB1454="",X1454,AB1454)</f>
        <v>sim</v>
      </c>
      <c r="AE1454" t="str">
        <f>IF(OR(Configuracao!B9="",Configuracao!B10=""),"aguardando limiar",IF(AND(K1454&gt;=Configuracao!B9,K1454/MAX(Reconciliacao!C2,1)&gt;=Configuracao!B10/100),"sim","não"))</f>
        <v>aguardando limiar</v>
      </c>
    </row>
    <row r="1455" spans="1:31" x14ac:dyDescent="0.25">
      <c r="A1455">
        <v>18312</v>
      </c>
      <c r="C1455" t="s">
        <v>293</v>
      </c>
      <c r="D1455" t="s">
        <v>1158</v>
      </c>
      <c r="E1455" t="s">
        <v>451</v>
      </c>
      <c r="F1455" t="s">
        <v>182</v>
      </c>
      <c r="G1455" t="s">
        <v>293</v>
      </c>
      <c r="H1455" t="s">
        <v>292</v>
      </c>
      <c r="I1455" t="s">
        <v>439</v>
      </c>
      <c r="J1455" t="s">
        <v>439</v>
      </c>
      <c r="K1455" s="4">
        <v>220</v>
      </c>
      <c r="L1455" s="4">
        <v>220</v>
      </c>
      <c r="M1455" t="s">
        <v>44</v>
      </c>
      <c r="N1455" t="s">
        <v>77</v>
      </c>
      <c r="O1455" t="s">
        <v>99</v>
      </c>
      <c r="P1455" t="s">
        <v>99</v>
      </c>
      <c r="Q1455" t="s">
        <v>191</v>
      </c>
      <c r="R1455" t="s">
        <v>283</v>
      </c>
      <c r="S1455" t="s">
        <v>185</v>
      </c>
      <c r="T1455" t="s">
        <v>198</v>
      </c>
      <c r="U1455" t="s">
        <v>163</v>
      </c>
      <c r="V1455" t="s">
        <v>164</v>
      </c>
      <c r="W1455" t="s">
        <v>116</v>
      </c>
      <c r="X1455" t="s">
        <v>44</v>
      </c>
      <c r="Y1455" t="s">
        <v>99</v>
      </c>
      <c r="Z1455" t="s">
        <v>421</v>
      </c>
      <c r="AC1455" t="str">
        <f>IF(AA1455="",M1455,AA1455)</f>
        <v>sim</v>
      </c>
      <c r="AD1455" t="str">
        <f>IF(AB1455="",X1455,AB1455)</f>
        <v>sim</v>
      </c>
      <c r="AE1455" t="str">
        <f>IF(OR(Configuracao!B9="",Configuracao!B10=""),"aguardando limiar",IF(AND(K1455&gt;=Configuracao!B9,K1455/MAX(Reconciliacao!C2,1)&gt;=Configuracao!B10/100),"sim","não"))</f>
        <v>aguardando limiar</v>
      </c>
    </row>
    <row r="1456" spans="1:31" x14ac:dyDescent="0.25">
      <c r="A1456">
        <v>18393</v>
      </c>
      <c r="C1456" t="s">
        <v>293</v>
      </c>
      <c r="D1456" t="s">
        <v>1158</v>
      </c>
      <c r="E1456" t="s">
        <v>451</v>
      </c>
      <c r="F1456" t="s">
        <v>182</v>
      </c>
      <c r="G1456" t="s">
        <v>293</v>
      </c>
      <c r="H1456" t="s">
        <v>292</v>
      </c>
      <c r="I1456" t="s">
        <v>439</v>
      </c>
      <c r="J1456" t="s">
        <v>439</v>
      </c>
      <c r="K1456" s="4">
        <v>220</v>
      </c>
      <c r="L1456" s="4">
        <v>220</v>
      </c>
      <c r="M1456" t="s">
        <v>44</v>
      </c>
      <c r="N1456" t="s">
        <v>77</v>
      </c>
      <c r="O1456" t="s">
        <v>99</v>
      </c>
      <c r="P1456" t="s">
        <v>99</v>
      </c>
      <c r="Q1456" t="s">
        <v>191</v>
      </c>
      <c r="R1456" t="s">
        <v>283</v>
      </c>
      <c r="S1456" t="s">
        <v>185</v>
      </c>
      <c r="T1456" t="s">
        <v>198</v>
      </c>
      <c r="U1456" t="s">
        <v>163</v>
      </c>
      <c r="V1456" t="s">
        <v>164</v>
      </c>
      <c r="W1456" t="s">
        <v>116</v>
      </c>
      <c r="X1456" t="s">
        <v>44</v>
      </c>
      <c r="Y1456" t="s">
        <v>99</v>
      </c>
      <c r="Z1456" t="s">
        <v>421</v>
      </c>
      <c r="AC1456" t="str">
        <f>IF(AA1456="",M1456,AA1456)</f>
        <v>sim</v>
      </c>
      <c r="AD1456" t="str">
        <f>IF(AB1456="",X1456,AB1456)</f>
        <v>sim</v>
      </c>
      <c r="AE1456" t="str">
        <f>IF(OR(Configuracao!B9="",Configuracao!B10=""),"aguardando limiar",IF(AND(K1456&gt;=Configuracao!B9,K1456/MAX(Reconciliacao!C2,1)&gt;=Configuracao!B10/100),"sim","não"))</f>
        <v>aguardando limiar</v>
      </c>
    </row>
    <row r="1457" spans="1:31" x14ac:dyDescent="0.25">
      <c r="A1457">
        <v>18598</v>
      </c>
      <c r="C1457" t="s">
        <v>293</v>
      </c>
      <c r="D1457" t="s">
        <v>1158</v>
      </c>
      <c r="E1457" t="s">
        <v>451</v>
      </c>
      <c r="F1457" t="s">
        <v>182</v>
      </c>
      <c r="G1457" t="s">
        <v>293</v>
      </c>
      <c r="H1457" t="s">
        <v>292</v>
      </c>
      <c r="I1457" t="s">
        <v>35</v>
      </c>
      <c r="J1457" t="s">
        <v>35</v>
      </c>
      <c r="K1457" s="4">
        <v>220</v>
      </c>
      <c r="L1457" s="4">
        <v>220</v>
      </c>
      <c r="M1457" t="s">
        <v>44</v>
      </c>
      <c r="N1457" t="s">
        <v>77</v>
      </c>
      <c r="O1457" t="s">
        <v>99</v>
      </c>
      <c r="P1457" t="s">
        <v>99</v>
      </c>
      <c r="Q1457" t="s">
        <v>191</v>
      </c>
      <c r="R1457" t="s">
        <v>283</v>
      </c>
      <c r="S1457" t="s">
        <v>185</v>
      </c>
      <c r="T1457" t="s">
        <v>198</v>
      </c>
      <c r="U1457" t="s">
        <v>163</v>
      </c>
      <c r="V1457" t="s">
        <v>164</v>
      </c>
      <c r="W1457" t="s">
        <v>116</v>
      </c>
      <c r="X1457" t="s">
        <v>44</v>
      </c>
      <c r="Y1457" t="s">
        <v>99</v>
      </c>
      <c r="Z1457" t="s">
        <v>421</v>
      </c>
      <c r="AC1457" t="str">
        <f>IF(AA1457="",M1457,AA1457)</f>
        <v>sim</v>
      </c>
      <c r="AD1457" t="str">
        <f>IF(AB1457="",X1457,AB1457)</f>
        <v>sim</v>
      </c>
      <c r="AE1457" t="str">
        <f>IF(OR(Configuracao!B9="",Configuracao!B10=""),"aguardando limiar",IF(AND(K1457&gt;=Configuracao!B9,K1457/MAX(Reconciliacao!C2,1)&gt;=Configuracao!B10/100),"sim","não"))</f>
        <v>aguardando limiar</v>
      </c>
    </row>
    <row r="1458" spans="1:31" x14ac:dyDescent="0.25">
      <c r="A1458">
        <v>18669</v>
      </c>
      <c r="C1458" t="s">
        <v>293</v>
      </c>
      <c r="D1458" t="s">
        <v>1158</v>
      </c>
      <c r="E1458" t="s">
        <v>451</v>
      </c>
      <c r="F1458" t="s">
        <v>182</v>
      </c>
      <c r="G1458" t="s">
        <v>293</v>
      </c>
      <c r="H1458" t="s">
        <v>292</v>
      </c>
      <c r="I1458" t="s">
        <v>35</v>
      </c>
      <c r="J1458" t="s">
        <v>35</v>
      </c>
      <c r="K1458" s="4">
        <v>220</v>
      </c>
      <c r="L1458" s="4">
        <v>220</v>
      </c>
      <c r="M1458" t="s">
        <v>44</v>
      </c>
      <c r="N1458" t="s">
        <v>77</v>
      </c>
      <c r="O1458" t="s">
        <v>99</v>
      </c>
      <c r="P1458" t="s">
        <v>99</v>
      </c>
      <c r="Q1458" t="s">
        <v>191</v>
      </c>
      <c r="R1458" t="s">
        <v>283</v>
      </c>
      <c r="S1458" t="s">
        <v>185</v>
      </c>
      <c r="T1458" t="s">
        <v>198</v>
      </c>
      <c r="U1458" t="s">
        <v>163</v>
      </c>
      <c r="V1458" t="s">
        <v>164</v>
      </c>
      <c r="W1458" t="s">
        <v>116</v>
      </c>
      <c r="X1458" t="s">
        <v>44</v>
      </c>
      <c r="Y1458" t="s">
        <v>99</v>
      </c>
      <c r="Z1458" t="s">
        <v>421</v>
      </c>
      <c r="AC1458" t="str">
        <f>IF(AA1458="",M1458,AA1458)</f>
        <v>sim</v>
      </c>
      <c r="AD1458" t="str">
        <f>IF(AB1458="",X1458,AB1458)</f>
        <v>sim</v>
      </c>
      <c r="AE1458" t="str">
        <f>IF(OR(Configuracao!B9="",Configuracao!B10=""),"aguardando limiar",IF(AND(K1458&gt;=Configuracao!B9,K1458/MAX(Reconciliacao!C2,1)&gt;=Configuracao!B10/100),"sim","não"))</f>
        <v>aguardando limiar</v>
      </c>
    </row>
    <row r="1459" spans="1:31" x14ac:dyDescent="0.25">
      <c r="A1459">
        <v>18845</v>
      </c>
      <c r="C1459" t="s">
        <v>293</v>
      </c>
      <c r="D1459" t="s">
        <v>1158</v>
      </c>
      <c r="E1459" t="s">
        <v>451</v>
      </c>
      <c r="F1459" t="s">
        <v>182</v>
      </c>
      <c r="G1459" t="s">
        <v>293</v>
      </c>
      <c r="H1459" t="s">
        <v>292</v>
      </c>
      <c r="I1459" t="s">
        <v>35</v>
      </c>
      <c r="J1459" t="s">
        <v>35</v>
      </c>
      <c r="K1459" s="4">
        <v>220</v>
      </c>
      <c r="L1459" s="4">
        <v>220</v>
      </c>
      <c r="M1459" t="s">
        <v>44</v>
      </c>
      <c r="N1459" t="s">
        <v>77</v>
      </c>
      <c r="O1459" t="s">
        <v>99</v>
      </c>
      <c r="P1459" t="s">
        <v>99</v>
      </c>
      <c r="Q1459" t="s">
        <v>191</v>
      </c>
      <c r="R1459" t="s">
        <v>283</v>
      </c>
      <c r="S1459" t="s">
        <v>185</v>
      </c>
      <c r="T1459" t="s">
        <v>198</v>
      </c>
      <c r="U1459" t="s">
        <v>163</v>
      </c>
      <c r="V1459" t="s">
        <v>164</v>
      </c>
      <c r="W1459" t="s">
        <v>116</v>
      </c>
      <c r="X1459" t="s">
        <v>44</v>
      </c>
      <c r="Y1459" t="s">
        <v>99</v>
      </c>
      <c r="Z1459" t="s">
        <v>421</v>
      </c>
      <c r="AC1459" t="str">
        <f>IF(AA1459="",M1459,AA1459)</f>
        <v>sim</v>
      </c>
      <c r="AD1459" t="str">
        <f>IF(AB1459="",X1459,AB1459)</f>
        <v>sim</v>
      </c>
      <c r="AE1459" t="str">
        <f>IF(OR(Configuracao!B9="",Configuracao!B10=""),"aguardando limiar",IF(AND(K1459&gt;=Configuracao!B9,K1459/MAX(Reconciliacao!C2,1)&gt;=Configuracao!B10/100),"sim","não"))</f>
        <v>aguardando limiar</v>
      </c>
    </row>
    <row r="1460" spans="1:31" x14ac:dyDescent="0.25">
      <c r="A1460">
        <v>18884</v>
      </c>
      <c r="C1460" t="s">
        <v>293</v>
      </c>
      <c r="D1460" t="s">
        <v>1158</v>
      </c>
      <c r="E1460" t="s">
        <v>451</v>
      </c>
      <c r="F1460" t="s">
        <v>182</v>
      </c>
      <c r="G1460" t="s">
        <v>293</v>
      </c>
      <c r="H1460" t="s">
        <v>292</v>
      </c>
      <c r="I1460" t="s">
        <v>35</v>
      </c>
      <c r="J1460" t="s">
        <v>35</v>
      </c>
      <c r="K1460" s="4">
        <v>220</v>
      </c>
      <c r="L1460" s="4">
        <v>220</v>
      </c>
      <c r="M1460" t="s">
        <v>44</v>
      </c>
      <c r="N1460" t="s">
        <v>77</v>
      </c>
      <c r="O1460" t="s">
        <v>99</v>
      </c>
      <c r="P1460" t="s">
        <v>99</v>
      </c>
      <c r="Q1460" t="s">
        <v>191</v>
      </c>
      <c r="R1460" t="s">
        <v>283</v>
      </c>
      <c r="S1460" t="s">
        <v>185</v>
      </c>
      <c r="T1460" t="s">
        <v>198</v>
      </c>
      <c r="U1460" t="s">
        <v>163</v>
      </c>
      <c r="V1460" t="s">
        <v>164</v>
      </c>
      <c r="W1460" t="s">
        <v>116</v>
      </c>
      <c r="X1460" t="s">
        <v>44</v>
      </c>
      <c r="Y1460" t="s">
        <v>99</v>
      </c>
      <c r="Z1460" t="s">
        <v>421</v>
      </c>
      <c r="AC1460" t="str">
        <f>IF(AA1460="",M1460,AA1460)</f>
        <v>sim</v>
      </c>
      <c r="AD1460" t="str">
        <f>IF(AB1460="",X1460,AB1460)</f>
        <v>sim</v>
      </c>
      <c r="AE1460" t="str">
        <f>IF(OR(Configuracao!B9="",Configuracao!B10=""),"aguardando limiar",IF(AND(K1460&gt;=Configuracao!B9,K1460/MAX(Reconciliacao!C2,1)&gt;=Configuracao!B10/100),"sim","não"))</f>
        <v>aguardando limiar</v>
      </c>
    </row>
    <row r="1461" spans="1:31" x14ac:dyDescent="0.25">
      <c r="A1461">
        <v>19040</v>
      </c>
      <c r="C1461" t="s">
        <v>293</v>
      </c>
      <c r="D1461" t="s">
        <v>1158</v>
      </c>
      <c r="E1461" t="s">
        <v>451</v>
      </c>
      <c r="F1461" t="s">
        <v>182</v>
      </c>
      <c r="G1461" t="s">
        <v>293</v>
      </c>
      <c r="H1461" t="s">
        <v>292</v>
      </c>
      <c r="I1461" t="s">
        <v>35</v>
      </c>
      <c r="J1461" t="s">
        <v>35</v>
      </c>
      <c r="K1461" s="4">
        <v>220</v>
      </c>
      <c r="L1461" s="4">
        <v>220</v>
      </c>
      <c r="M1461" t="s">
        <v>44</v>
      </c>
      <c r="N1461" t="s">
        <v>77</v>
      </c>
      <c r="O1461" t="s">
        <v>99</v>
      </c>
      <c r="P1461" t="s">
        <v>99</v>
      </c>
      <c r="Q1461" t="s">
        <v>191</v>
      </c>
      <c r="R1461" t="s">
        <v>283</v>
      </c>
      <c r="S1461" t="s">
        <v>185</v>
      </c>
      <c r="T1461" t="s">
        <v>198</v>
      </c>
      <c r="U1461" t="s">
        <v>163</v>
      </c>
      <c r="V1461" t="s">
        <v>164</v>
      </c>
      <c r="W1461" t="s">
        <v>116</v>
      </c>
      <c r="X1461" t="s">
        <v>44</v>
      </c>
      <c r="Y1461" t="s">
        <v>99</v>
      </c>
      <c r="Z1461" t="s">
        <v>421</v>
      </c>
      <c r="AC1461" t="str">
        <f>IF(AA1461="",M1461,AA1461)</f>
        <v>sim</v>
      </c>
      <c r="AD1461" t="str">
        <f>IF(AB1461="",X1461,AB1461)</f>
        <v>sim</v>
      </c>
      <c r="AE1461" t="str">
        <f>IF(OR(Configuracao!B9="",Configuracao!B10=""),"aguardando limiar",IF(AND(K1461&gt;=Configuracao!B9,K1461/MAX(Reconciliacao!C2,1)&gt;=Configuracao!B10/100),"sim","não"))</f>
        <v>aguardando limiar</v>
      </c>
    </row>
    <row r="1462" spans="1:31" x14ac:dyDescent="0.25">
      <c r="A1462">
        <v>18167</v>
      </c>
      <c r="C1462" t="s">
        <v>293</v>
      </c>
      <c r="D1462" t="s">
        <v>1159</v>
      </c>
      <c r="E1462" t="s">
        <v>451</v>
      </c>
      <c r="F1462" t="s">
        <v>182</v>
      </c>
      <c r="G1462" t="s">
        <v>293</v>
      </c>
      <c r="H1462" t="s">
        <v>292</v>
      </c>
      <c r="I1462" t="s">
        <v>439</v>
      </c>
      <c r="J1462" t="s">
        <v>439</v>
      </c>
      <c r="K1462" s="4">
        <v>270</v>
      </c>
      <c r="L1462" s="4">
        <v>270</v>
      </c>
      <c r="M1462" t="s">
        <v>44</v>
      </c>
      <c r="N1462" t="s">
        <v>77</v>
      </c>
      <c r="O1462" t="s">
        <v>99</v>
      </c>
      <c r="P1462" t="s">
        <v>99</v>
      </c>
      <c r="Q1462" t="s">
        <v>191</v>
      </c>
      <c r="R1462" t="s">
        <v>283</v>
      </c>
      <c r="S1462" t="s">
        <v>185</v>
      </c>
      <c r="T1462" t="s">
        <v>198</v>
      </c>
      <c r="U1462" t="s">
        <v>163</v>
      </c>
      <c r="V1462" t="s">
        <v>164</v>
      </c>
      <c r="W1462" t="s">
        <v>116</v>
      </c>
      <c r="X1462" t="s">
        <v>44</v>
      </c>
      <c r="Y1462" t="s">
        <v>99</v>
      </c>
      <c r="Z1462" t="s">
        <v>421</v>
      </c>
      <c r="AC1462" t="str">
        <f>IF(AA1462="",M1462,AA1462)</f>
        <v>sim</v>
      </c>
      <c r="AD1462" t="str">
        <f>IF(AB1462="",X1462,AB1462)</f>
        <v>sim</v>
      </c>
      <c r="AE1462" t="str">
        <f>IF(OR(Configuracao!B9="",Configuracao!B10=""),"aguardando limiar",IF(AND(K1462&gt;=Configuracao!B9,K1462/MAX(Reconciliacao!C2,1)&gt;=Configuracao!B10/100),"sim","não"))</f>
        <v>aguardando limiar</v>
      </c>
    </row>
    <row r="1463" spans="1:31" x14ac:dyDescent="0.25">
      <c r="A1463">
        <v>11898</v>
      </c>
      <c r="C1463" t="s">
        <v>293</v>
      </c>
      <c r="D1463" t="s">
        <v>1158</v>
      </c>
      <c r="E1463" t="s">
        <v>451</v>
      </c>
      <c r="F1463" t="s">
        <v>182</v>
      </c>
      <c r="G1463" t="s">
        <v>293</v>
      </c>
      <c r="H1463" t="s">
        <v>292</v>
      </c>
      <c r="I1463" t="s">
        <v>32</v>
      </c>
      <c r="J1463" t="s">
        <v>32</v>
      </c>
      <c r="K1463" s="4">
        <v>440</v>
      </c>
      <c r="L1463" s="4">
        <v>440</v>
      </c>
      <c r="M1463" t="s">
        <v>44</v>
      </c>
      <c r="N1463" t="s">
        <v>77</v>
      </c>
      <c r="O1463" t="s">
        <v>99</v>
      </c>
      <c r="P1463" t="s">
        <v>99</v>
      </c>
      <c r="Q1463" t="s">
        <v>191</v>
      </c>
      <c r="R1463" t="s">
        <v>283</v>
      </c>
      <c r="S1463" t="s">
        <v>185</v>
      </c>
      <c r="T1463" t="s">
        <v>198</v>
      </c>
      <c r="U1463" t="s">
        <v>163</v>
      </c>
      <c r="V1463" t="s">
        <v>164</v>
      </c>
      <c r="W1463" t="s">
        <v>116</v>
      </c>
      <c r="X1463" t="s">
        <v>44</v>
      </c>
      <c r="Y1463" t="s">
        <v>99</v>
      </c>
      <c r="Z1463" t="s">
        <v>421</v>
      </c>
      <c r="AC1463" t="str">
        <f>IF(AA1463="",M1463,AA1463)</f>
        <v>sim</v>
      </c>
      <c r="AD1463" t="str">
        <f>IF(AB1463="",X1463,AB1463)</f>
        <v>sim</v>
      </c>
      <c r="AE1463" t="str">
        <f>IF(OR(Configuracao!B9="",Configuracao!B10=""),"aguardando limiar",IF(AND(K1463&gt;=Configuracao!B9,K1463/MAX(Reconciliacao!C2,1)&gt;=Configuracao!B10/100),"sim","não"))</f>
        <v>aguardando limiar</v>
      </c>
    </row>
    <row r="1464" spans="1:31" x14ac:dyDescent="0.25">
      <c r="A1464">
        <v>12043</v>
      </c>
      <c r="C1464" t="s">
        <v>293</v>
      </c>
      <c r="D1464" t="s">
        <v>1158</v>
      </c>
      <c r="E1464" t="s">
        <v>451</v>
      </c>
      <c r="F1464" t="s">
        <v>182</v>
      </c>
      <c r="G1464" t="s">
        <v>293</v>
      </c>
      <c r="H1464" t="s">
        <v>292</v>
      </c>
      <c r="I1464" t="s">
        <v>424</v>
      </c>
      <c r="J1464" t="s">
        <v>424</v>
      </c>
      <c r="K1464" s="4">
        <v>440</v>
      </c>
      <c r="L1464" s="4">
        <v>440</v>
      </c>
      <c r="M1464" t="s">
        <v>44</v>
      </c>
      <c r="N1464" t="s">
        <v>77</v>
      </c>
      <c r="O1464" t="s">
        <v>99</v>
      </c>
      <c r="P1464" t="s">
        <v>99</v>
      </c>
      <c r="Q1464" t="s">
        <v>191</v>
      </c>
      <c r="R1464" t="s">
        <v>283</v>
      </c>
      <c r="S1464" t="s">
        <v>185</v>
      </c>
      <c r="T1464" t="s">
        <v>198</v>
      </c>
      <c r="U1464" t="s">
        <v>163</v>
      </c>
      <c r="V1464" t="s">
        <v>164</v>
      </c>
      <c r="W1464" t="s">
        <v>116</v>
      </c>
      <c r="X1464" t="s">
        <v>44</v>
      </c>
      <c r="Y1464" t="s">
        <v>99</v>
      </c>
      <c r="Z1464" t="s">
        <v>421</v>
      </c>
      <c r="AC1464" t="str">
        <f>IF(AA1464="",M1464,AA1464)</f>
        <v>sim</v>
      </c>
      <c r="AD1464" t="str">
        <f>IF(AB1464="",X1464,AB1464)</f>
        <v>sim</v>
      </c>
      <c r="AE1464" t="str">
        <f>IF(OR(Configuracao!B9="",Configuracao!B10=""),"aguardando limiar",IF(AND(K1464&gt;=Configuracao!B9,K1464/MAX(Reconciliacao!C2,1)&gt;=Configuracao!B10/100),"sim","não"))</f>
        <v>aguardando limiar</v>
      </c>
    </row>
    <row r="1465" spans="1:31" x14ac:dyDescent="0.25">
      <c r="A1465">
        <v>14184</v>
      </c>
      <c r="C1465" t="s">
        <v>1160</v>
      </c>
      <c r="D1465" t="s">
        <v>1158</v>
      </c>
      <c r="E1465" t="s">
        <v>451</v>
      </c>
      <c r="F1465" t="s">
        <v>182</v>
      </c>
      <c r="G1465" t="s">
        <v>293</v>
      </c>
      <c r="H1465" t="s">
        <v>292</v>
      </c>
      <c r="I1465" t="s">
        <v>454</v>
      </c>
      <c r="J1465" t="s">
        <v>454</v>
      </c>
      <c r="K1465" s="4">
        <v>440</v>
      </c>
      <c r="L1465" s="4">
        <v>440</v>
      </c>
      <c r="M1465" t="s">
        <v>44</v>
      </c>
      <c r="N1465" t="s">
        <v>77</v>
      </c>
      <c r="O1465" t="s">
        <v>99</v>
      </c>
      <c r="P1465" t="s">
        <v>99</v>
      </c>
      <c r="Q1465" t="s">
        <v>191</v>
      </c>
      <c r="R1465" t="s">
        <v>283</v>
      </c>
      <c r="S1465" t="s">
        <v>185</v>
      </c>
      <c r="T1465" t="s">
        <v>198</v>
      </c>
      <c r="U1465" t="s">
        <v>163</v>
      </c>
      <c r="V1465" t="s">
        <v>164</v>
      </c>
      <c r="W1465" t="s">
        <v>116</v>
      </c>
      <c r="X1465" t="s">
        <v>44</v>
      </c>
      <c r="Y1465" t="s">
        <v>99</v>
      </c>
      <c r="Z1465" t="s">
        <v>421</v>
      </c>
      <c r="AC1465" t="str">
        <f>IF(AA1465="",M1465,AA1465)</f>
        <v>sim</v>
      </c>
      <c r="AD1465" t="str">
        <f>IF(AB1465="",X1465,AB1465)</f>
        <v>sim</v>
      </c>
      <c r="AE1465" t="str">
        <f>IF(OR(Configuracao!B9="",Configuracao!B10=""),"aguardando limiar",IF(AND(K1465&gt;=Configuracao!B9,K1465/MAX(Reconciliacao!C2,1)&gt;=Configuracao!B10/100),"sim","não"))</f>
        <v>aguardando limiar</v>
      </c>
    </row>
    <row r="1466" spans="1:31" x14ac:dyDescent="0.25">
      <c r="A1466">
        <v>15532</v>
      </c>
      <c r="C1466" t="s">
        <v>293</v>
      </c>
      <c r="D1466" t="s">
        <v>1158</v>
      </c>
      <c r="E1466" t="s">
        <v>451</v>
      </c>
      <c r="F1466" t="s">
        <v>182</v>
      </c>
      <c r="G1466" t="s">
        <v>293</v>
      </c>
      <c r="H1466" t="s">
        <v>292</v>
      </c>
      <c r="I1466" t="s">
        <v>454</v>
      </c>
      <c r="J1466" t="s">
        <v>454</v>
      </c>
      <c r="K1466" s="4">
        <v>440</v>
      </c>
      <c r="L1466" s="4">
        <v>440</v>
      </c>
      <c r="M1466" t="s">
        <v>44</v>
      </c>
      <c r="N1466" t="s">
        <v>77</v>
      </c>
      <c r="O1466" t="s">
        <v>99</v>
      </c>
      <c r="P1466" t="s">
        <v>99</v>
      </c>
      <c r="Q1466" t="s">
        <v>191</v>
      </c>
      <c r="R1466" t="s">
        <v>283</v>
      </c>
      <c r="S1466" t="s">
        <v>185</v>
      </c>
      <c r="T1466" t="s">
        <v>198</v>
      </c>
      <c r="U1466" t="s">
        <v>163</v>
      </c>
      <c r="V1466" t="s">
        <v>164</v>
      </c>
      <c r="W1466" t="s">
        <v>116</v>
      </c>
      <c r="X1466" t="s">
        <v>44</v>
      </c>
      <c r="Y1466" t="s">
        <v>99</v>
      </c>
      <c r="Z1466" t="s">
        <v>421</v>
      </c>
      <c r="AC1466" t="str">
        <f>IF(AA1466="",M1466,AA1466)</f>
        <v>sim</v>
      </c>
      <c r="AD1466" t="str">
        <f>IF(AB1466="",X1466,AB1466)</f>
        <v>sim</v>
      </c>
      <c r="AE1466" t="str">
        <f>IF(OR(Configuracao!B9="",Configuracao!B10=""),"aguardando limiar",IF(AND(K1466&gt;=Configuracao!B9,K1466/MAX(Reconciliacao!C2,1)&gt;=Configuracao!B10/100),"sim","não"))</f>
        <v>aguardando limiar</v>
      </c>
    </row>
    <row r="1467" spans="1:31" x14ac:dyDescent="0.25">
      <c r="A1467">
        <v>17076</v>
      </c>
      <c r="C1467" t="s">
        <v>293</v>
      </c>
      <c r="D1467" t="s">
        <v>1158</v>
      </c>
      <c r="E1467" t="s">
        <v>451</v>
      </c>
      <c r="F1467" t="s">
        <v>182</v>
      </c>
      <c r="G1467" t="s">
        <v>293</v>
      </c>
      <c r="H1467" t="s">
        <v>292</v>
      </c>
      <c r="I1467" t="s">
        <v>442</v>
      </c>
      <c r="J1467" t="s">
        <v>442</v>
      </c>
      <c r="K1467" s="4">
        <v>440</v>
      </c>
      <c r="L1467" s="4">
        <v>440</v>
      </c>
      <c r="M1467" t="s">
        <v>44</v>
      </c>
      <c r="N1467" t="s">
        <v>77</v>
      </c>
      <c r="O1467" t="s">
        <v>99</v>
      </c>
      <c r="P1467" t="s">
        <v>99</v>
      </c>
      <c r="Q1467" t="s">
        <v>191</v>
      </c>
      <c r="R1467" t="s">
        <v>283</v>
      </c>
      <c r="S1467" t="s">
        <v>185</v>
      </c>
      <c r="T1467" t="s">
        <v>198</v>
      </c>
      <c r="U1467" t="s">
        <v>163</v>
      </c>
      <c r="V1467" t="s">
        <v>164</v>
      </c>
      <c r="W1467" t="s">
        <v>116</v>
      </c>
      <c r="X1467" t="s">
        <v>44</v>
      </c>
      <c r="Y1467" t="s">
        <v>99</v>
      </c>
      <c r="Z1467" t="s">
        <v>421</v>
      </c>
      <c r="AC1467" t="str">
        <f>IF(AA1467="",M1467,AA1467)</f>
        <v>sim</v>
      </c>
      <c r="AD1467" t="str">
        <f>IF(AB1467="",X1467,AB1467)</f>
        <v>sim</v>
      </c>
      <c r="AE1467" t="str">
        <f>IF(OR(Configuracao!B9="",Configuracao!B10=""),"aguardando limiar",IF(AND(K1467&gt;=Configuracao!B9,K1467/MAX(Reconciliacao!C2,1)&gt;=Configuracao!B10/100),"sim","não"))</f>
        <v>aguardando limiar</v>
      </c>
    </row>
    <row r="1468" spans="1:31" x14ac:dyDescent="0.25">
      <c r="A1468">
        <v>17370</v>
      </c>
      <c r="C1468" t="s">
        <v>293</v>
      </c>
      <c r="D1468" t="s">
        <v>1158</v>
      </c>
      <c r="E1468" t="s">
        <v>451</v>
      </c>
      <c r="F1468" t="s">
        <v>182</v>
      </c>
      <c r="G1468" t="s">
        <v>293</v>
      </c>
      <c r="H1468" t="s">
        <v>292</v>
      </c>
      <c r="I1468" t="s">
        <v>442</v>
      </c>
      <c r="J1468" t="s">
        <v>442</v>
      </c>
      <c r="K1468" s="4">
        <v>440</v>
      </c>
      <c r="L1468" s="4">
        <v>440</v>
      </c>
      <c r="M1468" t="s">
        <v>44</v>
      </c>
      <c r="N1468" t="s">
        <v>77</v>
      </c>
      <c r="O1468" t="s">
        <v>99</v>
      </c>
      <c r="P1468" t="s">
        <v>99</v>
      </c>
      <c r="Q1468" t="s">
        <v>191</v>
      </c>
      <c r="R1468" t="s">
        <v>283</v>
      </c>
      <c r="S1468" t="s">
        <v>185</v>
      </c>
      <c r="T1468" t="s">
        <v>198</v>
      </c>
      <c r="U1468" t="s">
        <v>163</v>
      </c>
      <c r="V1468" t="s">
        <v>164</v>
      </c>
      <c r="W1468" t="s">
        <v>116</v>
      </c>
      <c r="X1468" t="s">
        <v>44</v>
      </c>
      <c r="Y1468" t="s">
        <v>99</v>
      </c>
      <c r="Z1468" t="s">
        <v>421</v>
      </c>
      <c r="AC1468" t="str">
        <f>IF(AA1468="",M1468,AA1468)</f>
        <v>sim</v>
      </c>
      <c r="AD1468" t="str">
        <f>IF(AB1468="",X1468,AB1468)</f>
        <v>sim</v>
      </c>
      <c r="AE1468" t="str">
        <f>IF(OR(Configuracao!B9="",Configuracao!B10=""),"aguardando limiar",IF(AND(K1468&gt;=Configuracao!B9,K1468/MAX(Reconciliacao!C2,1)&gt;=Configuracao!B10/100),"sim","não"))</f>
        <v>aguardando limiar</v>
      </c>
    </row>
    <row r="1469" spans="1:31" x14ac:dyDescent="0.25">
      <c r="A1469">
        <v>17767</v>
      </c>
      <c r="C1469" t="s">
        <v>293</v>
      </c>
      <c r="D1469" t="s">
        <v>1158</v>
      </c>
      <c r="E1469" t="s">
        <v>451</v>
      </c>
      <c r="F1469" t="s">
        <v>182</v>
      </c>
      <c r="G1469" t="s">
        <v>293</v>
      </c>
      <c r="H1469" t="s">
        <v>292</v>
      </c>
      <c r="I1469" t="s">
        <v>439</v>
      </c>
      <c r="J1469" t="s">
        <v>439</v>
      </c>
      <c r="K1469" s="4">
        <v>440</v>
      </c>
      <c r="L1469" s="4">
        <v>440</v>
      </c>
      <c r="M1469" t="s">
        <v>44</v>
      </c>
      <c r="N1469" t="s">
        <v>77</v>
      </c>
      <c r="O1469" t="s">
        <v>99</v>
      </c>
      <c r="P1469" t="s">
        <v>99</v>
      </c>
      <c r="Q1469" t="s">
        <v>191</v>
      </c>
      <c r="R1469" t="s">
        <v>283</v>
      </c>
      <c r="S1469" t="s">
        <v>185</v>
      </c>
      <c r="T1469" t="s">
        <v>198</v>
      </c>
      <c r="U1469" t="s">
        <v>163</v>
      </c>
      <c r="V1469" t="s">
        <v>164</v>
      </c>
      <c r="W1469" t="s">
        <v>116</v>
      </c>
      <c r="X1469" t="s">
        <v>44</v>
      </c>
      <c r="Y1469" t="s">
        <v>99</v>
      </c>
      <c r="Z1469" t="s">
        <v>421</v>
      </c>
      <c r="AC1469" t="str">
        <f>IF(AA1469="",M1469,AA1469)</f>
        <v>sim</v>
      </c>
      <c r="AD1469" t="str">
        <f>IF(AB1469="",X1469,AB1469)</f>
        <v>sim</v>
      </c>
      <c r="AE1469" t="str">
        <f>IF(OR(Configuracao!B9="",Configuracao!B10=""),"aguardando limiar",IF(AND(K1469&gt;=Configuracao!B9,K1469/MAX(Reconciliacao!C2,1)&gt;=Configuracao!B10/100),"sim","não"))</f>
        <v>aguardando limiar</v>
      </c>
    </row>
    <row r="1470" spans="1:31" x14ac:dyDescent="0.25">
      <c r="A1470">
        <v>18086</v>
      </c>
      <c r="C1470" t="s">
        <v>293</v>
      </c>
      <c r="D1470" t="s">
        <v>1158</v>
      </c>
      <c r="E1470" t="s">
        <v>451</v>
      </c>
      <c r="F1470" t="s">
        <v>182</v>
      </c>
      <c r="G1470" t="s">
        <v>293</v>
      </c>
      <c r="H1470" t="s">
        <v>292</v>
      </c>
      <c r="I1470" t="s">
        <v>439</v>
      </c>
      <c r="J1470" t="s">
        <v>439</v>
      </c>
      <c r="K1470" s="4">
        <v>440</v>
      </c>
      <c r="L1470" s="4">
        <v>440</v>
      </c>
      <c r="M1470" t="s">
        <v>44</v>
      </c>
      <c r="N1470" t="s">
        <v>77</v>
      </c>
      <c r="O1470" t="s">
        <v>99</v>
      </c>
      <c r="P1470" t="s">
        <v>99</v>
      </c>
      <c r="Q1470" t="s">
        <v>191</v>
      </c>
      <c r="R1470" t="s">
        <v>283</v>
      </c>
      <c r="S1470" t="s">
        <v>185</v>
      </c>
      <c r="T1470" t="s">
        <v>198</v>
      </c>
      <c r="U1470" t="s">
        <v>163</v>
      </c>
      <c r="V1470" t="s">
        <v>164</v>
      </c>
      <c r="W1470" t="s">
        <v>116</v>
      </c>
      <c r="X1470" t="s">
        <v>44</v>
      </c>
      <c r="Y1470" t="s">
        <v>99</v>
      </c>
      <c r="Z1470" t="s">
        <v>421</v>
      </c>
      <c r="AC1470" t="str">
        <f>IF(AA1470="",M1470,AA1470)</f>
        <v>sim</v>
      </c>
      <c r="AD1470" t="str">
        <f>IF(AB1470="",X1470,AB1470)</f>
        <v>sim</v>
      </c>
      <c r="AE1470" t="str">
        <f>IF(OR(Configuracao!B9="",Configuracao!B10=""),"aguardando limiar",IF(AND(K1470&gt;=Configuracao!B9,K1470/MAX(Reconciliacao!C2,1)&gt;=Configuracao!B10/100),"sim","não"))</f>
        <v>aguardando limiar</v>
      </c>
    </row>
    <row r="1471" spans="1:31" x14ac:dyDescent="0.25">
      <c r="A1471">
        <v>11993</v>
      </c>
      <c r="C1471" t="s">
        <v>293</v>
      </c>
      <c r="D1471" t="s">
        <v>1158</v>
      </c>
      <c r="E1471" t="s">
        <v>451</v>
      </c>
      <c r="F1471" t="s">
        <v>182</v>
      </c>
      <c r="G1471" t="s">
        <v>293</v>
      </c>
      <c r="H1471" t="s">
        <v>292</v>
      </c>
      <c r="I1471" t="s">
        <v>424</v>
      </c>
      <c r="J1471" t="s">
        <v>424</v>
      </c>
      <c r="K1471" s="4">
        <v>660</v>
      </c>
      <c r="L1471" s="4">
        <v>660</v>
      </c>
      <c r="M1471" t="s">
        <v>44</v>
      </c>
      <c r="N1471" t="s">
        <v>77</v>
      </c>
      <c r="O1471" t="s">
        <v>99</v>
      </c>
      <c r="P1471" t="s">
        <v>99</v>
      </c>
      <c r="Q1471" t="s">
        <v>191</v>
      </c>
      <c r="R1471" t="s">
        <v>283</v>
      </c>
      <c r="S1471" t="s">
        <v>185</v>
      </c>
      <c r="T1471" t="s">
        <v>198</v>
      </c>
      <c r="U1471" t="s">
        <v>163</v>
      </c>
      <c r="V1471" t="s">
        <v>164</v>
      </c>
      <c r="W1471" t="s">
        <v>116</v>
      </c>
      <c r="X1471" t="s">
        <v>44</v>
      </c>
      <c r="Y1471" t="s">
        <v>99</v>
      </c>
      <c r="Z1471" t="s">
        <v>421</v>
      </c>
      <c r="AC1471" t="str">
        <f>IF(AA1471="",M1471,AA1471)</f>
        <v>sim</v>
      </c>
      <c r="AD1471" t="str">
        <f>IF(AB1471="",X1471,AB1471)</f>
        <v>sim</v>
      </c>
      <c r="AE1471" t="str">
        <f>IF(OR(Configuracao!B9="",Configuracao!B10=""),"aguardando limiar",IF(AND(K1471&gt;=Configuracao!B9,K1471/MAX(Reconciliacao!C2,1)&gt;=Configuracao!B10/100),"sim","não"))</f>
        <v>aguardando limiar</v>
      </c>
    </row>
    <row r="1472" spans="1:31" x14ac:dyDescent="0.25">
      <c r="A1472">
        <v>12910</v>
      </c>
      <c r="C1472" t="s">
        <v>1160</v>
      </c>
      <c r="D1472" t="s">
        <v>1158</v>
      </c>
      <c r="E1472" t="s">
        <v>451</v>
      </c>
      <c r="F1472" t="s">
        <v>182</v>
      </c>
      <c r="G1472" t="s">
        <v>293</v>
      </c>
      <c r="H1472" t="s">
        <v>292</v>
      </c>
      <c r="I1472" t="s">
        <v>420</v>
      </c>
      <c r="J1472" t="s">
        <v>420</v>
      </c>
      <c r="K1472" s="4">
        <v>660</v>
      </c>
      <c r="L1472" s="4">
        <v>660</v>
      </c>
      <c r="M1472" t="s">
        <v>44</v>
      </c>
      <c r="N1472" t="s">
        <v>77</v>
      </c>
      <c r="O1472" t="s">
        <v>99</v>
      </c>
      <c r="P1472" t="s">
        <v>99</v>
      </c>
      <c r="Q1472" t="s">
        <v>191</v>
      </c>
      <c r="R1472" t="s">
        <v>283</v>
      </c>
      <c r="S1472" t="s">
        <v>185</v>
      </c>
      <c r="T1472" t="s">
        <v>198</v>
      </c>
      <c r="U1472" t="s">
        <v>163</v>
      </c>
      <c r="V1472" t="s">
        <v>164</v>
      </c>
      <c r="W1472" t="s">
        <v>116</v>
      </c>
      <c r="X1472" t="s">
        <v>44</v>
      </c>
      <c r="Y1472" t="s">
        <v>99</v>
      </c>
      <c r="Z1472" t="s">
        <v>421</v>
      </c>
      <c r="AC1472" t="str">
        <f>IF(AA1472="",M1472,AA1472)</f>
        <v>sim</v>
      </c>
      <c r="AD1472" t="str">
        <f>IF(AB1472="",X1472,AB1472)</f>
        <v>sim</v>
      </c>
      <c r="AE1472" t="str">
        <f>IF(OR(Configuracao!B9="",Configuracao!B10=""),"aguardando limiar",IF(AND(K1472&gt;=Configuracao!B9,K1472/MAX(Reconciliacao!C2,1)&gt;=Configuracao!B10/100),"sim","não"))</f>
        <v>aguardando limiar</v>
      </c>
    </row>
    <row r="1473" spans="1:31" x14ac:dyDescent="0.25">
      <c r="A1473">
        <v>13096</v>
      </c>
      <c r="C1473" t="s">
        <v>1160</v>
      </c>
      <c r="D1473" t="s">
        <v>1158</v>
      </c>
      <c r="E1473" t="s">
        <v>451</v>
      </c>
      <c r="F1473" t="s">
        <v>182</v>
      </c>
      <c r="G1473" t="s">
        <v>293</v>
      </c>
      <c r="H1473" t="s">
        <v>292</v>
      </c>
      <c r="I1473" t="s">
        <v>420</v>
      </c>
      <c r="J1473" t="s">
        <v>420</v>
      </c>
      <c r="K1473" s="4">
        <v>880</v>
      </c>
      <c r="L1473" s="4">
        <v>880</v>
      </c>
      <c r="M1473" t="s">
        <v>44</v>
      </c>
      <c r="N1473" t="s">
        <v>77</v>
      </c>
      <c r="O1473" t="s">
        <v>99</v>
      </c>
      <c r="P1473" t="s">
        <v>99</v>
      </c>
      <c r="Q1473" t="s">
        <v>191</v>
      </c>
      <c r="R1473" t="s">
        <v>283</v>
      </c>
      <c r="S1473" t="s">
        <v>185</v>
      </c>
      <c r="T1473" t="s">
        <v>198</v>
      </c>
      <c r="U1473" t="s">
        <v>163</v>
      </c>
      <c r="V1473" t="s">
        <v>164</v>
      </c>
      <c r="W1473" t="s">
        <v>116</v>
      </c>
      <c r="X1473" t="s">
        <v>44</v>
      </c>
      <c r="Y1473" t="s">
        <v>99</v>
      </c>
      <c r="Z1473" t="s">
        <v>421</v>
      </c>
      <c r="AC1473" t="str">
        <f>IF(AA1473="",M1473,AA1473)</f>
        <v>sim</v>
      </c>
      <c r="AD1473" t="str">
        <f>IF(AB1473="",X1473,AB1473)</f>
        <v>sim</v>
      </c>
      <c r="AE1473" t="str">
        <f>IF(OR(Configuracao!B9="",Configuracao!B10=""),"aguardando limiar",IF(AND(K1473&gt;=Configuracao!B9,K1473/MAX(Reconciliacao!C2,1)&gt;=Configuracao!B10/100),"sim","não"))</f>
        <v>aguardando limiar</v>
      </c>
    </row>
    <row r="1474" spans="1:31" x14ac:dyDescent="0.25">
      <c r="A1474">
        <v>18313</v>
      </c>
      <c r="C1474" t="s">
        <v>1161</v>
      </c>
      <c r="D1474" t="s">
        <v>450</v>
      </c>
      <c r="E1474" t="s">
        <v>451</v>
      </c>
      <c r="F1474" t="s">
        <v>268</v>
      </c>
      <c r="G1474" t="s">
        <v>267</v>
      </c>
      <c r="H1474" t="s">
        <v>266</v>
      </c>
      <c r="I1474" t="s">
        <v>439</v>
      </c>
      <c r="J1474" t="s">
        <v>439</v>
      </c>
      <c r="K1474" s="4">
        <v>51.75</v>
      </c>
      <c r="L1474" s="4">
        <v>51.75</v>
      </c>
      <c r="M1474" t="s">
        <v>44</v>
      </c>
      <c r="N1474" t="s">
        <v>77</v>
      </c>
      <c r="O1474" t="s">
        <v>99</v>
      </c>
      <c r="P1474" t="s">
        <v>99</v>
      </c>
      <c r="Q1474" t="s">
        <v>191</v>
      </c>
      <c r="R1474" t="s">
        <v>269</v>
      </c>
      <c r="S1474" t="s">
        <v>185</v>
      </c>
      <c r="T1474" t="s">
        <v>198</v>
      </c>
      <c r="U1474" t="s">
        <v>163</v>
      </c>
      <c r="V1474" t="s">
        <v>164</v>
      </c>
      <c r="W1474" t="s">
        <v>116</v>
      </c>
      <c r="X1474" t="s">
        <v>44</v>
      </c>
      <c r="Y1474" t="s">
        <v>99</v>
      </c>
      <c r="Z1474" t="s">
        <v>421</v>
      </c>
      <c r="AC1474" t="str">
        <f>IF(AA1474="",M1474,AA1474)</f>
        <v>sim</v>
      </c>
      <c r="AD1474" t="str">
        <f>IF(AB1474="",X1474,AB1474)</f>
        <v>sim</v>
      </c>
      <c r="AE1474" t="str">
        <f>IF(OR(Configuracao!B9="",Configuracao!B10=""),"aguardando limiar",IF(AND(K1474&gt;=Configuracao!B9,K1474/MAX(Reconciliacao!C2,1)&gt;=Configuracao!B10/100),"sim","não"))</f>
        <v>aguardando limiar</v>
      </c>
    </row>
    <row r="1475" spans="1:31" x14ac:dyDescent="0.25">
      <c r="A1475">
        <v>12380</v>
      </c>
      <c r="C1475" t="s">
        <v>1162</v>
      </c>
      <c r="D1475" t="s">
        <v>450</v>
      </c>
      <c r="E1475" t="s">
        <v>451</v>
      </c>
      <c r="F1475" t="s">
        <v>268</v>
      </c>
      <c r="G1475" t="s">
        <v>267</v>
      </c>
      <c r="H1475" t="s">
        <v>266</v>
      </c>
      <c r="I1475" t="s">
        <v>420</v>
      </c>
      <c r="J1475" t="s">
        <v>420</v>
      </c>
      <c r="K1475" s="4">
        <v>57.42</v>
      </c>
      <c r="L1475" s="4">
        <v>57.42</v>
      </c>
      <c r="M1475" t="s">
        <v>44</v>
      </c>
      <c r="N1475" t="s">
        <v>77</v>
      </c>
      <c r="O1475" t="s">
        <v>99</v>
      </c>
      <c r="P1475" t="s">
        <v>99</v>
      </c>
      <c r="Q1475" t="s">
        <v>191</v>
      </c>
      <c r="R1475" t="s">
        <v>269</v>
      </c>
      <c r="S1475" t="s">
        <v>185</v>
      </c>
      <c r="T1475" t="s">
        <v>198</v>
      </c>
      <c r="U1475" t="s">
        <v>163</v>
      </c>
      <c r="V1475" t="s">
        <v>164</v>
      </c>
      <c r="W1475" t="s">
        <v>116</v>
      </c>
      <c r="X1475" t="s">
        <v>44</v>
      </c>
      <c r="Y1475" t="s">
        <v>99</v>
      </c>
      <c r="Z1475" t="s">
        <v>421</v>
      </c>
      <c r="AC1475" t="str">
        <f>IF(AA1475="",M1475,AA1475)</f>
        <v>sim</v>
      </c>
      <c r="AD1475" t="str">
        <f>IF(AB1475="",X1475,AB1475)</f>
        <v>sim</v>
      </c>
      <c r="AE1475" t="str">
        <f>IF(OR(Configuracao!B9="",Configuracao!B10=""),"aguardando limiar",IF(AND(K1475&gt;=Configuracao!B9,K1475/MAX(Reconciliacao!C2,1)&gt;=Configuracao!B10/100),"sim","não"))</f>
        <v>aguardando limiar</v>
      </c>
    </row>
    <row r="1476" spans="1:31" x14ac:dyDescent="0.25">
      <c r="A1476">
        <v>12047</v>
      </c>
      <c r="C1476" t="s">
        <v>1162</v>
      </c>
      <c r="D1476" t="s">
        <v>450</v>
      </c>
      <c r="E1476" t="s">
        <v>451</v>
      </c>
      <c r="F1476" t="s">
        <v>268</v>
      </c>
      <c r="G1476" t="s">
        <v>267</v>
      </c>
      <c r="H1476" t="s">
        <v>266</v>
      </c>
      <c r="I1476" t="s">
        <v>424</v>
      </c>
      <c r="J1476" t="s">
        <v>424</v>
      </c>
      <c r="K1476" s="4">
        <v>68.7</v>
      </c>
      <c r="L1476" s="4">
        <v>68.7</v>
      </c>
      <c r="M1476" t="s">
        <v>44</v>
      </c>
      <c r="N1476" t="s">
        <v>77</v>
      </c>
      <c r="O1476" t="s">
        <v>99</v>
      </c>
      <c r="P1476" t="s">
        <v>99</v>
      </c>
      <c r="Q1476" t="s">
        <v>191</v>
      </c>
      <c r="R1476" t="s">
        <v>269</v>
      </c>
      <c r="S1476" t="s">
        <v>185</v>
      </c>
      <c r="T1476" t="s">
        <v>198</v>
      </c>
      <c r="U1476" t="s">
        <v>163</v>
      </c>
      <c r="V1476" t="s">
        <v>164</v>
      </c>
      <c r="W1476" t="s">
        <v>116</v>
      </c>
      <c r="X1476" t="s">
        <v>44</v>
      </c>
      <c r="Y1476" t="s">
        <v>99</v>
      </c>
      <c r="Z1476" t="s">
        <v>421</v>
      </c>
      <c r="AC1476" t="str">
        <f>IF(AA1476="",M1476,AA1476)</f>
        <v>sim</v>
      </c>
      <c r="AD1476" t="str">
        <f>IF(AB1476="",X1476,AB1476)</f>
        <v>sim</v>
      </c>
      <c r="AE1476" t="str">
        <f>IF(OR(Configuracao!B9="",Configuracao!B10=""),"aguardando limiar",IF(AND(K1476&gt;=Configuracao!B9,K1476/MAX(Reconciliacao!C2,1)&gt;=Configuracao!B10/100),"sim","não"))</f>
        <v>aguardando limiar</v>
      </c>
    </row>
    <row r="1477" spans="1:31" x14ac:dyDescent="0.25">
      <c r="A1477">
        <v>12167</v>
      </c>
      <c r="C1477" t="s">
        <v>1163</v>
      </c>
      <c r="D1477" t="s">
        <v>1164</v>
      </c>
      <c r="E1477" t="s">
        <v>451</v>
      </c>
      <c r="F1477" t="s">
        <v>268</v>
      </c>
      <c r="G1477" t="s">
        <v>267</v>
      </c>
      <c r="H1477" t="s">
        <v>266</v>
      </c>
      <c r="I1477" t="s">
        <v>424</v>
      </c>
      <c r="J1477" t="s">
        <v>424</v>
      </c>
      <c r="K1477" s="4">
        <v>80</v>
      </c>
      <c r="L1477" s="4">
        <v>80</v>
      </c>
      <c r="M1477" t="s">
        <v>44</v>
      </c>
      <c r="N1477" t="s">
        <v>77</v>
      </c>
      <c r="O1477" t="s">
        <v>99</v>
      </c>
      <c r="P1477" t="s">
        <v>99</v>
      </c>
      <c r="Q1477" t="s">
        <v>191</v>
      </c>
      <c r="R1477" t="s">
        <v>269</v>
      </c>
      <c r="S1477" t="s">
        <v>185</v>
      </c>
      <c r="T1477" t="s">
        <v>198</v>
      </c>
      <c r="U1477" t="s">
        <v>163</v>
      </c>
      <c r="V1477" t="s">
        <v>164</v>
      </c>
      <c r="W1477" t="s">
        <v>116</v>
      </c>
      <c r="X1477" t="s">
        <v>44</v>
      </c>
      <c r="Y1477" t="s">
        <v>99</v>
      </c>
      <c r="Z1477" t="s">
        <v>421</v>
      </c>
      <c r="AC1477" t="str">
        <f>IF(AA1477="",M1477,AA1477)</f>
        <v>sim</v>
      </c>
      <c r="AD1477" t="str">
        <f>IF(AB1477="",X1477,AB1477)</f>
        <v>sim</v>
      </c>
      <c r="AE1477" t="str">
        <f>IF(OR(Configuracao!B9="",Configuracao!B10=""),"aguardando limiar",IF(AND(K1477&gt;=Configuracao!B9,K1477/MAX(Reconciliacao!C2,1)&gt;=Configuracao!B10/100),"sim","não"))</f>
        <v>aguardando limiar</v>
      </c>
    </row>
    <row r="1478" spans="1:31" x14ac:dyDescent="0.25">
      <c r="A1478">
        <v>13825</v>
      </c>
      <c r="C1478" t="s">
        <v>1162</v>
      </c>
      <c r="D1478" t="s">
        <v>450</v>
      </c>
      <c r="E1478" t="s">
        <v>451</v>
      </c>
      <c r="F1478" t="s">
        <v>268</v>
      </c>
      <c r="G1478" t="s">
        <v>267</v>
      </c>
      <c r="H1478" t="s">
        <v>266</v>
      </c>
      <c r="I1478" t="s">
        <v>454</v>
      </c>
      <c r="J1478" t="s">
        <v>454</v>
      </c>
      <c r="K1478" s="4">
        <v>91.32</v>
      </c>
      <c r="L1478" s="4">
        <v>91.32</v>
      </c>
      <c r="M1478" t="s">
        <v>44</v>
      </c>
      <c r="N1478" t="s">
        <v>77</v>
      </c>
      <c r="O1478" t="s">
        <v>99</v>
      </c>
      <c r="P1478" t="s">
        <v>99</v>
      </c>
      <c r="Q1478" t="s">
        <v>191</v>
      </c>
      <c r="R1478" t="s">
        <v>269</v>
      </c>
      <c r="S1478" t="s">
        <v>185</v>
      </c>
      <c r="T1478" t="s">
        <v>198</v>
      </c>
      <c r="U1478" t="s">
        <v>163</v>
      </c>
      <c r="V1478" t="s">
        <v>164</v>
      </c>
      <c r="W1478" t="s">
        <v>116</v>
      </c>
      <c r="X1478" t="s">
        <v>44</v>
      </c>
      <c r="Y1478" t="s">
        <v>99</v>
      </c>
      <c r="Z1478" t="s">
        <v>421</v>
      </c>
      <c r="AC1478" t="str">
        <f>IF(AA1478="",M1478,AA1478)</f>
        <v>sim</v>
      </c>
      <c r="AD1478" t="str">
        <f>IF(AB1478="",X1478,AB1478)</f>
        <v>sim</v>
      </c>
      <c r="AE1478" t="str">
        <f>IF(OR(Configuracao!B9="",Configuracao!B10=""),"aguardando limiar",IF(AND(K1478&gt;=Configuracao!B9,K1478/MAX(Reconciliacao!C2,1)&gt;=Configuracao!B10/100),"sim","não"))</f>
        <v>aguardando limiar</v>
      </c>
    </row>
    <row r="1479" spans="1:31" x14ac:dyDescent="0.25">
      <c r="A1479">
        <v>17631</v>
      </c>
      <c r="C1479" t="s">
        <v>1162</v>
      </c>
      <c r="D1479" t="s">
        <v>450</v>
      </c>
      <c r="E1479" t="s">
        <v>451</v>
      </c>
      <c r="F1479" t="s">
        <v>268</v>
      </c>
      <c r="G1479" t="s">
        <v>267</v>
      </c>
      <c r="H1479" t="s">
        <v>266</v>
      </c>
      <c r="I1479" t="s">
        <v>439</v>
      </c>
      <c r="J1479" t="s">
        <v>439</v>
      </c>
      <c r="K1479" s="4">
        <v>110.88</v>
      </c>
      <c r="L1479" s="4">
        <v>110.88</v>
      </c>
      <c r="M1479" t="s">
        <v>44</v>
      </c>
      <c r="N1479" t="s">
        <v>77</v>
      </c>
      <c r="O1479" t="s">
        <v>99</v>
      </c>
      <c r="P1479" t="s">
        <v>99</v>
      </c>
      <c r="Q1479" t="s">
        <v>191</v>
      </c>
      <c r="R1479" t="s">
        <v>269</v>
      </c>
      <c r="S1479" t="s">
        <v>185</v>
      </c>
      <c r="T1479" t="s">
        <v>198</v>
      </c>
      <c r="U1479" t="s">
        <v>163</v>
      </c>
      <c r="V1479" t="s">
        <v>164</v>
      </c>
      <c r="W1479" t="s">
        <v>116</v>
      </c>
      <c r="X1479" t="s">
        <v>44</v>
      </c>
      <c r="Y1479" t="s">
        <v>99</v>
      </c>
      <c r="Z1479" t="s">
        <v>421</v>
      </c>
      <c r="AC1479" t="str">
        <f>IF(AA1479="",M1479,AA1479)</f>
        <v>sim</v>
      </c>
      <c r="AD1479" t="str">
        <f>IF(AB1479="",X1479,AB1479)</f>
        <v>sim</v>
      </c>
      <c r="AE1479" t="str">
        <f>IF(OR(Configuracao!B9="",Configuracao!B10=""),"aguardando limiar",IF(AND(K1479&gt;=Configuracao!B9,K1479/MAX(Reconciliacao!C2,1)&gt;=Configuracao!B10/100),"sim","não"))</f>
        <v>aguardando limiar</v>
      </c>
    </row>
    <row r="1480" spans="1:31" x14ac:dyDescent="0.25">
      <c r="A1480">
        <v>18492</v>
      </c>
      <c r="C1480" t="s">
        <v>1165</v>
      </c>
      <c r="D1480" t="s">
        <v>1166</v>
      </c>
      <c r="E1480" t="s">
        <v>451</v>
      </c>
      <c r="F1480" t="s">
        <v>268</v>
      </c>
      <c r="G1480" t="s">
        <v>267</v>
      </c>
      <c r="H1480" t="s">
        <v>266</v>
      </c>
      <c r="I1480" t="s">
        <v>439</v>
      </c>
      <c r="J1480" t="s">
        <v>439</v>
      </c>
      <c r="K1480" s="4">
        <v>120</v>
      </c>
      <c r="L1480" s="4">
        <v>120</v>
      </c>
      <c r="M1480" t="s">
        <v>44</v>
      </c>
      <c r="N1480" t="s">
        <v>77</v>
      </c>
      <c r="O1480" t="s">
        <v>99</v>
      </c>
      <c r="P1480" t="s">
        <v>99</v>
      </c>
      <c r="Q1480" t="s">
        <v>191</v>
      </c>
      <c r="R1480" t="s">
        <v>269</v>
      </c>
      <c r="S1480" t="s">
        <v>185</v>
      </c>
      <c r="T1480" t="s">
        <v>198</v>
      </c>
      <c r="U1480" t="s">
        <v>163</v>
      </c>
      <c r="V1480" t="s">
        <v>164</v>
      </c>
      <c r="W1480" t="s">
        <v>116</v>
      </c>
      <c r="X1480" t="s">
        <v>44</v>
      </c>
      <c r="Y1480" t="s">
        <v>99</v>
      </c>
      <c r="Z1480" t="s">
        <v>421</v>
      </c>
      <c r="AC1480" t="str">
        <f>IF(AA1480="",M1480,AA1480)</f>
        <v>sim</v>
      </c>
      <c r="AD1480" t="str">
        <f>IF(AB1480="",X1480,AB1480)</f>
        <v>sim</v>
      </c>
      <c r="AE1480" t="str">
        <f>IF(OR(Configuracao!B9="",Configuracao!B10=""),"aguardando limiar",IF(AND(K1480&gt;=Configuracao!B9,K1480/MAX(Reconciliacao!C2,1)&gt;=Configuracao!B10/100),"sim","não"))</f>
        <v>aguardando limiar</v>
      </c>
    </row>
    <row r="1481" spans="1:31" x14ac:dyDescent="0.25">
      <c r="A1481">
        <v>16755</v>
      </c>
      <c r="C1481" t="s">
        <v>1162</v>
      </c>
      <c r="D1481" t="s">
        <v>450</v>
      </c>
      <c r="E1481" t="s">
        <v>451</v>
      </c>
      <c r="F1481" t="s">
        <v>268</v>
      </c>
      <c r="G1481" t="s">
        <v>267</v>
      </c>
      <c r="H1481" t="s">
        <v>266</v>
      </c>
      <c r="I1481" t="s">
        <v>442</v>
      </c>
      <c r="J1481" t="s">
        <v>442</v>
      </c>
      <c r="K1481" s="4">
        <v>121.22</v>
      </c>
      <c r="L1481" s="4">
        <v>121.22</v>
      </c>
      <c r="M1481" t="s">
        <v>44</v>
      </c>
      <c r="N1481" t="s">
        <v>77</v>
      </c>
      <c r="O1481" t="s">
        <v>99</v>
      </c>
      <c r="P1481" t="s">
        <v>99</v>
      </c>
      <c r="Q1481" t="s">
        <v>191</v>
      </c>
      <c r="R1481" t="s">
        <v>269</v>
      </c>
      <c r="S1481" t="s">
        <v>185</v>
      </c>
      <c r="T1481" t="s">
        <v>198</v>
      </c>
      <c r="U1481" t="s">
        <v>163</v>
      </c>
      <c r="V1481" t="s">
        <v>164</v>
      </c>
      <c r="W1481" t="s">
        <v>116</v>
      </c>
      <c r="X1481" t="s">
        <v>44</v>
      </c>
      <c r="Y1481" t="s">
        <v>99</v>
      </c>
      <c r="Z1481" t="s">
        <v>421</v>
      </c>
      <c r="AC1481" t="str">
        <f>IF(AA1481="",M1481,AA1481)</f>
        <v>sim</v>
      </c>
      <c r="AD1481" t="str">
        <f>IF(AB1481="",X1481,AB1481)</f>
        <v>sim</v>
      </c>
      <c r="AE1481" t="str">
        <f>IF(OR(Configuracao!B9="",Configuracao!B10=""),"aguardando limiar",IF(AND(K1481&gt;=Configuracao!B9,K1481/MAX(Reconciliacao!C2,1)&gt;=Configuracao!B10/100),"sim","não"))</f>
        <v>aguardando limiar</v>
      </c>
    </row>
    <row r="1482" spans="1:31" x14ac:dyDescent="0.25">
      <c r="A1482">
        <v>16559</v>
      </c>
      <c r="C1482" t="s">
        <v>1167</v>
      </c>
      <c r="D1482" t="s">
        <v>1168</v>
      </c>
      <c r="E1482" t="s">
        <v>451</v>
      </c>
      <c r="F1482" t="s">
        <v>268</v>
      </c>
      <c r="G1482" t="s">
        <v>267</v>
      </c>
      <c r="H1482" t="s">
        <v>266</v>
      </c>
      <c r="I1482" t="s">
        <v>461</v>
      </c>
      <c r="J1482" t="s">
        <v>461</v>
      </c>
      <c r="K1482" s="4">
        <v>150</v>
      </c>
      <c r="L1482" s="4">
        <v>150</v>
      </c>
      <c r="M1482" t="s">
        <v>44</v>
      </c>
      <c r="N1482" t="s">
        <v>77</v>
      </c>
      <c r="O1482" t="s">
        <v>99</v>
      </c>
      <c r="P1482" t="s">
        <v>99</v>
      </c>
      <c r="Q1482" t="s">
        <v>191</v>
      </c>
      <c r="R1482" t="s">
        <v>269</v>
      </c>
      <c r="S1482" t="s">
        <v>185</v>
      </c>
      <c r="T1482" t="s">
        <v>198</v>
      </c>
      <c r="U1482" t="s">
        <v>163</v>
      </c>
      <c r="V1482" t="s">
        <v>164</v>
      </c>
      <c r="W1482" t="s">
        <v>116</v>
      </c>
      <c r="X1482" t="s">
        <v>44</v>
      </c>
      <c r="Y1482" t="s">
        <v>99</v>
      </c>
      <c r="Z1482" t="s">
        <v>421</v>
      </c>
      <c r="AC1482" t="str">
        <f>IF(AA1482="",M1482,AA1482)</f>
        <v>sim</v>
      </c>
      <c r="AD1482" t="str">
        <f>IF(AB1482="",X1482,AB1482)</f>
        <v>sim</v>
      </c>
      <c r="AE1482" t="str">
        <f>IF(OR(Configuracao!B9="",Configuracao!B10=""),"aguardando limiar",IF(AND(K1482&gt;=Configuracao!B9,K1482/MAX(Reconciliacao!C2,1)&gt;=Configuracao!B10/100),"sim","não"))</f>
        <v>aguardando limiar</v>
      </c>
    </row>
    <row r="1483" spans="1:31" x14ac:dyDescent="0.25">
      <c r="A1483">
        <v>17766</v>
      </c>
      <c r="C1483" t="s">
        <v>1169</v>
      </c>
      <c r="D1483" t="s">
        <v>1168</v>
      </c>
      <c r="E1483" t="s">
        <v>451</v>
      </c>
      <c r="F1483" t="s">
        <v>268</v>
      </c>
      <c r="G1483" t="s">
        <v>267</v>
      </c>
      <c r="H1483" t="s">
        <v>266</v>
      </c>
      <c r="I1483" t="s">
        <v>439</v>
      </c>
      <c r="J1483" t="s">
        <v>439</v>
      </c>
      <c r="K1483" s="4">
        <v>150</v>
      </c>
      <c r="L1483" s="4">
        <v>150</v>
      </c>
      <c r="M1483" t="s">
        <v>44</v>
      </c>
      <c r="N1483" t="s">
        <v>77</v>
      </c>
      <c r="O1483" t="s">
        <v>99</v>
      </c>
      <c r="P1483" t="s">
        <v>99</v>
      </c>
      <c r="Q1483" t="s">
        <v>191</v>
      </c>
      <c r="R1483" t="s">
        <v>269</v>
      </c>
      <c r="S1483" t="s">
        <v>185</v>
      </c>
      <c r="T1483" t="s">
        <v>198</v>
      </c>
      <c r="U1483" t="s">
        <v>163</v>
      </c>
      <c r="V1483" t="s">
        <v>164</v>
      </c>
      <c r="W1483" t="s">
        <v>116</v>
      </c>
      <c r="X1483" t="s">
        <v>44</v>
      </c>
      <c r="Y1483" t="s">
        <v>99</v>
      </c>
      <c r="Z1483" t="s">
        <v>421</v>
      </c>
      <c r="AC1483" t="str">
        <f>IF(AA1483="",M1483,AA1483)</f>
        <v>sim</v>
      </c>
      <c r="AD1483" t="str">
        <f>IF(AB1483="",X1483,AB1483)</f>
        <v>sim</v>
      </c>
      <c r="AE1483" t="str">
        <f>IF(OR(Configuracao!B9="",Configuracao!B10=""),"aguardando limiar",IF(AND(K1483&gt;=Configuracao!B9,K1483/MAX(Reconciliacao!C2,1)&gt;=Configuracao!B10/100),"sim","não"))</f>
        <v>aguardando limiar</v>
      </c>
    </row>
    <row r="1484" spans="1:31" x14ac:dyDescent="0.25">
      <c r="A1484">
        <v>19165</v>
      </c>
      <c r="C1484" t="s">
        <v>1169</v>
      </c>
      <c r="D1484" t="s">
        <v>1168</v>
      </c>
      <c r="E1484" t="s">
        <v>451</v>
      </c>
      <c r="F1484" t="s">
        <v>268</v>
      </c>
      <c r="G1484" t="s">
        <v>267</v>
      </c>
      <c r="H1484" t="s">
        <v>266</v>
      </c>
      <c r="I1484" t="s">
        <v>35</v>
      </c>
      <c r="J1484" t="s">
        <v>459</v>
      </c>
      <c r="K1484" s="4">
        <v>150</v>
      </c>
      <c r="L1484" s="4">
        <v>0</v>
      </c>
      <c r="M1484" t="s">
        <v>44</v>
      </c>
      <c r="N1484" t="s">
        <v>77</v>
      </c>
      <c r="O1484" t="s">
        <v>99</v>
      </c>
      <c r="P1484" t="s">
        <v>99</v>
      </c>
      <c r="Q1484" t="s">
        <v>191</v>
      </c>
      <c r="R1484" t="s">
        <v>269</v>
      </c>
      <c r="S1484" t="s">
        <v>185</v>
      </c>
      <c r="T1484" t="s">
        <v>198</v>
      </c>
      <c r="U1484" t="s">
        <v>163</v>
      </c>
      <c r="V1484" t="s">
        <v>164</v>
      </c>
      <c r="W1484" t="s">
        <v>116</v>
      </c>
      <c r="X1484" t="s">
        <v>44</v>
      </c>
      <c r="Y1484" t="s">
        <v>99</v>
      </c>
      <c r="Z1484" t="s">
        <v>421</v>
      </c>
      <c r="AC1484" t="str">
        <f>IF(AA1484="",M1484,AA1484)</f>
        <v>sim</v>
      </c>
      <c r="AD1484" t="str">
        <f>IF(AB1484="",X1484,AB1484)</f>
        <v>sim</v>
      </c>
      <c r="AE1484" t="str">
        <f>IF(OR(Configuracao!B9="",Configuracao!B10=""),"aguardando limiar",IF(AND(K1484&gt;=Configuracao!B9,K1484/MAX(Reconciliacao!C2,1)&gt;=Configuracao!B10/100),"sim","não"))</f>
        <v>aguardando limiar</v>
      </c>
    </row>
    <row r="1485" spans="1:31" x14ac:dyDescent="0.25">
      <c r="A1485">
        <v>17584</v>
      </c>
      <c r="C1485" t="s">
        <v>1170</v>
      </c>
      <c r="D1485" t="s">
        <v>1171</v>
      </c>
      <c r="E1485" t="s">
        <v>451</v>
      </c>
      <c r="F1485" t="s">
        <v>268</v>
      </c>
      <c r="G1485" t="s">
        <v>267</v>
      </c>
      <c r="H1485" t="s">
        <v>266</v>
      </c>
      <c r="I1485" t="s">
        <v>442</v>
      </c>
      <c r="J1485" t="s">
        <v>442</v>
      </c>
      <c r="K1485" s="4">
        <v>160</v>
      </c>
      <c r="L1485" s="4">
        <v>160</v>
      </c>
      <c r="M1485" t="s">
        <v>44</v>
      </c>
      <c r="N1485" t="s">
        <v>77</v>
      </c>
      <c r="O1485" t="s">
        <v>99</v>
      </c>
      <c r="P1485" t="s">
        <v>99</v>
      </c>
      <c r="Q1485" t="s">
        <v>191</v>
      </c>
      <c r="R1485" t="s">
        <v>269</v>
      </c>
      <c r="S1485" t="s">
        <v>185</v>
      </c>
      <c r="T1485" t="s">
        <v>198</v>
      </c>
      <c r="U1485" t="s">
        <v>163</v>
      </c>
      <c r="V1485" t="s">
        <v>164</v>
      </c>
      <c r="W1485" t="s">
        <v>116</v>
      </c>
      <c r="X1485" t="s">
        <v>44</v>
      </c>
      <c r="Y1485" t="s">
        <v>99</v>
      </c>
      <c r="Z1485" t="s">
        <v>421</v>
      </c>
      <c r="AC1485" t="str">
        <f>IF(AA1485="",M1485,AA1485)</f>
        <v>sim</v>
      </c>
      <c r="AD1485" t="str">
        <f>IF(AB1485="",X1485,AB1485)</f>
        <v>sim</v>
      </c>
      <c r="AE1485" t="str">
        <f>IF(OR(Configuracao!B9="",Configuracao!B10=""),"aguardando limiar",IF(AND(K1485&gt;=Configuracao!B9,K1485/MAX(Reconciliacao!C2,1)&gt;=Configuracao!B10/100),"sim","não"))</f>
        <v>aguardando limiar</v>
      </c>
    </row>
    <row r="1486" spans="1:31" x14ac:dyDescent="0.25">
      <c r="A1486">
        <v>18852</v>
      </c>
      <c r="C1486" t="s">
        <v>1172</v>
      </c>
      <c r="D1486" t="s">
        <v>1173</v>
      </c>
      <c r="E1486" t="s">
        <v>451</v>
      </c>
      <c r="F1486" t="s">
        <v>268</v>
      </c>
      <c r="G1486" t="s">
        <v>267</v>
      </c>
      <c r="H1486" t="s">
        <v>266</v>
      </c>
      <c r="I1486" t="s">
        <v>35</v>
      </c>
      <c r="J1486" t="s">
        <v>35</v>
      </c>
      <c r="K1486" s="4">
        <v>180</v>
      </c>
      <c r="L1486" s="4">
        <v>180</v>
      </c>
      <c r="M1486" t="s">
        <v>44</v>
      </c>
      <c r="N1486" t="s">
        <v>77</v>
      </c>
      <c r="O1486" t="s">
        <v>99</v>
      </c>
      <c r="P1486" t="s">
        <v>99</v>
      </c>
      <c r="Q1486" t="s">
        <v>191</v>
      </c>
      <c r="R1486" t="s">
        <v>269</v>
      </c>
      <c r="S1486" t="s">
        <v>185</v>
      </c>
      <c r="T1486" t="s">
        <v>198</v>
      </c>
      <c r="U1486" t="s">
        <v>163</v>
      </c>
      <c r="V1486" t="s">
        <v>164</v>
      </c>
      <c r="W1486" t="s">
        <v>116</v>
      </c>
      <c r="X1486" t="s">
        <v>44</v>
      </c>
      <c r="Y1486" t="s">
        <v>99</v>
      </c>
      <c r="Z1486" t="s">
        <v>421</v>
      </c>
      <c r="AC1486" t="str">
        <f>IF(AA1486="",M1486,AA1486)</f>
        <v>sim</v>
      </c>
      <c r="AD1486" t="str">
        <f>IF(AB1486="",X1486,AB1486)</f>
        <v>sim</v>
      </c>
      <c r="AE1486" t="str">
        <f>IF(OR(Configuracao!B9="",Configuracao!B10=""),"aguardando limiar",IF(AND(K1486&gt;=Configuracao!B9,K1486/MAX(Reconciliacao!C2,1)&gt;=Configuracao!B10/100),"sim","não"))</f>
        <v>aguardando limiar</v>
      </c>
    </row>
    <row r="1487" spans="1:31" x14ac:dyDescent="0.25">
      <c r="A1487">
        <v>17738</v>
      </c>
      <c r="C1487" t="s">
        <v>1174</v>
      </c>
      <c r="D1487" t="s">
        <v>1175</v>
      </c>
      <c r="E1487" t="s">
        <v>451</v>
      </c>
      <c r="F1487" t="s">
        <v>268</v>
      </c>
      <c r="G1487" t="s">
        <v>267</v>
      </c>
      <c r="H1487" t="s">
        <v>266</v>
      </c>
      <c r="I1487" t="s">
        <v>439</v>
      </c>
      <c r="J1487" t="s">
        <v>439</v>
      </c>
      <c r="K1487" s="4">
        <v>185</v>
      </c>
      <c r="L1487" s="4">
        <v>185</v>
      </c>
      <c r="M1487" t="s">
        <v>44</v>
      </c>
      <c r="N1487" t="s">
        <v>77</v>
      </c>
      <c r="O1487" t="s">
        <v>99</v>
      </c>
      <c r="P1487" t="s">
        <v>99</v>
      </c>
      <c r="Q1487" t="s">
        <v>191</v>
      </c>
      <c r="R1487" t="s">
        <v>269</v>
      </c>
      <c r="S1487" t="s">
        <v>185</v>
      </c>
      <c r="T1487" t="s">
        <v>198</v>
      </c>
      <c r="U1487" t="s">
        <v>163</v>
      </c>
      <c r="V1487" t="s">
        <v>164</v>
      </c>
      <c r="W1487" t="s">
        <v>116</v>
      </c>
      <c r="X1487" t="s">
        <v>44</v>
      </c>
      <c r="Y1487" t="s">
        <v>99</v>
      </c>
      <c r="Z1487" t="s">
        <v>421</v>
      </c>
      <c r="AC1487" t="str">
        <f>IF(AA1487="",M1487,AA1487)</f>
        <v>sim</v>
      </c>
      <c r="AD1487" t="str">
        <f>IF(AB1487="",X1487,AB1487)</f>
        <v>sim</v>
      </c>
      <c r="AE1487" t="str">
        <f>IF(OR(Configuracao!B9="",Configuracao!B10=""),"aguardando limiar",IF(AND(K1487&gt;=Configuracao!B9,K1487/MAX(Reconciliacao!C2,1)&gt;=Configuracao!B10/100),"sim","não"))</f>
        <v>aguardando limiar</v>
      </c>
    </row>
    <row r="1488" spans="1:31" x14ac:dyDescent="0.25">
      <c r="A1488">
        <v>13449</v>
      </c>
      <c r="C1488" t="s">
        <v>1176</v>
      </c>
      <c r="D1488" t="s">
        <v>1177</v>
      </c>
      <c r="E1488" t="s">
        <v>451</v>
      </c>
      <c r="F1488" t="s">
        <v>268</v>
      </c>
      <c r="G1488" t="s">
        <v>267</v>
      </c>
      <c r="H1488" t="s">
        <v>266</v>
      </c>
      <c r="I1488" t="s">
        <v>454</v>
      </c>
      <c r="J1488" t="s">
        <v>454</v>
      </c>
      <c r="K1488" s="4">
        <v>220</v>
      </c>
      <c r="L1488" s="4">
        <v>220</v>
      </c>
      <c r="M1488" t="s">
        <v>44</v>
      </c>
      <c r="N1488" t="s">
        <v>77</v>
      </c>
      <c r="O1488" t="s">
        <v>99</v>
      </c>
      <c r="P1488" t="s">
        <v>99</v>
      </c>
      <c r="Q1488" t="s">
        <v>191</v>
      </c>
      <c r="R1488" t="s">
        <v>269</v>
      </c>
      <c r="S1488" t="s">
        <v>185</v>
      </c>
      <c r="T1488" t="s">
        <v>198</v>
      </c>
      <c r="U1488" t="s">
        <v>163</v>
      </c>
      <c r="V1488" t="s">
        <v>164</v>
      </c>
      <c r="W1488" t="s">
        <v>116</v>
      </c>
      <c r="X1488" t="s">
        <v>44</v>
      </c>
      <c r="Y1488" t="s">
        <v>99</v>
      </c>
      <c r="Z1488" t="s">
        <v>421</v>
      </c>
      <c r="AC1488" t="str">
        <f>IF(AA1488="",M1488,AA1488)</f>
        <v>sim</v>
      </c>
      <c r="AD1488" t="str">
        <f>IF(AB1488="",X1488,AB1488)</f>
        <v>sim</v>
      </c>
      <c r="AE1488" t="str">
        <f>IF(OR(Configuracao!B9="",Configuracao!B10=""),"aguardando limiar",IF(AND(K1488&gt;=Configuracao!B9,K1488/MAX(Reconciliacao!C2,1)&gt;=Configuracao!B10/100),"sim","não"))</f>
        <v>aguardando limiar</v>
      </c>
    </row>
    <row r="1489" spans="1:31" x14ac:dyDescent="0.25">
      <c r="A1489">
        <v>12746</v>
      </c>
      <c r="C1489" t="s">
        <v>1178</v>
      </c>
      <c r="D1489" t="s">
        <v>1179</v>
      </c>
      <c r="E1489" t="s">
        <v>451</v>
      </c>
      <c r="F1489" t="s">
        <v>268</v>
      </c>
      <c r="G1489" t="s">
        <v>267</v>
      </c>
      <c r="H1489" t="s">
        <v>266</v>
      </c>
      <c r="I1489" t="s">
        <v>420</v>
      </c>
      <c r="J1489" t="s">
        <v>420</v>
      </c>
      <c r="K1489" s="4">
        <v>250</v>
      </c>
      <c r="L1489" s="4">
        <v>250</v>
      </c>
      <c r="M1489" t="s">
        <v>44</v>
      </c>
      <c r="N1489" t="s">
        <v>77</v>
      </c>
      <c r="O1489" t="s">
        <v>99</v>
      </c>
      <c r="P1489" t="s">
        <v>99</v>
      </c>
      <c r="Q1489" t="s">
        <v>191</v>
      </c>
      <c r="R1489" t="s">
        <v>269</v>
      </c>
      <c r="S1489" t="s">
        <v>185</v>
      </c>
      <c r="T1489" t="s">
        <v>198</v>
      </c>
      <c r="U1489" t="s">
        <v>163</v>
      </c>
      <c r="V1489" t="s">
        <v>164</v>
      </c>
      <c r="W1489" t="s">
        <v>116</v>
      </c>
      <c r="X1489" t="s">
        <v>44</v>
      </c>
      <c r="Y1489" t="s">
        <v>99</v>
      </c>
      <c r="Z1489" t="s">
        <v>421</v>
      </c>
      <c r="AC1489" t="str">
        <f>IF(AA1489="",M1489,AA1489)</f>
        <v>sim</v>
      </c>
      <c r="AD1489" t="str">
        <f>IF(AB1489="",X1489,AB1489)</f>
        <v>sim</v>
      </c>
      <c r="AE1489" t="str">
        <f>IF(OR(Configuracao!B9="",Configuracao!B10=""),"aguardando limiar",IF(AND(K1489&gt;=Configuracao!B9,K1489/MAX(Reconciliacao!C2,1)&gt;=Configuracao!B10/100),"sim","não"))</f>
        <v>aguardando limiar</v>
      </c>
    </row>
    <row r="1490" spans="1:31" x14ac:dyDescent="0.25">
      <c r="A1490">
        <v>18068</v>
      </c>
      <c r="C1490" t="s">
        <v>1180</v>
      </c>
      <c r="D1490" t="s">
        <v>1181</v>
      </c>
      <c r="E1490" t="s">
        <v>451</v>
      </c>
      <c r="F1490" t="s">
        <v>268</v>
      </c>
      <c r="G1490" t="s">
        <v>267</v>
      </c>
      <c r="H1490" t="s">
        <v>266</v>
      </c>
      <c r="I1490" t="s">
        <v>439</v>
      </c>
      <c r="J1490" t="s">
        <v>439</v>
      </c>
      <c r="K1490" s="4">
        <v>250</v>
      </c>
      <c r="L1490" s="4">
        <v>250</v>
      </c>
      <c r="M1490" t="s">
        <v>44</v>
      </c>
      <c r="N1490" t="s">
        <v>77</v>
      </c>
      <c r="O1490" t="s">
        <v>99</v>
      </c>
      <c r="P1490" t="s">
        <v>99</v>
      </c>
      <c r="Q1490" t="s">
        <v>191</v>
      </c>
      <c r="R1490" t="s">
        <v>269</v>
      </c>
      <c r="S1490" t="s">
        <v>185</v>
      </c>
      <c r="T1490" t="s">
        <v>198</v>
      </c>
      <c r="U1490" t="s">
        <v>163</v>
      </c>
      <c r="V1490" t="s">
        <v>164</v>
      </c>
      <c r="W1490" t="s">
        <v>116</v>
      </c>
      <c r="X1490" t="s">
        <v>44</v>
      </c>
      <c r="Y1490" t="s">
        <v>99</v>
      </c>
      <c r="Z1490" t="s">
        <v>421</v>
      </c>
      <c r="AC1490" t="str">
        <f>IF(AA1490="",M1490,AA1490)</f>
        <v>sim</v>
      </c>
      <c r="AD1490" t="str">
        <f>IF(AB1490="",X1490,AB1490)</f>
        <v>sim</v>
      </c>
      <c r="AE1490" t="str">
        <f>IF(OR(Configuracao!B9="",Configuracao!B10=""),"aguardando limiar",IF(AND(K1490&gt;=Configuracao!B9,K1490/MAX(Reconciliacao!C2,1)&gt;=Configuracao!B10/100),"sim","não"))</f>
        <v>aguardando limiar</v>
      </c>
    </row>
    <row r="1491" spans="1:31" x14ac:dyDescent="0.25">
      <c r="A1491">
        <v>18600</v>
      </c>
      <c r="C1491" t="s">
        <v>1182</v>
      </c>
      <c r="D1491" t="s">
        <v>1183</v>
      </c>
      <c r="E1491" t="s">
        <v>451</v>
      </c>
      <c r="F1491" t="s">
        <v>268</v>
      </c>
      <c r="G1491" t="s">
        <v>267</v>
      </c>
      <c r="H1491" t="s">
        <v>266</v>
      </c>
      <c r="I1491" t="s">
        <v>35</v>
      </c>
      <c r="J1491" t="s">
        <v>35</v>
      </c>
      <c r="K1491" s="4">
        <v>250</v>
      </c>
      <c r="L1491" s="4">
        <v>250</v>
      </c>
      <c r="M1491" t="s">
        <v>44</v>
      </c>
      <c r="N1491" t="s">
        <v>77</v>
      </c>
      <c r="O1491" t="s">
        <v>99</v>
      </c>
      <c r="P1491" t="s">
        <v>99</v>
      </c>
      <c r="Q1491" t="s">
        <v>191</v>
      </c>
      <c r="R1491" t="s">
        <v>269</v>
      </c>
      <c r="S1491" t="s">
        <v>185</v>
      </c>
      <c r="T1491" t="s">
        <v>198</v>
      </c>
      <c r="U1491" t="s">
        <v>163</v>
      </c>
      <c r="V1491" t="s">
        <v>164</v>
      </c>
      <c r="W1491" t="s">
        <v>116</v>
      </c>
      <c r="X1491" t="s">
        <v>44</v>
      </c>
      <c r="Y1491" t="s">
        <v>99</v>
      </c>
      <c r="Z1491" t="s">
        <v>421</v>
      </c>
      <c r="AC1491" t="str">
        <f>IF(AA1491="",M1491,AA1491)</f>
        <v>sim</v>
      </c>
      <c r="AD1491" t="str">
        <f>IF(AB1491="",X1491,AB1491)</f>
        <v>sim</v>
      </c>
      <c r="AE1491" t="str">
        <f>IF(OR(Configuracao!B9="",Configuracao!B10=""),"aguardando limiar",IF(AND(K1491&gt;=Configuracao!B9,K1491/MAX(Reconciliacao!C2,1)&gt;=Configuracao!B10/100),"sim","não"))</f>
        <v>aguardando limiar</v>
      </c>
    </row>
    <row r="1492" spans="1:31" x14ac:dyDescent="0.25">
      <c r="A1492">
        <v>11935</v>
      </c>
      <c r="C1492" t="s">
        <v>1184</v>
      </c>
      <c r="D1492" t="s">
        <v>1177</v>
      </c>
      <c r="E1492" t="s">
        <v>451</v>
      </c>
      <c r="F1492" t="s">
        <v>268</v>
      </c>
      <c r="G1492" t="s">
        <v>267</v>
      </c>
      <c r="H1492" t="s">
        <v>266</v>
      </c>
      <c r="I1492" t="s">
        <v>32</v>
      </c>
      <c r="J1492" t="s">
        <v>32</v>
      </c>
      <c r="K1492" s="4">
        <v>280</v>
      </c>
      <c r="L1492" s="4">
        <v>280</v>
      </c>
      <c r="M1492" t="s">
        <v>44</v>
      </c>
      <c r="N1492" t="s">
        <v>77</v>
      </c>
      <c r="O1492" t="s">
        <v>99</v>
      </c>
      <c r="P1492" t="s">
        <v>99</v>
      </c>
      <c r="Q1492" t="s">
        <v>191</v>
      </c>
      <c r="R1492" t="s">
        <v>269</v>
      </c>
      <c r="S1492" t="s">
        <v>185</v>
      </c>
      <c r="T1492" t="s">
        <v>198</v>
      </c>
      <c r="U1492" t="s">
        <v>163</v>
      </c>
      <c r="V1492" t="s">
        <v>164</v>
      </c>
      <c r="W1492" t="s">
        <v>116</v>
      </c>
      <c r="X1492" t="s">
        <v>44</v>
      </c>
      <c r="Y1492" t="s">
        <v>99</v>
      </c>
      <c r="Z1492" t="s">
        <v>421</v>
      </c>
      <c r="AC1492" t="str">
        <f>IF(AA1492="",M1492,AA1492)</f>
        <v>sim</v>
      </c>
      <c r="AD1492" t="str">
        <f>IF(AB1492="",X1492,AB1492)</f>
        <v>sim</v>
      </c>
      <c r="AE1492" t="str">
        <f>IF(OR(Configuracao!B9="",Configuracao!B10=""),"aguardando limiar",IF(AND(K1492&gt;=Configuracao!B9,K1492/MAX(Reconciliacao!C2,1)&gt;=Configuracao!B10/100),"sim","não"))</f>
        <v>aguardando limiar</v>
      </c>
    </row>
    <row r="1493" spans="1:31" x14ac:dyDescent="0.25">
      <c r="A1493">
        <v>12687</v>
      </c>
      <c r="C1493" t="s">
        <v>1185</v>
      </c>
      <c r="D1493" t="s">
        <v>1186</v>
      </c>
      <c r="E1493" t="s">
        <v>451</v>
      </c>
      <c r="F1493" t="s">
        <v>268</v>
      </c>
      <c r="G1493" t="s">
        <v>267</v>
      </c>
      <c r="H1493" t="s">
        <v>266</v>
      </c>
      <c r="I1493" t="s">
        <v>420</v>
      </c>
      <c r="J1493" t="s">
        <v>420</v>
      </c>
      <c r="K1493" s="4">
        <v>300</v>
      </c>
      <c r="L1493" s="4">
        <v>300</v>
      </c>
      <c r="M1493" t="s">
        <v>44</v>
      </c>
      <c r="N1493" t="s">
        <v>77</v>
      </c>
      <c r="O1493" t="s">
        <v>99</v>
      </c>
      <c r="P1493" t="s">
        <v>99</v>
      </c>
      <c r="Q1493" t="s">
        <v>191</v>
      </c>
      <c r="R1493" t="s">
        <v>269</v>
      </c>
      <c r="S1493" t="s">
        <v>185</v>
      </c>
      <c r="T1493" t="s">
        <v>198</v>
      </c>
      <c r="U1493" t="s">
        <v>163</v>
      </c>
      <c r="V1493" t="s">
        <v>164</v>
      </c>
      <c r="W1493" t="s">
        <v>116</v>
      </c>
      <c r="X1493" t="s">
        <v>44</v>
      </c>
      <c r="Y1493" t="s">
        <v>99</v>
      </c>
      <c r="Z1493" t="s">
        <v>421</v>
      </c>
      <c r="AC1493" t="str">
        <f>IF(AA1493="",M1493,AA1493)</f>
        <v>sim</v>
      </c>
      <c r="AD1493" t="str">
        <f>IF(AB1493="",X1493,AB1493)</f>
        <v>sim</v>
      </c>
      <c r="AE1493" t="str">
        <f>IF(OR(Configuracao!B9="",Configuracao!B10=""),"aguardando limiar",IF(AND(K1493&gt;=Configuracao!B9,K1493/MAX(Reconciliacao!C2,1)&gt;=Configuracao!B10/100),"sim","não"))</f>
        <v>aguardando limiar</v>
      </c>
    </row>
    <row r="1494" spans="1:31" x14ac:dyDescent="0.25">
      <c r="A1494">
        <v>17632</v>
      </c>
      <c r="C1494" t="s">
        <v>1187</v>
      </c>
      <c r="D1494" t="s">
        <v>1183</v>
      </c>
      <c r="E1494" t="s">
        <v>451</v>
      </c>
      <c r="F1494" t="s">
        <v>268</v>
      </c>
      <c r="G1494" t="s">
        <v>267</v>
      </c>
      <c r="H1494" t="s">
        <v>266</v>
      </c>
      <c r="I1494" t="s">
        <v>439</v>
      </c>
      <c r="J1494" t="s">
        <v>439</v>
      </c>
      <c r="K1494" s="4">
        <v>385</v>
      </c>
      <c r="L1494" s="4">
        <v>385</v>
      </c>
      <c r="M1494" t="s">
        <v>44</v>
      </c>
      <c r="N1494" t="s">
        <v>77</v>
      </c>
      <c r="O1494" t="s">
        <v>99</v>
      </c>
      <c r="P1494" t="s">
        <v>99</v>
      </c>
      <c r="Q1494" t="s">
        <v>191</v>
      </c>
      <c r="R1494" t="s">
        <v>269</v>
      </c>
      <c r="S1494" t="s">
        <v>185</v>
      </c>
      <c r="T1494" t="s">
        <v>198</v>
      </c>
      <c r="U1494" t="s">
        <v>163</v>
      </c>
      <c r="V1494" t="s">
        <v>164</v>
      </c>
      <c r="W1494" t="s">
        <v>116</v>
      </c>
      <c r="X1494" t="s">
        <v>44</v>
      </c>
      <c r="Y1494" t="s">
        <v>99</v>
      </c>
      <c r="Z1494" t="s">
        <v>421</v>
      </c>
      <c r="AC1494" t="str">
        <f>IF(AA1494="",M1494,AA1494)</f>
        <v>sim</v>
      </c>
      <c r="AD1494" t="str">
        <f>IF(AB1494="",X1494,AB1494)</f>
        <v>sim</v>
      </c>
      <c r="AE1494" t="str">
        <f>IF(OR(Configuracao!B9="",Configuracao!B10=""),"aguardando limiar",IF(AND(K1494&gt;=Configuracao!B9,K1494/MAX(Reconciliacao!C2,1)&gt;=Configuracao!B10/100),"sim","não"))</f>
        <v>aguardando limiar</v>
      </c>
    </row>
    <row r="1495" spans="1:31" x14ac:dyDescent="0.25">
      <c r="A1495">
        <v>17633</v>
      </c>
      <c r="C1495" t="s">
        <v>1187</v>
      </c>
      <c r="D1495" t="s">
        <v>1183</v>
      </c>
      <c r="E1495" t="s">
        <v>451</v>
      </c>
      <c r="F1495" t="s">
        <v>268</v>
      </c>
      <c r="G1495" t="s">
        <v>267</v>
      </c>
      <c r="H1495" t="s">
        <v>266</v>
      </c>
      <c r="I1495" t="s">
        <v>439</v>
      </c>
      <c r="J1495" t="s">
        <v>439</v>
      </c>
      <c r="K1495" s="4">
        <v>385</v>
      </c>
      <c r="L1495" s="4">
        <v>385</v>
      </c>
      <c r="M1495" t="s">
        <v>44</v>
      </c>
      <c r="N1495" t="s">
        <v>77</v>
      </c>
      <c r="O1495" t="s">
        <v>99</v>
      </c>
      <c r="P1495" t="s">
        <v>99</v>
      </c>
      <c r="Q1495" t="s">
        <v>191</v>
      </c>
      <c r="R1495" t="s">
        <v>269</v>
      </c>
      <c r="S1495" t="s">
        <v>185</v>
      </c>
      <c r="T1495" t="s">
        <v>198</v>
      </c>
      <c r="U1495" t="s">
        <v>163</v>
      </c>
      <c r="V1495" t="s">
        <v>164</v>
      </c>
      <c r="W1495" t="s">
        <v>116</v>
      </c>
      <c r="X1495" t="s">
        <v>44</v>
      </c>
      <c r="Y1495" t="s">
        <v>99</v>
      </c>
      <c r="Z1495" t="s">
        <v>421</v>
      </c>
      <c r="AC1495" t="str">
        <f>IF(AA1495="",M1495,AA1495)</f>
        <v>sim</v>
      </c>
      <c r="AD1495" t="str">
        <f>IF(AB1495="",X1495,AB1495)</f>
        <v>sim</v>
      </c>
      <c r="AE1495" t="str">
        <f>IF(OR(Configuracao!B9="",Configuracao!B10=""),"aguardando limiar",IF(AND(K1495&gt;=Configuracao!B9,K1495/MAX(Reconciliacao!C2,1)&gt;=Configuracao!B10/100),"sim","não"))</f>
        <v>aguardando limiar</v>
      </c>
    </row>
    <row r="1496" spans="1:31" x14ac:dyDescent="0.25">
      <c r="A1496">
        <v>12378</v>
      </c>
      <c r="C1496" t="s">
        <v>1188</v>
      </c>
      <c r="D1496" t="s">
        <v>1183</v>
      </c>
      <c r="E1496" t="s">
        <v>451</v>
      </c>
      <c r="F1496" t="s">
        <v>268</v>
      </c>
      <c r="G1496" t="s">
        <v>267</v>
      </c>
      <c r="H1496" t="s">
        <v>266</v>
      </c>
      <c r="I1496" t="s">
        <v>420</v>
      </c>
      <c r="J1496" t="s">
        <v>420</v>
      </c>
      <c r="K1496" s="4">
        <v>400</v>
      </c>
      <c r="L1496" s="4">
        <v>400</v>
      </c>
      <c r="M1496" t="s">
        <v>44</v>
      </c>
      <c r="N1496" t="s">
        <v>77</v>
      </c>
      <c r="O1496" t="s">
        <v>99</v>
      </c>
      <c r="P1496" t="s">
        <v>99</v>
      </c>
      <c r="Q1496" t="s">
        <v>191</v>
      </c>
      <c r="R1496" t="s">
        <v>269</v>
      </c>
      <c r="S1496" t="s">
        <v>185</v>
      </c>
      <c r="T1496" t="s">
        <v>198</v>
      </c>
      <c r="U1496" t="s">
        <v>163</v>
      </c>
      <c r="V1496" t="s">
        <v>164</v>
      </c>
      <c r="W1496" t="s">
        <v>116</v>
      </c>
      <c r="X1496" t="s">
        <v>44</v>
      </c>
      <c r="Y1496" t="s">
        <v>99</v>
      </c>
      <c r="Z1496" t="s">
        <v>421</v>
      </c>
      <c r="AC1496" t="str">
        <f>IF(AA1496="",M1496,AA1496)</f>
        <v>sim</v>
      </c>
      <c r="AD1496" t="str">
        <f>IF(AB1496="",X1496,AB1496)</f>
        <v>sim</v>
      </c>
      <c r="AE1496" t="str">
        <f>IF(OR(Configuracao!B9="",Configuracao!B10=""),"aguardando limiar",IF(AND(K1496&gt;=Configuracao!B9,K1496/MAX(Reconciliacao!C2,1)&gt;=Configuracao!B10/100),"sim","não"))</f>
        <v>aguardando limiar</v>
      </c>
    </row>
    <row r="1497" spans="1:31" x14ac:dyDescent="0.25">
      <c r="A1497">
        <v>17634</v>
      </c>
      <c r="C1497" t="s">
        <v>1189</v>
      </c>
      <c r="D1497" t="s">
        <v>1186</v>
      </c>
      <c r="E1497" t="s">
        <v>451</v>
      </c>
      <c r="F1497" t="s">
        <v>268</v>
      </c>
      <c r="G1497" t="s">
        <v>267</v>
      </c>
      <c r="H1497" t="s">
        <v>266</v>
      </c>
      <c r="I1497" t="s">
        <v>439</v>
      </c>
      <c r="J1497" t="s">
        <v>439</v>
      </c>
      <c r="K1497" s="4">
        <v>400</v>
      </c>
      <c r="L1497" s="4">
        <v>400</v>
      </c>
      <c r="M1497" t="s">
        <v>44</v>
      </c>
      <c r="N1497" t="s">
        <v>77</v>
      </c>
      <c r="O1497" t="s">
        <v>99</v>
      </c>
      <c r="P1497" t="s">
        <v>99</v>
      </c>
      <c r="Q1497" t="s">
        <v>191</v>
      </c>
      <c r="R1497" t="s">
        <v>269</v>
      </c>
      <c r="S1497" t="s">
        <v>185</v>
      </c>
      <c r="T1497" t="s">
        <v>198</v>
      </c>
      <c r="U1497" t="s">
        <v>163</v>
      </c>
      <c r="V1497" t="s">
        <v>164</v>
      </c>
      <c r="W1497" t="s">
        <v>116</v>
      </c>
      <c r="X1497" t="s">
        <v>44</v>
      </c>
      <c r="Y1497" t="s">
        <v>99</v>
      </c>
      <c r="Z1497" t="s">
        <v>421</v>
      </c>
      <c r="AC1497" t="str">
        <f>IF(AA1497="",M1497,AA1497)</f>
        <v>sim</v>
      </c>
      <c r="AD1497" t="str">
        <f>IF(AB1497="",X1497,AB1497)</f>
        <v>sim</v>
      </c>
      <c r="AE1497" t="str">
        <f>IF(OR(Configuracao!B9="",Configuracao!B10=""),"aguardando limiar",IF(AND(K1497&gt;=Configuracao!B9,K1497/MAX(Reconciliacao!C2,1)&gt;=Configuracao!B10/100),"sim","não"))</f>
        <v>aguardando limiar</v>
      </c>
    </row>
    <row r="1498" spans="1:31" x14ac:dyDescent="0.25">
      <c r="A1498">
        <v>16238</v>
      </c>
      <c r="C1498" t="s">
        <v>1190</v>
      </c>
      <c r="D1498" t="s">
        <v>1191</v>
      </c>
      <c r="E1498" t="s">
        <v>451</v>
      </c>
      <c r="F1498" t="s">
        <v>268</v>
      </c>
      <c r="G1498" t="s">
        <v>267</v>
      </c>
      <c r="H1498" t="s">
        <v>266</v>
      </c>
      <c r="I1498" t="s">
        <v>461</v>
      </c>
      <c r="J1498" t="s">
        <v>461</v>
      </c>
      <c r="K1498" s="4">
        <v>401.47</v>
      </c>
      <c r="L1498" s="4">
        <v>401.47</v>
      </c>
      <c r="M1498" t="s">
        <v>44</v>
      </c>
      <c r="N1498" t="s">
        <v>77</v>
      </c>
      <c r="O1498" t="s">
        <v>99</v>
      </c>
      <c r="P1498" t="s">
        <v>99</v>
      </c>
      <c r="Q1498" t="s">
        <v>191</v>
      </c>
      <c r="R1498" t="s">
        <v>269</v>
      </c>
      <c r="S1498" t="s">
        <v>185</v>
      </c>
      <c r="T1498" t="s">
        <v>198</v>
      </c>
      <c r="U1498" t="s">
        <v>163</v>
      </c>
      <c r="V1498" t="s">
        <v>164</v>
      </c>
      <c r="W1498" t="s">
        <v>116</v>
      </c>
      <c r="X1498" t="s">
        <v>44</v>
      </c>
      <c r="Y1498" t="s">
        <v>99</v>
      </c>
      <c r="Z1498" t="s">
        <v>421</v>
      </c>
      <c r="AC1498" t="str">
        <f>IF(AA1498="",M1498,AA1498)</f>
        <v>sim</v>
      </c>
      <c r="AD1498" t="str">
        <f>IF(AB1498="",X1498,AB1498)</f>
        <v>sim</v>
      </c>
      <c r="AE1498" t="str">
        <f>IF(OR(Configuracao!B9="",Configuracao!B10=""),"aguardando limiar",IF(AND(K1498&gt;=Configuracao!B9,K1498/MAX(Reconciliacao!C2,1)&gt;=Configuracao!B10/100),"sim","não"))</f>
        <v>aguardando limiar</v>
      </c>
    </row>
    <row r="1499" spans="1:31" x14ac:dyDescent="0.25">
      <c r="A1499">
        <v>16777</v>
      </c>
      <c r="C1499" t="s">
        <v>1192</v>
      </c>
      <c r="D1499" t="s">
        <v>1183</v>
      </c>
      <c r="E1499" t="s">
        <v>451</v>
      </c>
      <c r="F1499" t="s">
        <v>268</v>
      </c>
      <c r="G1499" t="s">
        <v>267</v>
      </c>
      <c r="H1499" t="s">
        <v>266</v>
      </c>
      <c r="I1499" t="s">
        <v>442</v>
      </c>
      <c r="J1499" t="s">
        <v>442</v>
      </c>
      <c r="K1499" s="4">
        <v>425</v>
      </c>
      <c r="L1499" s="4">
        <v>425</v>
      </c>
      <c r="M1499" t="s">
        <v>44</v>
      </c>
      <c r="N1499" t="s">
        <v>77</v>
      </c>
      <c r="O1499" t="s">
        <v>99</v>
      </c>
      <c r="P1499" t="s">
        <v>99</v>
      </c>
      <c r="Q1499" t="s">
        <v>191</v>
      </c>
      <c r="R1499" t="s">
        <v>269</v>
      </c>
      <c r="S1499" t="s">
        <v>185</v>
      </c>
      <c r="T1499" t="s">
        <v>198</v>
      </c>
      <c r="U1499" t="s">
        <v>163</v>
      </c>
      <c r="V1499" t="s">
        <v>164</v>
      </c>
      <c r="W1499" t="s">
        <v>116</v>
      </c>
      <c r="X1499" t="s">
        <v>44</v>
      </c>
      <c r="Y1499" t="s">
        <v>99</v>
      </c>
      <c r="Z1499" t="s">
        <v>421</v>
      </c>
      <c r="AC1499" t="str">
        <f>IF(AA1499="",M1499,AA1499)</f>
        <v>sim</v>
      </c>
      <c r="AD1499" t="str">
        <f>IF(AB1499="",X1499,AB1499)</f>
        <v>sim</v>
      </c>
      <c r="AE1499" t="str">
        <f>IF(OR(Configuracao!B9="",Configuracao!B10=""),"aguardando limiar",IF(AND(K1499&gt;=Configuracao!B9,K1499/MAX(Reconciliacao!C2,1)&gt;=Configuracao!B10/100),"sim","não"))</f>
        <v>aguardando limiar</v>
      </c>
    </row>
    <row r="1500" spans="1:31" x14ac:dyDescent="0.25">
      <c r="A1500">
        <v>16778</v>
      </c>
      <c r="C1500" t="s">
        <v>1192</v>
      </c>
      <c r="D1500" t="s">
        <v>1183</v>
      </c>
      <c r="E1500" t="s">
        <v>451</v>
      </c>
      <c r="F1500" t="s">
        <v>268</v>
      </c>
      <c r="G1500" t="s">
        <v>267</v>
      </c>
      <c r="H1500" t="s">
        <v>266</v>
      </c>
      <c r="I1500" t="s">
        <v>442</v>
      </c>
      <c r="J1500" t="s">
        <v>442</v>
      </c>
      <c r="K1500" s="4">
        <v>425</v>
      </c>
      <c r="L1500" s="4">
        <v>425</v>
      </c>
      <c r="M1500" t="s">
        <v>44</v>
      </c>
      <c r="N1500" t="s">
        <v>77</v>
      </c>
      <c r="O1500" t="s">
        <v>99</v>
      </c>
      <c r="P1500" t="s">
        <v>99</v>
      </c>
      <c r="Q1500" t="s">
        <v>191</v>
      </c>
      <c r="R1500" t="s">
        <v>269</v>
      </c>
      <c r="S1500" t="s">
        <v>185</v>
      </c>
      <c r="T1500" t="s">
        <v>198</v>
      </c>
      <c r="U1500" t="s">
        <v>163</v>
      </c>
      <c r="V1500" t="s">
        <v>164</v>
      </c>
      <c r="W1500" t="s">
        <v>116</v>
      </c>
      <c r="X1500" t="s">
        <v>44</v>
      </c>
      <c r="Y1500" t="s">
        <v>99</v>
      </c>
      <c r="Z1500" t="s">
        <v>421</v>
      </c>
      <c r="AC1500" t="str">
        <f>IF(AA1500="",M1500,AA1500)</f>
        <v>sim</v>
      </c>
      <c r="AD1500" t="str">
        <f>IF(AB1500="",X1500,AB1500)</f>
        <v>sim</v>
      </c>
      <c r="AE1500" t="str">
        <f>IF(OR(Configuracao!B9="",Configuracao!B10=""),"aguardando limiar",IF(AND(K1500&gt;=Configuracao!B9,K1500/MAX(Reconciliacao!C2,1)&gt;=Configuracao!B10/100),"sim","não"))</f>
        <v>aguardando limiar</v>
      </c>
    </row>
    <row r="1501" spans="1:31" x14ac:dyDescent="0.25">
      <c r="A1501">
        <v>12042</v>
      </c>
      <c r="C1501" t="s">
        <v>1193</v>
      </c>
      <c r="D1501" t="s">
        <v>1194</v>
      </c>
      <c r="E1501" t="s">
        <v>451</v>
      </c>
      <c r="F1501" t="s">
        <v>268</v>
      </c>
      <c r="G1501" t="s">
        <v>267</v>
      </c>
      <c r="H1501" t="s">
        <v>266</v>
      </c>
      <c r="I1501" t="s">
        <v>424</v>
      </c>
      <c r="J1501" t="s">
        <v>424</v>
      </c>
      <c r="K1501" s="4">
        <v>450</v>
      </c>
      <c r="L1501" s="4">
        <v>450</v>
      </c>
      <c r="M1501" t="s">
        <v>44</v>
      </c>
      <c r="N1501" t="s">
        <v>77</v>
      </c>
      <c r="O1501" t="s">
        <v>99</v>
      </c>
      <c r="P1501" t="s">
        <v>99</v>
      </c>
      <c r="Q1501" t="s">
        <v>191</v>
      </c>
      <c r="R1501" t="s">
        <v>269</v>
      </c>
      <c r="S1501" t="s">
        <v>185</v>
      </c>
      <c r="T1501" t="s">
        <v>198</v>
      </c>
      <c r="U1501" t="s">
        <v>163</v>
      </c>
      <c r="V1501" t="s">
        <v>164</v>
      </c>
      <c r="W1501" t="s">
        <v>116</v>
      </c>
      <c r="X1501" t="s">
        <v>44</v>
      </c>
      <c r="Y1501" t="s">
        <v>99</v>
      </c>
      <c r="Z1501" t="s">
        <v>421</v>
      </c>
      <c r="AC1501" t="str">
        <f>IF(AA1501="",M1501,AA1501)</f>
        <v>sim</v>
      </c>
      <c r="AD1501" t="str">
        <f>IF(AB1501="",X1501,AB1501)</f>
        <v>sim</v>
      </c>
      <c r="AE1501" t="str">
        <f>IF(OR(Configuracao!B9="",Configuracao!B10=""),"aguardando limiar",IF(AND(K1501&gt;=Configuracao!B9,K1501/MAX(Reconciliacao!C2,1)&gt;=Configuracao!B10/100),"sim","não"))</f>
        <v>aguardando limiar</v>
      </c>
    </row>
    <row r="1502" spans="1:31" x14ac:dyDescent="0.25">
      <c r="A1502">
        <v>12493</v>
      </c>
      <c r="C1502" t="s">
        <v>1195</v>
      </c>
      <c r="D1502" t="s">
        <v>1186</v>
      </c>
      <c r="E1502" t="s">
        <v>451</v>
      </c>
      <c r="F1502" t="s">
        <v>268</v>
      </c>
      <c r="G1502" t="s">
        <v>267</v>
      </c>
      <c r="H1502" t="s">
        <v>266</v>
      </c>
      <c r="I1502" t="s">
        <v>420</v>
      </c>
      <c r="J1502" t="s">
        <v>420</v>
      </c>
      <c r="K1502" s="4">
        <v>450</v>
      </c>
      <c r="L1502" s="4">
        <v>450</v>
      </c>
      <c r="M1502" t="s">
        <v>44</v>
      </c>
      <c r="N1502" t="s">
        <v>77</v>
      </c>
      <c r="O1502" t="s">
        <v>99</v>
      </c>
      <c r="P1502" t="s">
        <v>99</v>
      </c>
      <c r="Q1502" t="s">
        <v>191</v>
      </c>
      <c r="R1502" t="s">
        <v>269</v>
      </c>
      <c r="S1502" t="s">
        <v>185</v>
      </c>
      <c r="T1502" t="s">
        <v>198</v>
      </c>
      <c r="U1502" t="s">
        <v>163</v>
      </c>
      <c r="V1502" t="s">
        <v>164</v>
      </c>
      <c r="W1502" t="s">
        <v>116</v>
      </c>
      <c r="X1502" t="s">
        <v>44</v>
      </c>
      <c r="Y1502" t="s">
        <v>99</v>
      </c>
      <c r="Z1502" t="s">
        <v>421</v>
      </c>
      <c r="AC1502" t="str">
        <f>IF(AA1502="",M1502,AA1502)</f>
        <v>sim</v>
      </c>
      <c r="AD1502" t="str">
        <f>IF(AB1502="",X1502,AB1502)</f>
        <v>sim</v>
      </c>
      <c r="AE1502" t="str">
        <f>IF(OR(Configuracao!B9="",Configuracao!B10=""),"aguardando limiar",IF(AND(K1502&gt;=Configuracao!B9,K1502/MAX(Reconciliacao!C2,1)&gt;=Configuracao!B10/100),"sim","não"))</f>
        <v>aguardando limiar</v>
      </c>
    </row>
    <row r="1503" spans="1:31" x14ac:dyDescent="0.25">
      <c r="A1503">
        <v>15048</v>
      </c>
      <c r="C1503" t="s">
        <v>1196</v>
      </c>
      <c r="D1503" t="s">
        <v>1186</v>
      </c>
      <c r="E1503" t="s">
        <v>451</v>
      </c>
      <c r="F1503" t="s">
        <v>268</v>
      </c>
      <c r="G1503" t="s">
        <v>267</v>
      </c>
      <c r="H1503" t="s">
        <v>266</v>
      </c>
      <c r="I1503" t="s">
        <v>454</v>
      </c>
      <c r="J1503" t="s">
        <v>454</v>
      </c>
      <c r="K1503" s="4">
        <v>450</v>
      </c>
      <c r="L1503" s="4">
        <v>450</v>
      </c>
      <c r="M1503" t="s">
        <v>44</v>
      </c>
      <c r="N1503" t="s">
        <v>77</v>
      </c>
      <c r="O1503" t="s">
        <v>99</v>
      </c>
      <c r="P1503" t="s">
        <v>99</v>
      </c>
      <c r="Q1503" t="s">
        <v>191</v>
      </c>
      <c r="R1503" t="s">
        <v>269</v>
      </c>
      <c r="S1503" t="s">
        <v>185</v>
      </c>
      <c r="T1503" t="s">
        <v>198</v>
      </c>
      <c r="U1503" t="s">
        <v>163</v>
      </c>
      <c r="V1503" t="s">
        <v>164</v>
      </c>
      <c r="W1503" t="s">
        <v>116</v>
      </c>
      <c r="X1503" t="s">
        <v>44</v>
      </c>
      <c r="Y1503" t="s">
        <v>99</v>
      </c>
      <c r="Z1503" t="s">
        <v>421</v>
      </c>
      <c r="AC1503" t="str">
        <f>IF(AA1503="",M1503,AA1503)</f>
        <v>sim</v>
      </c>
      <c r="AD1503" t="str">
        <f>IF(AB1503="",X1503,AB1503)</f>
        <v>sim</v>
      </c>
      <c r="AE1503" t="str">
        <f>IF(OR(Configuracao!B9="",Configuracao!B10=""),"aguardando limiar",IF(AND(K1503&gt;=Configuracao!B9,K1503/MAX(Reconciliacao!C2,1)&gt;=Configuracao!B10/100),"sim","não"))</f>
        <v>aguardando limiar</v>
      </c>
    </row>
    <row r="1504" spans="1:31" x14ac:dyDescent="0.25">
      <c r="A1504">
        <v>12166</v>
      </c>
      <c r="C1504" t="s">
        <v>1197</v>
      </c>
      <c r="D1504" t="s">
        <v>1183</v>
      </c>
      <c r="E1504" t="s">
        <v>451</v>
      </c>
      <c r="F1504" t="s">
        <v>268</v>
      </c>
      <c r="G1504" t="s">
        <v>267</v>
      </c>
      <c r="H1504" t="s">
        <v>266</v>
      </c>
      <c r="I1504" t="s">
        <v>424</v>
      </c>
      <c r="J1504" t="s">
        <v>424</v>
      </c>
      <c r="K1504" s="4">
        <v>470</v>
      </c>
      <c r="L1504" s="4">
        <v>470</v>
      </c>
      <c r="M1504" t="s">
        <v>44</v>
      </c>
      <c r="N1504" t="s">
        <v>77</v>
      </c>
      <c r="O1504" t="s">
        <v>99</v>
      </c>
      <c r="P1504" t="s">
        <v>99</v>
      </c>
      <c r="Q1504" t="s">
        <v>191</v>
      </c>
      <c r="R1504" t="s">
        <v>269</v>
      </c>
      <c r="S1504" t="s">
        <v>185</v>
      </c>
      <c r="T1504" t="s">
        <v>198</v>
      </c>
      <c r="U1504" t="s">
        <v>163</v>
      </c>
      <c r="V1504" t="s">
        <v>164</v>
      </c>
      <c r="W1504" t="s">
        <v>116</v>
      </c>
      <c r="X1504" t="s">
        <v>44</v>
      </c>
      <c r="Y1504" t="s">
        <v>99</v>
      </c>
      <c r="Z1504" t="s">
        <v>421</v>
      </c>
      <c r="AC1504" t="str">
        <f>IF(AA1504="",M1504,AA1504)</f>
        <v>sim</v>
      </c>
      <c r="AD1504" t="str">
        <f>IF(AB1504="",X1504,AB1504)</f>
        <v>sim</v>
      </c>
      <c r="AE1504" t="str">
        <f>IF(OR(Configuracao!B9="",Configuracao!B10=""),"aguardando limiar",IF(AND(K1504&gt;=Configuracao!B9,K1504/MAX(Reconciliacao!C2,1)&gt;=Configuracao!B10/100),"sim","não"))</f>
        <v>aguardando limiar</v>
      </c>
    </row>
    <row r="1505" spans="1:31" x14ac:dyDescent="0.25">
      <c r="A1505">
        <v>18633</v>
      </c>
      <c r="C1505" t="s">
        <v>1198</v>
      </c>
      <c r="D1505" t="s">
        <v>1183</v>
      </c>
      <c r="E1505" t="s">
        <v>451</v>
      </c>
      <c r="F1505" t="s">
        <v>268</v>
      </c>
      <c r="G1505" t="s">
        <v>267</v>
      </c>
      <c r="H1505" t="s">
        <v>266</v>
      </c>
      <c r="I1505" t="s">
        <v>35</v>
      </c>
      <c r="J1505" t="s">
        <v>35</v>
      </c>
      <c r="K1505" s="4">
        <v>595</v>
      </c>
      <c r="L1505" s="4">
        <v>595</v>
      </c>
      <c r="M1505" t="s">
        <v>44</v>
      </c>
      <c r="N1505" t="s">
        <v>77</v>
      </c>
      <c r="O1505" t="s">
        <v>99</v>
      </c>
      <c r="P1505" t="s">
        <v>99</v>
      </c>
      <c r="Q1505" t="s">
        <v>191</v>
      </c>
      <c r="R1505" t="s">
        <v>269</v>
      </c>
      <c r="S1505" t="s">
        <v>185</v>
      </c>
      <c r="T1505" t="s">
        <v>198</v>
      </c>
      <c r="U1505" t="s">
        <v>163</v>
      </c>
      <c r="V1505" t="s">
        <v>164</v>
      </c>
      <c r="W1505" t="s">
        <v>116</v>
      </c>
      <c r="X1505" t="s">
        <v>44</v>
      </c>
      <c r="Y1505" t="s">
        <v>99</v>
      </c>
      <c r="Z1505" t="s">
        <v>421</v>
      </c>
      <c r="AC1505" t="str">
        <f>IF(AA1505="",M1505,AA1505)</f>
        <v>sim</v>
      </c>
      <c r="AD1505" t="str">
        <f>IF(AB1505="",X1505,AB1505)</f>
        <v>sim</v>
      </c>
      <c r="AE1505" t="str">
        <f>IF(OR(Configuracao!B9="",Configuracao!B10=""),"aguardando limiar",IF(AND(K1505&gt;=Configuracao!B9,K1505/MAX(Reconciliacao!C2,1)&gt;=Configuracao!B10/100),"sim","não"))</f>
        <v>aguardando limiar</v>
      </c>
    </row>
    <row r="1506" spans="1:31" x14ac:dyDescent="0.25">
      <c r="A1506">
        <v>18634</v>
      </c>
      <c r="C1506" t="s">
        <v>1198</v>
      </c>
      <c r="D1506" t="s">
        <v>1183</v>
      </c>
      <c r="E1506" t="s">
        <v>451</v>
      </c>
      <c r="F1506" t="s">
        <v>268</v>
      </c>
      <c r="G1506" t="s">
        <v>267</v>
      </c>
      <c r="H1506" t="s">
        <v>266</v>
      </c>
      <c r="I1506" t="s">
        <v>35</v>
      </c>
      <c r="J1506" t="s">
        <v>35</v>
      </c>
      <c r="K1506" s="4">
        <v>595</v>
      </c>
      <c r="L1506" s="4">
        <v>595</v>
      </c>
      <c r="M1506" t="s">
        <v>44</v>
      </c>
      <c r="N1506" t="s">
        <v>77</v>
      </c>
      <c r="O1506" t="s">
        <v>99</v>
      </c>
      <c r="P1506" t="s">
        <v>99</v>
      </c>
      <c r="Q1506" t="s">
        <v>191</v>
      </c>
      <c r="R1506" t="s">
        <v>269</v>
      </c>
      <c r="S1506" t="s">
        <v>185</v>
      </c>
      <c r="T1506" t="s">
        <v>198</v>
      </c>
      <c r="U1506" t="s">
        <v>163</v>
      </c>
      <c r="V1506" t="s">
        <v>164</v>
      </c>
      <c r="W1506" t="s">
        <v>116</v>
      </c>
      <c r="X1506" t="s">
        <v>44</v>
      </c>
      <c r="Y1506" t="s">
        <v>99</v>
      </c>
      <c r="Z1506" t="s">
        <v>421</v>
      </c>
      <c r="AC1506" t="str">
        <f>IF(AA1506="",M1506,AA1506)</f>
        <v>sim</v>
      </c>
      <c r="AD1506" t="str">
        <f>IF(AB1506="",X1506,AB1506)</f>
        <v>sim</v>
      </c>
      <c r="AE1506" t="str">
        <f>IF(OR(Configuracao!B9="",Configuracao!B10=""),"aguardando limiar",IF(AND(K1506&gt;=Configuracao!B9,K1506/MAX(Reconciliacao!C2,1)&gt;=Configuracao!B10/100),"sim","não"))</f>
        <v>aguardando limiar</v>
      </c>
    </row>
    <row r="1507" spans="1:31" x14ac:dyDescent="0.25">
      <c r="A1507">
        <v>12099</v>
      </c>
      <c r="C1507" t="s">
        <v>1199</v>
      </c>
      <c r="D1507" t="s">
        <v>1183</v>
      </c>
      <c r="E1507" t="s">
        <v>451</v>
      </c>
      <c r="F1507" t="s">
        <v>268</v>
      </c>
      <c r="G1507" t="s">
        <v>267</v>
      </c>
      <c r="H1507" t="s">
        <v>266</v>
      </c>
      <c r="I1507" t="s">
        <v>424</v>
      </c>
      <c r="J1507" t="s">
        <v>424</v>
      </c>
      <c r="K1507" s="4">
        <v>650</v>
      </c>
      <c r="L1507" s="4">
        <v>650</v>
      </c>
      <c r="M1507" t="s">
        <v>44</v>
      </c>
      <c r="N1507" t="s">
        <v>77</v>
      </c>
      <c r="O1507" t="s">
        <v>99</v>
      </c>
      <c r="P1507" t="s">
        <v>99</v>
      </c>
      <c r="Q1507" t="s">
        <v>191</v>
      </c>
      <c r="R1507" t="s">
        <v>269</v>
      </c>
      <c r="S1507" t="s">
        <v>185</v>
      </c>
      <c r="T1507" t="s">
        <v>198</v>
      </c>
      <c r="U1507" t="s">
        <v>163</v>
      </c>
      <c r="V1507" t="s">
        <v>164</v>
      </c>
      <c r="W1507" t="s">
        <v>116</v>
      </c>
      <c r="X1507" t="s">
        <v>44</v>
      </c>
      <c r="Y1507" t="s">
        <v>99</v>
      </c>
      <c r="Z1507" t="s">
        <v>421</v>
      </c>
      <c r="AC1507" t="str">
        <f>IF(AA1507="",M1507,AA1507)</f>
        <v>sim</v>
      </c>
      <c r="AD1507" t="str">
        <f>IF(AB1507="",X1507,AB1507)</f>
        <v>sim</v>
      </c>
      <c r="AE1507" t="str">
        <f>IF(OR(Configuracao!B9="",Configuracao!B10=""),"aguardando limiar",IF(AND(K1507&gt;=Configuracao!B9,K1507/MAX(Reconciliacao!C2,1)&gt;=Configuracao!B10/100),"sim","não"))</f>
        <v>aguardando limiar</v>
      </c>
    </row>
    <row r="1508" spans="1:31" x14ac:dyDescent="0.25">
      <c r="A1508">
        <v>11752</v>
      </c>
      <c r="C1508" t="s">
        <v>1200</v>
      </c>
      <c r="D1508" t="s">
        <v>1177</v>
      </c>
      <c r="E1508" t="s">
        <v>451</v>
      </c>
      <c r="F1508" t="s">
        <v>268</v>
      </c>
      <c r="G1508" t="s">
        <v>267</v>
      </c>
      <c r="H1508" t="s">
        <v>266</v>
      </c>
      <c r="I1508" t="s">
        <v>32</v>
      </c>
      <c r="J1508" t="s">
        <v>32</v>
      </c>
      <c r="K1508" s="4">
        <v>711.28</v>
      </c>
      <c r="L1508" s="4">
        <v>711.28</v>
      </c>
      <c r="M1508" t="s">
        <v>44</v>
      </c>
      <c r="N1508" t="s">
        <v>77</v>
      </c>
      <c r="O1508" t="s">
        <v>99</v>
      </c>
      <c r="P1508" t="s">
        <v>99</v>
      </c>
      <c r="Q1508" t="s">
        <v>191</v>
      </c>
      <c r="R1508" t="s">
        <v>269</v>
      </c>
      <c r="S1508" t="s">
        <v>185</v>
      </c>
      <c r="T1508" t="s">
        <v>198</v>
      </c>
      <c r="U1508" t="s">
        <v>163</v>
      </c>
      <c r="V1508" t="s">
        <v>164</v>
      </c>
      <c r="W1508" t="s">
        <v>116</v>
      </c>
      <c r="X1508" t="s">
        <v>44</v>
      </c>
      <c r="Y1508" t="s">
        <v>99</v>
      </c>
      <c r="Z1508" t="s">
        <v>421</v>
      </c>
      <c r="AC1508" t="str">
        <f>IF(AA1508="",M1508,AA1508)</f>
        <v>sim</v>
      </c>
      <c r="AD1508" t="str">
        <f>IF(AB1508="",X1508,AB1508)</f>
        <v>sim</v>
      </c>
      <c r="AE1508" t="str">
        <f>IF(OR(Configuracao!B9="",Configuracao!B10=""),"aguardando limiar",IF(AND(K1508&gt;=Configuracao!B9,K1508/MAX(Reconciliacao!C2,1)&gt;=Configuracao!B10/100),"sim","não"))</f>
        <v>aguardando limiar</v>
      </c>
    </row>
    <row r="1509" spans="1:31" x14ac:dyDescent="0.25">
      <c r="A1509">
        <v>12101</v>
      </c>
      <c r="C1509" t="s">
        <v>1201</v>
      </c>
      <c r="D1509" t="s">
        <v>1186</v>
      </c>
      <c r="E1509" t="s">
        <v>451</v>
      </c>
      <c r="F1509" t="s">
        <v>268</v>
      </c>
      <c r="G1509" t="s">
        <v>267</v>
      </c>
      <c r="H1509" t="s">
        <v>266</v>
      </c>
      <c r="I1509" t="s">
        <v>424</v>
      </c>
      <c r="J1509" t="s">
        <v>424</v>
      </c>
      <c r="K1509" s="4">
        <v>750</v>
      </c>
      <c r="L1509" s="4">
        <v>750</v>
      </c>
      <c r="M1509" t="s">
        <v>44</v>
      </c>
      <c r="N1509" t="s">
        <v>77</v>
      </c>
      <c r="O1509" t="s">
        <v>99</v>
      </c>
      <c r="P1509" t="s">
        <v>99</v>
      </c>
      <c r="Q1509" t="s">
        <v>191</v>
      </c>
      <c r="R1509" t="s">
        <v>269</v>
      </c>
      <c r="S1509" t="s">
        <v>185</v>
      </c>
      <c r="T1509" t="s">
        <v>198</v>
      </c>
      <c r="U1509" t="s">
        <v>163</v>
      </c>
      <c r="V1509" t="s">
        <v>164</v>
      </c>
      <c r="W1509" t="s">
        <v>116</v>
      </c>
      <c r="X1509" t="s">
        <v>44</v>
      </c>
      <c r="Y1509" t="s">
        <v>99</v>
      </c>
      <c r="Z1509" t="s">
        <v>421</v>
      </c>
      <c r="AC1509" t="str">
        <f>IF(AA1509="",M1509,AA1509)</f>
        <v>sim</v>
      </c>
      <c r="AD1509" t="str">
        <f>IF(AB1509="",X1509,AB1509)</f>
        <v>sim</v>
      </c>
      <c r="AE1509" t="str">
        <f>IF(OR(Configuracao!B9="",Configuracao!B10=""),"aguardando limiar",IF(AND(K1509&gt;=Configuracao!B9,K1509/MAX(Reconciliacao!C2,1)&gt;=Configuracao!B10/100),"sim","não"))</f>
        <v>aguardando limiar</v>
      </c>
    </row>
    <row r="1510" spans="1:31" x14ac:dyDescent="0.25">
      <c r="A1510">
        <v>12807</v>
      </c>
      <c r="C1510" t="s">
        <v>1202</v>
      </c>
      <c r="D1510" t="s">
        <v>1186</v>
      </c>
      <c r="E1510" t="s">
        <v>451</v>
      </c>
      <c r="F1510" t="s">
        <v>268</v>
      </c>
      <c r="G1510" t="s">
        <v>267</v>
      </c>
      <c r="H1510" t="s">
        <v>266</v>
      </c>
      <c r="I1510" t="s">
        <v>420</v>
      </c>
      <c r="J1510" t="s">
        <v>420</v>
      </c>
      <c r="K1510" s="4">
        <v>900</v>
      </c>
      <c r="L1510" s="4">
        <v>900</v>
      </c>
      <c r="M1510" t="s">
        <v>44</v>
      </c>
      <c r="N1510" t="s">
        <v>77</v>
      </c>
      <c r="O1510" t="s">
        <v>99</v>
      </c>
      <c r="P1510" t="s">
        <v>99</v>
      </c>
      <c r="Q1510" t="s">
        <v>191</v>
      </c>
      <c r="R1510" t="s">
        <v>269</v>
      </c>
      <c r="S1510" t="s">
        <v>185</v>
      </c>
      <c r="T1510" t="s">
        <v>198</v>
      </c>
      <c r="U1510" t="s">
        <v>163</v>
      </c>
      <c r="V1510" t="s">
        <v>164</v>
      </c>
      <c r="W1510" t="s">
        <v>116</v>
      </c>
      <c r="X1510" t="s">
        <v>44</v>
      </c>
      <c r="Y1510" t="s">
        <v>99</v>
      </c>
      <c r="Z1510" t="s">
        <v>421</v>
      </c>
      <c r="AC1510" t="str">
        <f>IF(AA1510="",M1510,AA1510)</f>
        <v>sim</v>
      </c>
      <c r="AD1510" t="str">
        <f>IF(AB1510="",X1510,AB1510)</f>
        <v>sim</v>
      </c>
      <c r="AE1510" t="str">
        <f>IF(OR(Configuracao!B9="",Configuracao!B10=""),"aguardando limiar",IF(AND(K1510&gt;=Configuracao!B9,K1510/MAX(Reconciliacao!C2,1)&gt;=Configuracao!B10/100),"sim","não"))</f>
        <v>aguardando limiar</v>
      </c>
    </row>
    <row r="1511" spans="1:31" x14ac:dyDescent="0.25">
      <c r="A1511">
        <v>18558</v>
      </c>
      <c r="C1511" t="s">
        <v>1203</v>
      </c>
      <c r="D1511" t="s">
        <v>1186</v>
      </c>
      <c r="E1511" t="s">
        <v>451</v>
      </c>
      <c r="F1511" t="s">
        <v>268</v>
      </c>
      <c r="G1511" t="s">
        <v>267</v>
      </c>
      <c r="H1511" t="s">
        <v>266</v>
      </c>
      <c r="I1511" t="s">
        <v>35</v>
      </c>
      <c r="J1511" t="s">
        <v>35</v>
      </c>
      <c r="K1511" s="4">
        <v>970</v>
      </c>
      <c r="L1511" s="4">
        <v>970</v>
      </c>
      <c r="M1511" t="s">
        <v>44</v>
      </c>
      <c r="N1511" t="s">
        <v>77</v>
      </c>
      <c r="O1511" t="s">
        <v>99</v>
      </c>
      <c r="P1511" t="s">
        <v>99</v>
      </c>
      <c r="Q1511" t="s">
        <v>191</v>
      </c>
      <c r="R1511" t="s">
        <v>269</v>
      </c>
      <c r="S1511" t="s">
        <v>185</v>
      </c>
      <c r="T1511" t="s">
        <v>198</v>
      </c>
      <c r="U1511" t="s">
        <v>163</v>
      </c>
      <c r="V1511" t="s">
        <v>164</v>
      </c>
      <c r="W1511" t="s">
        <v>116</v>
      </c>
      <c r="X1511" t="s">
        <v>44</v>
      </c>
      <c r="Y1511" t="s">
        <v>99</v>
      </c>
      <c r="Z1511" t="s">
        <v>421</v>
      </c>
      <c r="AC1511" t="str">
        <f>IF(AA1511="",M1511,AA1511)</f>
        <v>sim</v>
      </c>
      <c r="AD1511" t="str">
        <f>IF(AB1511="",X1511,AB1511)</f>
        <v>sim</v>
      </c>
      <c r="AE1511" t="str">
        <f>IF(OR(Configuracao!B9="",Configuracao!B10=""),"aguardando limiar",IF(AND(K1511&gt;=Configuracao!B9,K1511/MAX(Reconciliacao!C2,1)&gt;=Configuracao!B10/100),"sim","não"))</f>
        <v>aguardando limiar</v>
      </c>
    </row>
    <row r="1512" spans="1:31" x14ac:dyDescent="0.25">
      <c r="A1512">
        <v>15945</v>
      </c>
      <c r="C1512" t="s">
        <v>1204</v>
      </c>
      <c r="D1512" t="s">
        <v>1186</v>
      </c>
      <c r="E1512" t="s">
        <v>451</v>
      </c>
      <c r="F1512" t="s">
        <v>268</v>
      </c>
      <c r="G1512" t="s">
        <v>267</v>
      </c>
      <c r="H1512" t="s">
        <v>266</v>
      </c>
      <c r="I1512" t="s">
        <v>461</v>
      </c>
      <c r="J1512" t="s">
        <v>461</v>
      </c>
      <c r="K1512" s="4">
        <v>1100</v>
      </c>
      <c r="L1512" s="4">
        <v>1100</v>
      </c>
      <c r="M1512" t="s">
        <v>44</v>
      </c>
      <c r="N1512" t="s">
        <v>77</v>
      </c>
      <c r="O1512" t="s">
        <v>99</v>
      </c>
      <c r="P1512" t="s">
        <v>99</v>
      </c>
      <c r="Q1512" t="s">
        <v>191</v>
      </c>
      <c r="R1512" t="s">
        <v>269</v>
      </c>
      <c r="S1512" t="s">
        <v>185</v>
      </c>
      <c r="T1512" t="s">
        <v>198</v>
      </c>
      <c r="U1512" t="s">
        <v>163</v>
      </c>
      <c r="V1512" t="s">
        <v>164</v>
      </c>
      <c r="W1512" t="s">
        <v>116</v>
      </c>
      <c r="X1512" t="s">
        <v>166</v>
      </c>
      <c r="Y1512" t="s">
        <v>1205</v>
      </c>
      <c r="Z1512" t="s">
        <v>434</v>
      </c>
      <c r="AC1512" t="str">
        <f>IF(AA1512="",M1512,AA1512)</f>
        <v>sim</v>
      </c>
      <c r="AD1512" t="str">
        <f>IF(AB1512="",X1512,AB1512)</f>
        <v>não</v>
      </c>
      <c r="AE1512" t="str">
        <f>IF(OR(Configuracao!B9="",Configuracao!B10=""),"aguardando limiar",IF(AND(K1512&gt;=Configuracao!B9,K1512/MAX(Reconciliacao!C2,1)&gt;=Configuracao!B10/100),"sim","não"))</f>
        <v>aguardando limiar</v>
      </c>
    </row>
    <row r="1513" spans="1:31" x14ac:dyDescent="0.25">
      <c r="A1513">
        <v>17083</v>
      </c>
      <c r="C1513" t="s">
        <v>1206</v>
      </c>
      <c r="D1513" t="s">
        <v>1186</v>
      </c>
      <c r="E1513" t="s">
        <v>451</v>
      </c>
      <c r="F1513" t="s">
        <v>268</v>
      </c>
      <c r="G1513" t="s">
        <v>267</v>
      </c>
      <c r="H1513" t="s">
        <v>266</v>
      </c>
      <c r="I1513" t="s">
        <v>442</v>
      </c>
      <c r="J1513" t="s">
        <v>442</v>
      </c>
      <c r="K1513" s="4">
        <v>1550</v>
      </c>
      <c r="L1513" s="4">
        <v>1550</v>
      </c>
      <c r="M1513" t="s">
        <v>44</v>
      </c>
      <c r="N1513" t="s">
        <v>77</v>
      </c>
      <c r="O1513" t="s">
        <v>99</v>
      </c>
      <c r="P1513" t="s">
        <v>99</v>
      </c>
      <c r="Q1513" t="s">
        <v>191</v>
      </c>
      <c r="R1513" t="s">
        <v>269</v>
      </c>
      <c r="S1513" t="s">
        <v>185</v>
      </c>
      <c r="T1513" t="s">
        <v>198</v>
      </c>
      <c r="U1513" t="s">
        <v>163</v>
      </c>
      <c r="V1513" t="s">
        <v>164</v>
      </c>
      <c r="W1513" t="s">
        <v>116</v>
      </c>
      <c r="X1513" t="s">
        <v>166</v>
      </c>
      <c r="Y1513" t="s">
        <v>1207</v>
      </c>
      <c r="Z1513" t="s">
        <v>434</v>
      </c>
      <c r="AC1513" t="str">
        <f>IF(AA1513="",M1513,AA1513)</f>
        <v>sim</v>
      </c>
      <c r="AD1513" t="str">
        <f>IF(AB1513="",X1513,AB1513)</f>
        <v>não</v>
      </c>
      <c r="AE1513" t="str">
        <f>IF(OR(Configuracao!B9="",Configuracao!B10=""),"aguardando limiar",IF(AND(K1513&gt;=Configuracao!B9,K1513/MAX(Reconciliacao!C2,1)&gt;=Configuracao!B10/100),"sim","não"))</f>
        <v>aguardando limiar</v>
      </c>
    </row>
    <row r="1514" spans="1:31" x14ac:dyDescent="0.25">
      <c r="A1514">
        <v>18925</v>
      </c>
      <c r="C1514" t="s">
        <v>1208</v>
      </c>
      <c r="D1514" t="s">
        <v>1209</v>
      </c>
      <c r="E1514" t="s">
        <v>451</v>
      </c>
      <c r="F1514" t="s">
        <v>268</v>
      </c>
      <c r="G1514" t="s">
        <v>267</v>
      </c>
      <c r="H1514" t="s">
        <v>266</v>
      </c>
      <c r="I1514" t="s">
        <v>35</v>
      </c>
      <c r="J1514" t="s">
        <v>35</v>
      </c>
      <c r="K1514" s="4">
        <v>3500</v>
      </c>
      <c r="L1514" s="4">
        <v>3500</v>
      </c>
      <c r="M1514" t="s">
        <v>44</v>
      </c>
      <c r="N1514" t="s">
        <v>77</v>
      </c>
      <c r="O1514" t="s">
        <v>99</v>
      </c>
      <c r="P1514" t="s">
        <v>99</v>
      </c>
      <c r="Q1514" t="s">
        <v>191</v>
      </c>
      <c r="R1514" t="s">
        <v>269</v>
      </c>
      <c r="S1514" t="s">
        <v>185</v>
      </c>
      <c r="T1514" t="s">
        <v>198</v>
      </c>
      <c r="U1514" t="s">
        <v>163</v>
      </c>
      <c r="V1514" t="s">
        <v>164</v>
      </c>
      <c r="W1514" t="s">
        <v>116</v>
      </c>
      <c r="X1514" t="s">
        <v>166</v>
      </c>
      <c r="Y1514" t="s">
        <v>1210</v>
      </c>
      <c r="Z1514" t="s">
        <v>434</v>
      </c>
      <c r="AC1514" t="str">
        <f>IF(AA1514="",M1514,AA1514)</f>
        <v>sim</v>
      </c>
      <c r="AD1514" t="str">
        <f>IF(AB1514="",X1514,AB1514)</f>
        <v>não</v>
      </c>
      <c r="AE1514" t="str">
        <f>IF(OR(Configuracao!B9="",Configuracao!B10=""),"aguardando limiar",IF(AND(K1514&gt;=Configuracao!B9,K1514/MAX(Reconciliacao!C2,1)&gt;=Configuracao!B10/100),"sim","não"))</f>
        <v>aguardando limiar</v>
      </c>
    </row>
    <row r="1515" spans="1:31" x14ac:dyDescent="0.25">
      <c r="A1515">
        <v>14567</v>
      </c>
      <c r="C1515" t="s">
        <v>1211</v>
      </c>
      <c r="D1515" t="s">
        <v>450</v>
      </c>
      <c r="E1515" t="s">
        <v>445</v>
      </c>
      <c r="F1515" t="s">
        <v>268</v>
      </c>
      <c r="G1515" t="s">
        <v>329</v>
      </c>
      <c r="H1515" t="s">
        <v>328</v>
      </c>
      <c r="I1515" t="s">
        <v>454</v>
      </c>
      <c r="J1515" t="s">
        <v>454</v>
      </c>
      <c r="K1515" s="4">
        <v>67.82</v>
      </c>
      <c r="L1515" s="4">
        <v>67.82</v>
      </c>
      <c r="M1515" t="s">
        <v>44</v>
      </c>
      <c r="N1515" t="s">
        <v>77</v>
      </c>
      <c r="O1515" t="s">
        <v>99</v>
      </c>
      <c r="P1515" t="s">
        <v>99</v>
      </c>
      <c r="Q1515" t="s">
        <v>191</v>
      </c>
      <c r="R1515" t="s">
        <v>269</v>
      </c>
      <c r="S1515" t="s">
        <v>185</v>
      </c>
      <c r="T1515" t="s">
        <v>198</v>
      </c>
      <c r="U1515" t="s">
        <v>163</v>
      </c>
      <c r="V1515" t="s">
        <v>164</v>
      </c>
      <c r="W1515" t="s">
        <v>116</v>
      </c>
      <c r="X1515" t="s">
        <v>44</v>
      </c>
      <c r="Y1515" t="s">
        <v>99</v>
      </c>
      <c r="Z1515" t="s">
        <v>421</v>
      </c>
      <c r="AC1515" t="str">
        <f>IF(AA1515="",M1515,AA1515)</f>
        <v>sim</v>
      </c>
      <c r="AD1515" t="str">
        <f>IF(AB1515="",X1515,AB1515)</f>
        <v>sim</v>
      </c>
      <c r="AE1515" t="str">
        <f>IF(OR(Configuracao!B9="",Configuracao!B10=""),"aguardando limiar",IF(AND(K1515&gt;=Configuracao!B9,K1515/MAX(Reconciliacao!C2,1)&gt;=Configuracao!B10/100),"sim","não"))</f>
        <v>aguardando limiar</v>
      </c>
    </row>
    <row r="1516" spans="1:31" x14ac:dyDescent="0.25">
      <c r="A1516">
        <v>16480</v>
      </c>
      <c r="C1516" t="s">
        <v>1212</v>
      </c>
      <c r="D1516" t="s">
        <v>450</v>
      </c>
      <c r="E1516" t="s">
        <v>445</v>
      </c>
      <c r="F1516" t="s">
        <v>268</v>
      </c>
      <c r="G1516" t="s">
        <v>329</v>
      </c>
      <c r="H1516" t="s">
        <v>328</v>
      </c>
      <c r="I1516" t="s">
        <v>461</v>
      </c>
      <c r="J1516" t="s">
        <v>461</v>
      </c>
      <c r="K1516" s="4">
        <v>140.06</v>
      </c>
      <c r="L1516" s="4">
        <v>140.06</v>
      </c>
      <c r="M1516" t="s">
        <v>44</v>
      </c>
      <c r="N1516" t="s">
        <v>77</v>
      </c>
      <c r="O1516" t="s">
        <v>99</v>
      </c>
      <c r="P1516" t="s">
        <v>99</v>
      </c>
      <c r="Q1516" t="s">
        <v>191</v>
      </c>
      <c r="R1516" t="s">
        <v>269</v>
      </c>
      <c r="S1516" t="s">
        <v>185</v>
      </c>
      <c r="T1516" t="s">
        <v>198</v>
      </c>
      <c r="U1516" t="s">
        <v>163</v>
      </c>
      <c r="V1516" t="s">
        <v>164</v>
      </c>
      <c r="W1516" t="s">
        <v>116</v>
      </c>
      <c r="X1516" t="s">
        <v>44</v>
      </c>
      <c r="Y1516" t="s">
        <v>99</v>
      </c>
      <c r="Z1516" t="s">
        <v>421</v>
      </c>
      <c r="AC1516" t="str">
        <f>IF(AA1516="",M1516,AA1516)</f>
        <v>sim</v>
      </c>
      <c r="AD1516" t="str">
        <f>IF(AB1516="",X1516,AB1516)</f>
        <v>sim</v>
      </c>
      <c r="AE1516" t="str">
        <f>IF(OR(Configuracao!B9="",Configuracao!B10=""),"aguardando limiar",IF(AND(K1516&gt;=Configuracao!B9,K1516/MAX(Reconciliacao!C2,1)&gt;=Configuracao!B10/100),"sim","não"))</f>
        <v>aguardando limiar</v>
      </c>
    </row>
    <row r="1517" spans="1:31" x14ac:dyDescent="0.25">
      <c r="A1517">
        <v>11474</v>
      </c>
      <c r="C1517" t="s">
        <v>1213</v>
      </c>
      <c r="D1517" t="s">
        <v>450</v>
      </c>
      <c r="E1517" t="s">
        <v>467</v>
      </c>
      <c r="F1517" t="s">
        <v>268</v>
      </c>
      <c r="G1517" t="s">
        <v>329</v>
      </c>
      <c r="H1517" t="s">
        <v>328</v>
      </c>
      <c r="I1517" t="s">
        <v>32</v>
      </c>
      <c r="J1517" t="s">
        <v>32</v>
      </c>
      <c r="K1517" s="4">
        <v>148.9</v>
      </c>
      <c r="L1517" s="4">
        <v>148.9</v>
      </c>
      <c r="M1517" t="s">
        <v>44</v>
      </c>
      <c r="N1517" t="s">
        <v>77</v>
      </c>
      <c r="O1517" t="s">
        <v>99</v>
      </c>
      <c r="P1517" t="s">
        <v>99</v>
      </c>
      <c r="Q1517" t="s">
        <v>191</v>
      </c>
      <c r="R1517" t="s">
        <v>269</v>
      </c>
      <c r="S1517" t="s">
        <v>185</v>
      </c>
      <c r="T1517" t="s">
        <v>198</v>
      </c>
      <c r="U1517" t="s">
        <v>163</v>
      </c>
      <c r="V1517" t="s">
        <v>164</v>
      </c>
      <c r="W1517" t="s">
        <v>116</v>
      </c>
      <c r="X1517" t="s">
        <v>44</v>
      </c>
      <c r="Y1517" t="s">
        <v>99</v>
      </c>
      <c r="Z1517" t="s">
        <v>421</v>
      </c>
      <c r="AC1517" t="str">
        <f>IF(AA1517="",M1517,AA1517)</f>
        <v>sim</v>
      </c>
      <c r="AD1517" t="str">
        <f>IF(AB1517="",X1517,AB1517)</f>
        <v>sim</v>
      </c>
      <c r="AE1517" t="str">
        <f>IF(OR(Configuracao!B9="",Configuracao!B10=""),"aguardando limiar",IF(AND(K1517&gt;=Configuracao!B9,K1517/MAX(Reconciliacao!C2,1)&gt;=Configuracao!B10/100),"sim","não"))</f>
        <v>aguardando limiar</v>
      </c>
    </row>
    <row r="1518" spans="1:31" x14ac:dyDescent="0.25">
      <c r="A1518">
        <v>16282</v>
      </c>
      <c r="C1518" t="s">
        <v>1214</v>
      </c>
      <c r="D1518" t="s">
        <v>450</v>
      </c>
      <c r="E1518" t="s">
        <v>445</v>
      </c>
      <c r="F1518" t="s">
        <v>268</v>
      </c>
      <c r="G1518" t="s">
        <v>329</v>
      </c>
      <c r="H1518" t="s">
        <v>328</v>
      </c>
      <c r="I1518" t="s">
        <v>461</v>
      </c>
      <c r="J1518" t="s">
        <v>461</v>
      </c>
      <c r="K1518" s="4">
        <v>179.9</v>
      </c>
      <c r="L1518" s="4">
        <v>179.9</v>
      </c>
      <c r="M1518" t="s">
        <v>44</v>
      </c>
      <c r="N1518" t="s">
        <v>77</v>
      </c>
      <c r="O1518" t="s">
        <v>99</v>
      </c>
      <c r="P1518" t="s">
        <v>99</v>
      </c>
      <c r="Q1518" t="s">
        <v>191</v>
      </c>
      <c r="R1518" t="s">
        <v>269</v>
      </c>
      <c r="S1518" t="s">
        <v>185</v>
      </c>
      <c r="T1518" t="s">
        <v>198</v>
      </c>
      <c r="U1518" t="s">
        <v>163</v>
      </c>
      <c r="V1518" t="s">
        <v>164</v>
      </c>
      <c r="W1518" t="s">
        <v>116</v>
      </c>
      <c r="X1518" t="s">
        <v>44</v>
      </c>
      <c r="Y1518" t="s">
        <v>99</v>
      </c>
      <c r="Z1518" t="s">
        <v>421</v>
      </c>
      <c r="AC1518" t="str">
        <f>IF(AA1518="",M1518,AA1518)</f>
        <v>sim</v>
      </c>
      <c r="AD1518" t="str">
        <f>IF(AB1518="",X1518,AB1518)</f>
        <v>sim</v>
      </c>
      <c r="AE1518" t="str">
        <f>IF(OR(Configuracao!B9="",Configuracao!B10=""),"aguardando limiar",IF(AND(K1518&gt;=Configuracao!B9,K1518/MAX(Reconciliacao!C2,1)&gt;=Configuracao!B10/100),"sim","não"))</f>
        <v>aguardando limiar</v>
      </c>
    </row>
    <row r="1519" spans="1:31" x14ac:dyDescent="0.25">
      <c r="A1519">
        <v>16206</v>
      </c>
      <c r="C1519" t="s">
        <v>1215</v>
      </c>
      <c r="D1519" t="s">
        <v>1216</v>
      </c>
      <c r="E1519" t="s">
        <v>465</v>
      </c>
      <c r="F1519" t="s">
        <v>268</v>
      </c>
      <c r="G1519" t="s">
        <v>329</v>
      </c>
      <c r="H1519" t="s">
        <v>328</v>
      </c>
      <c r="I1519" t="s">
        <v>461</v>
      </c>
      <c r="J1519" t="s">
        <v>461</v>
      </c>
      <c r="K1519" s="4">
        <v>230</v>
      </c>
      <c r="L1519" s="4">
        <v>230</v>
      </c>
      <c r="M1519" t="s">
        <v>44</v>
      </c>
      <c r="N1519" t="s">
        <v>77</v>
      </c>
      <c r="O1519" t="s">
        <v>99</v>
      </c>
      <c r="P1519" t="s">
        <v>99</v>
      </c>
      <c r="Q1519" t="s">
        <v>191</v>
      </c>
      <c r="R1519" t="s">
        <v>269</v>
      </c>
      <c r="S1519" t="s">
        <v>185</v>
      </c>
      <c r="T1519" t="s">
        <v>198</v>
      </c>
      <c r="U1519" t="s">
        <v>163</v>
      </c>
      <c r="V1519" t="s">
        <v>164</v>
      </c>
      <c r="W1519" t="s">
        <v>116</v>
      </c>
      <c r="X1519" t="s">
        <v>44</v>
      </c>
      <c r="Y1519" t="s">
        <v>99</v>
      </c>
      <c r="Z1519" t="s">
        <v>421</v>
      </c>
      <c r="AC1519" t="str">
        <f>IF(AA1519="",M1519,AA1519)</f>
        <v>sim</v>
      </c>
      <c r="AD1519" t="str">
        <f>IF(AB1519="",X1519,AB1519)</f>
        <v>sim</v>
      </c>
      <c r="AE1519" t="str">
        <f>IF(OR(Configuracao!B9="",Configuracao!B10=""),"aguardando limiar",IF(AND(K1519&gt;=Configuracao!B9,K1519/MAX(Reconciliacao!C2,1)&gt;=Configuracao!B10/100),"sim","não"))</f>
        <v>aguardando limiar</v>
      </c>
    </row>
    <row r="1520" spans="1:31" x14ac:dyDescent="0.25">
      <c r="A1520">
        <v>11357</v>
      </c>
      <c r="C1520" t="s">
        <v>1217</v>
      </c>
      <c r="D1520" t="s">
        <v>450</v>
      </c>
      <c r="E1520" t="s">
        <v>511</v>
      </c>
      <c r="F1520" t="s">
        <v>268</v>
      </c>
      <c r="G1520" t="s">
        <v>329</v>
      </c>
      <c r="H1520" t="s">
        <v>328</v>
      </c>
      <c r="I1520" t="s">
        <v>32</v>
      </c>
      <c r="J1520" t="s">
        <v>32</v>
      </c>
      <c r="K1520" s="4">
        <v>269.8</v>
      </c>
      <c r="L1520" s="4">
        <v>269.8</v>
      </c>
      <c r="M1520" t="s">
        <v>44</v>
      </c>
      <c r="N1520" t="s">
        <v>77</v>
      </c>
      <c r="O1520" t="s">
        <v>99</v>
      </c>
      <c r="P1520" t="s">
        <v>99</v>
      </c>
      <c r="Q1520" t="s">
        <v>191</v>
      </c>
      <c r="R1520" t="s">
        <v>269</v>
      </c>
      <c r="S1520" t="s">
        <v>185</v>
      </c>
      <c r="T1520" t="s">
        <v>198</v>
      </c>
      <c r="U1520" t="s">
        <v>163</v>
      </c>
      <c r="V1520" t="s">
        <v>164</v>
      </c>
      <c r="W1520" t="s">
        <v>116</v>
      </c>
      <c r="X1520" t="s">
        <v>44</v>
      </c>
      <c r="Y1520" t="s">
        <v>99</v>
      </c>
      <c r="Z1520" t="s">
        <v>421</v>
      </c>
      <c r="AC1520" t="str">
        <f>IF(AA1520="",M1520,AA1520)</f>
        <v>sim</v>
      </c>
      <c r="AD1520" t="str">
        <f>IF(AB1520="",X1520,AB1520)</f>
        <v>sim</v>
      </c>
      <c r="AE1520" t="str">
        <f>IF(OR(Configuracao!B9="",Configuracao!B10=""),"aguardando limiar",IF(AND(K1520&gt;=Configuracao!B9,K1520/MAX(Reconciliacao!C2,1)&gt;=Configuracao!B10/100),"sim","não"))</f>
        <v>aguardando limiar</v>
      </c>
    </row>
    <row r="1521" spans="1:31" x14ac:dyDescent="0.25">
      <c r="A1521">
        <v>11358</v>
      </c>
      <c r="C1521" t="s">
        <v>1218</v>
      </c>
      <c r="D1521" t="s">
        <v>450</v>
      </c>
      <c r="E1521" t="s">
        <v>477</v>
      </c>
      <c r="F1521" t="s">
        <v>268</v>
      </c>
      <c r="G1521" t="s">
        <v>329</v>
      </c>
      <c r="H1521" t="s">
        <v>328</v>
      </c>
      <c r="I1521" t="s">
        <v>32</v>
      </c>
      <c r="J1521" t="s">
        <v>32</v>
      </c>
      <c r="K1521" s="4">
        <v>269.8</v>
      </c>
      <c r="L1521" s="4">
        <v>269.8</v>
      </c>
      <c r="M1521" t="s">
        <v>44</v>
      </c>
      <c r="N1521" t="s">
        <v>77</v>
      </c>
      <c r="O1521" t="s">
        <v>99</v>
      </c>
      <c r="P1521" t="s">
        <v>99</v>
      </c>
      <c r="Q1521" t="s">
        <v>191</v>
      </c>
      <c r="R1521" t="s">
        <v>269</v>
      </c>
      <c r="S1521" t="s">
        <v>185</v>
      </c>
      <c r="T1521" t="s">
        <v>198</v>
      </c>
      <c r="U1521" t="s">
        <v>163</v>
      </c>
      <c r="V1521" t="s">
        <v>164</v>
      </c>
      <c r="W1521" t="s">
        <v>116</v>
      </c>
      <c r="X1521" t="s">
        <v>44</v>
      </c>
      <c r="Y1521" t="s">
        <v>99</v>
      </c>
      <c r="Z1521" t="s">
        <v>421</v>
      </c>
      <c r="AC1521" t="str">
        <f>IF(AA1521="",M1521,AA1521)</f>
        <v>sim</v>
      </c>
      <c r="AD1521" t="str">
        <f>IF(AB1521="",X1521,AB1521)</f>
        <v>sim</v>
      </c>
      <c r="AE1521" t="str">
        <f>IF(OR(Configuracao!B9="",Configuracao!B10=""),"aguardando limiar",IF(AND(K1521&gt;=Configuracao!B9,K1521/MAX(Reconciliacao!C2,1)&gt;=Configuracao!B10/100),"sim","não"))</f>
        <v>aguardando limiar</v>
      </c>
    </row>
    <row r="1522" spans="1:31" x14ac:dyDescent="0.25">
      <c r="A1522">
        <v>11359</v>
      </c>
      <c r="C1522" t="s">
        <v>1219</v>
      </c>
      <c r="D1522" t="s">
        <v>450</v>
      </c>
      <c r="E1522" t="s">
        <v>1138</v>
      </c>
      <c r="F1522" t="s">
        <v>268</v>
      </c>
      <c r="G1522" t="s">
        <v>329</v>
      </c>
      <c r="H1522" t="s">
        <v>328</v>
      </c>
      <c r="I1522" t="s">
        <v>32</v>
      </c>
      <c r="J1522" t="s">
        <v>32</v>
      </c>
      <c r="K1522" s="4">
        <v>269.8</v>
      </c>
      <c r="L1522" s="4">
        <v>269.8</v>
      </c>
      <c r="M1522" t="s">
        <v>44</v>
      </c>
      <c r="N1522" t="s">
        <v>77</v>
      </c>
      <c r="O1522" t="s">
        <v>99</v>
      </c>
      <c r="P1522" t="s">
        <v>99</v>
      </c>
      <c r="Q1522" t="s">
        <v>191</v>
      </c>
      <c r="R1522" t="s">
        <v>269</v>
      </c>
      <c r="S1522" t="s">
        <v>185</v>
      </c>
      <c r="T1522" t="s">
        <v>198</v>
      </c>
      <c r="U1522" t="s">
        <v>163</v>
      </c>
      <c r="V1522" t="s">
        <v>164</v>
      </c>
      <c r="W1522" t="s">
        <v>116</v>
      </c>
      <c r="X1522" t="s">
        <v>44</v>
      </c>
      <c r="Y1522" t="s">
        <v>99</v>
      </c>
      <c r="Z1522" t="s">
        <v>421</v>
      </c>
      <c r="AC1522" t="str">
        <f>IF(AA1522="",M1522,AA1522)</f>
        <v>sim</v>
      </c>
      <c r="AD1522" t="str">
        <f>IF(AB1522="",X1522,AB1522)</f>
        <v>sim</v>
      </c>
      <c r="AE1522" t="str">
        <f>IF(OR(Configuracao!B9="",Configuracao!B10=""),"aguardando limiar",IF(AND(K1522&gt;=Configuracao!B9,K1522/MAX(Reconciliacao!C2,1)&gt;=Configuracao!B10/100),"sim","não"))</f>
        <v>aguardando limiar</v>
      </c>
    </row>
    <row r="1523" spans="1:31" x14ac:dyDescent="0.25">
      <c r="A1523">
        <v>12006</v>
      </c>
      <c r="C1523" t="s">
        <v>1217</v>
      </c>
      <c r="D1523" t="s">
        <v>450</v>
      </c>
      <c r="E1523" t="s">
        <v>511</v>
      </c>
      <c r="F1523" t="s">
        <v>268</v>
      </c>
      <c r="G1523" t="s">
        <v>329</v>
      </c>
      <c r="H1523" t="s">
        <v>328</v>
      </c>
      <c r="I1523" t="s">
        <v>424</v>
      </c>
      <c r="J1523" t="s">
        <v>424</v>
      </c>
      <c r="K1523" s="4">
        <v>355.2</v>
      </c>
      <c r="L1523" s="4">
        <v>355.2</v>
      </c>
      <c r="M1523" t="s">
        <v>44</v>
      </c>
      <c r="N1523" t="s">
        <v>77</v>
      </c>
      <c r="O1523" t="s">
        <v>99</v>
      </c>
      <c r="P1523" t="s">
        <v>99</v>
      </c>
      <c r="Q1523" t="s">
        <v>191</v>
      </c>
      <c r="R1523" t="s">
        <v>269</v>
      </c>
      <c r="S1523" t="s">
        <v>185</v>
      </c>
      <c r="T1523" t="s">
        <v>198</v>
      </c>
      <c r="U1523" t="s">
        <v>163</v>
      </c>
      <c r="V1523" t="s">
        <v>164</v>
      </c>
      <c r="W1523" t="s">
        <v>116</v>
      </c>
      <c r="X1523" t="s">
        <v>44</v>
      </c>
      <c r="Y1523" t="s">
        <v>99</v>
      </c>
      <c r="Z1523" t="s">
        <v>421</v>
      </c>
      <c r="AC1523" t="str">
        <f>IF(AA1523="",M1523,AA1523)</f>
        <v>sim</v>
      </c>
      <c r="AD1523" t="str">
        <f>IF(AB1523="",X1523,AB1523)</f>
        <v>sim</v>
      </c>
      <c r="AE1523" t="str">
        <f>IF(OR(Configuracao!B9="",Configuracao!B10=""),"aguardando limiar",IF(AND(K1523&gt;=Configuracao!B9,K1523/MAX(Reconciliacao!C2,1)&gt;=Configuracao!B10/100),"sim","não"))</f>
        <v>aguardando limiar</v>
      </c>
    </row>
    <row r="1524" spans="1:31" x14ac:dyDescent="0.25">
      <c r="A1524">
        <v>12007</v>
      </c>
      <c r="C1524" t="s">
        <v>1220</v>
      </c>
      <c r="D1524" t="s">
        <v>450</v>
      </c>
      <c r="E1524" t="s">
        <v>467</v>
      </c>
      <c r="F1524" t="s">
        <v>268</v>
      </c>
      <c r="G1524" t="s">
        <v>329</v>
      </c>
      <c r="H1524" t="s">
        <v>328</v>
      </c>
      <c r="I1524" t="s">
        <v>424</v>
      </c>
      <c r="J1524" t="s">
        <v>424</v>
      </c>
      <c r="K1524" s="4">
        <v>355.2</v>
      </c>
      <c r="L1524" s="4">
        <v>355.2</v>
      </c>
      <c r="M1524" t="s">
        <v>44</v>
      </c>
      <c r="N1524" t="s">
        <v>77</v>
      </c>
      <c r="O1524" t="s">
        <v>99</v>
      </c>
      <c r="P1524" t="s">
        <v>99</v>
      </c>
      <c r="Q1524" t="s">
        <v>191</v>
      </c>
      <c r="R1524" t="s">
        <v>269</v>
      </c>
      <c r="S1524" t="s">
        <v>185</v>
      </c>
      <c r="T1524" t="s">
        <v>198</v>
      </c>
      <c r="U1524" t="s">
        <v>163</v>
      </c>
      <c r="V1524" t="s">
        <v>164</v>
      </c>
      <c r="W1524" t="s">
        <v>116</v>
      </c>
      <c r="X1524" t="s">
        <v>44</v>
      </c>
      <c r="Y1524" t="s">
        <v>99</v>
      </c>
      <c r="Z1524" t="s">
        <v>421</v>
      </c>
      <c r="AC1524" t="str">
        <f>IF(AA1524="",M1524,AA1524)</f>
        <v>sim</v>
      </c>
      <c r="AD1524" t="str">
        <f>IF(AB1524="",X1524,AB1524)</f>
        <v>sim</v>
      </c>
      <c r="AE1524" t="str">
        <f>IF(OR(Configuracao!B9="",Configuracao!B10=""),"aguardando limiar",IF(AND(K1524&gt;=Configuracao!B9,K1524/MAX(Reconciliacao!C2,1)&gt;=Configuracao!B10/100),"sim","não"))</f>
        <v>aguardando limiar</v>
      </c>
    </row>
    <row r="1525" spans="1:31" x14ac:dyDescent="0.25">
      <c r="A1525">
        <v>12637</v>
      </c>
      <c r="C1525" t="s">
        <v>1221</v>
      </c>
      <c r="D1525" t="s">
        <v>450</v>
      </c>
      <c r="E1525" t="s">
        <v>1138</v>
      </c>
      <c r="F1525" t="s">
        <v>268</v>
      </c>
      <c r="G1525" t="s">
        <v>329</v>
      </c>
      <c r="H1525" t="s">
        <v>328</v>
      </c>
      <c r="I1525" t="s">
        <v>420</v>
      </c>
      <c r="J1525" t="s">
        <v>420</v>
      </c>
      <c r="K1525" s="4">
        <v>449</v>
      </c>
      <c r="L1525" s="4">
        <v>449</v>
      </c>
      <c r="M1525" t="s">
        <v>44</v>
      </c>
      <c r="N1525" t="s">
        <v>77</v>
      </c>
      <c r="O1525" t="s">
        <v>99</v>
      </c>
      <c r="P1525" t="s">
        <v>99</v>
      </c>
      <c r="Q1525" t="s">
        <v>191</v>
      </c>
      <c r="R1525" t="s">
        <v>269</v>
      </c>
      <c r="S1525" t="s">
        <v>185</v>
      </c>
      <c r="T1525" t="s">
        <v>198</v>
      </c>
      <c r="U1525" t="s">
        <v>163</v>
      </c>
      <c r="V1525" t="s">
        <v>164</v>
      </c>
      <c r="W1525" t="s">
        <v>116</v>
      </c>
      <c r="X1525" t="s">
        <v>44</v>
      </c>
      <c r="Y1525" t="s">
        <v>99</v>
      </c>
      <c r="Z1525" t="s">
        <v>421</v>
      </c>
      <c r="AC1525" t="str">
        <f>IF(AA1525="",M1525,AA1525)</f>
        <v>sim</v>
      </c>
      <c r="AD1525" t="str">
        <f>IF(AB1525="",X1525,AB1525)</f>
        <v>sim</v>
      </c>
      <c r="AE1525" t="str">
        <f>IF(OR(Configuracao!B9="",Configuracao!B10=""),"aguardando limiar",IF(AND(K1525&gt;=Configuracao!B9,K1525/MAX(Reconciliacao!C2,1)&gt;=Configuracao!B10/100),"sim","não"))</f>
        <v>aguardando limiar</v>
      </c>
    </row>
    <row r="1526" spans="1:31" x14ac:dyDescent="0.25">
      <c r="A1526">
        <v>12638</v>
      </c>
      <c r="C1526" t="s">
        <v>1218</v>
      </c>
      <c r="D1526" t="s">
        <v>450</v>
      </c>
      <c r="E1526" t="s">
        <v>477</v>
      </c>
      <c r="F1526" t="s">
        <v>268</v>
      </c>
      <c r="G1526" t="s">
        <v>329</v>
      </c>
      <c r="H1526" t="s">
        <v>328</v>
      </c>
      <c r="I1526" t="s">
        <v>420</v>
      </c>
      <c r="J1526" t="s">
        <v>420</v>
      </c>
      <c r="K1526" s="4">
        <v>449</v>
      </c>
      <c r="L1526" s="4">
        <v>449</v>
      </c>
      <c r="M1526" t="s">
        <v>44</v>
      </c>
      <c r="N1526" t="s">
        <v>77</v>
      </c>
      <c r="O1526" t="s">
        <v>99</v>
      </c>
      <c r="P1526" t="s">
        <v>99</v>
      </c>
      <c r="Q1526" t="s">
        <v>191</v>
      </c>
      <c r="R1526" t="s">
        <v>269</v>
      </c>
      <c r="S1526" t="s">
        <v>185</v>
      </c>
      <c r="T1526" t="s">
        <v>198</v>
      </c>
      <c r="U1526" t="s">
        <v>163</v>
      </c>
      <c r="V1526" t="s">
        <v>164</v>
      </c>
      <c r="W1526" t="s">
        <v>116</v>
      </c>
      <c r="X1526" t="s">
        <v>44</v>
      </c>
      <c r="Y1526" t="s">
        <v>99</v>
      </c>
      <c r="Z1526" t="s">
        <v>421</v>
      </c>
      <c r="AC1526" t="str">
        <f>IF(AA1526="",M1526,AA1526)</f>
        <v>sim</v>
      </c>
      <c r="AD1526" t="str">
        <f>IF(AB1526="",X1526,AB1526)</f>
        <v>sim</v>
      </c>
      <c r="AE1526" t="str">
        <f>IF(OR(Configuracao!B9="",Configuracao!B10=""),"aguardando limiar",IF(AND(K1526&gt;=Configuracao!B9,K1526/MAX(Reconciliacao!C2,1)&gt;=Configuracao!B10/100),"sim","não"))</f>
        <v>aguardando limiar</v>
      </c>
    </row>
    <row r="1527" spans="1:31" x14ac:dyDescent="0.25">
      <c r="A1527">
        <v>13806</v>
      </c>
      <c r="C1527" t="s">
        <v>1222</v>
      </c>
      <c r="D1527" t="s">
        <v>450</v>
      </c>
      <c r="E1527" t="s">
        <v>525</v>
      </c>
      <c r="F1527" t="s">
        <v>268</v>
      </c>
      <c r="G1527" t="s">
        <v>329</v>
      </c>
      <c r="H1527" t="s">
        <v>328</v>
      </c>
      <c r="I1527" t="s">
        <v>454</v>
      </c>
      <c r="J1527" t="s">
        <v>454</v>
      </c>
      <c r="K1527" s="4">
        <v>499</v>
      </c>
      <c r="L1527" s="4">
        <v>499</v>
      </c>
      <c r="M1527" t="s">
        <v>44</v>
      </c>
      <c r="N1527" t="s">
        <v>77</v>
      </c>
      <c r="O1527" t="s">
        <v>99</v>
      </c>
      <c r="P1527" t="s">
        <v>99</v>
      </c>
      <c r="Q1527" t="s">
        <v>191</v>
      </c>
      <c r="R1527" t="s">
        <v>269</v>
      </c>
      <c r="S1527" t="s">
        <v>185</v>
      </c>
      <c r="T1527" t="s">
        <v>198</v>
      </c>
      <c r="U1527" t="s">
        <v>163</v>
      </c>
      <c r="V1527" t="s">
        <v>164</v>
      </c>
      <c r="W1527" t="s">
        <v>116</v>
      </c>
      <c r="X1527" t="s">
        <v>44</v>
      </c>
      <c r="Y1527" t="s">
        <v>99</v>
      </c>
      <c r="Z1527" t="s">
        <v>421</v>
      </c>
      <c r="AC1527" t="str">
        <f>IF(AA1527="",M1527,AA1527)</f>
        <v>sim</v>
      </c>
      <c r="AD1527" t="str">
        <f>IF(AB1527="",X1527,AB1527)</f>
        <v>sim</v>
      </c>
      <c r="AE1527" t="str">
        <f>IF(OR(Configuracao!B9="",Configuracao!B10=""),"aguardando limiar",IF(AND(K1527&gt;=Configuracao!B9,K1527/MAX(Reconciliacao!C2,1)&gt;=Configuracao!B10/100),"sim","não"))</f>
        <v>aguardando limiar</v>
      </c>
    </row>
    <row r="1528" spans="1:31" x14ac:dyDescent="0.25">
      <c r="A1528">
        <v>13823</v>
      </c>
      <c r="C1528" t="s">
        <v>1223</v>
      </c>
      <c r="D1528" t="s">
        <v>450</v>
      </c>
      <c r="E1528" t="s">
        <v>465</v>
      </c>
      <c r="F1528" t="s">
        <v>268</v>
      </c>
      <c r="G1528" t="s">
        <v>329</v>
      </c>
      <c r="H1528" t="s">
        <v>328</v>
      </c>
      <c r="I1528" t="s">
        <v>454</v>
      </c>
      <c r="J1528" t="s">
        <v>454</v>
      </c>
      <c r="K1528" s="4">
        <v>499</v>
      </c>
      <c r="L1528" s="4">
        <v>499</v>
      </c>
      <c r="M1528" t="s">
        <v>44</v>
      </c>
      <c r="N1528" t="s">
        <v>77</v>
      </c>
      <c r="O1528" t="s">
        <v>99</v>
      </c>
      <c r="P1528" t="s">
        <v>99</v>
      </c>
      <c r="Q1528" t="s">
        <v>191</v>
      </c>
      <c r="R1528" t="s">
        <v>269</v>
      </c>
      <c r="S1528" t="s">
        <v>185</v>
      </c>
      <c r="T1528" t="s">
        <v>198</v>
      </c>
      <c r="U1528" t="s">
        <v>163</v>
      </c>
      <c r="V1528" t="s">
        <v>164</v>
      </c>
      <c r="W1528" t="s">
        <v>116</v>
      </c>
      <c r="X1528" t="s">
        <v>44</v>
      </c>
      <c r="Y1528" t="s">
        <v>99</v>
      </c>
      <c r="Z1528" t="s">
        <v>421</v>
      </c>
      <c r="AC1528" t="str">
        <f>IF(AA1528="",M1528,AA1528)</f>
        <v>sim</v>
      </c>
      <c r="AD1528" t="str">
        <f>IF(AB1528="",X1528,AB1528)</f>
        <v>sim</v>
      </c>
      <c r="AE1528" t="str">
        <f>IF(OR(Configuracao!B9="",Configuracao!B10=""),"aguardando limiar",IF(AND(K1528&gt;=Configuracao!B9,K1528/MAX(Reconciliacao!C2,1)&gt;=Configuracao!B10/100),"sim","não"))</f>
        <v>aguardando limiar</v>
      </c>
    </row>
    <row r="1529" spans="1:31" x14ac:dyDescent="0.25">
      <c r="A1529">
        <v>13097</v>
      </c>
      <c r="C1529" t="s">
        <v>1224</v>
      </c>
      <c r="D1529" t="s">
        <v>450</v>
      </c>
      <c r="E1529" t="s">
        <v>465</v>
      </c>
      <c r="F1529" t="s">
        <v>268</v>
      </c>
      <c r="G1529" t="s">
        <v>329</v>
      </c>
      <c r="H1529" t="s">
        <v>328</v>
      </c>
      <c r="I1529" t="s">
        <v>420</v>
      </c>
      <c r="J1529" t="s">
        <v>420</v>
      </c>
      <c r="K1529" s="4">
        <v>501.99</v>
      </c>
      <c r="L1529" s="4">
        <v>501.99</v>
      </c>
      <c r="M1529" t="s">
        <v>44</v>
      </c>
      <c r="N1529" t="s">
        <v>77</v>
      </c>
      <c r="O1529" t="s">
        <v>99</v>
      </c>
      <c r="P1529" t="s">
        <v>99</v>
      </c>
      <c r="Q1529" t="s">
        <v>191</v>
      </c>
      <c r="R1529" t="s">
        <v>269</v>
      </c>
      <c r="S1529" t="s">
        <v>185</v>
      </c>
      <c r="T1529" t="s">
        <v>198</v>
      </c>
      <c r="U1529" t="s">
        <v>163</v>
      </c>
      <c r="V1529" t="s">
        <v>164</v>
      </c>
      <c r="W1529" t="s">
        <v>116</v>
      </c>
      <c r="X1529" t="s">
        <v>44</v>
      </c>
      <c r="Y1529" t="s">
        <v>99</v>
      </c>
      <c r="Z1529" t="s">
        <v>421</v>
      </c>
      <c r="AC1529" t="str">
        <f>IF(AA1529="",M1529,AA1529)</f>
        <v>sim</v>
      </c>
      <c r="AD1529" t="str">
        <f>IF(AB1529="",X1529,AB1529)</f>
        <v>sim</v>
      </c>
      <c r="AE1529" t="str">
        <f>IF(OR(Configuracao!B9="",Configuracao!B10=""),"aguardando limiar",IF(AND(K1529&gt;=Configuracao!B9,K1529/MAX(Reconciliacao!C2,1)&gt;=Configuracao!B10/100),"sim","não"))</f>
        <v>aguardando limiar</v>
      </c>
    </row>
    <row r="1530" spans="1:31" x14ac:dyDescent="0.25">
      <c r="A1530">
        <v>16207</v>
      </c>
      <c r="C1530" t="s">
        <v>1225</v>
      </c>
      <c r="D1530" t="s">
        <v>1216</v>
      </c>
      <c r="E1530" t="s">
        <v>467</v>
      </c>
      <c r="F1530" t="s">
        <v>268</v>
      </c>
      <c r="G1530" t="s">
        <v>329</v>
      </c>
      <c r="H1530" t="s">
        <v>328</v>
      </c>
      <c r="I1530" t="s">
        <v>461</v>
      </c>
      <c r="J1530" t="s">
        <v>461</v>
      </c>
      <c r="K1530" s="4">
        <v>638</v>
      </c>
      <c r="L1530" s="4">
        <v>638</v>
      </c>
      <c r="M1530" t="s">
        <v>44</v>
      </c>
      <c r="N1530" t="s">
        <v>77</v>
      </c>
      <c r="O1530" t="s">
        <v>99</v>
      </c>
      <c r="P1530" t="s">
        <v>99</v>
      </c>
      <c r="Q1530" t="s">
        <v>191</v>
      </c>
      <c r="R1530" t="s">
        <v>269</v>
      </c>
      <c r="S1530" t="s">
        <v>185</v>
      </c>
      <c r="T1530" t="s">
        <v>198</v>
      </c>
      <c r="U1530" t="s">
        <v>163</v>
      </c>
      <c r="V1530" t="s">
        <v>164</v>
      </c>
      <c r="W1530" t="s">
        <v>116</v>
      </c>
      <c r="X1530" t="s">
        <v>44</v>
      </c>
      <c r="Y1530" t="s">
        <v>99</v>
      </c>
      <c r="Z1530" t="s">
        <v>421</v>
      </c>
      <c r="AC1530" t="str">
        <f>IF(AA1530="",M1530,AA1530)</f>
        <v>sim</v>
      </c>
      <c r="AD1530" t="str">
        <f>IF(AB1530="",X1530,AB1530)</f>
        <v>sim</v>
      </c>
      <c r="AE1530" t="str">
        <f>IF(OR(Configuracao!B9="",Configuracao!B10=""),"aguardando limiar",IF(AND(K1530&gt;=Configuracao!B9,K1530/MAX(Reconciliacao!C2,1)&gt;=Configuracao!B10/100),"sim","não"))</f>
        <v>aguardando limiar</v>
      </c>
    </row>
    <row r="1531" spans="1:31" x14ac:dyDescent="0.25">
      <c r="A1531">
        <v>11179</v>
      </c>
      <c r="C1531" t="s">
        <v>1226</v>
      </c>
      <c r="D1531" t="s">
        <v>1227</v>
      </c>
      <c r="E1531" t="s">
        <v>451</v>
      </c>
      <c r="F1531" t="s">
        <v>268</v>
      </c>
      <c r="G1531" t="s">
        <v>325</v>
      </c>
      <c r="H1531" t="s">
        <v>324</v>
      </c>
      <c r="I1531" t="s">
        <v>32</v>
      </c>
      <c r="J1531" t="s">
        <v>32</v>
      </c>
      <c r="K1531" s="4">
        <v>180</v>
      </c>
      <c r="L1531" s="4">
        <v>180</v>
      </c>
      <c r="M1531" t="s">
        <v>44</v>
      </c>
      <c r="N1531" t="s">
        <v>77</v>
      </c>
      <c r="O1531" t="s">
        <v>99</v>
      </c>
      <c r="P1531" t="s">
        <v>99</v>
      </c>
      <c r="Q1531" t="s">
        <v>191</v>
      </c>
      <c r="R1531" t="s">
        <v>269</v>
      </c>
      <c r="S1531" t="s">
        <v>185</v>
      </c>
      <c r="T1531" t="s">
        <v>198</v>
      </c>
      <c r="U1531" t="s">
        <v>163</v>
      </c>
      <c r="V1531" t="s">
        <v>164</v>
      </c>
      <c r="W1531" t="s">
        <v>116</v>
      </c>
      <c r="X1531" t="s">
        <v>44</v>
      </c>
      <c r="Y1531" t="s">
        <v>99</v>
      </c>
      <c r="Z1531" t="s">
        <v>421</v>
      </c>
      <c r="AC1531" t="str">
        <f>IF(AA1531="",M1531,AA1531)</f>
        <v>sim</v>
      </c>
      <c r="AD1531" t="str">
        <f>IF(AB1531="",X1531,AB1531)</f>
        <v>sim</v>
      </c>
      <c r="AE1531" t="str">
        <f>IF(OR(Configuracao!B9="",Configuracao!B10=""),"aguardando limiar",IF(AND(K1531&gt;=Configuracao!B9,K1531/MAX(Reconciliacao!C2,1)&gt;=Configuracao!B10/100),"sim","não"))</f>
        <v>aguardando limiar</v>
      </c>
    </row>
    <row r="1532" spans="1:31" x14ac:dyDescent="0.25">
      <c r="A1532">
        <v>12203</v>
      </c>
      <c r="C1532" t="s">
        <v>1228</v>
      </c>
      <c r="D1532" t="s">
        <v>1227</v>
      </c>
      <c r="E1532" t="s">
        <v>451</v>
      </c>
      <c r="F1532" t="s">
        <v>268</v>
      </c>
      <c r="G1532" t="s">
        <v>325</v>
      </c>
      <c r="H1532" t="s">
        <v>324</v>
      </c>
      <c r="I1532" t="s">
        <v>424</v>
      </c>
      <c r="J1532" t="s">
        <v>424</v>
      </c>
      <c r="K1532" s="4">
        <v>320</v>
      </c>
      <c r="L1532" s="4">
        <v>320</v>
      </c>
      <c r="M1532" t="s">
        <v>44</v>
      </c>
      <c r="N1532" t="s">
        <v>77</v>
      </c>
      <c r="O1532" t="s">
        <v>99</v>
      </c>
      <c r="P1532" t="s">
        <v>99</v>
      </c>
      <c r="Q1532" t="s">
        <v>191</v>
      </c>
      <c r="R1532" t="s">
        <v>269</v>
      </c>
      <c r="S1532" t="s">
        <v>185</v>
      </c>
      <c r="T1532" t="s">
        <v>198</v>
      </c>
      <c r="U1532" t="s">
        <v>163</v>
      </c>
      <c r="V1532" t="s">
        <v>164</v>
      </c>
      <c r="W1532" t="s">
        <v>116</v>
      </c>
      <c r="X1532" t="s">
        <v>44</v>
      </c>
      <c r="Y1532" t="s">
        <v>99</v>
      </c>
      <c r="Z1532" t="s">
        <v>421</v>
      </c>
      <c r="AC1532" t="str">
        <f>IF(AA1532="",M1532,AA1532)</f>
        <v>sim</v>
      </c>
      <c r="AD1532" t="str">
        <f>IF(AB1532="",X1532,AB1532)</f>
        <v>sim</v>
      </c>
      <c r="AE1532" t="str">
        <f>IF(OR(Configuracao!B9="",Configuracao!B10=""),"aguardando limiar",IF(AND(K1532&gt;=Configuracao!B9,K1532/MAX(Reconciliacao!C2,1)&gt;=Configuracao!B10/100),"sim","não"))</f>
        <v>aguardando limiar</v>
      </c>
    </row>
    <row r="1533" spans="1:31" x14ac:dyDescent="0.25">
      <c r="A1533">
        <v>11473</v>
      </c>
      <c r="C1533" t="s">
        <v>1229</v>
      </c>
      <c r="D1533" t="s">
        <v>1227</v>
      </c>
      <c r="E1533" t="s">
        <v>451</v>
      </c>
      <c r="F1533" t="s">
        <v>268</v>
      </c>
      <c r="G1533" t="s">
        <v>325</v>
      </c>
      <c r="H1533" t="s">
        <v>324</v>
      </c>
      <c r="I1533" t="s">
        <v>32</v>
      </c>
      <c r="J1533" t="s">
        <v>32</v>
      </c>
      <c r="K1533" s="4">
        <v>480</v>
      </c>
      <c r="L1533" s="4">
        <v>480</v>
      </c>
      <c r="M1533" t="s">
        <v>44</v>
      </c>
      <c r="N1533" t="s">
        <v>77</v>
      </c>
      <c r="O1533" t="s">
        <v>99</v>
      </c>
      <c r="P1533" t="s">
        <v>99</v>
      </c>
      <c r="Q1533" t="s">
        <v>191</v>
      </c>
      <c r="R1533" t="s">
        <v>269</v>
      </c>
      <c r="S1533" t="s">
        <v>185</v>
      </c>
      <c r="T1533" t="s">
        <v>198</v>
      </c>
      <c r="U1533" t="s">
        <v>163</v>
      </c>
      <c r="V1533" t="s">
        <v>164</v>
      </c>
      <c r="W1533" t="s">
        <v>116</v>
      </c>
      <c r="X1533" t="s">
        <v>44</v>
      </c>
      <c r="Y1533" t="s">
        <v>99</v>
      </c>
      <c r="Z1533" t="s">
        <v>421</v>
      </c>
      <c r="AC1533" t="str">
        <f>IF(AA1533="",M1533,AA1533)</f>
        <v>sim</v>
      </c>
      <c r="AD1533" t="str">
        <f>IF(AB1533="",X1533,AB1533)</f>
        <v>sim</v>
      </c>
      <c r="AE1533" t="str">
        <f>IF(OR(Configuracao!B9="",Configuracao!B10=""),"aguardando limiar",IF(AND(K1533&gt;=Configuracao!B9,K1533/MAX(Reconciliacao!C2,1)&gt;=Configuracao!B10/100),"sim","não"))</f>
        <v>aguardando limiar</v>
      </c>
    </row>
    <row r="1534" spans="1:31" x14ac:dyDescent="0.25">
      <c r="A1534">
        <v>13807</v>
      </c>
      <c r="C1534" t="s">
        <v>1230</v>
      </c>
      <c r="D1534" t="s">
        <v>1227</v>
      </c>
      <c r="E1534" t="s">
        <v>451</v>
      </c>
      <c r="F1534" t="s">
        <v>268</v>
      </c>
      <c r="G1534" t="s">
        <v>325</v>
      </c>
      <c r="H1534" t="s">
        <v>324</v>
      </c>
      <c r="I1534" t="s">
        <v>454</v>
      </c>
      <c r="J1534" t="s">
        <v>454</v>
      </c>
      <c r="K1534" s="4">
        <v>480</v>
      </c>
      <c r="L1534" s="4">
        <v>480</v>
      </c>
      <c r="M1534" t="s">
        <v>44</v>
      </c>
      <c r="N1534" t="s">
        <v>77</v>
      </c>
      <c r="O1534" t="s">
        <v>99</v>
      </c>
      <c r="P1534" t="s">
        <v>99</v>
      </c>
      <c r="Q1534" t="s">
        <v>191</v>
      </c>
      <c r="R1534" t="s">
        <v>269</v>
      </c>
      <c r="S1534" t="s">
        <v>185</v>
      </c>
      <c r="T1534" t="s">
        <v>198</v>
      </c>
      <c r="U1534" t="s">
        <v>163</v>
      </c>
      <c r="V1534" t="s">
        <v>164</v>
      </c>
      <c r="W1534" t="s">
        <v>116</v>
      </c>
      <c r="X1534" t="s">
        <v>44</v>
      </c>
      <c r="Y1534" t="s">
        <v>99</v>
      </c>
      <c r="Z1534" t="s">
        <v>421</v>
      </c>
      <c r="AC1534" t="str">
        <f>IF(AA1534="",M1534,AA1534)</f>
        <v>sim</v>
      </c>
      <c r="AD1534" t="str">
        <f>IF(AB1534="",X1534,AB1534)</f>
        <v>sim</v>
      </c>
      <c r="AE1534" t="str">
        <f>IF(OR(Configuracao!B9="",Configuracao!B10=""),"aguardando limiar",IF(AND(K1534&gt;=Configuracao!B9,K1534/MAX(Reconciliacao!C2,1)&gt;=Configuracao!B10/100),"sim","não"))</f>
        <v>aguardando limiar</v>
      </c>
    </row>
    <row r="1535" spans="1:31" x14ac:dyDescent="0.25">
      <c r="A1535">
        <v>12751</v>
      </c>
      <c r="C1535" t="s">
        <v>1231</v>
      </c>
      <c r="D1535" t="s">
        <v>1227</v>
      </c>
      <c r="E1535" t="s">
        <v>451</v>
      </c>
      <c r="F1535" t="s">
        <v>268</v>
      </c>
      <c r="G1535" t="s">
        <v>325</v>
      </c>
      <c r="H1535" t="s">
        <v>324</v>
      </c>
      <c r="I1535" t="s">
        <v>420</v>
      </c>
      <c r="J1535" t="s">
        <v>420</v>
      </c>
      <c r="K1535" s="4">
        <v>640</v>
      </c>
      <c r="L1535" s="4">
        <v>640</v>
      </c>
      <c r="M1535" t="s">
        <v>44</v>
      </c>
      <c r="N1535" t="s">
        <v>77</v>
      </c>
      <c r="O1535" t="s">
        <v>99</v>
      </c>
      <c r="P1535" t="s">
        <v>99</v>
      </c>
      <c r="Q1535" t="s">
        <v>191</v>
      </c>
      <c r="R1535" t="s">
        <v>269</v>
      </c>
      <c r="S1535" t="s">
        <v>185</v>
      </c>
      <c r="T1535" t="s">
        <v>198</v>
      </c>
      <c r="U1535" t="s">
        <v>163</v>
      </c>
      <c r="V1535" t="s">
        <v>164</v>
      </c>
      <c r="W1535" t="s">
        <v>116</v>
      </c>
      <c r="X1535" t="s">
        <v>44</v>
      </c>
      <c r="Y1535" t="s">
        <v>99</v>
      </c>
      <c r="Z1535" t="s">
        <v>421</v>
      </c>
      <c r="AC1535" t="str">
        <f>IF(AA1535="",M1535,AA1535)</f>
        <v>sim</v>
      </c>
      <c r="AD1535" t="str">
        <f>IF(AB1535="",X1535,AB1535)</f>
        <v>sim</v>
      </c>
      <c r="AE1535" t="str">
        <f>IF(OR(Configuracao!B9="",Configuracao!B10=""),"aguardando limiar",IF(AND(K1535&gt;=Configuracao!B9,K1535/MAX(Reconciliacao!C2,1)&gt;=Configuracao!B10/100),"sim","não"))</f>
        <v>aguardando limiar</v>
      </c>
    </row>
    <row r="1536" spans="1:31" x14ac:dyDescent="0.25">
      <c r="A1536">
        <v>17727</v>
      </c>
      <c r="C1536" t="s">
        <v>1232</v>
      </c>
      <c r="D1536" t="s">
        <v>1227</v>
      </c>
      <c r="E1536" t="s">
        <v>451</v>
      </c>
      <c r="F1536" t="s">
        <v>268</v>
      </c>
      <c r="G1536" t="s">
        <v>325</v>
      </c>
      <c r="H1536" t="s">
        <v>324</v>
      </c>
      <c r="I1536" t="s">
        <v>439</v>
      </c>
      <c r="J1536" t="s">
        <v>439</v>
      </c>
      <c r="K1536" s="4">
        <v>800</v>
      </c>
      <c r="L1536" s="4">
        <v>800</v>
      </c>
      <c r="M1536" t="s">
        <v>44</v>
      </c>
      <c r="N1536" t="s">
        <v>77</v>
      </c>
      <c r="O1536" t="s">
        <v>99</v>
      </c>
      <c r="P1536" t="s">
        <v>99</v>
      </c>
      <c r="Q1536" t="s">
        <v>191</v>
      </c>
      <c r="R1536" t="s">
        <v>269</v>
      </c>
      <c r="S1536" t="s">
        <v>185</v>
      </c>
      <c r="T1536" t="s">
        <v>198</v>
      </c>
      <c r="U1536" t="s">
        <v>163</v>
      </c>
      <c r="V1536" t="s">
        <v>164</v>
      </c>
      <c r="W1536" t="s">
        <v>116</v>
      </c>
      <c r="X1536" t="s">
        <v>44</v>
      </c>
      <c r="Y1536" t="s">
        <v>99</v>
      </c>
      <c r="Z1536" t="s">
        <v>421</v>
      </c>
      <c r="AC1536" t="str">
        <f>IF(AA1536="",M1536,AA1536)</f>
        <v>sim</v>
      </c>
      <c r="AD1536" t="str">
        <f>IF(AB1536="",X1536,AB1536)</f>
        <v>sim</v>
      </c>
      <c r="AE1536" t="str">
        <f>IF(OR(Configuracao!B9="",Configuracao!B10=""),"aguardando limiar",IF(AND(K1536&gt;=Configuracao!B9,K1536/MAX(Reconciliacao!C2,1)&gt;=Configuracao!B10/100),"sim","não"))</f>
        <v>aguardando limiar</v>
      </c>
    </row>
    <row r="1537" spans="1:31" x14ac:dyDescent="0.25">
      <c r="A1537">
        <v>16949</v>
      </c>
      <c r="C1537" t="s">
        <v>1233</v>
      </c>
      <c r="D1537" t="s">
        <v>1227</v>
      </c>
      <c r="E1537" t="s">
        <v>451</v>
      </c>
      <c r="F1537" t="s">
        <v>268</v>
      </c>
      <c r="G1537" t="s">
        <v>325</v>
      </c>
      <c r="H1537" t="s">
        <v>324</v>
      </c>
      <c r="I1537" t="s">
        <v>442</v>
      </c>
      <c r="J1537" t="s">
        <v>442</v>
      </c>
      <c r="K1537" s="4">
        <v>960</v>
      </c>
      <c r="L1537" s="4">
        <v>960</v>
      </c>
      <c r="M1537" t="s">
        <v>44</v>
      </c>
      <c r="N1537" t="s">
        <v>77</v>
      </c>
      <c r="O1537" t="s">
        <v>99</v>
      </c>
      <c r="P1537" t="s">
        <v>99</v>
      </c>
      <c r="Q1537" t="s">
        <v>191</v>
      </c>
      <c r="R1537" t="s">
        <v>269</v>
      </c>
      <c r="S1537" t="s">
        <v>185</v>
      </c>
      <c r="T1537" t="s">
        <v>198</v>
      </c>
      <c r="U1537" t="s">
        <v>163</v>
      </c>
      <c r="V1537" t="s">
        <v>164</v>
      </c>
      <c r="W1537" t="s">
        <v>116</v>
      </c>
      <c r="X1537" t="s">
        <v>44</v>
      </c>
      <c r="Y1537" t="s">
        <v>99</v>
      </c>
      <c r="Z1537" t="s">
        <v>421</v>
      </c>
      <c r="AC1537" t="str">
        <f>IF(AA1537="",M1537,AA1537)</f>
        <v>sim</v>
      </c>
      <c r="AD1537" t="str">
        <f>IF(AB1537="",X1537,AB1537)</f>
        <v>sim</v>
      </c>
      <c r="AE1537" t="str">
        <f>IF(OR(Configuracao!B9="",Configuracao!B10=""),"aguardando limiar",IF(AND(K1537&gt;=Configuracao!B9,K1537/MAX(Reconciliacao!C2,1)&gt;=Configuracao!B10/100),"sim","não"))</f>
        <v>aguardando limiar</v>
      </c>
    </row>
    <row r="1538" spans="1:31" x14ac:dyDescent="0.25">
      <c r="A1538">
        <v>18653</v>
      </c>
      <c r="C1538" t="s">
        <v>1234</v>
      </c>
      <c r="D1538" t="s">
        <v>1227</v>
      </c>
      <c r="E1538" t="s">
        <v>451</v>
      </c>
      <c r="F1538" t="s">
        <v>268</v>
      </c>
      <c r="G1538" t="s">
        <v>325</v>
      </c>
      <c r="H1538" t="s">
        <v>324</v>
      </c>
      <c r="I1538" t="s">
        <v>35</v>
      </c>
      <c r="J1538" t="s">
        <v>35</v>
      </c>
      <c r="K1538" s="4">
        <v>1180</v>
      </c>
      <c r="L1538" s="4">
        <v>1180</v>
      </c>
      <c r="M1538" t="s">
        <v>44</v>
      </c>
      <c r="N1538" t="s">
        <v>77</v>
      </c>
      <c r="O1538" t="s">
        <v>99</v>
      </c>
      <c r="P1538" t="s">
        <v>99</v>
      </c>
      <c r="Q1538" t="s">
        <v>191</v>
      </c>
      <c r="R1538" t="s">
        <v>269</v>
      </c>
      <c r="S1538" t="s">
        <v>185</v>
      </c>
      <c r="T1538" t="s">
        <v>198</v>
      </c>
      <c r="U1538" t="s">
        <v>163</v>
      </c>
      <c r="V1538" t="s">
        <v>164</v>
      </c>
      <c r="W1538" t="s">
        <v>116</v>
      </c>
      <c r="X1538" t="s">
        <v>44</v>
      </c>
      <c r="Y1538" t="s">
        <v>99</v>
      </c>
      <c r="Z1538" t="s">
        <v>421</v>
      </c>
      <c r="AC1538" t="str">
        <f>IF(AA1538="",M1538,AA1538)</f>
        <v>sim</v>
      </c>
      <c r="AD1538" t="str">
        <f>IF(AB1538="",X1538,AB1538)</f>
        <v>sim</v>
      </c>
      <c r="AE1538" t="str">
        <f>IF(OR(Configuracao!B9="",Configuracao!B10=""),"aguardando limiar",IF(AND(K1538&gt;=Configuracao!B9,K1538/MAX(Reconciliacao!C2,1)&gt;=Configuracao!B10/100),"sim","não"))</f>
        <v>aguardando limiar</v>
      </c>
    </row>
    <row r="1539" spans="1:31" x14ac:dyDescent="0.25">
      <c r="A1539">
        <v>16283</v>
      </c>
      <c r="C1539" t="s">
        <v>1235</v>
      </c>
      <c r="D1539" t="s">
        <v>1227</v>
      </c>
      <c r="E1539" t="s">
        <v>451</v>
      </c>
      <c r="F1539" t="s">
        <v>268</v>
      </c>
      <c r="G1539" t="s">
        <v>325</v>
      </c>
      <c r="H1539" t="s">
        <v>324</v>
      </c>
      <c r="I1539" t="s">
        <v>461</v>
      </c>
      <c r="J1539" t="s">
        <v>461</v>
      </c>
      <c r="K1539" s="4">
        <v>1360</v>
      </c>
      <c r="L1539" s="4">
        <v>1360</v>
      </c>
      <c r="M1539" t="s">
        <v>44</v>
      </c>
      <c r="N1539" t="s">
        <v>77</v>
      </c>
      <c r="O1539" t="s">
        <v>99</v>
      </c>
      <c r="P1539" t="s">
        <v>99</v>
      </c>
      <c r="Q1539" t="s">
        <v>191</v>
      </c>
      <c r="R1539" t="s">
        <v>269</v>
      </c>
      <c r="S1539" t="s">
        <v>185</v>
      </c>
      <c r="T1539" t="s">
        <v>198</v>
      </c>
      <c r="U1539" t="s">
        <v>163</v>
      </c>
      <c r="V1539" t="s">
        <v>164</v>
      </c>
      <c r="W1539" t="s">
        <v>116</v>
      </c>
      <c r="X1539" t="s">
        <v>44</v>
      </c>
      <c r="Y1539" t="s">
        <v>99</v>
      </c>
      <c r="Z1539" t="s">
        <v>421</v>
      </c>
      <c r="AC1539" t="str">
        <f>IF(AA1539="",M1539,AA1539)</f>
        <v>sim</v>
      </c>
      <c r="AD1539" t="str">
        <f>IF(AB1539="",X1539,AB1539)</f>
        <v>sim</v>
      </c>
      <c r="AE1539" t="str">
        <f>IF(OR(Configuracao!B9="",Configuracao!B10=""),"aguardando limiar",IF(AND(K1539&gt;=Configuracao!B9,K1539/MAX(Reconciliacao!C2,1)&gt;=Configuracao!B10/100),"sim","não"))</f>
        <v>aguardando limiar</v>
      </c>
    </row>
    <row r="1540" spans="1:31" x14ac:dyDescent="0.25">
      <c r="A1540">
        <v>7100</v>
      </c>
      <c r="C1540" t="s">
        <v>1236</v>
      </c>
      <c r="D1540" t="s">
        <v>1237</v>
      </c>
      <c r="E1540" t="s">
        <v>451</v>
      </c>
      <c r="F1540" t="s">
        <v>268</v>
      </c>
      <c r="G1540" t="s">
        <v>287</v>
      </c>
      <c r="H1540" t="s">
        <v>286</v>
      </c>
      <c r="I1540" t="s">
        <v>420</v>
      </c>
      <c r="J1540" t="s">
        <v>420</v>
      </c>
      <c r="K1540" s="4">
        <v>900</v>
      </c>
      <c r="L1540" s="4">
        <v>900</v>
      </c>
      <c r="M1540" t="s">
        <v>44</v>
      </c>
      <c r="N1540" t="s">
        <v>77</v>
      </c>
      <c r="O1540" t="s">
        <v>99</v>
      </c>
      <c r="P1540" t="s">
        <v>99</v>
      </c>
      <c r="Q1540" t="s">
        <v>191</v>
      </c>
      <c r="R1540" t="s">
        <v>269</v>
      </c>
      <c r="S1540" t="s">
        <v>185</v>
      </c>
      <c r="T1540" t="s">
        <v>198</v>
      </c>
      <c r="U1540" t="s">
        <v>163</v>
      </c>
      <c r="V1540" t="s">
        <v>164</v>
      </c>
      <c r="W1540" t="s">
        <v>116</v>
      </c>
      <c r="X1540" t="s">
        <v>44</v>
      </c>
      <c r="Y1540" t="s">
        <v>99</v>
      </c>
      <c r="Z1540" t="s">
        <v>421</v>
      </c>
      <c r="AC1540" t="str">
        <f>IF(AA1540="",M1540,AA1540)</f>
        <v>sim</v>
      </c>
      <c r="AD1540" t="str">
        <f>IF(AB1540="",X1540,AB1540)</f>
        <v>sim</v>
      </c>
      <c r="AE1540" t="str">
        <f>IF(OR(Configuracao!B9="",Configuracao!B10=""),"aguardando limiar",IF(AND(K1540&gt;=Configuracao!B9,K1540/MAX(Reconciliacao!C2,1)&gt;=Configuracao!B10/100),"sim","não"))</f>
        <v>aguardando limiar</v>
      </c>
    </row>
    <row r="1541" spans="1:31" x14ac:dyDescent="0.25">
      <c r="A1541">
        <v>7101</v>
      </c>
      <c r="C1541" t="s">
        <v>1238</v>
      </c>
      <c r="D1541" t="s">
        <v>1237</v>
      </c>
      <c r="E1541" t="s">
        <v>451</v>
      </c>
      <c r="F1541" t="s">
        <v>268</v>
      </c>
      <c r="G1541" t="s">
        <v>287</v>
      </c>
      <c r="H1541" t="s">
        <v>286</v>
      </c>
      <c r="I1541" t="s">
        <v>454</v>
      </c>
      <c r="J1541" t="s">
        <v>454</v>
      </c>
      <c r="K1541" s="4">
        <v>982</v>
      </c>
      <c r="L1541" s="4">
        <v>982</v>
      </c>
      <c r="M1541" t="s">
        <v>44</v>
      </c>
      <c r="N1541" t="s">
        <v>77</v>
      </c>
      <c r="O1541" t="s">
        <v>99</v>
      </c>
      <c r="P1541" t="s">
        <v>99</v>
      </c>
      <c r="Q1541" t="s">
        <v>191</v>
      </c>
      <c r="R1541" t="s">
        <v>269</v>
      </c>
      <c r="S1541" t="s">
        <v>185</v>
      </c>
      <c r="T1541" t="s">
        <v>198</v>
      </c>
      <c r="U1541" t="s">
        <v>163</v>
      </c>
      <c r="V1541" t="s">
        <v>164</v>
      </c>
      <c r="W1541" t="s">
        <v>116</v>
      </c>
      <c r="X1541" t="s">
        <v>44</v>
      </c>
      <c r="Y1541" t="s">
        <v>99</v>
      </c>
      <c r="Z1541" t="s">
        <v>421</v>
      </c>
      <c r="AC1541" t="str">
        <f>IF(AA1541="",M1541,AA1541)</f>
        <v>sim</v>
      </c>
      <c r="AD1541" t="str">
        <f>IF(AB1541="",X1541,AB1541)</f>
        <v>sim</v>
      </c>
      <c r="AE1541" t="str">
        <f>IF(OR(Configuracao!B9="",Configuracao!B10=""),"aguardando limiar",IF(AND(K1541&gt;=Configuracao!B9,K1541/MAX(Reconciliacao!C2,1)&gt;=Configuracao!B10/100),"sim","não"))</f>
        <v>aguardando limiar</v>
      </c>
    </row>
    <row r="1542" spans="1:31" x14ac:dyDescent="0.25">
      <c r="A1542">
        <v>7098</v>
      </c>
      <c r="C1542" t="s">
        <v>1239</v>
      </c>
      <c r="D1542" t="s">
        <v>1237</v>
      </c>
      <c r="E1542" t="s">
        <v>451</v>
      </c>
      <c r="F1542" t="s">
        <v>268</v>
      </c>
      <c r="G1542" t="s">
        <v>287</v>
      </c>
      <c r="H1542" t="s">
        <v>286</v>
      </c>
      <c r="I1542" t="s">
        <v>32</v>
      </c>
      <c r="J1542" t="s">
        <v>32</v>
      </c>
      <c r="K1542" s="4">
        <v>1367</v>
      </c>
      <c r="L1542" s="4">
        <v>1367</v>
      </c>
      <c r="M1542" t="s">
        <v>44</v>
      </c>
      <c r="N1542" t="s">
        <v>77</v>
      </c>
      <c r="O1542" t="s">
        <v>99</v>
      </c>
      <c r="P1542" t="s">
        <v>99</v>
      </c>
      <c r="Q1542" t="s">
        <v>191</v>
      </c>
      <c r="R1542" t="s">
        <v>269</v>
      </c>
      <c r="S1542" t="s">
        <v>185</v>
      </c>
      <c r="T1542" t="s">
        <v>198</v>
      </c>
      <c r="U1542" t="s">
        <v>163</v>
      </c>
      <c r="V1542" t="s">
        <v>164</v>
      </c>
      <c r="W1542" t="s">
        <v>116</v>
      </c>
      <c r="X1542" t="s">
        <v>44</v>
      </c>
      <c r="Y1542" t="s">
        <v>99</v>
      </c>
      <c r="Z1542" t="s">
        <v>421</v>
      </c>
      <c r="AC1542" t="str">
        <f>IF(AA1542="",M1542,AA1542)</f>
        <v>sim</v>
      </c>
      <c r="AD1542" t="str">
        <f>IF(AB1542="",X1542,AB1542)</f>
        <v>sim</v>
      </c>
      <c r="AE1542" t="str">
        <f>IF(OR(Configuracao!B9="",Configuracao!B10=""),"aguardando limiar",IF(AND(K1542&gt;=Configuracao!B9,K1542/MAX(Reconciliacao!C2,1)&gt;=Configuracao!B10/100),"sim","não"))</f>
        <v>aguardando limiar</v>
      </c>
    </row>
    <row r="1543" spans="1:31" x14ac:dyDescent="0.25">
      <c r="A1543">
        <v>7099</v>
      </c>
      <c r="C1543" t="s">
        <v>1240</v>
      </c>
      <c r="D1543" t="s">
        <v>1237</v>
      </c>
      <c r="E1543" t="s">
        <v>451</v>
      </c>
      <c r="F1543" t="s">
        <v>268</v>
      </c>
      <c r="G1543" t="s">
        <v>287</v>
      </c>
      <c r="H1543" t="s">
        <v>286</v>
      </c>
      <c r="I1543" t="s">
        <v>424</v>
      </c>
      <c r="J1543" t="s">
        <v>424</v>
      </c>
      <c r="K1543" s="4">
        <v>1558</v>
      </c>
      <c r="L1543" s="4">
        <v>1558</v>
      </c>
      <c r="M1543" t="s">
        <v>44</v>
      </c>
      <c r="N1543" t="s">
        <v>77</v>
      </c>
      <c r="O1543" t="s">
        <v>99</v>
      </c>
      <c r="P1543" t="s">
        <v>99</v>
      </c>
      <c r="Q1543" t="s">
        <v>191</v>
      </c>
      <c r="R1543" t="s">
        <v>269</v>
      </c>
      <c r="S1543" t="s">
        <v>185</v>
      </c>
      <c r="T1543" t="s">
        <v>198</v>
      </c>
      <c r="U1543" t="s">
        <v>163</v>
      </c>
      <c r="V1543" t="s">
        <v>164</v>
      </c>
      <c r="W1543" t="s">
        <v>116</v>
      </c>
      <c r="X1543" t="s">
        <v>44</v>
      </c>
      <c r="Y1543" t="s">
        <v>99</v>
      </c>
      <c r="Z1543" t="s">
        <v>421</v>
      </c>
      <c r="AC1543" t="str">
        <f>IF(AA1543="",M1543,AA1543)</f>
        <v>sim</v>
      </c>
      <c r="AD1543" t="str">
        <f>IF(AB1543="",X1543,AB1543)</f>
        <v>sim</v>
      </c>
      <c r="AE1543" t="str">
        <f>IF(OR(Configuracao!B9="",Configuracao!B10=""),"aguardando limiar",IF(AND(K1543&gt;=Configuracao!B9,K1543/MAX(Reconciliacao!C2,1)&gt;=Configuracao!B10/100),"sim","não"))</f>
        <v>aguardando limiar</v>
      </c>
    </row>
    <row r="1544" spans="1:31" x14ac:dyDescent="0.25">
      <c r="A1544">
        <v>7103</v>
      </c>
      <c r="C1544" t="s">
        <v>1241</v>
      </c>
      <c r="D1544" t="s">
        <v>1237</v>
      </c>
      <c r="E1544" t="s">
        <v>451</v>
      </c>
      <c r="F1544" t="s">
        <v>268</v>
      </c>
      <c r="G1544" t="s">
        <v>287</v>
      </c>
      <c r="H1544" t="s">
        <v>286</v>
      </c>
      <c r="I1544" t="s">
        <v>442</v>
      </c>
      <c r="J1544" t="s">
        <v>442</v>
      </c>
      <c r="K1544" s="4">
        <v>1823.5</v>
      </c>
      <c r="L1544" s="4">
        <v>1823.5</v>
      </c>
      <c r="M1544" t="s">
        <v>44</v>
      </c>
      <c r="N1544" t="s">
        <v>77</v>
      </c>
      <c r="O1544" t="s">
        <v>99</v>
      </c>
      <c r="P1544" t="s">
        <v>99</v>
      </c>
      <c r="Q1544" t="s">
        <v>191</v>
      </c>
      <c r="R1544" t="s">
        <v>269</v>
      </c>
      <c r="S1544" t="s">
        <v>185</v>
      </c>
      <c r="T1544" t="s">
        <v>198</v>
      </c>
      <c r="U1544" t="s">
        <v>163</v>
      </c>
      <c r="V1544" t="s">
        <v>164</v>
      </c>
      <c r="W1544" t="s">
        <v>116</v>
      </c>
      <c r="X1544" t="s">
        <v>44</v>
      </c>
      <c r="Y1544" t="s">
        <v>99</v>
      </c>
      <c r="Z1544" t="s">
        <v>421</v>
      </c>
      <c r="AC1544" t="str">
        <f>IF(AA1544="",M1544,AA1544)</f>
        <v>sim</v>
      </c>
      <c r="AD1544" t="str">
        <f>IF(AB1544="",X1544,AB1544)</f>
        <v>sim</v>
      </c>
      <c r="AE1544" t="str">
        <f>IF(OR(Configuracao!B9="",Configuracao!B10=""),"aguardando limiar",IF(AND(K1544&gt;=Configuracao!B9,K1544/MAX(Reconciliacao!C2,1)&gt;=Configuracao!B10/100),"sim","não"))</f>
        <v>aguardando limiar</v>
      </c>
    </row>
    <row r="1545" spans="1:31" x14ac:dyDescent="0.25">
      <c r="A1545">
        <v>7104</v>
      </c>
      <c r="C1545" t="s">
        <v>1242</v>
      </c>
      <c r="D1545" t="s">
        <v>1237</v>
      </c>
      <c r="E1545" t="s">
        <v>451</v>
      </c>
      <c r="F1545" t="s">
        <v>268</v>
      </c>
      <c r="G1545" t="s">
        <v>287</v>
      </c>
      <c r="H1545" t="s">
        <v>286</v>
      </c>
      <c r="I1545" t="s">
        <v>439</v>
      </c>
      <c r="J1545" t="s">
        <v>439</v>
      </c>
      <c r="K1545" s="4">
        <v>1823.5</v>
      </c>
      <c r="L1545" s="4">
        <v>1823.5</v>
      </c>
      <c r="M1545" t="s">
        <v>44</v>
      </c>
      <c r="N1545" t="s">
        <v>77</v>
      </c>
      <c r="O1545" t="s">
        <v>99</v>
      </c>
      <c r="P1545" t="s">
        <v>99</v>
      </c>
      <c r="Q1545" t="s">
        <v>191</v>
      </c>
      <c r="R1545" t="s">
        <v>269</v>
      </c>
      <c r="S1545" t="s">
        <v>185</v>
      </c>
      <c r="T1545" t="s">
        <v>198</v>
      </c>
      <c r="U1545" t="s">
        <v>163</v>
      </c>
      <c r="V1545" t="s">
        <v>164</v>
      </c>
      <c r="W1545" t="s">
        <v>116</v>
      </c>
      <c r="X1545" t="s">
        <v>44</v>
      </c>
      <c r="Y1545" t="s">
        <v>99</v>
      </c>
      <c r="Z1545" t="s">
        <v>421</v>
      </c>
      <c r="AC1545" t="str">
        <f>IF(AA1545="",M1545,AA1545)</f>
        <v>sim</v>
      </c>
      <c r="AD1545" t="str">
        <f>IF(AB1545="",X1545,AB1545)</f>
        <v>sim</v>
      </c>
      <c r="AE1545" t="str">
        <f>IF(OR(Configuracao!B9="",Configuracao!B10=""),"aguardando limiar",IF(AND(K1545&gt;=Configuracao!B9,K1545/MAX(Reconciliacao!C2,1)&gt;=Configuracao!B10/100),"sim","não"))</f>
        <v>aguardando limiar</v>
      </c>
    </row>
    <row r="1546" spans="1:31" x14ac:dyDescent="0.25">
      <c r="A1546">
        <v>7105</v>
      </c>
      <c r="C1546" t="s">
        <v>1243</v>
      </c>
      <c r="D1546" t="s">
        <v>1237</v>
      </c>
      <c r="E1546" t="s">
        <v>451</v>
      </c>
      <c r="F1546" t="s">
        <v>268</v>
      </c>
      <c r="G1546" t="s">
        <v>287</v>
      </c>
      <c r="H1546" t="s">
        <v>286</v>
      </c>
      <c r="I1546" t="s">
        <v>35</v>
      </c>
      <c r="J1546" t="s">
        <v>35</v>
      </c>
      <c r="K1546" s="4">
        <v>2433.5</v>
      </c>
      <c r="L1546" s="4">
        <v>2433.5</v>
      </c>
      <c r="M1546" t="s">
        <v>44</v>
      </c>
      <c r="N1546" t="s">
        <v>77</v>
      </c>
      <c r="O1546" t="s">
        <v>99</v>
      </c>
      <c r="P1546" t="s">
        <v>99</v>
      </c>
      <c r="Q1546" t="s">
        <v>191</v>
      </c>
      <c r="R1546" t="s">
        <v>269</v>
      </c>
      <c r="S1546" t="s">
        <v>185</v>
      </c>
      <c r="T1546" t="s">
        <v>198</v>
      </c>
      <c r="U1546" t="s">
        <v>163</v>
      </c>
      <c r="V1546" t="s">
        <v>164</v>
      </c>
      <c r="W1546" t="s">
        <v>116</v>
      </c>
      <c r="X1546" t="s">
        <v>44</v>
      </c>
      <c r="Y1546" t="s">
        <v>99</v>
      </c>
      <c r="Z1546" t="s">
        <v>421</v>
      </c>
      <c r="AC1546" t="str">
        <f>IF(AA1546="",M1546,AA1546)</f>
        <v>sim</v>
      </c>
      <c r="AD1546" t="str">
        <f>IF(AB1546="",X1546,AB1546)</f>
        <v>sim</v>
      </c>
      <c r="AE1546" t="str">
        <f>IF(OR(Configuracao!B9="",Configuracao!B10=""),"aguardando limiar",IF(AND(K1546&gt;=Configuracao!B9,K1546/MAX(Reconciliacao!C2,1)&gt;=Configuracao!B10/100),"sim","não"))</f>
        <v>aguardando limiar</v>
      </c>
    </row>
    <row r="1547" spans="1:31" x14ac:dyDescent="0.25">
      <c r="A1547">
        <v>7102</v>
      </c>
      <c r="C1547" t="s">
        <v>1244</v>
      </c>
      <c r="D1547" t="s">
        <v>1237</v>
      </c>
      <c r="E1547" t="s">
        <v>451</v>
      </c>
      <c r="F1547" t="s">
        <v>268</v>
      </c>
      <c r="G1547" t="s">
        <v>287</v>
      </c>
      <c r="H1547" t="s">
        <v>286</v>
      </c>
      <c r="I1547" t="s">
        <v>461</v>
      </c>
      <c r="J1547" t="s">
        <v>461</v>
      </c>
      <c r="K1547" s="4">
        <v>2728</v>
      </c>
      <c r="L1547" s="4">
        <v>2728</v>
      </c>
      <c r="M1547" t="s">
        <v>44</v>
      </c>
      <c r="N1547" t="s">
        <v>77</v>
      </c>
      <c r="O1547" t="s">
        <v>99</v>
      </c>
      <c r="P1547" t="s">
        <v>99</v>
      </c>
      <c r="Q1547" t="s">
        <v>191</v>
      </c>
      <c r="R1547" t="s">
        <v>269</v>
      </c>
      <c r="S1547" t="s">
        <v>185</v>
      </c>
      <c r="T1547" t="s">
        <v>198</v>
      </c>
      <c r="U1547" t="s">
        <v>163</v>
      </c>
      <c r="V1547" t="s">
        <v>164</v>
      </c>
      <c r="W1547" t="s">
        <v>116</v>
      </c>
      <c r="X1547" t="s">
        <v>44</v>
      </c>
      <c r="Y1547" t="s">
        <v>99</v>
      </c>
      <c r="Z1547" t="s">
        <v>421</v>
      </c>
      <c r="AC1547" t="str">
        <f>IF(AA1547="",M1547,AA1547)</f>
        <v>sim</v>
      </c>
      <c r="AD1547" t="str">
        <f>IF(AB1547="",X1547,AB1547)</f>
        <v>sim</v>
      </c>
      <c r="AE1547" t="str">
        <f>IF(OR(Configuracao!B9="",Configuracao!B10=""),"aguardando limiar",IF(AND(K1547&gt;=Configuracao!B9,K1547/MAX(Reconciliacao!C2,1)&gt;=Configuracao!B10/100),"sim","não"))</f>
        <v>aguardando limiar</v>
      </c>
    </row>
    <row r="1548" spans="1:31" x14ac:dyDescent="0.25">
      <c r="A1548">
        <v>11332</v>
      </c>
      <c r="C1548" t="s">
        <v>1245</v>
      </c>
      <c r="D1548" t="s">
        <v>1246</v>
      </c>
      <c r="E1548" t="s">
        <v>451</v>
      </c>
      <c r="F1548" t="s">
        <v>268</v>
      </c>
      <c r="G1548" t="s">
        <v>363</v>
      </c>
      <c r="H1548" t="s">
        <v>362</v>
      </c>
      <c r="I1548" t="s">
        <v>32</v>
      </c>
      <c r="J1548" t="s">
        <v>32</v>
      </c>
      <c r="K1548" s="4">
        <v>234.64</v>
      </c>
      <c r="L1548" s="4">
        <v>234.64</v>
      </c>
      <c r="M1548" t="s">
        <v>44</v>
      </c>
      <c r="N1548" t="s">
        <v>77</v>
      </c>
      <c r="O1548" t="s">
        <v>99</v>
      </c>
      <c r="P1548" t="s">
        <v>99</v>
      </c>
      <c r="Q1548" t="s">
        <v>191</v>
      </c>
      <c r="R1548" t="s">
        <v>269</v>
      </c>
      <c r="S1548" t="s">
        <v>185</v>
      </c>
      <c r="T1548" t="s">
        <v>198</v>
      </c>
      <c r="U1548" t="s">
        <v>163</v>
      </c>
      <c r="V1548" t="s">
        <v>164</v>
      </c>
      <c r="W1548" t="s">
        <v>116</v>
      </c>
      <c r="X1548" t="s">
        <v>44</v>
      </c>
      <c r="Y1548" t="s">
        <v>99</v>
      </c>
      <c r="Z1548" t="s">
        <v>421</v>
      </c>
      <c r="AC1548" t="str">
        <f>IF(AA1548="",M1548,AA1548)</f>
        <v>sim</v>
      </c>
      <c r="AD1548" t="str">
        <f>IF(AB1548="",X1548,AB1548)</f>
        <v>sim</v>
      </c>
      <c r="AE1548" t="str">
        <f>IF(OR(Configuracao!B9="",Configuracao!B10=""),"aguardando limiar",IF(AND(K1548&gt;=Configuracao!B9,K1548/MAX(Reconciliacao!C2,1)&gt;=Configuracao!B10/100),"sim","não"))</f>
        <v>aguardando limiar</v>
      </c>
    </row>
    <row r="1549" spans="1:31" x14ac:dyDescent="0.25">
      <c r="A1549">
        <v>11333</v>
      </c>
      <c r="C1549" t="s">
        <v>1245</v>
      </c>
      <c r="D1549" t="s">
        <v>1246</v>
      </c>
      <c r="E1549" t="s">
        <v>451</v>
      </c>
      <c r="F1549" t="s">
        <v>268</v>
      </c>
      <c r="G1549" t="s">
        <v>363</v>
      </c>
      <c r="H1549" t="s">
        <v>362</v>
      </c>
      <c r="I1549" t="s">
        <v>424</v>
      </c>
      <c r="J1549" t="s">
        <v>420</v>
      </c>
      <c r="K1549" s="4">
        <v>234.64</v>
      </c>
      <c r="L1549" s="4">
        <v>234.64</v>
      </c>
      <c r="M1549" t="s">
        <v>44</v>
      </c>
      <c r="N1549" t="s">
        <v>77</v>
      </c>
      <c r="O1549" t="s">
        <v>99</v>
      </c>
      <c r="P1549" t="s">
        <v>99</v>
      </c>
      <c r="Q1549" t="s">
        <v>191</v>
      </c>
      <c r="R1549" t="s">
        <v>269</v>
      </c>
      <c r="S1549" t="s">
        <v>185</v>
      </c>
      <c r="T1549" t="s">
        <v>198</v>
      </c>
      <c r="U1549" t="s">
        <v>163</v>
      </c>
      <c r="V1549" t="s">
        <v>164</v>
      </c>
      <c r="W1549" t="s">
        <v>116</v>
      </c>
      <c r="X1549" t="s">
        <v>44</v>
      </c>
      <c r="Y1549" t="s">
        <v>99</v>
      </c>
      <c r="Z1549" t="s">
        <v>421</v>
      </c>
      <c r="AC1549" t="str">
        <f>IF(AA1549="",M1549,AA1549)</f>
        <v>sim</v>
      </c>
      <c r="AD1549" t="str">
        <f>IF(AB1549="",X1549,AB1549)</f>
        <v>sim</v>
      </c>
      <c r="AE1549" t="str">
        <f>IF(OR(Configuracao!B9="",Configuracao!B10=""),"aguardando limiar",IF(AND(K1549&gt;=Configuracao!B9,K1549/MAX(Reconciliacao!C2,1)&gt;=Configuracao!B10/100),"sim","não"))</f>
        <v>aguardando limiar</v>
      </c>
    </row>
    <row r="1550" spans="1:31" x14ac:dyDescent="0.25">
      <c r="A1550">
        <v>11334</v>
      </c>
      <c r="C1550" t="s">
        <v>1245</v>
      </c>
      <c r="D1550" t="s">
        <v>1246</v>
      </c>
      <c r="E1550" t="s">
        <v>451</v>
      </c>
      <c r="F1550" t="s">
        <v>268</v>
      </c>
      <c r="G1550" t="s">
        <v>363</v>
      </c>
      <c r="H1550" t="s">
        <v>362</v>
      </c>
      <c r="I1550" t="s">
        <v>420</v>
      </c>
      <c r="J1550" t="s">
        <v>420</v>
      </c>
      <c r="K1550" s="4">
        <v>234.64</v>
      </c>
      <c r="L1550" s="4">
        <v>234.64</v>
      </c>
      <c r="M1550" t="s">
        <v>44</v>
      </c>
      <c r="N1550" t="s">
        <v>77</v>
      </c>
      <c r="O1550" t="s">
        <v>99</v>
      </c>
      <c r="P1550" t="s">
        <v>99</v>
      </c>
      <c r="Q1550" t="s">
        <v>191</v>
      </c>
      <c r="R1550" t="s">
        <v>269</v>
      </c>
      <c r="S1550" t="s">
        <v>185</v>
      </c>
      <c r="T1550" t="s">
        <v>198</v>
      </c>
      <c r="U1550" t="s">
        <v>163</v>
      </c>
      <c r="V1550" t="s">
        <v>164</v>
      </c>
      <c r="W1550" t="s">
        <v>116</v>
      </c>
      <c r="X1550" t="s">
        <v>44</v>
      </c>
      <c r="Y1550" t="s">
        <v>99</v>
      </c>
      <c r="Z1550" t="s">
        <v>421</v>
      </c>
      <c r="AC1550" t="str">
        <f>IF(AA1550="",M1550,AA1550)</f>
        <v>sim</v>
      </c>
      <c r="AD1550" t="str">
        <f>IF(AB1550="",X1550,AB1550)</f>
        <v>sim</v>
      </c>
      <c r="AE1550" t="str">
        <f>IF(OR(Configuracao!B9="",Configuracao!B10=""),"aguardando limiar",IF(AND(K1550&gt;=Configuracao!B9,K1550/MAX(Reconciliacao!C2,1)&gt;=Configuracao!B10/100),"sim","não"))</f>
        <v>aguardando limiar</v>
      </c>
    </row>
    <row r="1551" spans="1:31" x14ac:dyDescent="0.25">
      <c r="A1551">
        <v>11335</v>
      </c>
      <c r="C1551" t="s">
        <v>1245</v>
      </c>
      <c r="D1551" t="s">
        <v>1246</v>
      </c>
      <c r="E1551" t="s">
        <v>451</v>
      </c>
      <c r="F1551" t="s">
        <v>268</v>
      </c>
      <c r="G1551" t="s">
        <v>363</v>
      </c>
      <c r="H1551" t="s">
        <v>362</v>
      </c>
      <c r="I1551" t="s">
        <v>454</v>
      </c>
      <c r="J1551" t="s">
        <v>454</v>
      </c>
      <c r="K1551" s="4">
        <v>234.64</v>
      </c>
      <c r="L1551" s="4">
        <v>234.64</v>
      </c>
      <c r="M1551" t="s">
        <v>44</v>
      </c>
      <c r="N1551" t="s">
        <v>77</v>
      </c>
      <c r="O1551" t="s">
        <v>99</v>
      </c>
      <c r="P1551" t="s">
        <v>99</v>
      </c>
      <c r="Q1551" t="s">
        <v>191</v>
      </c>
      <c r="R1551" t="s">
        <v>269</v>
      </c>
      <c r="S1551" t="s">
        <v>185</v>
      </c>
      <c r="T1551" t="s">
        <v>198</v>
      </c>
      <c r="U1551" t="s">
        <v>163</v>
      </c>
      <c r="V1551" t="s">
        <v>164</v>
      </c>
      <c r="W1551" t="s">
        <v>116</v>
      </c>
      <c r="X1551" t="s">
        <v>44</v>
      </c>
      <c r="Y1551" t="s">
        <v>99</v>
      </c>
      <c r="Z1551" t="s">
        <v>421</v>
      </c>
      <c r="AC1551" t="str">
        <f>IF(AA1551="",M1551,AA1551)</f>
        <v>sim</v>
      </c>
      <c r="AD1551" t="str">
        <f>IF(AB1551="",X1551,AB1551)</f>
        <v>sim</v>
      </c>
      <c r="AE1551" t="str">
        <f>IF(OR(Configuracao!B9="",Configuracao!B10=""),"aguardando limiar",IF(AND(K1551&gt;=Configuracao!B9,K1551/MAX(Reconciliacao!C2,1)&gt;=Configuracao!B10/100),"sim","não"))</f>
        <v>aguardando limiar</v>
      </c>
    </row>
    <row r="1552" spans="1:31" x14ac:dyDescent="0.25">
      <c r="A1552">
        <v>11336</v>
      </c>
      <c r="C1552" t="s">
        <v>1245</v>
      </c>
      <c r="D1552" t="s">
        <v>1246</v>
      </c>
      <c r="E1552" t="s">
        <v>451</v>
      </c>
      <c r="F1552" t="s">
        <v>268</v>
      </c>
      <c r="G1552" t="s">
        <v>363</v>
      </c>
      <c r="H1552" t="s">
        <v>362</v>
      </c>
      <c r="I1552" t="s">
        <v>461</v>
      </c>
      <c r="J1552" t="s">
        <v>461</v>
      </c>
      <c r="K1552" s="4">
        <v>234.64</v>
      </c>
      <c r="L1552" s="4">
        <v>234.64</v>
      </c>
      <c r="M1552" t="s">
        <v>44</v>
      </c>
      <c r="N1552" t="s">
        <v>77</v>
      </c>
      <c r="O1552" t="s">
        <v>99</v>
      </c>
      <c r="P1552" t="s">
        <v>99</v>
      </c>
      <c r="Q1552" t="s">
        <v>191</v>
      </c>
      <c r="R1552" t="s">
        <v>269</v>
      </c>
      <c r="S1552" t="s">
        <v>185</v>
      </c>
      <c r="T1552" t="s">
        <v>198</v>
      </c>
      <c r="U1552" t="s">
        <v>163</v>
      </c>
      <c r="V1552" t="s">
        <v>164</v>
      </c>
      <c r="W1552" t="s">
        <v>116</v>
      </c>
      <c r="X1552" t="s">
        <v>44</v>
      </c>
      <c r="Y1552" t="s">
        <v>99</v>
      </c>
      <c r="Z1552" t="s">
        <v>421</v>
      </c>
      <c r="AC1552" t="str">
        <f>IF(AA1552="",M1552,AA1552)</f>
        <v>sim</v>
      </c>
      <c r="AD1552" t="str">
        <f>IF(AB1552="",X1552,AB1552)</f>
        <v>sim</v>
      </c>
      <c r="AE1552" t="str">
        <f>IF(OR(Configuracao!B9="",Configuracao!B10=""),"aguardando limiar",IF(AND(K1552&gt;=Configuracao!B9,K1552/MAX(Reconciliacao!C2,1)&gt;=Configuracao!B10/100),"sim","não"))</f>
        <v>aguardando limiar</v>
      </c>
    </row>
    <row r="1553" spans="1:31" x14ac:dyDescent="0.25">
      <c r="A1553">
        <v>11337</v>
      </c>
      <c r="C1553" t="s">
        <v>1245</v>
      </c>
      <c r="D1553" t="s">
        <v>1246</v>
      </c>
      <c r="E1553" t="s">
        <v>451</v>
      </c>
      <c r="F1553" t="s">
        <v>268</v>
      </c>
      <c r="G1553" t="s">
        <v>363</v>
      </c>
      <c r="H1553" t="s">
        <v>362</v>
      </c>
      <c r="I1553" t="s">
        <v>442</v>
      </c>
      <c r="J1553" t="s">
        <v>442</v>
      </c>
      <c r="K1553" s="4">
        <v>234.64</v>
      </c>
      <c r="L1553" s="4">
        <v>234.64</v>
      </c>
      <c r="M1553" t="s">
        <v>44</v>
      </c>
      <c r="N1553" t="s">
        <v>77</v>
      </c>
      <c r="O1553" t="s">
        <v>99</v>
      </c>
      <c r="P1553" t="s">
        <v>99</v>
      </c>
      <c r="Q1553" t="s">
        <v>191</v>
      </c>
      <c r="R1553" t="s">
        <v>269</v>
      </c>
      <c r="S1553" t="s">
        <v>185</v>
      </c>
      <c r="T1553" t="s">
        <v>198</v>
      </c>
      <c r="U1553" t="s">
        <v>163</v>
      </c>
      <c r="V1553" t="s">
        <v>164</v>
      </c>
      <c r="W1553" t="s">
        <v>116</v>
      </c>
      <c r="X1553" t="s">
        <v>44</v>
      </c>
      <c r="Y1553" t="s">
        <v>99</v>
      </c>
      <c r="Z1553" t="s">
        <v>421</v>
      </c>
      <c r="AC1553" t="str">
        <f>IF(AA1553="",M1553,AA1553)</f>
        <v>sim</v>
      </c>
      <c r="AD1553" t="str">
        <f>IF(AB1553="",X1553,AB1553)</f>
        <v>sim</v>
      </c>
      <c r="AE1553" t="str">
        <f>IF(OR(Configuracao!B9="",Configuracao!B10=""),"aguardando limiar",IF(AND(K1553&gt;=Configuracao!B9,K1553/MAX(Reconciliacao!C2,1)&gt;=Configuracao!B10/100),"sim","não"))</f>
        <v>aguardando limiar</v>
      </c>
    </row>
    <row r="1554" spans="1:31" x14ac:dyDescent="0.25">
      <c r="A1554">
        <v>11338</v>
      </c>
      <c r="C1554" t="s">
        <v>1245</v>
      </c>
      <c r="D1554" t="s">
        <v>1246</v>
      </c>
      <c r="E1554" t="s">
        <v>451</v>
      </c>
      <c r="F1554" t="s">
        <v>268</v>
      </c>
      <c r="G1554" t="s">
        <v>363</v>
      </c>
      <c r="H1554" t="s">
        <v>362</v>
      </c>
      <c r="I1554" t="s">
        <v>439</v>
      </c>
      <c r="J1554" t="s">
        <v>439</v>
      </c>
      <c r="K1554" s="4">
        <v>234.64</v>
      </c>
      <c r="L1554" s="4">
        <v>234.64</v>
      </c>
      <c r="M1554" t="s">
        <v>44</v>
      </c>
      <c r="N1554" t="s">
        <v>77</v>
      </c>
      <c r="O1554" t="s">
        <v>99</v>
      </c>
      <c r="P1554" t="s">
        <v>99</v>
      </c>
      <c r="Q1554" t="s">
        <v>191</v>
      </c>
      <c r="R1554" t="s">
        <v>269</v>
      </c>
      <c r="S1554" t="s">
        <v>185</v>
      </c>
      <c r="T1554" t="s">
        <v>198</v>
      </c>
      <c r="U1554" t="s">
        <v>163</v>
      </c>
      <c r="V1554" t="s">
        <v>164</v>
      </c>
      <c r="W1554" t="s">
        <v>116</v>
      </c>
      <c r="X1554" t="s">
        <v>44</v>
      </c>
      <c r="Y1554" t="s">
        <v>99</v>
      </c>
      <c r="Z1554" t="s">
        <v>421</v>
      </c>
      <c r="AC1554" t="str">
        <f>IF(AA1554="",M1554,AA1554)</f>
        <v>sim</v>
      </c>
      <c r="AD1554" t="str">
        <f>IF(AB1554="",X1554,AB1554)</f>
        <v>sim</v>
      </c>
      <c r="AE1554" t="str">
        <f>IF(OR(Configuracao!B9="",Configuracao!B10=""),"aguardando limiar",IF(AND(K1554&gt;=Configuracao!B9,K1554/MAX(Reconciliacao!C2,1)&gt;=Configuracao!B10/100),"sim","não"))</f>
        <v>aguardando limiar</v>
      </c>
    </row>
    <row r="1555" spans="1:31" x14ac:dyDescent="0.25">
      <c r="A1555">
        <v>11339</v>
      </c>
      <c r="C1555" t="s">
        <v>1245</v>
      </c>
      <c r="D1555" t="s">
        <v>1246</v>
      </c>
      <c r="E1555" t="s">
        <v>451</v>
      </c>
      <c r="F1555" t="s">
        <v>268</v>
      </c>
      <c r="G1555" t="s">
        <v>363</v>
      </c>
      <c r="H1555" t="s">
        <v>362</v>
      </c>
      <c r="I1555" t="s">
        <v>35</v>
      </c>
      <c r="J1555" t="s">
        <v>35</v>
      </c>
      <c r="K1555" s="4">
        <v>234.64</v>
      </c>
      <c r="L1555" s="4">
        <v>234.64</v>
      </c>
      <c r="M1555" t="s">
        <v>44</v>
      </c>
      <c r="N1555" t="s">
        <v>77</v>
      </c>
      <c r="O1555" t="s">
        <v>99</v>
      </c>
      <c r="P1555" t="s">
        <v>99</v>
      </c>
      <c r="Q1555" t="s">
        <v>191</v>
      </c>
      <c r="R1555" t="s">
        <v>269</v>
      </c>
      <c r="S1555" t="s">
        <v>185</v>
      </c>
      <c r="T1555" t="s">
        <v>198</v>
      </c>
      <c r="U1555" t="s">
        <v>163</v>
      </c>
      <c r="V1555" t="s">
        <v>164</v>
      </c>
      <c r="W1555" t="s">
        <v>116</v>
      </c>
      <c r="X1555" t="s">
        <v>44</v>
      </c>
      <c r="Y1555" t="s">
        <v>99</v>
      </c>
      <c r="Z1555" t="s">
        <v>421</v>
      </c>
      <c r="AC1555" t="str">
        <f>IF(AA1555="",M1555,AA1555)</f>
        <v>sim</v>
      </c>
      <c r="AD1555" t="str">
        <f>IF(AB1555="",X1555,AB1555)</f>
        <v>sim</v>
      </c>
      <c r="AE1555" t="str">
        <f>IF(OR(Configuracao!B9="",Configuracao!B10=""),"aguardando limiar",IF(AND(K1555&gt;=Configuracao!B9,K1555/MAX(Reconciliacao!C2,1)&gt;=Configuracao!B10/100),"sim","não"))</f>
        <v>aguardando limiar</v>
      </c>
    </row>
    <row r="1556" spans="1:31" x14ac:dyDescent="0.25">
      <c r="A1556">
        <v>7831</v>
      </c>
      <c r="C1556" t="s">
        <v>1247</v>
      </c>
      <c r="D1556" t="s">
        <v>734</v>
      </c>
      <c r="E1556" t="s">
        <v>474</v>
      </c>
      <c r="F1556" t="s">
        <v>165</v>
      </c>
      <c r="G1556" t="s">
        <v>165</v>
      </c>
      <c r="H1556" t="s">
        <v>92</v>
      </c>
      <c r="I1556" t="s">
        <v>737</v>
      </c>
      <c r="J1556" t="s">
        <v>32</v>
      </c>
      <c r="K1556" s="4">
        <v>0</v>
      </c>
      <c r="L1556" s="4">
        <v>617.89</v>
      </c>
      <c r="M1556" t="s">
        <v>166</v>
      </c>
      <c r="N1556" t="s">
        <v>77</v>
      </c>
      <c r="O1556" t="s">
        <v>86</v>
      </c>
      <c r="P1556" t="s">
        <v>170</v>
      </c>
      <c r="Q1556" t="s">
        <v>86</v>
      </c>
      <c r="R1556" t="s">
        <v>86</v>
      </c>
      <c r="S1556" t="s">
        <v>167</v>
      </c>
      <c r="T1556" t="s">
        <v>167</v>
      </c>
      <c r="U1556" t="s">
        <v>168</v>
      </c>
      <c r="V1556" t="s">
        <v>169</v>
      </c>
      <c r="W1556" t="s">
        <v>77</v>
      </c>
      <c r="X1556" t="s">
        <v>44</v>
      </c>
      <c r="Y1556" t="s">
        <v>99</v>
      </c>
      <c r="Z1556" t="s">
        <v>421</v>
      </c>
      <c r="AC1556" t="str">
        <f>IF(AA1556="",M1556,AA1556)</f>
        <v>não</v>
      </c>
      <c r="AD1556" t="str">
        <f>IF(AB1556="",X1556,AB1556)</f>
        <v>sim</v>
      </c>
      <c r="AE1556" t="str">
        <f>IF(OR(Configuracao!B9="",Configuracao!B10=""),"aguardando limiar",IF(AND(K1556&gt;=Configuracao!B9,K1556/MAX(Reconciliacao!C2,1)&gt;=Configuracao!B10/100),"sim","não"))</f>
        <v>aguardando limiar</v>
      </c>
    </row>
    <row r="1557" spans="1:31" x14ac:dyDescent="0.25">
      <c r="A1557">
        <v>12149</v>
      </c>
      <c r="C1557" t="s">
        <v>1248</v>
      </c>
      <c r="D1557" t="s">
        <v>436</v>
      </c>
      <c r="E1557" t="s">
        <v>474</v>
      </c>
      <c r="F1557" t="s">
        <v>165</v>
      </c>
      <c r="G1557" t="s">
        <v>165</v>
      </c>
      <c r="H1557" t="s">
        <v>92</v>
      </c>
      <c r="I1557" t="s">
        <v>459</v>
      </c>
      <c r="J1557" t="s">
        <v>442</v>
      </c>
      <c r="K1557" s="4">
        <v>0</v>
      </c>
      <c r="L1557" s="4">
        <v>66.01</v>
      </c>
      <c r="M1557" t="s">
        <v>166</v>
      </c>
      <c r="N1557" t="s">
        <v>77</v>
      </c>
      <c r="O1557" t="s">
        <v>86</v>
      </c>
      <c r="P1557" t="s">
        <v>170</v>
      </c>
      <c r="Q1557" t="s">
        <v>86</v>
      </c>
      <c r="R1557" t="s">
        <v>86</v>
      </c>
      <c r="S1557" t="s">
        <v>167</v>
      </c>
      <c r="T1557" t="s">
        <v>167</v>
      </c>
      <c r="U1557" t="s">
        <v>168</v>
      </c>
      <c r="V1557" t="s">
        <v>169</v>
      </c>
      <c r="W1557" t="s">
        <v>77</v>
      </c>
      <c r="X1557" t="s">
        <v>44</v>
      </c>
      <c r="Y1557" t="s">
        <v>99</v>
      </c>
      <c r="Z1557" t="s">
        <v>421</v>
      </c>
      <c r="AC1557" t="str">
        <f>IF(AA1557="",M1557,AA1557)</f>
        <v>não</v>
      </c>
      <c r="AD1557" t="str">
        <f>IF(AB1557="",X1557,AB1557)</f>
        <v>sim</v>
      </c>
      <c r="AE1557" t="str">
        <f>IF(OR(Configuracao!B9="",Configuracao!B10=""),"aguardando limiar",IF(AND(K1557&gt;=Configuracao!B9,K1557/MAX(Reconciliacao!C2,1)&gt;=Configuracao!B10/100),"sim","não"))</f>
        <v>aguardando limiar</v>
      </c>
    </row>
    <row r="1558" spans="1:31" x14ac:dyDescent="0.25">
      <c r="A1558">
        <v>12150</v>
      </c>
      <c r="C1558" t="s">
        <v>1249</v>
      </c>
      <c r="D1558" t="s">
        <v>436</v>
      </c>
      <c r="E1558" t="s">
        <v>474</v>
      </c>
      <c r="F1558" t="s">
        <v>165</v>
      </c>
      <c r="G1558" t="s">
        <v>165</v>
      </c>
      <c r="H1558" t="s">
        <v>92</v>
      </c>
      <c r="I1558" t="s">
        <v>1250</v>
      </c>
      <c r="J1558" t="s">
        <v>442</v>
      </c>
      <c r="K1558" s="4">
        <v>0</v>
      </c>
      <c r="L1558" s="4">
        <v>66.01</v>
      </c>
      <c r="M1558" t="s">
        <v>166</v>
      </c>
      <c r="N1558" t="s">
        <v>77</v>
      </c>
      <c r="O1558" t="s">
        <v>86</v>
      </c>
      <c r="P1558" t="s">
        <v>170</v>
      </c>
      <c r="Q1558" t="s">
        <v>86</v>
      </c>
      <c r="R1558" t="s">
        <v>86</v>
      </c>
      <c r="S1558" t="s">
        <v>167</v>
      </c>
      <c r="T1558" t="s">
        <v>167</v>
      </c>
      <c r="U1558" t="s">
        <v>168</v>
      </c>
      <c r="V1558" t="s">
        <v>169</v>
      </c>
      <c r="W1558" t="s">
        <v>77</v>
      </c>
      <c r="X1558" t="s">
        <v>44</v>
      </c>
      <c r="Y1558" t="s">
        <v>99</v>
      </c>
      <c r="Z1558" t="s">
        <v>421</v>
      </c>
      <c r="AC1558" t="str">
        <f>IF(AA1558="",M1558,AA1558)</f>
        <v>não</v>
      </c>
      <c r="AD1558" t="str">
        <f>IF(AB1558="",X1558,AB1558)</f>
        <v>sim</v>
      </c>
      <c r="AE1558" t="str">
        <f>IF(OR(Configuracao!B9="",Configuracao!B10=""),"aguardando limiar",IF(AND(K1558&gt;=Configuracao!B9,K1558/MAX(Reconciliacao!C2,1)&gt;=Configuracao!B10/100),"sim","não"))</f>
        <v>aguardando limiar</v>
      </c>
    </row>
    <row r="1559" spans="1:31" x14ac:dyDescent="0.25">
      <c r="A1559">
        <v>12151</v>
      </c>
      <c r="C1559" t="s">
        <v>1251</v>
      </c>
      <c r="D1559" t="s">
        <v>436</v>
      </c>
      <c r="E1559" t="s">
        <v>474</v>
      </c>
      <c r="F1559" t="s">
        <v>165</v>
      </c>
      <c r="G1559" t="s">
        <v>165</v>
      </c>
      <c r="H1559" t="s">
        <v>92</v>
      </c>
      <c r="I1559" t="s">
        <v>1252</v>
      </c>
      <c r="J1559" t="s">
        <v>442</v>
      </c>
      <c r="K1559" s="4">
        <v>0</v>
      </c>
      <c r="L1559" s="4">
        <v>66.01</v>
      </c>
      <c r="M1559" t="s">
        <v>166</v>
      </c>
      <c r="N1559" t="s">
        <v>77</v>
      </c>
      <c r="O1559" t="s">
        <v>86</v>
      </c>
      <c r="P1559" t="s">
        <v>170</v>
      </c>
      <c r="Q1559" t="s">
        <v>86</v>
      </c>
      <c r="R1559" t="s">
        <v>86</v>
      </c>
      <c r="S1559" t="s">
        <v>167</v>
      </c>
      <c r="T1559" t="s">
        <v>167</v>
      </c>
      <c r="U1559" t="s">
        <v>168</v>
      </c>
      <c r="V1559" t="s">
        <v>169</v>
      </c>
      <c r="W1559" t="s">
        <v>77</v>
      </c>
      <c r="X1559" t="s">
        <v>44</v>
      </c>
      <c r="Y1559" t="s">
        <v>99</v>
      </c>
      <c r="Z1559" t="s">
        <v>421</v>
      </c>
      <c r="AC1559" t="str">
        <f>IF(AA1559="",M1559,AA1559)</f>
        <v>não</v>
      </c>
      <c r="AD1559" t="str">
        <f>IF(AB1559="",X1559,AB1559)</f>
        <v>sim</v>
      </c>
      <c r="AE1559" t="str">
        <f>IF(OR(Configuracao!B9="",Configuracao!B10=""),"aguardando limiar",IF(AND(K1559&gt;=Configuracao!B9,K1559/MAX(Reconciliacao!C2,1)&gt;=Configuracao!B10/100),"sim","não"))</f>
        <v>aguardando limiar</v>
      </c>
    </row>
    <row r="1560" spans="1:31" x14ac:dyDescent="0.25">
      <c r="A1560">
        <v>12152</v>
      </c>
      <c r="C1560" t="s">
        <v>1253</v>
      </c>
      <c r="D1560" t="s">
        <v>436</v>
      </c>
      <c r="E1560" t="s">
        <v>474</v>
      </c>
      <c r="F1560" t="s">
        <v>165</v>
      </c>
      <c r="G1560" t="s">
        <v>165</v>
      </c>
      <c r="H1560" t="s">
        <v>92</v>
      </c>
      <c r="I1560" t="s">
        <v>1254</v>
      </c>
      <c r="J1560" t="s">
        <v>442</v>
      </c>
      <c r="K1560" s="4">
        <v>0</v>
      </c>
      <c r="L1560" s="4">
        <v>66.01</v>
      </c>
      <c r="M1560" t="s">
        <v>166</v>
      </c>
      <c r="N1560" t="s">
        <v>77</v>
      </c>
      <c r="O1560" t="s">
        <v>86</v>
      </c>
      <c r="P1560" t="s">
        <v>170</v>
      </c>
      <c r="Q1560" t="s">
        <v>86</v>
      </c>
      <c r="R1560" t="s">
        <v>86</v>
      </c>
      <c r="S1560" t="s">
        <v>167</v>
      </c>
      <c r="T1560" t="s">
        <v>167</v>
      </c>
      <c r="U1560" t="s">
        <v>168</v>
      </c>
      <c r="V1560" t="s">
        <v>169</v>
      </c>
      <c r="W1560" t="s">
        <v>77</v>
      </c>
      <c r="X1560" t="s">
        <v>44</v>
      </c>
      <c r="Y1560" t="s">
        <v>99</v>
      </c>
      <c r="Z1560" t="s">
        <v>421</v>
      </c>
      <c r="AC1560" t="str">
        <f>IF(AA1560="",M1560,AA1560)</f>
        <v>não</v>
      </c>
      <c r="AD1560" t="str">
        <f>IF(AB1560="",X1560,AB1560)</f>
        <v>sim</v>
      </c>
      <c r="AE1560" t="str">
        <f>IF(OR(Configuracao!B9="",Configuracao!B10=""),"aguardando limiar",IF(AND(K1560&gt;=Configuracao!B9,K1560/MAX(Reconciliacao!C2,1)&gt;=Configuracao!B10/100),"sim","não"))</f>
        <v>aguardando limiar</v>
      </c>
    </row>
    <row r="1561" spans="1:31" x14ac:dyDescent="0.25">
      <c r="A1561">
        <v>12143</v>
      </c>
      <c r="C1561" t="s">
        <v>1255</v>
      </c>
      <c r="D1561" t="s">
        <v>436</v>
      </c>
      <c r="E1561" t="s">
        <v>474</v>
      </c>
      <c r="F1561" t="s">
        <v>165</v>
      </c>
      <c r="G1561" t="s">
        <v>165</v>
      </c>
      <c r="H1561" t="s">
        <v>92</v>
      </c>
      <c r="I1561" t="s">
        <v>420</v>
      </c>
      <c r="J1561" t="s">
        <v>420</v>
      </c>
      <c r="K1561" s="4">
        <v>66.01</v>
      </c>
      <c r="L1561" s="4">
        <v>66.01</v>
      </c>
      <c r="M1561" t="s">
        <v>166</v>
      </c>
      <c r="N1561" t="s">
        <v>77</v>
      </c>
      <c r="O1561" t="s">
        <v>86</v>
      </c>
      <c r="P1561" t="s">
        <v>170</v>
      </c>
      <c r="Q1561" t="s">
        <v>86</v>
      </c>
      <c r="R1561" t="s">
        <v>86</v>
      </c>
      <c r="S1561" t="s">
        <v>167</v>
      </c>
      <c r="T1561" t="s">
        <v>167</v>
      </c>
      <c r="U1561" t="s">
        <v>168</v>
      </c>
      <c r="V1561" t="s">
        <v>169</v>
      </c>
      <c r="W1561" t="s">
        <v>77</v>
      </c>
      <c r="X1561" t="s">
        <v>44</v>
      </c>
      <c r="Y1561" t="s">
        <v>99</v>
      </c>
      <c r="Z1561" t="s">
        <v>421</v>
      </c>
      <c r="AC1561" t="str">
        <f>IF(AA1561="",M1561,AA1561)</f>
        <v>não</v>
      </c>
      <c r="AD1561" t="str">
        <f>IF(AB1561="",X1561,AB1561)</f>
        <v>sim</v>
      </c>
      <c r="AE1561" t="str">
        <f>IF(OR(Configuracao!B9="",Configuracao!B10=""),"aguardando limiar",IF(AND(K1561&gt;=Configuracao!B9,K1561/MAX(Reconciliacao!C2,1)&gt;=Configuracao!B10/100),"sim","não"))</f>
        <v>aguardando limiar</v>
      </c>
    </row>
    <row r="1562" spans="1:31" x14ac:dyDescent="0.25">
      <c r="A1562">
        <v>12144</v>
      </c>
      <c r="C1562" t="s">
        <v>1256</v>
      </c>
      <c r="D1562" t="s">
        <v>436</v>
      </c>
      <c r="E1562" t="s">
        <v>474</v>
      </c>
      <c r="F1562" t="s">
        <v>165</v>
      </c>
      <c r="G1562" t="s">
        <v>165</v>
      </c>
      <c r="H1562" t="s">
        <v>92</v>
      </c>
      <c r="I1562" t="s">
        <v>454</v>
      </c>
      <c r="J1562" t="s">
        <v>454</v>
      </c>
      <c r="K1562" s="4">
        <v>66.01</v>
      </c>
      <c r="L1562" s="4">
        <v>66.01</v>
      </c>
      <c r="M1562" t="s">
        <v>166</v>
      </c>
      <c r="N1562" t="s">
        <v>77</v>
      </c>
      <c r="O1562" t="s">
        <v>86</v>
      </c>
      <c r="P1562" t="s">
        <v>170</v>
      </c>
      <c r="Q1562" t="s">
        <v>86</v>
      </c>
      <c r="R1562" t="s">
        <v>86</v>
      </c>
      <c r="S1562" t="s">
        <v>167</v>
      </c>
      <c r="T1562" t="s">
        <v>167</v>
      </c>
      <c r="U1562" t="s">
        <v>168</v>
      </c>
      <c r="V1562" t="s">
        <v>169</v>
      </c>
      <c r="W1562" t="s">
        <v>77</v>
      </c>
      <c r="X1562" t="s">
        <v>44</v>
      </c>
      <c r="Y1562" t="s">
        <v>99</v>
      </c>
      <c r="Z1562" t="s">
        <v>421</v>
      </c>
      <c r="AC1562" t="str">
        <f>IF(AA1562="",M1562,AA1562)</f>
        <v>não</v>
      </c>
      <c r="AD1562" t="str">
        <f>IF(AB1562="",X1562,AB1562)</f>
        <v>sim</v>
      </c>
      <c r="AE1562" t="str">
        <f>IF(OR(Configuracao!B9="",Configuracao!B10=""),"aguardando limiar",IF(AND(K1562&gt;=Configuracao!B9,K1562/MAX(Reconciliacao!C2,1)&gt;=Configuracao!B10/100),"sim","não"))</f>
        <v>aguardando limiar</v>
      </c>
    </row>
    <row r="1563" spans="1:31" x14ac:dyDescent="0.25">
      <c r="A1563">
        <v>12145</v>
      </c>
      <c r="C1563" t="s">
        <v>1257</v>
      </c>
      <c r="D1563" t="s">
        <v>436</v>
      </c>
      <c r="E1563" t="s">
        <v>474</v>
      </c>
      <c r="F1563" t="s">
        <v>165</v>
      </c>
      <c r="G1563" t="s">
        <v>165</v>
      </c>
      <c r="H1563" t="s">
        <v>92</v>
      </c>
      <c r="I1563" t="s">
        <v>461</v>
      </c>
      <c r="J1563" t="s">
        <v>461</v>
      </c>
      <c r="K1563" s="4">
        <v>66.01</v>
      </c>
      <c r="L1563" s="4">
        <v>66.01</v>
      </c>
      <c r="M1563" t="s">
        <v>166</v>
      </c>
      <c r="N1563" t="s">
        <v>77</v>
      </c>
      <c r="O1563" t="s">
        <v>86</v>
      </c>
      <c r="P1563" t="s">
        <v>170</v>
      </c>
      <c r="Q1563" t="s">
        <v>86</v>
      </c>
      <c r="R1563" t="s">
        <v>86</v>
      </c>
      <c r="S1563" t="s">
        <v>167</v>
      </c>
      <c r="T1563" t="s">
        <v>167</v>
      </c>
      <c r="U1563" t="s">
        <v>168</v>
      </c>
      <c r="V1563" t="s">
        <v>169</v>
      </c>
      <c r="W1563" t="s">
        <v>77</v>
      </c>
      <c r="X1563" t="s">
        <v>44</v>
      </c>
      <c r="Y1563" t="s">
        <v>99</v>
      </c>
      <c r="Z1563" t="s">
        <v>421</v>
      </c>
      <c r="AC1563" t="str">
        <f>IF(AA1563="",M1563,AA1563)</f>
        <v>não</v>
      </c>
      <c r="AD1563" t="str">
        <f>IF(AB1563="",X1563,AB1563)</f>
        <v>sim</v>
      </c>
      <c r="AE1563" t="str">
        <f>IF(OR(Configuracao!B9="",Configuracao!B10=""),"aguardando limiar",IF(AND(K1563&gt;=Configuracao!B9,K1563/MAX(Reconciliacao!C2,1)&gt;=Configuracao!B10/100),"sim","não"))</f>
        <v>aguardando limiar</v>
      </c>
    </row>
    <row r="1564" spans="1:31" x14ac:dyDescent="0.25">
      <c r="A1564">
        <v>12146</v>
      </c>
      <c r="C1564" t="s">
        <v>1258</v>
      </c>
      <c r="D1564" t="s">
        <v>436</v>
      </c>
      <c r="E1564" t="s">
        <v>474</v>
      </c>
      <c r="F1564" t="s">
        <v>165</v>
      </c>
      <c r="G1564" t="s">
        <v>165</v>
      </c>
      <c r="H1564" t="s">
        <v>92</v>
      </c>
      <c r="I1564" t="s">
        <v>442</v>
      </c>
      <c r="J1564" t="s">
        <v>442</v>
      </c>
      <c r="K1564" s="4">
        <v>66.01</v>
      </c>
      <c r="L1564" s="4">
        <v>66.01</v>
      </c>
      <c r="M1564" t="s">
        <v>166</v>
      </c>
      <c r="N1564" t="s">
        <v>77</v>
      </c>
      <c r="O1564" t="s">
        <v>86</v>
      </c>
      <c r="P1564" t="s">
        <v>170</v>
      </c>
      <c r="Q1564" t="s">
        <v>86</v>
      </c>
      <c r="R1564" t="s">
        <v>86</v>
      </c>
      <c r="S1564" t="s">
        <v>167</v>
      </c>
      <c r="T1564" t="s">
        <v>167</v>
      </c>
      <c r="U1564" t="s">
        <v>168</v>
      </c>
      <c r="V1564" t="s">
        <v>169</v>
      </c>
      <c r="W1564" t="s">
        <v>77</v>
      </c>
      <c r="X1564" t="s">
        <v>44</v>
      </c>
      <c r="Y1564" t="s">
        <v>99</v>
      </c>
      <c r="Z1564" t="s">
        <v>421</v>
      </c>
      <c r="AC1564" t="str">
        <f>IF(AA1564="",M1564,AA1564)</f>
        <v>não</v>
      </c>
      <c r="AD1564" t="str">
        <f>IF(AB1564="",X1564,AB1564)</f>
        <v>sim</v>
      </c>
      <c r="AE1564" t="str">
        <f>IF(OR(Configuracao!B9="",Configuracao!B10=""),"aguardando limiar",IF(AND(K1564&gt;=Configuracao!B9,K1564/MAX(Reconciliacao!C2,1)&gt;=Configuracao!B10/100),"sim","não"))</f>
        <v>aguardando limiar</v>
      </c>
    </row>
    <row r="1565" spans="1:31" x14ac:dyDescent="0.25">
      <c r="A1565">
        <v>12147</v>
      </c>
      <c r="C1565" t="s">
        <v>1259</v>
      </c>
      <c r="D1565" t="s">
        <v>436</v>
      </c>
      <c r="E1565" t="s">
        <v>474</v>
      </c>
      <c r="F1565" t="s">
        <v>165</v>
      </c>
      <c r="G1565" t="s">
        <v>165</v>
      </c>
      <c r="H1565" t="s">
        <v>92</v>
      </c>
      <c r="I1565" t="s">
        <v>439</v>
      </c>
      <c r="J1565" t="s">
        <v>442</v>
      </c>
      <c r="K1565" s="4">
        <v>66.01</v>
      </c>
      <c r="L1565" s="4">
        <v>66.01</v>
      </c>
      <c r="M1565" t="s">
        <v>166</v>
      </c>
      <c r="N1565" t="s">
        <v>77</v>
      </c>
      <c r="O1565" t="s">
        <v>86</v>
      </c>
      <c r="P1565" t="s">
        <v>170</v>
      </c>
      <c r="Q1565" t="s">
        <v>86</v>
      </c>
      <c r="R1565" t="s">
        <v>86</v>
      </c>
      <c r="S1565" t="s">
        <v>167</v>
      </c>
      <c r="T1565" t="s">
        <v>167</v>
      </c>
      <c r="U1565" t="s">
        <v>168</v>
      </c>
      <c r="V1565" t="s">
        <v>169</v>
      </c>
      <c r="W1565" t="s">
        <v>77</v>
      </c>
      <c r="X1565" t="s">
        <v>44</v>
      </c>
      <c r="Y1565" t="s">
        <v>99</v>
      </c>
      <c r="Z1565" t="s">
        <v>421</v>
      </c>
      <c r="AC1565" t="str">
        <f>IF(AA1565="",M1565,AA1565)</f>
        <v>não</v>
      </c>
      <c r="AD1565" t="str">
        <f>IF(AB1565="",X1565,AB1565)</f>
        <v>sim</v>
      </c>
      <c r="AE1565" t="str">
        <f>IF(OR(Configuracao!B9="",Configuracao!B10=""),"aguardando limiar",IF(AND(K1565&gt;=Configuracao!B9,K1565/MAX(Reconciliacao!C2,1)&gt;=Configuracao!B10/100),"sim","não"))</f>
        <v>aguardando limiar</v>
      </c>
    </row>
    <row r="1566" spans="1:31" x14ac:dyDescent="0.25">
      <c r="A1566">
        <v>12148</v>
      </c>
      <c r="C1566" t="s">
        <v>1260</v>
      </c>
      <c r="D1566" t="s">
        <v>436</v>
      </c>
      <c r="E1566" t="s">
        <v>474</v>
      </c>
      <c r="F1566" t="s">
        <v>165</v>
      </c>
      <c r="G1566" t="s">
        <v>165</v>
      </c>
      <c r="H1566" t="s">
        <v>92</v>
      </c>
      <c r="I1566" t="s">
        <v>35</v>
      </c>
      <c r="J1566" t="s">
        <v>442</v>
      </c>
      <c r="K1566" s="4">
        <v>66.01</v>
      </c>
      <c r="L1566" s="4">
        <v>66.01</v>
      </c>
      <c r="M1566" t="s">
        <v>166</v>
      </c>
      <c r="N1566" t="s">
        <v>77</v>
      </c>
      <c r="O1566" t="s">
        <v>86</v>
      </c>
      <c r="P1566" t="s">
        <v>170</v>
      </c>
      <c r="Q1566" t="s">
        <v>86</v>
      </c>
      <c r="R1566" t="s">
        <v>86</v>
      </c>
      <c r="S1566" t="s">
        <v>167</v>
      </c>
      <c r="T1566" t="s">
        <v>167</v>
      </c>
      <c r="U1566" t="s">
        <v>168</v>
      </c>
      <c r="V1566" t="s">
        <v>169</v>
      </c>
      <c r="W1566" t="s">
        <v>77</v>
      </c>
      <c r="X1566" t="s">
        <v>44</v>
      </c>
      <c r="Y1566" t="s">
        <v>99</v>
      </c>
      <c r="Z1566" t="s">
        <v>421</v>
      </c>
      <c r="AC1566" t="str">
        <f>IF(AA1566="",M1566,AA1566)</f>
        <v>não</v>
      </c>
      <c r="AD1566" t="str">
        <f>IF(AB1566="",X1566,AB1566)</f>
        <v>sim</v>
      </c>
      <c r="AE1566" t="str">
        <f>IF(OR(Configuracao!B9="",Configuracao!B10=""),"aguardando limiar",IF(AND(K1566&gt;=Configuracao!B9,K1566/MAX(Reconciliacao!C2,1)&gt;=Configuracao!B10/100),"sim","não"))</f>
        <v>aguardando limiar</v>
      </c>
    </row>
    <row r="1567" spans="1:31" x14ac:dyDescent="0.25">
      <c r="A1567">
        <v>8644</v>
      </c>
      <c r="C1567" t="s">
        <v>1261</v>
      </c>
      <c r="D1567" t="s">
        <v>436</v>
      </c>
      <c r="E1567" t="s">
        <v>474</v>
      </c>
      <c r="F1567" t="s">
        <v>165</v>
      </c>
      <c r="G1567" t="s">
        <v>165</v>
      </c>
      <c r="H1567" t="s">
        <v>92</v>
      </c>
      <c r="I1567" t="s">
        <v>32</v>
      </c>
      <c r="J1567" t="s">
        <v>32</v>
      </c>
      <c r="K1567" s="4">
        <v>77.79</v>
      </c>
      <c r="L1567" s="4">
        <v>77.79</v>
      </c>
      <c r="M1567" t="s">
        <v>166</v>
      </c>
      <c r="N1567" t="s">
        <v>77</v>
      </c>
      <c r="O1567" t="s">
        <v>86</v>
      </c>
      <c r="P1567" t="s">
        <v>170</v>
      </c>
      <c r="Q1567" t="s">
        <v>86</v>
      </c>
      <c r="R1567" t="s">
        <v>86</v>
      </c>
      <c r="S1567" t="s">
        <v>167</v>
      </c>
      <c r="T1567" t="s">
        <v>167</v>
      </c>
      <c r="U1567" t="s">
        <v>168</v>
      </c>
      <c r="V1567" t="s">
        <v>169</v>
      </c>
      <c r="W1567" t="s">
        <v>77</v>
      </c>
      <c r="X1567" t="s">
        <v>44</v>
      </c>
      <c r="Y1567" t="s">
        <v>99</v>
      </c>
      <c r="Z1567" t="s">
        <v>421</v>
      </c>
      <c r="AC1567" t="str">
        <f>IF(AA1567="",M1567,AA1567)</f>
        <v>não</v>
      </c>
      <c r="AD1567" t="str">
        <f>IF(AB1567="",X1567,AB1567)</f>
        <v>sim</v>
      </c>
      <c r="AE1567" t="str">
        <f>IF(OR(Configuracao!B9="",Configuracao!B10=""),"aguardando limiar",IF(AND(K1567&gt;=Configuracao!B9,K1567/MAX(Reconciliacao!C2,1)&gt;=Configuracao!B10/100),"sim","não"))</f>
        <v>aguardando limiar</v>
      </c>
    </row>
    <row r="1568" spans="1:31" x14ac:dyDescent="0.25">
      <c r="A1568">
        <v>8645</v>
      </c>
      <c r="C1568" t="s">
        <v>1262</v>
      </c>
      <c r="D1568" t="s">
        <v>436</v>
      </c>
      <c r="E1568" t="s">
        <v>474</v>
      </c>
      <c r="F1568" t="s">
        <v>165</v>
      </c>
      <c r="G1568" t="s">
        <v>165</v>
      </c>
      <c r="H1568" t="s">
        <v>92</v>
      </c>
      <c r="I1568" t="s">
        <v>424</v>
      </c>
      <c r="J1568" t="s">
        <v>424</v>
      </c>
      <c r="K1568" s="4">
        <v>77.79</v>
      </c>
      <c r="L1568" s="4">
        <v>77.79</v>
      </c>
      <c r="M1568" t="s">
        <v>166</v>
      </c>
      <c r="N1568" t="s">
        <v>77</v>
      </c>
      <c r="O1568" t="s">
        <v>86</v>
      </c>
      <c r="P1568" t="s">
        <v>170</v>
      </c>
      <c r="Q1568" t="s">
        <v>86</v>
      </c>
      <c r="R1568" t="s">
        <v>86</v>
      </c>
      <c r="S1568" t="s">
        <v>167</v>
      </c>
      <c r="T1568" t="s">
        <v>167</v>
      </c>
      <c r="U1568" t="s">
        <v>168</v>
      </c>
      <c r="V1568" t="s">
        <v>169</v>
      </c>
      <c r="W1568" t="s">
        <v>77</v>
      </c>
      <c r="X1568" t="s">
        <v>44</v>
      </c>
      <c r="Y1568" t="s">
        <v>99</v>
      </c>
      <c r="Z1568" t="s">
        <v>421</v>
      </c>
      <c r="AC1568" t="str">
        <f>IF(AA1568="",M1568,AA1568)</f>
        <v>não</v>
      </c>
      <c r="AD1568" t="str">
        <f>IF(AB1568="",X1568,AB1568)</f>
        <v>sim</v>
      </c>
      <c r="AE1568" t="str">
        <f>IF(OR(Configuracao!B9="",Configuracao!B10=""),"aguardando limiar",IF(AND(K1568&gt;=Configuracao!B9,K1568/MAX(Reconciliacao!C2,1)&gt;=Configuracao!B10/100),"sim","não"))</f>
        <v>aguardando limiar</v>
      </c>
    </row>
    <row r="1569" spans="1:31" x14ac:dyDescent="0.25">
      <c r="A1569">
        <v>8646</v>
      </c>
      <c r="C1569" t="s">
        <v>1263</v>
      </c>
      <c r="D1569" t="s">
        <v>436</v>
      </c>
      <c r="E1569" t="s">
        <v>474</v>
      </c>
      <c r="F1569" t="s">
        <v>165</v>
      </c>
      <c r="G1569" t="s">
        <v>165</v>
      </c>
      <c r="H1569" t="s">
        <v>92</v>
      </c>
      <c r="I1569" t="s">
        <v>420</v>
      </c>
      <c r="J1569" t="s">
        <v>420</v>
      </c>
      <c r="K1569" s="4">
        <v>77.79</v>
      </c>
      <c r="L1569" s="4">
        <v>77.79</v>
      </c>
      <c r="M1569" t="s">
        <v>166</v>
      </c>
      <c r="N1569" t="s">
        <v>77</v>
      </c>
      <c r="O1569" t="s">
        <v>86</v>
      </c>
      <c r="P1569" t="s">
        <v>170</v>
      </c>
      <c r="Q1569" t="s">
        <v>86</v>
      </c>
      <c r="R1569" t="s">
        <v>86</v>
      </c>
      <c r="S1569" t="s">
        <v>167</v>
      </c>
      <c r="T1569" t="s">
        <v>167</v>
      </c>
      <c r="U1569" t="s">
        <v>168</v>
      </c>
      <c r="V1569" t="s">
        <v>169</v>
      </c>
      <c r="W1569" t="s">
        <v>77</v>
      </c>
      <c r="X1569" t="s">
        <v>44</v>
      </c>
      <c r="Y1569" t="s">
        <v>99</v>
      </c>
      <c r="Z1569" t="s">
        <v>421</v>
      </c>
      <c r="AC1569" t="str">
        <f>IF(AA1569="",M1569,AA1569)</f>
        <v>não</v>
      </c>
      <c r="AD1569" t="str">
        <f>IF(AB1569="",X1569,AB1569)</f>
        <v>sim</v>
      </c>
      <c r="AE1569" t="str">
        <f>IF(OR(Configuracao!B9="",Configuracao!B10=""),"aguardando limiar",IF(AND(K1569&gt;=Configuracao!B9,K1569/MAX(Reconciliacao!C2,1)&gt;=Configuracao!B10/100),"sim","não"))</f>
        <v>aguardando limiar</v>
      </c>
    </row>
    <row r="1570" spans="1:31" x14ac:dyDescent="0.25">
      <c r="A1570">
        <v>8647</v>
      </c>
      <c r="C1570" t="s">
        <v>1264</v>
      </c>
      <c r="D1570" t="s">
        <v>436</v>
      </c>
      <c r="E1570" t="s">
        <v>474</v>
      </c>
      <c r="F1570" t="s">
        <v>165</v>
      </c>
      <c r="G1570" t="s">
        <v>165</v>
      </c>
      <c r="H1570" t="s">
        <v>92</v>
      </c>
      <c r="I1570" t="s">
        <v>454</v>
      </c>
      <c r="J1570" t="s">
        <v>454</v>
      </c>
      <c r="K1570" s="4">
        <v>77.79</v>
      </c>
      <c r="L1570" s="4">
        <v>77.79</v>
      </c>
      <c r="M1570" t="s">
        <v>166</v>
      </c>
      <c r="N1570" t="s">
        <v>77</v>
      </c>
      <c r="O1570" t="s">
        <v>86</v>
      </c>
      <c r="P1570" t="s">
        <v>170</v>
      </c>
      <c r="Q1570" t="s">
        <v>86</v>
      </c>
      <c r="R1570" t="s">
        <v>86</v>
      </c>
      <c r="S1570" t="s">
        <v>167</v>
      </c>
      <c r="T1570" t="s">
        <v>167</v>
      </c>
      <c r="U1570" t="s">
        <v>168</v>
      </c>
      <c r="V1570" t="s">
        <v>169</v>
      </c>
      <c r="W1570" t="s">
        <v>77</v>
      </c>
      <c r="X1570" t="s">
        <v>44</v>
      </c>
      <c r="Y1570" t="s">
        <v>99</v>
      </c>
      <c r="Z1570" t="s">
        <v>421</v>
      </c>
      <c r="AC1570" t="str">
        <f>IF(AA1570="",M1570,AA1570)</f>
        <v>não</v>
      </c>
      <c r="AD1570" t="str">
        <f>IF(AB1570="",X1570,AB1570)</f>
        <v>sim</v>
      </c>
      <c r="AE1570" t="str">
        <f>IF(OR(Configuracao!B9="",Configuracao!B10=""),"aguardando limiar",IF(AND(K1570&gt;=Configuracao!B9,K1570/MAX(Reconciliacao!C2,1)&gt;=Configuracao!B10/100),"sim","não"))</f>
        <v>aguardando limiar</v>
      </c>
    </row>
    <row r="1571" spans="1:31" x14ac:dyDescent="0.25">
      <c r="A1571">
        <v>8648</v>
      </c>
      <c r="C1571" t="s">
        <v>1265</v>
      </c>
      <c r="D1571" t="s">
        <v>436</v>
      </c>
      <c r="E1571" t="s">
        <v>474</v>
      </c>
      <c r="F1571" t="s">
        <v>165</v>
      </c>
      <c r="G1571" t="s">
        <v>165</v>
      </c>
      <c r="H1571" t="s">
        <v>92</v>
      </c>
      <c r="I1571" t="s">
        <v>461</v>
      </c>
      <c r="J1571" t="s">
        <v>461</v>
      </c>
      <c r="K1571" s="4">
        <v>77.79</v>
      </c>
      <c r="L1571" s="4">
        <v>77.79</v>
      </c>
      <c r="M1571" t="s">
        <v>166</v>
      </c>
      <c r="N1571" t="s">
        <v>77</v>
      </c>
      <c r="O1571" t="s">
        <v>86</v>
      </c>
      <c r="P1571" t="s">
        <v>170</v>
      </c>
      <c r="Q1571" t="s">
        <v>86</v>
      </c>
      <c r="R1571" t="s">
        <v>86</v>
      </c>
      <c r="S1571" t="s">
        <v>167</v>
      </c>
      <c r="T1571" t="s">
        <v>167</v>
      </c>
      <c r="U1571" t="s">
        <v>168</v>
      </c>
      <c r="V1571" t="s">
        <v>169</v>
      </c>
      <c r="W1571" t="s">
        <v>77</v>
      </c>
      <c r="X1571" t="s">
        <v>44</v>
      </c>
      <c r="Y1571" t="s">
        <v>99</v>
      </c>
      <c r="Z1571" t="s">
        <v>421</v>
      </c>
      <c r="AC1571" t="str">
        <f>IF(AA1571="",M1571,AA1571)</f>
        <v>não</v>
      </c>
      <c r="AD1571" t="str">
        <f>IF(AB1571="",X1571,AB1571)</f>
        <v>sim</v>
      </c>
      <c r="AE1571" t="str">
        <f>IF(OR(Configuracao!B9="",Configuracao!B10=""),"aguardando limiar",IF(AND(K1571&gt;=Configuracao!B9,K1571/MAX(Reconciliacao!C2,1)&gt;=Configuracao!B10/100),"sim","não"))</f>
        <v>aguardando limiar</v>
      </c>
    </row>
    <row r="1572" spans="1:31" x14ac:dyDescent="0.25">
      <c r="A1572">
        <v>17377</v>
      </c>
      <c r="C1572" t="s">
        <v>1266</v>
      </c>
      <c r="D1572" t="s">
        <v>1267</v>
      </c>
      <c r="E1572" t="s">
        <v>474</v>
      </c>
      <c r="F1572" t="s">
        <v>165</v>
      </c>
      <c r="G1572" t="s">
        <v>165</v>
      </c>
      <c r="H1572" t="s">
        <v>92</v>
      </c>
      <c r="I1572" t="s">
        <v>442</v>
      </c>
      <c r="J1572" t="s">
        <v>442</v>
      </c>
      <c r="K1572" s="4">
        <v>104.13</v>
      </c>
      <c r="L1572" s="4">
        <v>104.13</v>
      </c>
      <c r="M1572" t="s">
        <v>166</v>
      </c>
      <c r="N1572" t="s">
        <v>77</v>
      </c>
      <c r="O1572" t="s">
        <v>86</v>
      </c>
      <c r="P1572" t="s">
        <v>170</v>
      </c>
      <c r="Q1572" t="s">
        <v>86</v>
      </c>
      <c r="R1572" t="s">
        <v>86</v>
      </c>
      <c r="S1572" t="s">
        <v>167</v>
      </c>
      <c r="T1572" t="s">
        <v>167</v>
      </c>
      <c r="U1572" t="s">
        <v>168</v>
      </c>
      <c r="V1572" t="s">
        <v>169</v>
      </c>
      <c r="W1572" t="s">
        <v>77</v>
      </c>
      <c r="X1572" t="s">
        <v>166</v>
      </c>
      <c r="Y1572" t="s">
        <v>741</v>
      </c>
      <c r="Z1572" t="s">
        <v>434</v>
      </c>
      <c r="AC1572" t="str">
        <f>IF(AA1572="",M1572,AA1572)</f>
        <v>não</v>
      </c>
      <c r="AD1572" t="str">
        <f>IF(AB1572="",X1572,AB1572)</f>
        <v>não</v>
      </c>
      <c r="AE1572" t="str">
        <f>IF(OR(Configuracao!B9="",Configuracao!B10=""),"aguardando limiar",IF(AND(K1572&gt;=Configuracao!B9,K1572/MAX(Reconciliacao!C2,1)&gt;=Configuracao!B10/100),"sim","não"))</f>
        <v>aguardando limiar</v>
      </c>
    </row>
    <row r="1573" spans="1:31" x14ac:dyDescent="0.25">
      <c r="A1573">
        <v>17988</v>
      </c>
      <c r="C1573" t="s">
        <v>1268</v>
      </c>
      <c r="D1573" t="s">
        <v>808</v>
      </c>
      <c r="E1573" t="s">
        <v>471</v>
      </c>
      <c r="F1573" t="s">
        <v>165</v>
      </c>
      <c r="G1573" t="s">
        <v>165</v>
      </c>
      <c r="H1573" t="s">
        <v>92</v>
      </c>
      <c r="I1573" t="s">
        <v>439</v>
      </c>
      <c r="J1573" t="s">
        <v>439</v>
      </c>
      <c r="K1573" s="4">
        <v>108.7</v>
      </c>
      <c r="L1573" s="4">
        <v>108.7</v>
      </c>
      <c r="M1573" t="s">
        <v>166</v>
      </c>
      <c r="N1573" t="s">
        <v>77</v>
      </c>
      <c r="O1573" t="s">
        <v>86</v>
      </c>
      <c r="P1573" t="s">
        <v>170</v>
      </c>
      <c r="Q1573" t="s">
        <v>86</v>
      </c>
      <c r="R1573" t="s">
        <v>86</v>
      </c>
      <c r="S1573" t="s">
        <v>167</v>
      </c>
      <c r="T1573" t="s">
        <v>167</v>
      </c>
      <c r="U1573" t="s">
        <v>168</v>
      </c>
      <c r="V1573" t="s">
        <v>169</v>
      </c>
      <c r="W1573" t="s">
        <v>77</v>
      </c>
      <c r="X1573" t="s">
        <v>44</v>
      </c>
      <c r="Y1573" t="s">
        <v>99</v>
      </c>
      <c r="Z1573" t="s">
        <v>421</v>
      </c>
      <c r="AC1573" t="str">
        <f>IF(AA1573="",M1573,AA1573)</f>
        <v>não</v>
      </c>
      <c r="AD1573" t="str">
        <f>IF(AB1573="",X1573,AB1573)</f>
        <v>sim</v>
      </c>
      <c r="AE1573" t="str">
        <f>IF(OR(Configuracao!B9="",Configuracao!B10=""),"aguardando limiar",IF(AND(K1573&gt;=Configuracao!B9,K1573/MAX(Reconciliacao!C2,1)&gt;=Configuracao!B10/100),"sim","não"))</f>
        <v>aguardando limiar</v>
      </c>
    </row>
    <row r="1574" spans="1:31" x14ac:dyDescent="0.25">
      <c r="A1574">
        <v>13366</v>
      </c>
      <c r="C1574" t="s">
        <v>1269</v>
      </c>
      <c r="D1574" t="s">
        <v>1130</v>
      </c>
      <c r="E1574" t="s">
        <v>474</v>
      </c>
      <c r="F1574" t="s">
        <v>165</v>
      </c>
      <c r="G1574" t="s">
        <v>165</v>
      </c>
      <c r="H1574" t="s">
        <v>92</v>
      </c>
      <c r="I1574" t="s">
        <v>420</v>
      </c>
      <c r="J1574" t="s">
        <v>420</v>
      </c>
      <c r="K1574" s="4">
        <v>160</v>
      </c>
      <c r="L1574" s="4">
        <v>160</v>
      </c>
      <c r="M1574" t="s">
        <v>166</v>
      </c>
      <c r="N1574" t="s">
        <v>77</v>
      </c>
      <c r="O1574" t="s">
        <v>86</v>
      </c>
      <c r="P1574" t="s">
        <v>170</v>
      </c>
      <c r="Q1574" t="s">
        <v>86</v>
      </c>
      <c r="R1574" t="s">
        <v>86</v>
      </c>
      <c r="S1574" t="s">
        <v>167</v>
      </c>
      <c r="T1574" t="s">
        <v>167</v>
      </c>
      <c r="U1574" t="s">
        <v>168</v>
      </c>
      <c r="V1574" t="s">
        <v>169</v>
      </c>
      <c r="W1574" t="s">
        <v>77</v>
      </c>
      <c r="X1574" t="s">
        <v>44</v>
      </c>
      <c r="Y1574" t="s">
        <v>99</v>
      </c>
      <c r="Z1574" t="s">
        <v>421</v>
      </c>
      <c r="AC1574" t="str">
        <f>IF(AA1574="",M1574,AA1574)</f>
        <v>não</v>
      </c>
      <c r="AD1574" t="str">
        <f>IF(AB1574="",X1574,AB1574)</f>
        <v>sim</v>
      </c>
      <c r="AE1574" t="str">
        <f>IF(OR(Configuracao!B9="",Configuracao!B10=""),"aguardando limiar",IF(AND(K1574&gt;=Configuracao!B9,K1574/MAX(Reconciliacao!C2,1)&gt;=Configuracao!B10/100),"sim","não"))</f>
        <v>aguardando limiar</v>
      </c>
    </row>
    <row r="1575" spans="1:31" x14ac:dyDescent="0.25">
      <c r="A1575">
        <v>12236</v>
      </c>
      <c r="C1575" t="s">
        <v>1270</v>
      </c>
      <c r="D1575" t="s">
        <v>1271</v>
      </c>
      <c r="E1575" t="s">
        <v>474</v>
      </c>
      <c r="F1575" t="s">
        <v>165</v>
      </c>
      <c r="G1575" t="s">
        <v>165</v>
      </c>
      <c r="H1575" t="s">
        <v>92</v>
      </c>
      <c r="I1575" t="s">
        <v>424</v>
      </c>
      <c r="J1575" t="s">
        <v>424</v>
      </c>
      <c r="K1575" s="4">
        <v>174.42</v>
      </c>
      <c r="L1575" s="4">
        <v>174.42</v>
      </c>
      <c r="M1575" t="s">
        <v>166</v>
      </c>
      <c r="N1575" t="s">
        <v>77</v>
      </c>
      <c r="O1575" t="s">
        <v>86</v>
      </c>
      <c r="P1575" t="s">
        <v>170</v>
      </c>
      <c r="Q1575" t="s">
        <v>86</v>
      </c>
      <c r="R1575" t="s">
        <v>86</v>
      </c>
      <c r="S1575" t="s">
        <v>167</v>
      </c>
      <c r="T1575" t="s">
        <v>167</v>
      </c>
      <c r="U1575" t="s">
        <v>168</v>
      </c>
      <c r="V1575" t="s">
        <v>169</v>
      </c>
      <c r="W1575" t="s">
        <v>77</v>
      </c>
      <c r="X1575" t="s">
        <v>166</v>
      </c>
      <c r="Y1575" t="s">
        <v>741</v>
      </c>
      <c r="Z1575" t="s">
        <v>434</v>
      </c>
      <c r="AC1575" t="str">
        <f>IF(AA1575="",M1575,AA1575)</f>
        <v>não</v>
      </c>
      <c r="AD1575" t="str">
        <f>IF(AB1575="",X1575,AB1575)</f>
        <v>não</v>
      </c>
      <c r="AE1575" t="str">
        <f>IF(OR(Configuracao!B9="",Configuracao!B10=""),"aguardando limiar",IF(AND(K1575&gt;=Configuracao!B9,K1575/MAX(Reconciliacao!C2,1)&gt;=Configuracao!B10/100),"sim","não"))</f>
        <v>aguardando limiar</v>
      </c>
    </row>
    <row r="1576" spans="1:31" x14ac:dyDescent="0.25">
      <c r="A1576">
        <v>12237</v>
      </c>
      <c r="C1576" t="s">
        <v>1272</v>
      </c>
      <c r="D1576" t="s">
        <v>1271</v>
      </c>
      <c r="E1576" t="s">
        <v>474</v>
      </c>
      <c r="F1576" t="s">
        <v>165</v>
      </c>
      <c r="G1576" t="s">
        <v>165</v>
      </c>
      <c r="H1576" t="s">
        <v>92</v>
      </c>
      <c r="I1576" t="s">
        <v>424</v>
      </c>
      <c r="J1576" t="s">
        <v>424</v>
      </c>
      <c r="K1576" s="4">
        <v>174.42</v>
      </c>
      <c r="L1576" s="4">
        <v>174.42</v>
      </c>
      <c r="M1576" t="s">
        <v>166</v>
      </c>
      <c r="N1576" t="s">
        <v>77</v>
      </c>
      <c r="O1576" t="s">
        <v>86</v>
      </c>
      <c r="P1576" t="s">
        <v>170</v>
      </c>
      <c r="Q1576" t="s">
        <v>86</v>
      </c>
      <c r="R1576" t="s">
        <v>86</v>
      </c>
      <c r="S1576" t="s">
        <v>167</v>
      </c>
      <c r="T1576" t="s">
        <v>167</v>
      </c>
      <c r="U1576" t="s">
        <v>168</v>
      </c>
      <c r="V1576" t="s">
        <v>169</v>
      </c>
      <c r="W1576" t="s">
        <v>77</v>
      </c>
      <c r="X1576" t="s">
        <v>166</v>
      </c>
      <c r="Y1576" t="s">
        <v>741</v>
      </c>
      <c r="Z1576" t="s">
        <v>434</v>
      </c>
      <c r="AC1576" t="str">
        <f>IF(AA1576="",M1576,AA1576)</f>
        <v>não</v>
      </c>
      <c r="AD1576" t="str">
        <f>IF(AB1576="",X1576,AB1576)</f>
        <v>não</v>
      </c>
      <c r="AE1576" t="str">
        <f>IF(OR(Configuracao!B9="",Configuracao!B10=""),"aguardando limiar",IF(AND(K1576&gt;=Configuracao!B9,K1576/MAX(Reconciliacao!C2,1)&gt;=Configuracao!B10/100),"sim","não"))</f>
        <v>aguardando limiar</v>
      </c>
    </row>
    <row r="1577" spans="1:31" x14ac:dyDescent="0.25">
      <c r="A1577">
        <v>18162</v>
      </c>
      <c r="C1577" t="s">
        <v>1273</v>
      </c>
      <c r="D1577" t="s">
        <v>1090</v>
      </c>
      <c r="E1577" t="s">
        <v>474</v>
      </c>
      <c r="F1577" t="s">
        <v>165</v>
      </c>
      <c r="G1577" t="s">
        <v>165</v>
      </c>
      <c r="H1577" t="s">
        <v>92</v>
      </c>
      <c r="I1577" t="s">
        <v>35</v>
      </c>
      <c r="J1577" t="s">
        <v>35</v>
      </c>
      <c r="K1577" s="4">
        <v>190.6</v>
      </c>
      <c r="L1577" s="4">
        <v>190.6</v>
      </c>
      <c r="M1577" t="s">
        <v>166</v>
      </c>
      <c r="N1577" t="s">
        <v>77</v>
      </c>
      <c r="O1577" t="s">
        <v>86</v>
      </c>
      <c r="P1577" t="s">
        <v>170</v>
      </c>
      <c r="Q1577" t="s">
        <v>86</v>
      </c>
      <c r="R1577" t="s">
        <v>86</v>
      </c>
      <c r="S1577" t="s">
        <v>167</v>
      </c>
      <c r="T1577" t="s">
        <v>167</v>
      </c>
      <c r="U1577" t="s">
        <v>168</v>
      </c>
      <c r="V1577" t="s">
        <v>169</v>
      </c>
      <c r="W1577" t="s">
        <v>77</v>
      </c>
      <c r="X1577" t="s">
        <v>44</v>
      </c>
      <c r="Y1577" t="s">
        <v>99</v>
      </c>
      <c r="Z1577" t="s">
        <v>421</v>
      </c>
      <c r="AC1577" t="str">
        <f>IF(AA1577="",M1577,AA1577)</f>
        <v>não</v>
      </c>
      <c r="AD1577" t="str">
        <f>IF(AB1577="",X1577,AB1577)</f>
        <v>sim</v>
      </c>
      <c r="AE1577" t="str">
        <f>IF(OR(Configuracao!B9="",Configuracao!B10=""),"aguardando limiar",IF(AND(K1577&gt;=Configuracao!B9,K1577/MAX(Reconciliacao!C2,1)&gt;=Configuracao!B10/100),"sim","não"))</f>
        <v>aguardando limiar</v>
      </c>
    </row>
    <row r="1578" spans="1:31" x14ac:dyDescent="0.25">
      <c r="A1578">
        <v>18201</v>
      </c>
      <c r="C1578" t="s">
        <v>1274</v>
      </c>
      <c r="D1578" t="s">
        <v>1275</v>
      </c>
      <c r="E1578" t="s">
        <v>474</v>
      </c>
      <c r="F1578" t="s">
        <v>165</v>
      </c>
      <c r="G1578" t="s">
        <v>165</v>
      </c>
      <c r="H1578" t="s">
        <v>92</v>
      </c>
      <c r="I1578" t="s">
        <v>439</v>
      </c>
      <c r="J1578" t="s">
        <v>439</v>
      </c>
      <c r="K1578" s="4">
        <v>208.24</v>
      </c>
      <c r="L1578" s="4">
        <v>208.24</v>
      </c>
      <c r="M1578" t="s">
        <v>166</v>
      </c>
      <c r="N1578" t="s">
        <v>77</v>
      </c>
      <c r="O1578" t="s">
        <v>86</v>
      </c>
      <c r="P1578" t="s">
        <v>170</v>
      </c>
      <c r="Q1578" t="s">
        <v>86</v>
      </c>
      <c r="R1578" t="s">
        <v>86</v>
      </c>
      <c r="S1578" t="s">
        <v>167</v>
      </c>
      <c r="T1578" t="s">
        <v>167</v>
      </c>
      <c r="U1578" t="s">
        <v>168</v>
      </c>
      <c r="V1578" t="s">
        <v>169</v>
      </c>
      <c r="W1578" t="s">
        <v>77</v>
      </c>
      <c r="X1578" t="s">
        <v>166</v>
      </c>
      <c r="Y1578" t="s">
        <v>741</v>
      </c>
      <c r="Z1578" t="s">
        <v>434</v>
      </c>
      <c r="AC1578" t="str">
        <f>IF(AA1578="",M1578,AA1578)</f>
        <v>não</v>
      </c>
      <c r="AD1578" t="str">
        <f>IF(AB1578="",X1578,AB1578)</f>
        <v>não</v>
      </c>
      <c r="AE1578" t="str">
        <f>IF(OR(Configuracao!B9="",Configuracao!B10=""),"aguardando limiar",IF(AND(K1578&gt;=Configuracao!B9,K1578/MAX(Reconciliacao!C2,1)&gt;=Configuracao!B10/100),"sim","não"))</f>
        <v>aguardando limiar</v>
      </c>
    </row>
    <row r="1579" spans="1:31" x14ac:dyDescent="0.25">
      <c r="A1579">
        <v>16761</v>
      </c>
      <c r="C1579" t="s">
        <v>1276</v>
      </c>
      <c r="D1579" t="s">
        <v>1277</v>
      </c>
      <c r="E1579" t="s">
        <v>474</v>
      </c>
      <c r="F1579" t="s">
        <v>165</v>
      </c>
      <c r="G1579" t="s">
        <v>165</v>
      </c>
      <c r="H1579" t="s">
        <v>92</v>
      </c>
      <c r="I1579" t="s">
        <v>442</v>
      </c>
      <c r="J1579" t="s">
        <v>442</v>
      </c>
      <c r="K1579" s="4">
        <v>211.5</v>
      </c>
      <c r="L1579" s="4">
        <v>211.5</v>
      </c>
      <c r="M1579" t="s">
        <v>166</v>
      </c>
      <c r="N1579" t="s">
        <v>77</v>
      </c>
      <c r="O1579" t="s">
        <v>86</v>
      </c>
      <c r="P1579" t="s">
        <v>170</v>
      </c>
      <c r="Q1579" t="s">
        <v>86</v>
      </c>
      <c r="R1579" t="s">
        <v>86</v>
      </c>
      <c r="S1579" t="s">
        <v>167</v>
      </c>
      <c r="T1579" t="s">
        <v>167</v>
      </c>
      <c r="U1579" t="s">
        <v>168</v>
      </c>
      <c r="V1579" t="s">
        <v>169</v>
      </c>
      <c r="W1579" t="s">
        <v>77</v>
      </c>
      <c r="X1579" t="s">
        <v>44</v>
      </c>
      <c r="Y1579" t="s">
        <v>99</v>
      </c>
      <c r="Z1579" t="s">
        <v>421</v>
      </c>
      <c r="AC1579" t="str">
        <f>IF(AA1579="",M1579,AA1579)</f>
        <v>não</v>
      </c>
      <c r="AD1579" t="str">
        <f>IF(AB1579="",X1579,AB1579)</f>
        <v>sim</v>
      </c>
      <c r="AE1579" t="str">
        <f>IF(OR(Configuracao!B9="",Configuracao!B10=""),"aguardando limiar",IF(AND(K1579&gt;=Configuracao!B9,K1579/MAX(Reconciliacao!C2,1)&gt;=Configuracao!B10/100),"sim","não"))</f>
        <v>aguardando limiar</v>
      </c>
    </row>
    <row r="1580" spans="1:31" x14ac:dyDescent="0.25">
      <c r="A1580">
        <v>7832</v>
      </c>
      <c r="C1580" t="s">
        <v>1247</v>
      </c>
      <c r="D1580" t="s">
        <v>734</v>
      </c>
      <c r="E1580" t="s">
        <v>474</v>
      </c>
      <c r="F1580" t="s">
        <v>165</v>
      </c>
      <c r="G1580" t="s">
        <v>165</v>
      </c>
      <c r="H1580" t="s">
        <v>92</v>
      </c>
      <c r="I1580" t="s">
        <v>32</v>
      </c>
      <c r="J1580" t="s">
        <v>32</v>
      </c>
      <c r="K1580" s="4">
        <v>226.83</v>
      </c>
      <c r="L1580" s="4">
        <v>226.83</v>
      </c>
      <c r="M1580" t="s">
        <v>166</v>
      </c>
      <c r="N1580" t="s">
        <v>77</v>
      </c>
      <c r="O1580" t="s">
        <v>86</v>
      </c>
      <c r="P1580" t="s">
        <v>170</v>
      </c>
      <c r="Q1580" t="s">
        <v>86</v>
      </c>
      <c r="R1580" t="s">
        <v>86</v>
      </c>
      <c r="S1580" t="s">
        <v>167</v>
      </c>
      <c r="T1580" t="s">
        <v>167</v>
      </c>
      <c r="U1580" t="s">
        <v>168</v>
      </c>
      <c r="V1580" t="s">
        <v>169</v>
      </c>
      <c r="W1580" t="s">
        <v>77</v>
      </c>
      <c r="X1580" t="s">
        <v>44</v>
      </c>
      <c r="Y1580" t="s">
        <v>99</v>
      </c>
      <c r="Z1580" t="s">
        <v>421</v>
      </c>
      <c r="AC1580" t="str">
        <f>IF(AA1580="",M1580,AA1580)</f>
        <v>não</v>
      </c>
      <c r="AD1580" t="str">
        <f>IF(AB1580="",X1580,AB1580)</f>
        <v>sim</v>
      </c>
      <c r="AE1580" t="str">
        <f>IF(OR(Configuracao!B9="",Configuracao!B10=""),"aguardando limiar",IF(AND(K1580&gt;=Configuracao!B9,K1580/MAX(Reconciliacao!C2,1)&gt;=Configuracao!B10/100),"sim","não"))</f>
        <v>aguardando limiar</v>
      </c>
    </row>
    <row r="1581" spans="1:31" x14ac:dyDescent="0.25">
      <c r="A1581">
        <v>16618</v>
      </c>
      <c r="C1581" t="s">
        <v>1274</v>
      </c>
      <c r="D1581" t="s">
        <v>1275</v>
      </c>
      <c r="E1581" t="s">
        <v>474</v>
      </c>
      <c r="F1581" t="s">
        <v>165</v>
      </c>
      <c r="G1581" t="s">
        <v>165</v>
      </c>
      <c r="H1581" t="s">
        <v>92</v>
      </c>
      <c r="I1581" t="s">
        <v>454</v>
      </c>
      <c r="J1581" t="s">
        <v>454</v>
      </c>
      <c r="K1581" s="4">
        <v>235.58</v>
      </c>
      <c r="L1581" s="4">
        <v>235.58</v>
      </c>
      <c r="M1581" t="s">
        <v>166</v>
      </c>
      <c r="N1581" t="s">
        <v>77</v>
      </c>
      <c r="O1581" t="s">
        <v>86</v>
      </c>
      <c r="P1581" t="s">
        <v>170</v>
      </c>
      <c r="Q1581" t="s">
        <v>86</v>
      </c>
      <c r="R1581" t="s">
        <v>86</v>
      </c>
      <c r="S1581" t="s">
        <v>167</v>
      </c>
      <c r="T1581" t="s">
        <v>167</v>
      </c>
      <c r="U1581" t="s">
        <v>168</v>
      </c>
      <c r="V1581" t="s">
        <v>169</v>
      </c>
      <c r="W1581" t="s">
        <v>77</v>
      </c>
      <c r="X1581" t="s">
        <v>166</v>
      </c>
      <c r="Y1581" t="s">
        <v>741</v>
      </c>
      <c r="Z1581" t="s">
        <v>434</v>
      </c>
      <c r="AC1581" t="str">
        <f>IF(AA1581="",M1581,AA1581)</f>
        <v>não</v>
      </c>
      <c r="AD1581" t="str">
        <f>IF(AB1581="",X1581,AB1581)</f>
        <v>não</v>
      </c>
      <c r="AE1581" t="str">
        <f>IF(OR(Configuracao!B9="",Configuracao!B10=""),"aguardando limiar",IF(AND(K1581&gt;=Configuracao!B9,K1581/MAX(Reconciliacao!C2,1)&gt;=Configuracao!B10/100),"sim","não"))</f>
        <v>aguardando limiar</v>
      </c>
    </row>
    <row r="1582" spans="1:31" x14ac:dyDescent="0.25">
      <c r="A1582">
        <v>12020</v>
      </c>
      <c r="C1582" t="s">
        <v>1278</v>
      </c>
      <c r="D1582" t="s">
        <v>436</v>
      </c>
      <c r="E1582" t="s">
        <v>474</v>
      </c>
      <c r="F1582" t="s">
        <v>165</v>
      </c>
      <c r="G1582" t="s">
        <v>165</v>
      </c>
      <c r="H1582" t="s">
        <v>92</v>
      </c>
      <c r="I1582" t="s">
        <v>424</v>
      </c>
      <c r="J1582" t="s">
        <v>424</v>
      </c>
      <c r="K1582" s="4">
        <v>237.43</v>
      </c>
      <c r="L1582" s="4">
        <v>237.43</v>
      </c>
      <c r="M1582" t="s">
        <v>166</v>
      </c>
      <c r="N1582" t="s">
        <v>77</v>
      </c>
      <c r="O1582" t="s">
        <v>86</v>
      </c>
      <c r="P1582" t="s">
        <v>170</v>
      </c>
      <c r="Q1582" t="s">
        <v>86</v>
      </c>
      <c r="R1582" t="s">
        <v>86</v>
      </c>
      <c r="S1582" t="s">
        <v>167</v>
      </c>
      <c r="T1582" t="s">
        <v>167</v>
      </c>
      <c r="U1582" t="s">
        <v>168</v>
      </c>
      <c r="V1582" t="s">
        <v>169</v>
      </c>
      <c r="W1582" t="s">
        <v>77</v>
      </c>
      <c r="X1582" t="s">
        <v>44</v>
      </c>
      <c r="Y1582" t="s">
        <v>99</v>
      </c>
      <c r="Z1582" t="s">
        <v>421</v>
      </c>
      <c r="AC1582" t="str">
        <f>IF(AA1582="",M1582,AA1582)</f>
        <v>não</v>
      </c>
      <c r="AD1582" t="str">
        <f>IF(AB1582="",X1582,AB1582)</f>
        <v>sim</v>
      </c>
      <c r="AE1582" t="str">
        <f>IF(OR(Configuracao!B9="",Configuracao!B10=""),"aguardando limiar",IF(AND(K1582&gt;=Configuracao!B9,K1582/MAX(Reconciliacao!C2,1)&gt;=Configuracao!B10/100),"sim","não"))</f>
        <v>aguardando limiar</v>
      </c>
    </row>
    <row r="1583" spans="1:31" x14ac:dyDescent="0.25">
      <c r="A1583">
        <v>7799</v>
      </c>
      <c r="C1583" t="s">
        <v>1279</v>
      </c>
      <c r="D1583" t="s">
        <v>1280</v>
      </c>
      <c r="E1583" t="s">
        <v>474</v>
      </c>
      <c r="F1583" t="s">
        <v>165</v>
      </c>
      <c r="G1583" t="s">
        <v>165</v>
      </c>
      <c r="H1583" t="s">
        <v>92</v>
      </c>
      <c r="I1583" t="s">
        <v>32</v>
      </c>
      <c r="J1583" t="s">
        <v>32</v>
      </c>
      <c r="K1583" s="4">
        <v>247.43</v>
      </c>
      <c r="L1583" s="4">
        <v>247.43</v>
      </c>
      <c r="M1583" t="s">
        <v>166</v>
      </c>
      <c r="N1583" t="s">
        <v>77</v>
      </c>
      <c r="O1583" t="s">
        <v>86</v>
      </c>
      <c r="P1583" t="s">
        <v>170</v>
      </c>
      <c r="Q1583" t="s">
        <v>86</v>
      </c>
      <c r="R1583" t="s">
        <v>86</v>
      </c>
      <c r="S1583" t="s">
        <v>167</v>
      </c>
      <c r="T1583" t="s">
        <v>167</v>
      </c>
      <c r="U1583" t="s">
        <v>168</v>
      </c>
      <c r="V1583" t="s">
        <v>169</v>
      </c>
      <c r="W1583" t="s">
        <v>77</v>
      </c>
      <c r="X1583" t="s">
        <v>44</v>
      </c>
      <c r="Y1583" t="s">
        <v>99</v>
      </c>
      <c r="Z1583" t="s">
        <v>421</v>
      </c>
      <c r="AC1583" t="str">
        <f>IF(AA1583="",M1583,AA1583)</f>
        <v>não</v>
      </c>
      <c r="AD1583" t="str">
        <f>IF(AB1583="",X1583,AB1583)</f>
        <v>sim</v>
      </c>
      <c r="AE1583" t="str">
        <f>IF(OR(Configuracao!B9="",Configuracao!B10=""),"aguardando limiar",IF(AND(K1583&gt;=Configuracao!B9,K1583/MAX(Reconciliacao!C2,1)&gt;=Configuracao!B10/100),"sim","não"))</f>
        <v>aguardando limiar</v>
      </c>
    </row>
    <row r="1584" spans="1:31" x14ac:dyDescent="0.25">
      <c r="A1584">
        <v>7806</v>
      </c>
      <c r="C1584" t="s">
        <v>1279</v>
      </c>
      <c r="D1584" t="s">
        <v>1280</v>
      </c>
      <c r="E1584" t="s">
        <v>474</v>
      </c>
      <c r="F1584" t="s">
        <v>165</v>
      </c>
      <c r="G1584" t="s">
        <v>165</v>
      </c>
      <c r="H1584" t="s">
        <v>92</v>
      </c>
      <c r="I1584" t="s">
        <v>35</v>
      </c>
      <c r="J1584" t="s">
        <v>35</v>
      </c>
      <c r="K1584" s="4">
        <v>259.66</v>
      </c>
      <c r="L1584" s="4">
        <v>259.66</v>
      </c>
      <c r="M1584" t="s">
        <v>166</v>
      </c>
      <c r="N1584" t="s">
        <v>77</v>
      </c>
      <c r="O1584" t="s">
        <v>86</v>
      </c>
      <c r="P1584" t="s">
        <v>170</v>
      </c>
      <c r="Q1584" t="s">
        <v>86</v>
      </c>
      <c r="R1584" t="s">
        <v>86</v>
      </c>
      <c r="S1584" t="s">
        <v>167</v>
      </c>
      <c r="T1584" t="s">
        <v>167</v>
      </c>
      <c r="U1584" t="s">
        <v>168</v>
      </c>
      <c r="V1584" t="s">
        <v>169</v>
      </c>
      <c r="W1584" t="s">
        <v>77</v>
      </c>
      <c r="X1584" t="s">
        <v>44</v>
      </c>
      <c r="Y1584" t="s">
        <v>99</v>
      </c>
      <c r="Z1584" t="s">
        <v>421</v>
      </c>
      <c r="AC1584" t="str">
        <f>IF(AA1584="",M1584,AA1584)</f>
        <v>não</v>
      </c>
      <c r="AD1584" t="str">
        <f>IF(AB1584="",X1584,AB1584)</f>
        <v>sim</v>
      </c>
      <c r="AE1584" t="str">
        <f>IF(OR(Configuracao!B9="",Configuracao!B10=""),"aguardando limiar",IF(AND(K1584&gt;=Configuracao!B9,K1584/MAX(Reconciliacao!C2,1)&gt;=Configuracao!B10/100),"sim","não"))</f>
        <v>aguardando limiar</v>
      </c>
    </row>
    <row r="1585" spans="1:31" x14ac:dyDescent="0.25">
      <c r="A1585">
        <v>11641</v>
      </c>
      <c r="C1585" t="s">
        <v>1281</v>
      </c>
      <c r="D1585" t="s">
        <v>1282</v>
      </c>
      <c r="E1585" t="s">
        <v>474</v>
      </c>
      <c r="F1585" t="s">
        <v>165</v>
      </c>
      <c r="G1585" t="s">
        <v>165</v>
      </c>
      <c r="H1585" t="s">
        <v>92</v>
      </c>
      <c r="I1585" t="s">
        <v>32</v>
      </c>
      <c r="J1585" t="s">
        <v>32</v>
      </c>
      <c r="K1585" s="4">
        <v>282.45</v>
      </c>
      <c r="L1585" s="4">
        <v>282.45</v>
      </c>
      <c r="M1585" t="s">
        <v>166</v>
      </c>
      <c r="N1585" t="s">
        <v>77</v>
      </c>
      <c r="O1585" t="s">
        <v>86</v>
      </c>
      <c r="P1585" t="s">
        <v>170</v>
      </c>
      <c r="Q1585" t="s">
        <v>86</v>
      </c>
      <c r="R1585" t="s">
        <v>86</v>
      </c>
      <c r="S1585" t="s">
        <v>167</v>
      </c>
      <c r="T1585" t="s">
        <v>167</v>
      </c>
      <c r="U1585" t="s">
        <v>168</v>
      </c>
      <c r="V1585" t="s">
        <v>169</v>
      </c>
      <c r="W1585" t="s">
        <v>77</v>
      </c>
      <c r="X1585" t="s">
        <v>44</v>
      </c>
      <c r="Y1585" t="s">
        <v>99</v>
      </c>
      <c r="Z1585" t="s">
        <v>421</v>
      </c>
      <c r="AC1585" t="str">
        <f>IF(AA1585="",M1585,AA1585)</f>
        <v>não</v>
      </c>
      <c r="AD1585" t="str">
        <f>IF(AB1585="",X1585,AB1585)</f>
        <v>sim</v>
      </c>
      <c r="AE1585" t="str">
        <f>IF(OR(Configuracao!B9="",Configuracao!B10=""),"aguardando limiar",IF(AND(K1585&gt;=Configuracao!B9,K1585/MAX(Reconciliacao!C2,1)&gt;=Configuracao!B10/100),"sim","não"))</f>
        <v>aguardando limiar</v>
      </c>
    </row>
    <row r="1586" spans="1:31" x14ac:dyDescent="0.25">
      <c r="A1586">
        <v>7838</v>
      </c>
      <c r="C1586" t="s">
        <v>1247</v>
      </c>
      <c r="D1586" t="s">
        <v>734</v>
      </c>
      <c r="E1586" t="s">
        <v>474</v>
      </c>
      <c r="F1586" t="s">
        <v>165</v>
      </c>
      <c r="G1586" t="s">
        <v>165</v>
      </c>
      <c r="H1586" t="s">
        <v>92</v>
      </c>
      <c r="I1586" t="s">
        <v>439</v>
      </c>
      <c r="J1586" t="s">
        <v>439</v>
      </c>
      <c r="K1586" s="4">
        <v>283.42</v>
      </c>
      <c r="L1586" s="4">
        <v>283.42</v>
      </c>
      <c r="M1586" t="s">
        <v>166</v>
      </c>
      <c r="N1586" t="s">
        <v>77</v>
      </c>
      <c r="O1586" t="s">
        <v>86</v>
      </c>
      <c r="P1586" t="s">
        <v>170</v>
      </c>
      <c r="Q1586" t="s">
        <v>86</v>
      </c>
      <c r="R1586" t="s">
        <v>86</v>
      </c>
      <c r="S1586" t="s">
        <v>167</v>
      </c>
      <c r="T1586" t="s">
        <v>167</v>
      </c>
      <c r="U1586" t="s">
        <v>168</v>
      </c>
      <c r="V1586" t="s">
        <v>169</v>
      </c>
      <c r="W1586" t="s">
        <v>77</v>
      </c>
      <c r="X1586" t="s">
        <v>44</v>
      </c>
      <c r="Y1586" t="s">
        <v>99</v>
      </c>
      <c r="Z1586" t="s">
        <v>421</v>
      </c>
      <c r="AC1586" t="str">
        <f>IF(AA1586="",M1586,AA1586)</f>
        <v>não</v>
      </c>
      <c r="AD1586" t="str">
        <f>IF(AB1586="",X1586,AB1586)</f>
        <v>sim</v>
      </c>
      <c r="AE1586" t="str">
        <f>IF(OR(Configuracao!B9="",Configuracao!B10=""),"aguardando limiar",IF(AND(K1586&gt;=Configuracao!B9,K1586/MAX(Reconciliacao!C2,1)&gt;=Configuracao!B10/100),"sim","não"))</f>
        <v>aguardando limiar</v>
      </c>
    </row>
    <row r="1587" spans="1:31" x14ac:dyDescent="0.25">
      <c r="A1587">
        <v>7837</v>
      </c>
      <c r="C1587" t="s">
        <v>1247</v>
      </c>
      <c r="D1587" t="s">
        <v>734</v>
      </c>
      <c r="E1587" t="s">
        <v>474</v>
      </c>
      <c r="F1587" t="s">
        <v>165</v>
      </c>
      <c r="G1587" t="s">
        <v>165</v>
      </c>
      <c r="H1587" t="s">
        <v>92</v>
      </c>
      <c r="I1587" t="s">
        <v>442</v>
      </c>
      <c r="J1587" t="s">
        <v>442</v>
      </c>
      <c r="K1587" s="4">
        <v>310.71</v>
      </c>
      <c r="L1587" s="4">
        <v>310.71</v>
      </c>
      <c r="M1587" t="s">
        <v>166</v>
      </c>
      <c r="N1587" t="s">
        <v>77</v>
      </c>
      <c r="O1587" t="s">
        <v>86</v>
      </c>
      <c r="P1587" t="s">
        <v>170</v>
      </c>
      <c r="Q1587" t="s">
        <v>86</v>
      </c>
      <c r="R1587" t="s">
        <v>86</v>
      </c>
      <c r="S1587" t="s">
        <v>167</v>
      </c>
      <c r="T1587" t="s">
        <v>167</v>
      </c>
      <c r="U1587" t="s">
        <v>168</v>
      </c>
      <c r="V1587" t="s">
        <v>169</v>
      </c>
      <c r="W1587" t="s">
        <v>77</v>
      </c>
      <c r="X1587" t="s">
        <v>44</v>
      </c>
      <c r="Y1587" t="s">
        <v>99</v>
      </c>
      <c r="Z1587" t="s">
        <v>421</v>
      </c>
      <c r="AC1587" t="str">
        <f>IF(AA1587="",M1587,AA1587)</f>
        <v>não</v>
      </c>
      <c r="AD1587" t="str">
        <f>IF(AB1587="",X1587,AB1587)</f>
        <v>sim</v>
      </c>
      <c r="AE1587" t="str">
        <f>IF(OR(Configuracao!B9="",Configuracao!B10=""),"aguardando limiar",IF(AND(K1587&gt;=Configuracao!B9,K1587/MAX(Reconciliacao!C2,1)&gt;=Configuracao!B10/100),"sim","não"))</f>
        <v>aguardando limiar</v>
      </c>
    </row>
    <row r="1588" spans="1:31" x14ac:dyDescent="0.25">
      <c r="A1588">
        <v>18160</v>
      </c>
      <c r="C1588" t="s">
        <v>1273</v>
      </c>
      <c r="D1588" t="s">
        <v>1090</v>
      </c>
      <c r="E1588" t="s">
        <v>474</v>
      </c>
      <c r="F1588" t="s">
        <v>165</v>
      </c>
      <c r="G1588" t="s">
        <v>165</v>
      </c>
      <c r="H1588" t="s">
        <v>92</v>
      </c>
      <c r="I1588" t="s">
        <v>35</v>
      </c>
      <c r="J1588" t="s">
        <v>35</v>
      </c>
      <c r="K1588" s="4">
        <v>316.17</v>
      </c>
      <c r="L1588" s="4">
        <v>316.17</v>
      </c>
      <c r="M1588" t="s">
        <v>166</v>
      </c>
      <c r="N1588" t="s">
        <v>77</v>
      </c>
      <c r="O1588" t="s">
        <v>86</v>
      </c>
      <c r="P1588" t="s">
        <v>170</v>
      </c>
      <c r="Q1588" t="s">
        <v>86</v>
      </c>
      <c r="R1588" t="s">
        <v>86</v>
      </c>
      <c r="S1588" t="s">
        <v>167</v>
      </c>
      <c r="T1588" t="s">
        <v>167</v>
      </c>
      <c r="U1588" t="s">
        <v>168</v>
      </c>
      <c r="V1588" t="s">
        <v>169</v>
      </c>
      <c r="W1588" t="s">
        <v>77</v>
      </c>
      <c r="X1588" t="s">
        <v>44</v>
      </c>
      <c r="Y1588" t="s">
        <v>99</v>
      </c>
      <c r="Z1588" t="s">
        <v>421</v>
      </c>
      <c r="AC1588" t="str">
        <f>IF(AA1588="",M1588,AA1588)</f>
        <v>não</v>
      </c>
      <c r="AD1588" t="str">
        <f>IF(AB1588="",X1588,AB1588)</f>
        <v>sim</v>
      </c>
      <c r="AE1588" t="str">
        <f>IF(OR(Configuracao!B9="",Configuracao!B10=""),"aguardando limiar",IF(AND(K1588&gt;=Configuracao!B9,K1588/MAX(Reconciliacao!C2,1)&gt;=Configuracao!B10/100),"sim","não"))</f>
        <v>aguardando limiar</v>
      </c>
    </row>
    <row r="1589" spans="1:31" x14ac:dyDescent="0.25">
      <c r="A1589">
        <v>18830</v>
      </c>
      <c r="C1589" t="s">
        <v>1274</v>
      </c>
      <c r="D1589" t="s">
        <v>1275</v>
      </c>
      <c r="E1589" t="s">
        <v>474</v>
      </c>
      <c r="F1589" t="s">
        <v>165</v>
      </c>
      <c r="G1589" t="s">
        <v>165</v>
      </c>
      <c r="H1589" t="s">
        <v>92</v>
      </c>
      <c r="I1589" t="s">
        <v>35</v>
      </c>
      <c r="J1589" t="s">
        <v>35</v>
      </c>
      <c r="K1589" s="4">
        <v>338.89</v>
      </c>
      <c r="L1589" s="4">
        <v>338.89</v>
      </c>
      <c r="M1589" t="s">
        <v>166</v>
      </c>
      <c r="N1589" t="s">
        <v>77</v>
      </c>
      <c r="O1589" t="s">
        <v>86</v>
      </c>
      <c r="P1589" t="s">
        <v>170</v>
      </c>
      <c r="Q1589" t="s">
        <v>86</v>
      </c>
      <c r="R1589" t="s">
        <v>86</v>
      </c>
      <c r="S1589" t="s">
        <v>167</v>
      </c>
      <c r="T1589" t="s">
        <v>167</v>
      </c>
      <c r="U1589" t="s">
        <v>168</v>
      </c>
      <c r="V1589" t="s">
        <v>169</v>
      </c>
      <c r="W1589" t="s">
        <v>77</v>
      </c>
      <c r="X1589" t="s">
        <v>166</v>
      </c>
      <c r="Y1589" t="s">
        <v>741</v>
      </c>
      <c r="Z1589" t="s">
        <v>434</v>
      </c>
      <c r="AC1589" t="str">
        <f>IF(AA1589="",M1589,AA1589)</f>
        <v>não</v>
      </c>
      <c r="AD1589" t="str">
        <f>IF(AB1589="",X1589,AB1589)</f>
        <v>não</v>
      </c>
      <c r="AE1589" t="str">
        <f>IF(OR(Configuracao!B9="",Configuracao!B10=""),"aguardando limiar",IF(AND(K1589&gt;=Configuracao!B9,K1589/MAX(Reconciliacao!C2,1)&gt;=Configuracao!B10/100),"sim","não"))</f>
        <v>aguardando limiar</v>
      </c>
    </row>
    <row r="1590" spans="1:31" x14ac:dyDescent="0.25">
      <c r="A1590">
        <v>12176</v>
      </c>
      <c r="C1590" t="s">
        <v>1283</v>
      </c>
      <c r="D1590" t="s">
        <v>1284</v>
      </c>
      <c r="E1590" t="s">
        <v>471</v>
      </c>
      <c r="F1590" t="s">
        <v>165</v>
      </c>
      <c r="G1590" t="s">
        <v>165</v>
      </c>
      <c r="H1590" t="s">
        <v>92</v>
      </c>
      <c r="I1590" t="s">
        <v>424</v>
      </c>
      <c r="J1590" t="s">
        <v>424</v>
      </c>
      <c r="K1590" s="4">
        <v>349.02</v>
      </c>
      <c r="L1590" s="4">
        <v>349.02</v>
      </c>
      <c r="M1590" t="s">
        <v>166</v>
      </c>
      <c r="N1590" t="s">
        <v>77</v>
      </c>
      <c r="O1590" t="s">
        <v>86</v>
      </c>
      <c r="P1590" t="s">
        <v>170</v>
      </c>
      <c r="Q1590" t="s">
        <v>86</v>
      </c>
      <c r="R1590" t="s">
        <v>86</v>
      </c>
      <c r="S1590" t="s">
        <v>167</v>
      </c>
      <c r="T1590" t="s">
        <v>167</v>
      </c>
      <c r="U1590" t="s">
        <v>168</v>
      </c>
      <c r="V1590" t="s">
        <v>169</v>
      </c>
      <c r="W1590" t="s">
        <v>77</v>
      </c>
      <c r="X1590" t="s">
        <v>44</v>
      </c>
      <c r="Y1590" t="s">
        <v>99</v>
      </c>
      <c r="Z1590" t="s">
        <v>421</v>
      </c>
      <c r="AC1590" t="str">
        <f>IF(AA1590="",M1590,AA1590)</f>
        <v>não</v>
      </c>
      <c r="AD1590" t="str">
        <f>IF(AB1590="",X1590,AB1590)</f>
        <v>sim</v>
      </c>
      <c r="AE1590" t="str">
        <f>IF(OR(Configuracao!B9="",Configuracao!B10=""),"aguardando limiar",IF(AND(K1590&gt;=Configuracao!B9,K1590/MAX(Reconciliacao!C2,1)&gt;=Configuracao!B10/100),"sim","não"))</f>
        <v>aguardando limiar</v>
      </c>
    </row>
    <row r="1591" spans="1:31" x14ac:dyDescent="0.25">
      <c r="A1591">
        <v>15552</v>
      </c>
      <c r="C1591" t="s">
        <v>1285</v>
      </c>
      <c r="D1591" t="s">
        <v>1286</v>
      </c>
      <c r="E1591" t="s">
        <v>474</v>
      </c>
      <c r="F1591" t="s">
        <v>165</v>
      </c>
      <c r="G1591" t="s">
        <v>165</v>
      </c>
      <c r="H1591" t="s">
        <v>92</v>
      </c>
      <c r="I1591" t="s">
        <v>454</v>
      </c>
      <c r="J1591" t="s">
        <v>454</v>
      </c>
      <c r="K1591" s="4">
        <v>359.62</v>
      </c>
      <c r="L1591" s="4">
        <v>359.62</v>
      </c>
      <c r="M1591" t="s">
        <v>166</v>
      </c>
      <c r="N1591" t="s">
        <v>77</v>
      </c>
      <c r="O1591" t="s">
        <v>86</v>
      </c>
      <c r="P1591" t="s">
        <v>170</v>
      </c>
      <c r="Q1591" t="s">
        <v>86</v>
      </c>
      <c r="R1591" t="s">
        <v>86</v>
      </c>
      <c r="S1591" t="s">
        <v>167</v>
      </c>
      <c r="T1591" t="s">
        <v>167</v>
      </c>
      <c r="U1591" t="s">
        <v>168</v>
      </c>
      <c r="V1591" t="s">
        <v>169</v>
      </c>
      <c r="W1591" t="s">
        <v>77</v>
      </c>
      <c r="X1591" t="s">
        <v>44</v>
      </c>
      <c r="Y1591" t="s">
        <v>99</v>
      </c>
      <c r="Z1591" t="s">
        <v>421</v>
      </c>
      <c r="AC1591" t="str">
        <f>IF(AA1591="",M1591,AA1591)</f>
        <v>não</v>
      </c>
      <c r="AD1591" t="str">
        <f>IF(AB1591="",X1591,AB1591)</f>
        <v>sim</v>
      </c>
      <c r="AE1591" t="str">
        <f>IF(OR(Configuracao!B9="",Configuracao!B10=""),"aguardando limiar",IF(AND(K1591&gt;=Configuracao!B9,K1591/MAX(Reconciliacao!C2,1)&gt;=Configuracao!B10/100),"sim","não"))</f>
        <v>aguardando limiar</v>
      </c>
    </row>
    <row r="1592" spans="1:31" x14ac:dyDescent="0.25">
      <c r="A1592">
        <v>12700</v>
      </c>
      <c r="C1592" t="s">
        <v>1287</v>
      </c>
      <c r="D1592" t="s">
        <v>1288</v>
      </c>
      <c r="E1592" t="s">
        <v>474</v>
      </c>
      <c r="F1592" t="s">
        <v>165</v>
      </c>
      <c r="G1592" t="s">
        <v>165</v>
      </c>
      <c r="H1592" t="s">
        <v>92</v>
      </c>
      <c r="I1592" t="s">
        <v>420</v>
      </c>
      <c r="J1592" t="s">
        <v>420</v>
      </c>
      <c r="K1592" s="4">
        <v>366.16</v>
      </c>
      <c r="L1592" s="4">
        <v>366.16</v>
      </c>
      <c r="M1592" t="s">
        <v>166</v>
      </c>
      <c r="N1592" t="s">
        <v>77</v>
      </c>
      <c r="O1592" t="s">
        <v>86</v>
      </c>
      <c r="P1592" t="s">
        <v>170</v>
      </c>
      <c r="Q1592" t="s">
        <v>86</v>
      </c>
      <c r="R1592" t="s">
        <v>86</v>
      </c>
      <c r="S1592" t="s">
        <v>167</v>
      </c>
      <c r="T1592" t="s">
        <v>167</v>
      </c>
      <c r="U1592" t="s">
        <v>168</v>
      </c>
      <c r="V1592" t="s">
        <v>169</v>
      </c>
      <c r="W1592" t="s">
        <v>77</v>
      </c>
      <c r="X1592" t="s">
        <v>44</v>
      </c>
      <c r="Y1592" t="s">
        <v>99</v>
      </c>
      <c r="Z1592" t="s">
        <v>421</v>
      </c>
      <c r="AC1592" t="str">
        <f>IF(AA1592="",M1592,AA1592)</f>
        <v>não</v>
      </c>
      <c r="AD1592" t="str">
        <f>IF(AB1592="",X1592,AB1592)</f>
        <v>sim</v>
      </c>
      <c r="AE1592" t="str">
        <f>IF(OR(Configuracao!B9="",Configuracao!B10=""),"aguardando limiar",IF(AND(K1592&gt;=Configuracao!B9,K1592/MAX(Reconciliacao!C2,1)&gt;=Configuracao!B10/100),"sim","não"))</f>
        <v>aguardando limiar</v>
      </c>
    </row>
    <row r="1593" spans="1:31" x14ac:dyDescent="0.25">
      <c r="A1593">
        <v>7839</v>
      </c>
      <c r="C1593" t="s">
        <v>1247</v>
      </c>
      <c r="D1593" t="s">
        <v>734</v>
      </c>
      <c r="E1593" t="s">
        <v>474</v>
      </c>
      <c r="F1593" t="s">
        <v>165</v>
      </c>
      <c r="G1593" t="s">
        <v>165</v>
      </c>
      <c r="H1593" t="s">
        <v>92</v>
      </c>
      <c r="I1593" t="s">
        <v>35</v>
      </c>
      <c r="J1593" t="s">
        <v>35</v>
      </c>
      <c r="K1593" s="4">
        <v>388.1</v>
      </c>
      <c r="L1593" s="4">
        <v>388.1</v>
      </c>
      <c r="M1593" t="s">
        <v>166</v>
      </c>
      <c r="N1593" t="s">
        <v>77</v>
      </c>
      <c r="O1593" t="s">
        <v>86</v>
      </c>
      <c r="P1593" t="s">
        <v>170</v>
      </c>
      <c r="Q1593" t="s">
        <v>86</v>
      </c>
      <c r="R1593" t="s">
        <v>86</v>
      </c>
      <c r="S1593" t="s">
        <v>167</v>
      </c>
      <c r="T1593" t="s">
        <v>167</v>
      </c>
      <c r="U1593" t="s">
        <v>168</v>
      </c>
      <c r="V1593" t="s">
        <v>169</v>
      </c>
      <c r="W1593" t="s">
        <v>77</v>
      </c>
      <c r="X1593" t="s">
        <v>44</v>
      </c>
      <c r="Y1593" t="s">
        <v>99</v>
      </c>
      <c r="Z1593" t="s">
        <v>421</v>
      </c>
      <c r="AC1593" t="str">
        <f>IF(AA1593="",M1593,AA1593)</f>
        <v>não</v>
      </c>
      <c r="AD1593" t="str">
        <f>IF(AB1593="",X1593,AB1593)</f>
        <v>sim</v>
      </c>
      <c r="AE1593" t="str">
        <f>IF(OR(Configuracao!B9="",Configuracao!B10=""),"aguardando limiar",IF(AND(K1593&gt;=Configuracao!B9,K1593/MAX(Reconciliacao!C2,1)&gt;=Configuracao!B10/100),"sim","não"))</f>
        <v>aguardando limiar</v>
      </c>
    </row>
    <row r="1594" spans="1:31" x14ac:dyDescent="0.25">
      <c r="A1594">
        <v>7086</v>
      </c>
      <c r="C1594" t="s">
        <v>1289</v>
      </c>
      <c r="D1594" t="s">
        <v>1290</v>
      </c>
      <c r="E1594" t="s">
        <v>471</v>
      </c>
      <c r="F1594" t="s">
        <v>165</v>
      </c>
      <c r="G1594" t="s">
        <v>165</v>
      </c>
      <c r="H1594" t="s">
        <v>92</v>
      </c>
      <c r="I1594" t="s">
        <v>454</v>
      </c>
      <c r="J1594" t="s">
        <v>454</v>
      </c>
      <c r="K1594" s="4">
        <v>395.91</v>
      </c>
      <c r="L1594" s="4">
        <v>395.91</v>
      </c>
      <c r="M1594" t="s">
        <v>166</v>
      </c>
      <c r="N1594" t="s">
        <v>77</v>
      </c>
      <c r="O1594" t="s">
        <v>86</v>
      </c>
      <c r="P1594" t="s">
        <v>170</v>
      </c>
      <c r="Q1594" t="s">
        <v>86</v>
      </c>
      <c r="R1594" t="s">
        <v>86</v>
      </c>
      <c r="S1594" t="s">
        <v>167</v>
      </c>
      <c r="T1594" t="s">
        <v>167</v>
      </c>
      <c r="U1594" t="s">
        <v>168</v>
      </c>
      <c r="V1594" t="s">
        <v>169</v>
      </c>
      <c r="W1594" t="s">
        <v>77</v>
      </c>
      <c r="X1594" t="s">
        <v>44</v>
      </c>
      <c r="Y1594" t="s">
        <v>99</v>
      </c>
      <c r="Z1594" t="s">
        <v>421</v>
      </c>
      <c r="AC1594" t="str">
        <f>IF(AA1594="",M1594,AA1594)</f>
        <v>não</v>
      </c>
      <c r="AD1594" t="str">
        <f>IF(AB1594="",X1594,AB1594)</f>
        <v>sim</v>
      </c>
      <c r="AE1594" t="str">
        <f>IF(OR(Configuracao!B9="",Configuracao!B10=""),"aguardando limiar",IF(AND(K1594&gt;=Configuracao!B9,K1594/MAX(Reconciliacao!C2,1)&gt;=Configuracao!B10/100),"sim","não"))</f>
        <v>aguardando limiar</v>
      </c>
    </row>
    <row r="1595" spans="1:31" x14ac:dyDescent="0.25">
      <c r="A1595">
        <v>18957</v>
      </c>
      <c r="C1595" t="s">
        <v>1291</v>
      </c>
      <c r="D1595" t="s">
        <v>510</v>
      </c>
      <c r="E1595" t="s">
        <v>486</v>
      </c>
      <c r="F1595" t="s">
        <v>165</v>
      </c>
      <c r="G1595" t="s">
        <v>165</v>
      </c>
      <c r="H1595" t="s">
        <v>92</v>
      </c>
      <c r="I1595" t="s">
        <v>35</v>
      </c>
      <c r="J1595" t="s">
        <v>35</v>
      </c>
      <c r="K1595" s="4">
        <v>433</v>
      </c>
      <c r="L1595" s="4">
        <v>433</v>
      </c>
      <c r="M1595" t="s">
        <v>166</v>
      </c>
      <c r="N1595" t="s">
        <v>77</v>
      </c>
      <c r="O1595" t="s">
        <v>86</v>
      </c>
      <c r="P1595" t="s">
        <v>170</v>
      </c>
      <c r="Q1595" t="s">
        <v>86</v>
      </c>
      <c r="R1595" t="s">
        <v>86</v>
      </c>
      <c r="S1595" t="s">
        <v>167</v>
      </c>
      <c r="T1595" t="s">
        <v>167</v>
      </c>
      <c r="U1595" t="s">
        <v>168</v>
      </c>
      <c r="V1595" t="s">
        <v>169</v>
      </c>
      <c r="W1595" t="s">
        <v>77</v>
      </c>
      <c r="X1595" t="s">
        <v>44</v>
      </c>
      <c r="Y1595" t="s">
        <v>99</v>
      </c>
      <c r="Z1595" t="s">
        <v>421</v>
      </c>
      <c r="AC1595" t="str">
        <f>IF(AA1595="",M1595,AA1595)</f>
        <v>não</v>
      </c>
      <c r="AD1595" t="str">
        <f>IF(AB1595="",X1595,AB1595)</f>
        <v>sim</v>
      </c>
      <c r="AE1595" t="str">
        <f>IF(OR(Configuracao!B9="",Configuracao!B10=""),"aguardando limiar",IF(AND(K1595&gt;=Configuracao!B9,K1595/MAX(Reconciliacao!C2,1)&gt;=Configuracao!B10/100),"sim","não"))</f>
        <v>aguardando limiar</v>
      </c>
    </row>
    <row r="1596" spans="1:31" x14ac:dyDescent="0.25">
      <c r="A1596">
        <v>7833</v>
      </c>
      <c r="C1596" t="s">
        <v>1247</v>
      </c>
      <c r="D1596" t="s">
        <v>734</v>
      </c>
      <c r="E1596" t="s">
        <v>474</v>
      </c>
      <c r="F1596" t="s">
        <v>165</v>
      </c>
      <c r="G1596" t="s">
        <v>165</v>
      </c>
      <c r="H1596" t="s">
        <v>92</v>
      </c>
      <c r="I1596" t="s">
        <v>424</v>
      </c>
      <c r="J1596" t="s">
        <v>420</v>
      </c>
      <c r="K1596" s="4">
        <v>437.93</v>
      </c>
      <c r="L1596" s="4">
        <v>437.93</v>
      </c>
      <c r="M1596" t="s">
        <v>166</v>
      </c>
      <c r="N1596" t="s">
        <v>77</v>
      </c>
      <c r="O1596" t="s">
        <v>86</v>
      </c>
      <c r="P1596" t="s">
        <v>170</v>
      </c>
      <c r="Q1596" t="s">
        <v>86</v>
      </c>
      <c r="R1596" t="s">
        <v>86</v>
      </c>
      <c r="S1596" t="s">
        <v>167</v>
      </c>
      <c r="T1596" t="s">
        <v>167</v>
      </c>
      <c r="U1596" t="s">
        <v>168</v>
      </c>
      <c r="V1596" t="s">
        <v>169</v>
      </c>
      <c r="W1596" t="s">
        <v>77</v>
      </c>
      <c r="X1596" t="s">
        <v>44</v>
      </c>
      <c r="Y1596" t="s">
        <v>99</v>
      </c>
      <c r="Z1596" t="s">
        <v>421</v>
      </c>
      <c r="AC1596" t="str">
        <f>IF(AA1596="",M1596,AA1596)</f>
        <v>não</v>
      </c>
      <c r="AD1596" t="str">
        <f>IF(AB1596="",X1596,AB1596)</f>
        <v>sim</v>
      </c>
      <c r="AE1596" t="str">
        <f>IF(OR(Configuracao!B9="",Configuracao!B10=""),"aguardando limiar",IF(AND(K1596&gt;=Configuracao!B9,K1596/MAX(Reconciliacao!C2,1)&gt;=Configuracao!B10/100),"sim","não"))</f>
        <v>aguardando limiar</v>
      </c>
    </row>
    <row r="1597" spans="1:31" x14ac:dyDescent="0.25">
      <c r="A1597">
        <v>7800</v>
      </c>
      <c r="C1597" t="s">
        <v>1279</v>
      </c>
      <c r="D1597" t="s">
        <v>1280</v>
      </c>
      <c r="E1597" t="s">
        <v>474</v>
      </c>
      <c r="F1597" t="s">
        <v>165</v>
      </c>
      <c r="G1597" t="s">
        <v>165</v>
      </c>
      <c r="H1597" t="s">
        <v>92</v>
      </c>
      <c r="I1597" t="s">
        <v>424</v>
      </c>
      <c r="J1597" t="s">
        <v>424</v>
      </c>
      <c r="K1597" s="4">
        <v>445.76</v>
      </c>
      <c r="L1597" s="4">
        <v>445.76</v>
      </c>
      <c r="M1597" t="s">
        <v>166</v>
      </c>
      <c r="N1597" t="s">
        <v>77</v>
      </c>
      <c r="O1597" t="s">
        <v>86</v>
      </c>
      <c r="P1597" t="s">
        <v>170</v>
      </c>
      <c r="Q1597" t="s">
        <v>86</v>
      </c>
      <c r="R1597" t="s">
        <v>86</v>
      </c>
      <c r="S1597" t="s">
        <v>167</v>
      </c>
      <c r="T1597" t="s">
        <v>167</v>
      </c>
      <c r="U1597" t="s">
        <v>168</v>
      </c>
      <c r="V1597" t="s">
        <v>169</v>
      </c>
      <c r="W1597" t="s">
        <v>77</v>
      </c>
      <c r="X1597" t="s">
        <v>44</v>
      </c>
      <c r="Y1597" t="s">
        <v>99</v>
      </c>
      <c r="Z1597" t="s">
        <v>421</v>
      </c>
      <c r="AC1597" t="str">
        <f>IF(AA1597="",M1597,AA1597)</f>
        <v>não</v>
      </c>
      <c r="AD1597" t="str">
        <f>IF(AB1597="",X1597,AB1597)</f>
        <v>sim</v>
      </c>
      <c r="AE1597" t="str">
        <f>IF(OR(Configuracao!B9="",Configuracao!B10=""),"aguardando limiar",IF(AND(K1597&gt;=Configuracao!B9,K1597/MAX(Reconciliacao!C2,1)&gt;=Configuracao!B10/100),"sim","não"))</f>
        <v>aguardando limiar</v>
      </c>
    </row>
    <row r="1598" spans="1:31" x14ac:dyDescent="0.25">
      <c r="A1598">
        <v>7801</v>
      </c>
      <c r="C1598" t="s">
        <v>1279</v>
      </c>
      <c r="D1598" t="s">
        <v>1280</v>
      </c>
      <c r="E1598" t="s">
        <v>474</v>
      </c>
      <c r="F1598" t="s">
        <v>165</v>
      </c>
      <c r="G1598" t="s">
        <v>165</v>
      </c>
      <c r="H1598" t="s">
        <v>92</v>
      </c>
      <c r="I1598" t="s">
        <v>420</v>
      </c>
      <c r="J1598" t="s">
        <v>420</v>
      </c>
      <c r="K1598" s="4">
        <v>445.76</v>
      </c>
      <c r="L1598" s="4">
        <v>445.76</v>
      </c>
      <c r="M1598" t="s">
        <v>166</v>
      </c>
      <c r="N1598" t="s">
        <v>77</v>
      </c>
      <c r="O1598" t="s">
        <v>86</v>
      </c>
      <c r="P1598" t="s">
        <v>170</v>
      </c>
      <c r="Q1598" t="s">
        <v>86</v>
      </c>
      <c r="R1598" t="s">
        <v>86</v>
      </c>
      <c r="S1598" t="s">
        <v>167</v>
      </c>
      <c r="T1598" t="s">
        <v>167</v>
      </c>
      <c r="U1598" t="s">
        <v>168</v>
      </c>
      <c r="V1598" t="s">
        <v>169</v>
      </c>
      <c r="W1598" t="s">
        <v>77</v>
      </c>
      <c r="X1598" t="s">
        <v>44</v>
      </c>
      <c r="Y1598" t="s">
        <v>99</v>
      </c>
      <c r="Z1598" t="s">
        <v>421</v>
      </c>
      <c r="AC1598" t="str">
        <f>IF(AA1598="",M1598,AA1598)</f>
        <v>não</v>
      </c>
      <c r="AD1598" t="str">
        <f>IF(AB1598="",X1598,AB1598)</f>
        <v>sim</v>
      </c>
      <c r="AE1598" t="str">
        <f>IF(OR(Configuracao!B9="",Configuracao!B10=""),"aguardando limiar",IF(AND(K1598&gt;=Configuracao!B9,K1598/MAX(Reconciliacao!C2,1)&gt;=Configuracao!B10/100),"sim","não"))</f>
        <v>aguardando limiar</v>
      </c>
    </row>
    <row r="1599" spans="1:31" x14ac:dyDescent="0.25">
      <c r="A1599">
        <v>7802</v>
      </c>
      <c r="C1599" t="s">
        <v>1279</v>
      </c>
      <c r="D1599" t="s">
        <v>1280</v>
      </c>
      <c r="E1599" t="s">
        <v>474</v>
      </c>
      <c r="F1599" t="s">
        <v>165</v>
      </c>
      <c r="G1599" t="s">
        <v>165</v>
      </c>
      <c r="H1599" t="s">
        <v>92</v>
      </c>
      <c r="I1599" t="s">
        <v>454</v>
      </c>
      <c r="J1599" t="s">
        <v>454</v>
      </c>
      <c r="K1599" s="4">
        <v>445.76</v>
      </c>
      <c r="L1599" s="4">
        <v>445.76</v>
      </c>
      <c r="M1599" t="s">
        <v>166</v>
      </c>
      <c r="N1599" t="s">
        <v>77</v>
      </c>
      <c r="O1599" t="s">
        <v>86</v>
      </c>
      <c r="P1599" t="s">
        <v>170</v>
      </c>
      <c r="Q1599" t="s">
        <v>86</v>
      </c>
      <c r="R1599" t="s">
        <v>86</v>
      </c>
      <c r="S1599" t="s">
        <v>167</v>
      </c>
      <c r="T1599" t="s">
        <v>167</v>
      </c>
      <c r="U1599" t="s">
        <v>168</v>
      </c>
      <c r="V1599" t="s">
        <v>169</v>
      </c>
      <c r="W1599" t="s">
        <v>77</v>
      </c>
      <c r="X1599" t="s">
        <v>44</v>
      </c>
      <c r="Y1599" t="s">
        <v>99</v>
      </c>
      <c r="Z1599" t="s">
        <v>421</v>
      </c>
      <c r="AC1599" t="str">
        <f>IF(AA1599="",M1599,AA1599)</f>
        <v>não</v>
      </c>
      <c r="AD1599" t="str">
        <f>IF(AB1599="",X1599,AB1599)</f>
        <v>sim</v>
      </c>
      <c r="AE1599" t="str">
        <f>IF(OR(Configuracao!B9="",Configuracao!B10=""),"aguardando limiar",IF(AND(K1599&gt;=Configuracao!B9,K1599/MAX(Reconciliacao!C2,1)&gt;=Configuracao!B10/100),"sim","não"))</f>
        <v>aguardando limiar</v>
      </c>
    </row>
    <row r="1600" spans="1:31" x14ac:dyDescent="0.25">
      <c r="A1600">
        <v>7803</v>
      </c>
      <c r="C1600" t="s">
        <v>1279</v>
      </c>
      <c r="D1600" t="s">
        <v>1280</v>
      </c>
      <c r="E1600" t="s">
        <v>474</v>
      </c>
      <c r="F1600" t="s">
        <v>165</v>
      </c>
      <c r="G1600" t="s">
        <v>165</v>
      </c>
      <c r="H1600" t="s">
        <v>92</v>
      </c>
      <c r="I1600" t="s">
        <v>461</v>
      </c>
      <c r="J1600" t="s">
        <v>461</v>
      </c>
      <c r="K1600" s="4">
        <v>445.76</v>
      </c>
      <c r="L1600" s="4">
        <v>445.76</v>
      </c>
      <c r="M1600" t="s">
        <v>166</v>
      </c>
      <c r="N1600" t="s">
        <v>77</v>
      </c>
      <c r="O1600" t="s">
        <v>86</v>
      </c>
      <c r="P1600" t="s">
        <v>170</v>
      </c>
      <c r="Q1600" t="s">
        <v>86</v>
      </c>
      <c r="R1600" t="s">
        <v>86</v>
      </c>
      <c r="S1600" t="s">
        <v>167</v>
      </c>
      <c r="T1600" t="s">
        <v>167</v>
      </c>
      <c r="U1600" t="s">
        <v>168</v>
      </c>
      <c r="V1600" t="s">
        <v>169</v>
      </c>
      <c r="W1600" t="s">
        <v>77</v>
      </c>
      <c r="X1600" t="s">
        <v>44</v>
      </c>
      <c r="Y1600" t="s">
        <v>99</v>
      </c>
      <c r="Z1600" t="s">
        <v>421</v>
      </c>
      <c r="AC1600" t="str">
        <f>IF(AA1600="",M1600,AA1600)</f>
        <v>não</v>
      </c>
      <c r="AD1600" t="str">
        <f>IF(AB1600="",X1600,AB1600)</f>
        <v>sim</v>
      </c>
      <c r="AE1600" t="str">
        <f>IF(OR(Configuracao!B9="",Configuracao!B10=""),"aguardando limiar",IF(AND(K1600&gt;=Configuracao!B9,K1600/MAX(Reconciliacao!C2,1)&gt;=Configuracao!B10/100),"sim","não"))</f>
        <v>aguardando limiar</v>
      </c>
    </row>
    <row r="1601" spans="1:31" x14ac:dyDescent="0.25">
      <c r="A1601">
        <v>7804</v>
      </c>
      <c r="C1601" t="s">
        <v>1279</v>
      </c>
      <c r="D1601" t="s">
        <v>1280</v>
      </c>
      <c r="E1601" t="s">
        <v>474</v>
      </c>
      <c r="F1601" t="s">
        <v>165</v>
      </c>
      <c r="G1601" t="s">
        <v>165</v>
      </c>
      <c r="H1601" t="s">
        <v>92</v>
      </c>
      <c r="I1601" t="s">
        <v>442</v>
      </c>
      <c r="J1601" t="s">
        <v>442</v>
      </c>
      <c r="K1601" s="4">
        <v>445.76</v>
      </c>
      <c r="L1601" s="4">
        <v>445.76</v>
      </c>
      <c r="M1601" t="s">
        <v>166</v>
      </c>
      <c r="N1601" t="s">
        <v>77</v>
      </c>
      <c r="O1601" t="s">
        <v>86</v>
      </c>
      <c r="P1601" t="s">
        <v>170</v>
      </c>
      <c r="Q1601" t="s">
        <v>86</v>
      </c>
      <c r="R1601" t="s">
        <v>86</v>
      </c>
      <c r="S1601" t="s">
        <v>167</v>
      </c>
      <c r="T1601" t="s">
        <v>167</v>
      </c>
      <c r="U1601" t="s">
        <v>168</v>
      </c>
      <c r="V1601" t="s">
        <v>169</v>
      </c>
      <c r="W1601" t="s">
        <v>77</v>
      </c>
      <c r="X1601" t="s">
        <v>44</v>
      </c>
      <c r="Y1601" t="s">
        <v>99</v>
      </c>
      <c r="Z1601" t="s">
        <v>421</v>
      </c>
      <c r="AC1601" t="str">
        <f>IF(AA1601="",M1601,AA1601)</f>
        <v>não</v>
      </c>
      <c r="AD1601" t="str">
        <f>IF(AB1601="",X1601,AB1601)</f>
        <v>sim</v>
      </c>
      <c r="AE1601" t="str">
        <f>IF(OR(Configuracao!B9="",Configuracao!B10=""),"aguardando limiar",IF(AND(K1601&gt;=Configuracao!B9,K1601/MAX(Reconciliacao!C2,1)&gt;=Configuracao!B10/100),"sim","não"))</f>
        <v>aguardando limiar</v>
      </c>
    </row>
    <row r="1602" spans="1:31" x14ac:dyDescent="0.25">
      <c r="A1602">
        <v>7805</v>
      </c>
      <c r="C1602" t="s">
        <v>1279</v>
      </c>
      <c r="D1602" t="s">
        <v>1280</v>
      </c>
      <c r="E1602" t="s">
        <v>474</v>
      </c>
      <c r="F1602" t="s">
        <v>165</v>
      </c>
      <c r="G1602" t="s">
        <v>165</v>
      </c>
      <c r="H1602" t="s">
        <v>92</v>
      </c>
      <c r="I1602" t="s">
        <v>439</v>
      </c>
      <c r="J1602" t="s">
        <v>439</v>
      </c>
      <c r="K1602" s="4">
        <v>445.76</v>
      </c>
      <c r="L1602" s="4">
        <v>445.76</v>
      </c>
      <c r="M1602" t="s">
        <v>166</v>
      </c>
      <c r="N1602" t="s">
        <v>77</v>
      </c>
      <c r="O1602" t="s">
        <v>86</v>
      </c>
      <c r="P1602" t="s">
        <v>170</v>
      </c>
      <c r="Q1602" t="s">
        <v>86</v>
      </c>
      <c r="R1602" t="s">
        <v>86</v>
      </c>
      <c r="S1602" t="s">
        <v>167</v>
      </c>
      <c r="T1602" t="s">
        <v>167</v>
      </c>
      <c r="U1602" t="s">
        <v>168</v>
      </c>
      <c r="V1602" t="s">
        <v>169</v>
      </c>
      <c r="W1602" t="s">
        <v>77</v>
      </c>
      <c r="X1602" t="s">
        <v>44</v>
      </c>
      <c r="Y1602" t="s">
        <v>99</v>
      </c>
      <c r="Z1602" t="s">
        <v>421</v>
      </c>
      <c r="AC1602" t="str">
        <f>IF(AA1602="",M1602,AA1602)</f>
        <v>não</v>
      </c>
      <c r="AD1602" t="str">
        <f>IF(AB1602="",X1602,AB1602)</f>
        <v>sim</v>
      </c>
      <c r="AE1602" t="str">
        <f>IF(OR(Configuracao!B9="",Configuracao!B10=""),"aguardando limiar",IF(AND(K1602&gt;=Configuracao!B9,K1602/MAX(Reconciliacao!C2,1)&gt;=Configuracao!B10/100),"sim","não"))</f>
        <v>aguardando limiar</v>
      </c>
    </row>
    <row r="1603" spans="1:31" x14ac:dyDescent="0.25">
      <c r="A1603">
        <v>16732</v>
      </c>
      <c r="C1603" t="s">
        <v>1292</v>
      </c>
      <c r="D1603" t="s">
        <v>1277</v>
      </c>
      <c r="E1603" t="s">
        <v>474</v>
      </c>
      <c r="F1603" t="s">
        <v>165</v>
      </c>
      <c r="G1603" t="s">
        <v>165</v>
      </c>
      <c r="H1603" t="s">
        <v>92</v>
      </c>
      <c r="I1603" t="s">
        <v>442</v>
      </c>
      <c r="J1603" t="s">
        <v>442</v>
      </c>
      <c r="K1603" s="4">
        <v>448.04</v>
      </c>
      <c r="L1603" s="4">
        <v>448.04</v>
      </c>
      <c r="M1603" t="s">
        <v>166</v>
      </c>
      <c r="N1603" t="s">
        <v>77</v>
      </c>
      <c r="O1603" t="s">
        <v>86</v>
      </c>
      <c r="P1603" t="s">
        <v>170</v>
      </c>
      <c r="Q1603" t="s">
        <v>86</v>
      </c>
      <c r="R1603" t="s">
        <v>86</v>
      </c>
      <c r="S1603" t="s">
        <v>167</v>
      </c>
      <c r="T1603" t="s">
        <v>167</v>
      </c>
      <c r="U1603" t="s">
        <v>168</v>
      </c>
      <c r="V1603" t="s">
        <v>169</v>
      </c>
      <c r="W1603" t="s">
        <v>77</v>
      </c>
      <c r="X1603" t="s">
        <v>44</v>
      </c>
      <c r="Y1603" t="s">
        <v>99</v>
      </c>
      <c r="Z1603" t="s">
        <v>421</v>
      </c>
      <c r="AC1603" t="str">
        <f>IF(AA1603="",M1603,AA1603)</f>
        <v>não</v>
      </c>
      <c r="AD1603" t="str">
        <f>IF(AB1603="",X1603,AB1603)</f>
        <v>sim</v>
      </c>
      <c r="AE1603" t="str">
        <f>IF(OR(Configuracao!B9="",Configuracao!B10=""),"aguardando limiar",IF(AND(K1603&gt;=Configuracao!B9,K1603/MAX(Reconciliacao!C2,1)&gt;=Configuracao!B10/100),"sim","não"))</f>
        <v>aguardando limiar</v>
      </c>
    </row>
    <row r="1604" spans="1:31" x14ac:dyDescent="0.25">
      <c r="A1604">
        <v>18155</v>
      </c>
      <c r="C1604" t="s">
        <v>1293</v>
      </c>
      <c r="D1604" t="s">
        <v>1090</v>
      </c>
      <c r="E1604" t="s">
        <v>474</v>
      </c>
      <c r="F1604" t="s">
        <v>165</v>
      </c>
      <c r="G1604" t="s">
        <v>165</v>
      </c>
      <c r="H1604" t="s">
        <v>92</v>
      </c>
      <c r="I1604" t="s">
        <v>35</v>
      </c>
      <c r="J1604" t="s">
        <v>35</v>
      </c>
      <c r="K1604" s="4">
        <v>452.24</v>
      </c>
      <c r="L1604" s="4">
        <v>452.24</v>
      </c>
      <c r="M1604" t="s">
        <v>166</v>
      </c>
      <c r="N1604" t="s">
        <v>77</v>
      </c>
      <c r="O1604" t="s">
        <v>86</v>
      </c>
      <c r="P1604" t="s">
        <v>170</v>
      </c>
      <c r="Q1604" t="s">
        <v>86</v>
      </c>
      <c r="R1604" t="s">
        <v>86</v>
      </c>
      <c r="S1604" t="s">
        <v>167</v>
      </c>
      <c r="T1604" t="s">
        <v>167</v>
      </c>
      <c r="U1604" t="s">
        <v>168</v>
      </c>
      <c r="V1604" t="s">
        <v>169</v>
      </c>
      <c r="W1604" t="s">
        <v>77</v>
      </c>
      <c r="X1604" t="s">
        <v>44</v>
      </c>
      <c r="Y1604" t="s">
        <v>99</v>
      </c>
      <c r="Z1604" t="s">
        <v>421</v>
      </c>
      <c r="AC1604" t="str">
        <f>IF(AA1604="",M1604,AA1604)</f>
        <v>não</v>
      </c>
      <c r="AD1604" t="str">
        <f>IF(AB1604="",X1604,AB1604)</f>
        <v>sim</v>
      </c>
      <c r="AE1604" t="str">
        <f>IF(OR(Configuracao!B9="",Configuracao!B10=""),"aguardando limiar",IF(AND(K1604&gt;=Configuracao!B9,K1604/MAX(Reconciliacao!C2,1)&gt;=Configuracao!B10/100),"sim","não"))</f>
        <v>aguardando limiar</v>
      </c>
    </row>
    <row r="1605" spans="1:31" x14ac:dyDescent="0.25">
      <c r="A1605">
        <v>18827</v>
      </c>
      <c r="C1605" t="s">
        <v>1294</v>
      </c>
      <c r="D1605" t="s">
        <v>1295</v>
      </c>
      <c r="E1605" t="s">
        <v>474</v>
      </c>
      <c r="F1605" t="s">
        <v>165</v>
      </c>
      <c r="G1605" t="s">
        <v>165</v>
      </c>
      <c r="H1605" t="s">
        <v>92</v>
      </c>
      <c r="I1605" t="s">
        <v>35</v>
      </c>
      <c r="J1605" t="s">
        <v>35</v>
      </c>
      <c r="K1605" s="4">
        <v>474.02</v>
      </c>
      <c r="L1605" s="4">
        <v>474.02</v>
      </c>
      <c r="M1605" t="s">
        <v>166</v>
      </c>
      <c r="N1605" t="s">
        <v>77</v>
      </c>
      <c r="O1605" t="s">
        <v>86</v>
      </c>
      <c r="P1605" t="s">
        <v>170</v>
      </c>
      <c r="Q1605" t="s">
        <v>86</v>
      </c>
      <c r="R1605" t="s">
        <v>86</v>
      </c>
      <c r="S1605" t="s">
        <v>167</v>
      </c>
      <c r="T1605" t="s">
        <v>167</v>
      </c>
      <c r="U1605" t="s">
        <v>168</v>
      </c>
      <c r="V1605" t="s">
        <v>169</v>
      </c>
      <c r="W1605" t="s">
        <v>77</v>
      </c>
      <c r="X1605" t="s">
        <v>44</v>
      </c>
      <c r="Y1605" t="s">
        <v>99</v>
      </c>
      <c r="Z1605" t="s">
        <v>421</v>
      </c>
      <c r="AC1605" t="str">
        <f>IF(AA1605="",M1605,AA1605)</f>
        <v>não</v>
      </c>
      <c r="AD1605" t="str">
        <f>IF(AB1605="",X1605,AB1605)</f>
        <v>sim</v>
      </c>
      <c r="AE1605" t="str">
        <f>IF(OR(Configuracao!B9="",Configuracao!B10=""),"aguardando limiar",IF(AND(K1605&gt;=Configuracao!B9,K1605/MAX(Reconciliacao!C2,1)&gt;=Configuracao!B10/100),"sim","não"))</f>
        <v>aguardando limiar</v>
      </c>
    </row>
    <row r="1606" spans="1:31" x14ac:dyDescent="0.25">
      <c r="A1606">
        <v>7835</v>
      </c>
      <c r="C1606" t="s">
        <v>1247</v>
      </c>
      <c r="D1606" t="s">
        <v>734</v>
      </c>
      <c r="E1606" t="s">
        <v>474</v>
      </c>
      <c r="F1606" t="s">
        <v>165</v>
      </c>
      <c r="G1606" t="s">
        <v>165</v>
      </c>
      <c r="H1606" t="s">
        <v>92</v>
      </c>
      <c r="I1606" t="s">
        <v>454</v>
      </c>
      <c r="J1606" t="s">
        <v>454</v>
      </c>
      <c r="K1606" s="4">
        <v>479.58</v>
      </c>
      <c r="L1606" s="4">
        <v>479.58</v>
      </c>
      <c r="M1606" t="s">
        <v>166</v>
      </c>
      <c r="N1606" t="s">
        <v>77</v>
      </c>
      <c r="O1606" t="s">
        <v>86</v>
      </c>
      <c r="P1606" t="s">
        <v>170</v>
      </c>
      <c r="Q1606" t="s">
        <v>86</v>
      </c>
      <c r="R1606" t="s">
        <v>86</v>
      </c>
      <c r="S1606" t="s">
        <v>167</v>
      </c>
      <c r="T1606" t="s">
        <v>167</v>
      </c>
      <c r="U1606" t="s">
        <v>168</v>
      </c>
      <c r="V1606" t="s">
        <v>169</v>
      </c>
      <c r="W1606" t="s">
        <v>77</v>
      </c>
      <c r="X1606" t="s">
        <v>44</v>
      </c>
      <c r="Y1606" t="s">
        <v>99</v>
      </c>
      <c r="Z1606" t="s">
        <v>421</v>
      </c>
      <c r="AC1606" t="str">
        <f>IF(AA1606="",M1606,AA1606)</f>
        <v>não</v>
      </c>
      <c r="AD1606" t="str">
        <f>IF(AB1606="",X1606,AB1606)</f>
        <v>sim</v>
      </c>
      <c r="AE1606" t="str">
        <f>IF(OR(Configuracao!B9="",Configuracao!B10=""),"aguardando limiar",IF(AND(K1606&gt;=Configuracao!B9,K1606/MAX(Reconciliacao!C2,1)&gt;=Configuracao!B10/100),"sim","não"))</f>
        <v>aguardando limiar</v>
      </c>
    </row>
    <row r="1607" spans="1:31" x14ac:dyDescent="0.25">
      <c r="A1607">
        <v>7834</v>
      </c>
      <c r="C1607" t="s">
        <v>1247</v>
      </c>
      <c r="D1607" t="s">
        <v>734</v>
      </c>
      <c r="E1607" t="s">
        <v>474</v>
      </c>
      <c r="F1607" t="s">
        <v>165</v>
      </c>
      <c r="G1607" t="s">
        <v>165</v>
      </c>
      <c r="H1607" t="s">
        <v>92</v>
      </c>
      <c r="I1607" t="s">
        <v>420</v>
      </c>
      <c r="J1607" t="s">
        <v>420</v>
      </c>
      <c r="K1607" s="4">
        <v>484.88</v>
      </c>
      <c r="L1607" s="4">
        <v>484.88</v>
      </c>
      <c r="M1607" t="s">
        <v>166</v>
      </c>
      <c r="N1607" t="s">
        <v>77</v>
      </c>
      <c r="O1607" t="s">
        <v>86</v>
      </c>
      <c r="P1607" t="s">
        <v>170</v>
      </c>
      <c r="Q1607" t="s">
        <v>86</v>
      </c>
      <c r="R1607" t="s">
        <v>86</v>
      </c>
      <c r="S1607" t="s">
        <v>167</v>
      </c>
      <c r="T1607" t="s">
        <v>167</v>
      </c>
      <c r="U1607" t="s">
        <v>168</v>
      </c>
      <c r="V1607" t="s">
        <v>169</v>
      </c>
      <c r="W1607" t="s">
        <v>77</v>
      </c>
      <c r="X1607" t="s">
        <v>44</v>
      </c>
      <c r="Y1607" t="s">
        <v>99</v>
      </c>
      <c r="Z1607" t="s">
        <v>421</v>
      </c>
      <c r="AC1607" t="str">
        <f>IF(AA1607="",M1607,AA1607)</f>
        <v>não</v>
      </c>
      <c r="AD1607" t="str">
        <f>IF(AB1607="",X1607,AB1607)</f>
        <v>sim</v>
      </c>
      <c r="AE1607" t="str">
        <f>IF(OR(Configuracao!B9="",Configuracao!B10=""),"aguardando limiar",IF(AND(K1607&gt;=Configuracao!B9,K1607/MAX(Reconciliacao!C2,1)&gt;=Configuracao!B10/100),"sim","não"))</f>
        <v>aguardando limiar</v>
      </c>
    </row>
    <row r="1608" spans="1:31" x14ac:dyDescent="0.25">
      <c r="A1608">
        <v>12699</v>
      </c>
      <c r="C1608" t="s">
        <v>1296</v>
      </c>
      <c r="D1608" t="s">
        <v>1288</v>
      </c>
      <c r="E1608" t="s">
        <v>471</v>
      </c>
      <c r="F1608" t="s">
        <v>165</v>
      </c>
      <c r="G1608" t="s">
        <v>165</v>
      </c>
      <c r="H1608" t="s">
        <v>92</v>
      </c>
      <c r="I1608" t="s">
        <v>420</v>
      </c>
      <c r="J1608" t="s">
        <v>420</v>
      </c>
      <c r="K1608" s="4">
        <v>493.62</v>
      </c>
      <c r="L1608" s="4">
        <v>493.62</v>
      </c>
      <c r="M1608" t="s">
        <v>166</v>
      </c>
      <c r="N1608" t="s">
        <v>77</v>
      </c>
      <c r="O1608" t="s">
        <v>86</v>
      </c>
      <c r="P1608" t="s">
        <v>170</v>
      </c>
      <c r="Q1608" t="s">
        <v>86</v>
      </c>
      <c r="R1608" t="s">
        <v>86</v>
      </c>
      <c r="S1608" t="s">
        <v>167</v>
      </c>
      <c r="T1608" t="s">
        <v>167</v>
      </c>
      <c r="U1608" t="s">
        <v>168</v>
      </c>
      <c r="V1608" t="s">
        <v>169</v>
      </c>
      <c r="W1608" t="s">
        <v>77</v>
      </c>
      <c r="X1608" t="s">
        <v>44</v>
      </c>
      <c r="Y1608" t="s">
        <v>99</v>
      </c>
      <c r="Z1608" t="s">
        <v>421</v>
      </c>
      <c r="AC1608" t="str">
        <f>IF(AA1608="",M1608,AA1608)</f>
        <v>não</v>
      </c>
      <c r="AD1608" t="str">
        <f>IF(AB1608="",X1608,AB1608)</f>
        <v>sim</v>
      </c>
      <c r="AE1608" t="str">
        <f>IF(OR(Configuracao!B9="",Configuracao!B10=""),"aguardando limiar",IF(AND(K1608&gt;=Configuracao!B9,K1608/MAX(Reconciliacao!C2,1)&gt;=Configuracao!B10/100),"sim","não"))</f>
        <v>aguardando limiar</v>
      </c>
    </row>
    <row r="1609" spans="1:31" x14ac:dyDescent="0.25">
      <c r="A1609">
        <v>14908</v>
      </c>
      <c r="C1609" t="s">
        <v>1297</v>
      </c>
      <c r="D1609" t="s">
        <v>1298</v>
      </c>
      <c r="E1609" t="s">
        <v>474</v>
      </c>
      <c r="F1609" t="s">
        <v>165</v>
      </c>
      <c r="G1609" t="s">
        <v>165</v>
      </c>
      <c r="H1609" t="s">
        <v>92</v>
      </c>
      <c r="I1609" t="s">
        <v>454</v>
      </c>
      <c r="J1609" t="s">
        <v>454</v>
      </c>
      <c r="K1609" s="4">
        <v>494.5</v>
      </c>
      <c r="L1609" s="4">
        <v>494.5</v>
      </c>
      <c r="M1609" t="s">
        <v>166</v>
      </c>
      <c r="N1609" t="s">
        <v>77</v>
      </c>
      <c r="O1609" t="s">
        <v>86</v>
      </c>
      <c r="P1609" t="s">
        <v>170</v>
      </c>
      <c r="Q1609" t="s">
        <v>86</v>
      </c>
      <c r="R1609" t="s">
        <v>86</v>
      </c>
      <c r="S1609" t="s">
        <v>167</v>
      </c>
      <c r="T1609" t="s">
        <v>167</v>
      </c>
      <c r="U1609" t="s">
        <v>168</v>
      </c>
      <c r="V1609" t="s">
        <v>169</v>
      </c>
      <c r="W1609" t="s">
        <v>77</v>
      </c>
      <c r="X1609" t="s">
        <v>44</v>
      </c>
      <c r="Y1609" t="s">
        <v>99</v>
      </c>
      <c r="Z1609" t="s">
        <v>421</v>
      </c>
      <c r="AC1609" t="str">
        <f>IF(AA1609="",M1609,AA1609)</f>
        <v>não</v>
      </c>
      <c r="AD1609" t="str">
        <f>IF(AB1609="",X1609,AB1609)</f>
        <v>sim</v>
      </c>
      <c r="AE1609" t="str">
        <f>IF(OR(Configuracao!B9="",Configuracao!B10=""),"aguardando limiar",IF(AND(K1609&gt;=Configuracao!B9,K1609/MAX(Reconciliacao!C2,1)&gt;=Configuracao!B10/100),"sim","não"))</f>
        <v>aguardando limiar</v>
      </c>
    </row>
    <row r="1610" spans="1:31" x14ac:dyDescent="0.25">
      <c r="A1610">
        <v>10304</v>
      </c>
      <c r="C1610" t="s">
        <v>1279</v>
      </c>
      <c r="D1610" t="s">
        <v>1299</v>
      </c>
      <c r="E1610" t="s">
        <v>474</v>
      </c>
      <c r="F1610" t="s">
        <v>165</v>
      </c>
      <c r="G1610" t="s">
        <v>165</v>
      </c>
      <c r="H1610" t="s">
        <v>92</v>
      </c>
      <c r="I1610" t="s">
        <v>32</v>
      </c>
      <c r="J1610" t="s">
        <v>32</v>
      </c>
      <c r="K1610" s="4">
        <v>502.44</v>
      </c>
      <c r="L1610" s="4">
        <v>502.44</v>
      </c>
      <c r="M1610" t="s">
        <v>166</v>
      </c>
      <c r="N1610" t="s">
        <v>77</v>
      </c>
      <c r="O1610" t="s">
        <v>86</v>
      </c>
      <c r="P1610" t="s">
        <v>170</v>
      </c>
      <c r="Q1610" t="s">
        <v>86</v>
      </c>
      <c r="R1610" t="s">
        <v>86</v>
      </c>
      <c r="S1610" t="s">
        <v>167</v>
      </c>
      <c r="T1610" t="s">
        <v>167</v>
      </c>
      <c r="U1610" t="s">
        <v>168</v>
      </c>
      <c r="V1610" t="s">
        <v>169</v>
      </c>
      <c r="W1610" t="s">
        <v>77</v>
      </c>
      <c r="X1610" t="s">
        <v>44</v>
      </c>
      <c r="Y1610" t="s">
        <v>99</v>
      </c>
      <c r="Z1610" t="s">
        <v>421</v>
      </c>
      <c r="AC1610" t="str">
        <f>IF(AA1610="",M1610,AA1610)</f>
        <v>não</v>
      </c>
      <c r="AD1610" t="str">
        <f>IF(AB1610="",X1610,AB1610)</f>
        <v>sim</v>
      </c>
      <c r="AE1610" t="str">
        <f>IF(OR(Configuracao!B9="",Configuracao!B10=""),"aguardando limiar",IF(AND(K1610&gt;=Configuracao!B9,K1610/MAX(Reconciliacao!C2,1)&gt;=Configuracao!B10/100),"sim","não"))</f>
        <v>aguardando limiar</v>
      </c>
    </row>
    <row r="1611" spans="1:31" x14ac:dyDescent="0.25">
      <c r="A1611">
        <v>7112</v>
      </c>
      <c r="C1611" t="s">
        <v>1300</v>
      </c>
      <c r="D1611" t="s">
        <v>1290</v>
      </c>
      <c r="E1611" t="s">
        <v>474</v>
      </c>
      <c r="F1611" t="s">
        <v>165</v>
      </c>
      <c r="G1611" t="s">
        <v>165</v>
      </c>
      <c r="H1611" t="s">
        <v>92</v>
      </c>
      <c r="I1611" t="s">
        <v>32</v>
      </c>
      <c r="J1611" t="s">
        <v>32</v>
      </c>
      <c r="K1611" s="4">
        <v>508.35</v>
      </c>
      <c r="L1611" s="4">
        <v>508.35</v>
      </c>
      <c r="M1611" t="s">
        <v>166</v>
      </c>
      <c r="N1611" t="s">
        <v>77</v>
      </c>
      <c r="O1611" t="s">
        <v>86</v>
      </c>
      <c r="P1611" t="s">
        <v>170</v>
      </c>
      <c r="Q1611" t="s">
        <v>86</v>
      </c>
      <c r="R1611" t="s">
        <v>86</v>
      </c>
      <c r="S1611" t="s">
        <v>167</v>
      </c>
      <c r="T1611" t="s">
        <v>167</v>
      </c>
      <c r="U1611" t="s">
        <v>168</v>
      </c>
      <c r="V1611" t="s">
        <v>169</v>
      </c>
      <c r="W1611" t="s">
        <v>77</v>
      </c>
      <c r="X1611" t="s">
        <v>44</v>
      </c>
      <c r="Y1611" t="s">
        <v>99</v>
      </c>
      <c r="Z1611" t="s">
        <v>421</v>
      </c>
      <c r="AC1611" t="str">
        <f>IF(AA1611="",M1611,AA1611)</f>
        <v>não</v>
      </c>
      <c r="AD1611" t="str">
        <f>IF(AB1611="",X1611,AB1611)</f>
        <v>sim</v>
      </c>
      <c r="AE1611" t="str">
        <f>IF(OR(Configuracao!B9="",Configuracao!B10=""),"aguardando limiar",IF(AND(K1611&gt;=Configuracao!B9,K1611/MAX(Reconciliacao!C2,1)&gt;=Configuracao!B10/100),"sim","não"))</f>
        <v>aguardando limiar</v>
      </c>
    </row>
    <row r="1612" spans="1:31" x14ac:dyDescent="0.25">
      <c r="A1612">
        <v>7113</v>
      </c>
      <c r="C1612" t="s">
        <v>1300</v>
      </c>
      <c r="D1612" t="s">
        <v>1290</v>
      </c>
      <c r="E1612" t="s">
        <v>474</v>
      </c>
      <c r="F1612" t="s">
        <v>165</v>
      </c>
      <c r="G1612" t="s">
        <v>165</v>
      </c>
      <c r="H1612" t="s">
        <v>92</v>
      </c>
      <c r="I1612" t="s">
        <v>424</v>
      </c>
      <c r="J1612" t="s">
        <v>424</v>
      </c>
      <c r="K1612" s="4">
        <v>508.35</v>
      </c>
      <c r="L1612" s="4">
        <v>508.35</v>
      </c>
      <c r="M1612" t="s">
        <v>166</v>
      </c>
      <c r="N1612" t="s">
        <v>77</v>
      </c>
      <c r="O1612" t="s">
        <v>86</v>
      </c>
      <c r="P1612" t="s">
        <v>170</v>
      </c>
      <c r="Q1612" t="s">
        <v>86</v>
      </c>
      <c r="R1612" t="s">
        <v>86</v>
      </c>
      <c r="S1612" t="s">
        <v>167</v>
      </c>
      <c r="T1612" t="s">
        <v>167</v>
      </c>
      <c r="U1612" t="s">
        <v>168</v>
      </c>
      <c r="V1612" t="s">
        <v>169</v>
      </c>
      <c r="W1612" t="s">
        <v>77</v>
      </c>
      <c r="X1612" t="s">
        <v>44</v>
      </c>
      <c r="Y1612" t="s">
        <v>99</v>
      </c>
      <c r="Z1612" t="s">
        <v>421</v>
      </c>
      <c r="AC1612" t="str">
        <f>IF(AA1612="",M1612,AA1612)</f>
        <v>não</v>
      </c>
      <c r="AD1612" t="str">
        <f>IF(AB1612="",X1612,AB1612)</f>
        <v>sim</v>
      </c>
      <c r="AE1612" t="str">
        <f>IF(OR(Configuracao!B9="",Configuracao!B10=""),"aguardando limiar",IF(AND(K1612&gt;=Configuracao!B9,K1612/MAX(Reconciliacao!C2,1)&gt;=Configuracao!B10/100),"sim","não"))</f>
        <v>aguardando limiar</v>
      </c>
    </row>
    <row r="1613" spans="1:31" x14ac:dyDescent="0.25">
      <c r="A1613">
        <v>7114</v>
      </c>
      <c r="C1613" t="s">
        <v>1300</v>
      </c>
      <c r="D1613" t="s">
        <v>1290</v>
      </c>
      <c r="E1613" t="s">
        <v>474</v>
      </c>
      <c r="F1613" t="s">
        <v>165</v>
      </c>
      <c r="G1613" t="s">
        <v>165</v>
      </c>
      <c r="H1613" t="s">
        <v>92</v>
      </c>
      <c r="I1613" t="s">
        <v>420</v>
      </c>
      <c r="J1613" t="s">
        <v>420</v>
      </c>
      <c r="K1613" s="4">
        <v>508.35</v>
      </c>
      <c r="L1613" s="4">
        <v>508.35</v>
      </c>
      <c r="M1613" t="s">
        <v>166</v>
      </c>
      <c r="N1613" t="s">
        <v>77</v>
      </c>
      <c r="O1613" t="s">
        <v>86</v>
      </c>
      <c r="P1613" t="s">
        <v>170</v>
      </c>
      <c r="Q1613" t="s">
        <v>86</v>
      </c>
      <c r="R1613" t="s">
        <v>86</v>
      </c>
      <c r="S1613" t="s">
        <v>167</v>
      </c>
      <c r="T1613" t="s">
        <v>167</v>
      </c>
      <c r="U1613" t="s">
        <v>168</v>
      </c>
      <c r="V1613" t="s">
        <v>169</v>
      </c>
      <c r="W1613" t="s">
        <v>77</v>
      </c>
      <c r="X1613" t="s">
        <v>44</v>
      </c>
      <c r="Y1613" t="s">
        <v>99</v>
      </c>
      <c r="Z1613" t="s">
        <v>421</v>
      </c>
      <c r="AC1613" t="str">
        <f>IF(AA1613="",M1613,AA1613)</f>
        <v>não</v>
      </c>
      <c r="AD1613" t="str">
        <f>IF(AB1613="",X1613,AB1613)</f>
        <v>sim</v>
      </c>
      <c r="AE1613" t="str">
        <f>IF(OR(Configuracao!B9="",Configuracao!B10=""),"aguardando limiar",IF(AND(K1613&gt;=Configuracao!B9,K1613/MAX(Reconciliacao!C2,1)&gt;=Configuracao!B10/100),"sim","não"))</f>
        <v>aguardando limiar</v>
      </c>
    </row>
    <row r="1614" spans="1:31" x14ac:dyDescent="0.25">
      <c r="A1614">
        <v>7115</v>
      </c>
      <c r="C1614" t="s">
        <v>1300</v>
      </c>
      <c r="D1614" t="s">
        <v>1290</v>
      </c>
      <c r="E1614" t="s">
        <v>474</v>
      </c>
      <c r="F1614" t="s">
        <v>165</v>
      </c>
      <c r="G1614" t="s">
        <v>165</v>
      </c>
      <c r="H1614" t="s">
        <v>92</v>
      </c>
      <c r="I1614" t="s">
        <v>454</v>
      </c>
      <c r="J1614" t="s">
        <v>454</v>
      </c>
      <c r="K1614" s="4">
        <v>508.35</v>
      </c>
      <c r="L1614" s="4">
        <v>508.35</v>
      </c>
      <c r="M1614" t="s">
        <v>166</v>
      </c>
      <c r="N1614" t="s">
        <v>77</v>
      </c>
      <c r="O1614" t="s">
        <v>86</v>
      </c>
      <c r="P1614" t="s">
        <v>170</v>
      </c>
      <c r="Q1614" t="s">
        <v>86</v>
      </c>
      <c r="R1614" t="s">
        <v>86</v>
      </c>
      <c r="S1614" t="s">
        <v>167</v>
      </c>
      <c r="T1614" t="s">
        <v>167</v>
      </c>
      <c r="U1614" t="s">
        <v>168</v>
      </c>
      <c r="V1614" t="s">
        <v>169</v>
      </c>
      <c r="W1614" t="s">
        <v>77</v>
      </c>
      <c r="X1614" t="s">
        <v>44</v>
      </c>
      <c r="Y1614" t="s">
        <v>99</v>
      </c>
      <c r="Z1614" t="s">
        <v>421</v>
      </c>
      <c r="AC1614" t="str">
        <f>IF(AA1614="",M1614,AA1614)</f>
        <v>não</v>
      </c>
      <c r="AD1614" t="str">
        <f>IF(AB1614="",X1614,AB1614)</f>
        <v>sim</v>
      </c>
      <c r="AE1614" t="str">
        <f>IF(OR(Configuracao!B9="",Configuracao!B10=""),"aguardando limiar",IF(AND(K1614&gt;=Configuracao!B9,K1614/MAX(Reconciliacao!C2,1)&gt;=Configuracao!B10/100),"sim","não"))</f>
        <v>aguardando limiar</v>
      </c>
    </row>
    <row r="1615" spans="1:31" x14ac:dyDescent="0.25">
      <c r="A1615">
        <v>7116</v>
      </c>
      <c r="C1615" t="s">
        <v>1300</v>
      </c>
      <c r="D1615" t="s">
        <v>1290</v>
      </c>
      <c r="E1615" t="s">
        <v>474</v>
      </c>
      <c r="F1615" t="s">
        <v>165</v>
      </c>
      <c r="G1615" t="s">
        <v>165</v>
      </c>
      <c r="H1615" t="s">
        <v>92</v>
      </c>
      <c r="I1615" t="s">
        <v>461</v>
      </c>
      <c r="J1615" t="s">
        <v>461</v>
      </c>
      <c r="K1615" s="4">
        <v>508.35</v>
      </c>
      <c r="L1615" s="4">
        <v>508.35</v>
      </c>
      <c r="M1615" t="s">
        <v>166</v>
      </c>
      <c r="N1615" t="s">
        <v>77</v>
      </c>
      <c r="O1615" t="s">
        <v>86</v>
      </c>
      <c r="P1615" t="s">
        <v>170</v>
      </c>
      <c r="Q1615" t="s">
        <v>86</v>
      </c>
      <c r="R1615" t="s">
        <v>86</v>
      </c>
      <c r="S1615" t="s">
        <v>167</v>
      </c>
      <c r="T1615" t="s">
        <v>167</v>
      </c>
      <c r="U1615" t="s">
        <v>168</v>
      </c>
      <c r="V1615" t="s">
        <v>169</v>
      </c>
      <c r="W1615" t="s">
        <v>77</v>
      </c>
      <c r="X1615" t="s">
        <v>44</v>
      </c>
      <c r="Y1615" t="s">
        <v>99</v>
      </c>
      <c r="Z1615" t="s">
        <v>421</v>
      </c>
      <c r="AC1615" t="str">
        <f>IF(AA1615="",M1615,AA1615)</f>
        <v>não</v>
      </c>
      <c r="AD1615" t="str">
        <f>IF(AB1615="",X1615,AB1615)</f>
        <v>sim</v>
      </c>
      <c r="AE1615" t="str">
        <f>IF(OR(Configuracao!B9="",Configuracao!B10=""),"aguardando limiar",IF(AND(K1615&gt;=Configuracao!B9,K1615/MAX(Reconciliacao!C2,1)&gt;=Configuracao!B10/100),"sim","não"))</f>
        <v>aguardando limiar</v>
      </c>
    </row>
    <row r="1616" spans="1:31" x14ac:dyDescent="0.25">
      <c r="A1616">
        <v>7117</v>
      </c>
      <c r="C1616" t="s">
        <v>1300</v>
      </c>
      <c r="D1616" t="s">
        <v>1290</v>
      </c>
      <c r="E1616" t="s">
        <v>474</v>
      </c>
      <c r="F1616" t="s">
        <v>165</v>
      </c>
      <c r="G1616" t="s">
        <v>165</v>
      </c>
      <c r="H1616" t="s">
        <v>92</v>
      </c>
      <c r="I1616" t="s">
        <v>442</v>
      </c>
      <c r="J1616" t="s">
        <v>442</v>
      </c>
      <c r="K1616" s="4">
        <v>518.26</v>
      </c>
      <c r="L1616" s="4">
        <v>518.26</v>
      </c>
      <c r="M1616" t="s">
        <v>166</v>
      </c>
      <c r="N1616" t="s">
        <v>77</v>
      </c>
      <c r="O1616" t="s">
        <v>86</v>
      </c>
      <c r="P1616" t="s">
        <v>170</v>
      </c>
      <c r="Q1616" t="s">
        <v>86</v>
      </c>
      <c r="R1616" t="s">
        <v>86</v>
      </c>
      <c r="S1616" t="s">
        <v>167</v>
      </c>
      <c r="T1616" t="s">
        <v>167</v>
      </c>
      <c r="U1616" t="s">
        <v>168</v>
      </c>
      <c r="V1616" t="s">
        <v>169</v>
      </c>
      <c r="W1616" t="s">
        <v>77</v>
      </c>
      <c r="X1616" t="s">
        <v>44</v>
      </c>
      <c r="Y1616" t="s">
        <v>99</v>
      </c>
      <c r="Z1616" t="s">
        <v>421</v>
      </c>
      <c r="AC1616" t="str">
        <f>IF(AA1616="",M1616,AA1616)</f>
        <v>não</v>
      </c>
      <c r="AD1616" t="str">
        <f>IF(AB1616="",X1616,AB1616)</f>
        <v>sim</v>
      </c>
      <c r="AE1616" t="str">
        <f>IF(OR(Configuracao!B9="",Configuracao!B10=""),"aguardando limiar",IF(AND(K1616&gt;=Configuracao!B9,K1616/MAX(Reconciliacao!C2,1)&gt;=Configuracao!B10/100),"sim","não"))</f>
        <v>aguardando limiar</v>
      </c>
    </row>
    <row r="1617" spans="1:31" x14ac:dyDescent="0.25">
      <c r="A1617">
        <v>7118</v>
      </c>
      <c r="C1617" t="s">
        <v>1300</v>
      </c>
      <c r="D1617" t="s">
        <v>1290</v>
      </c>
      <c r="E1617" t="s">
        <v>474</v>
      </c>
      <c r="F1617" t="s">
        <v>165</v>
      </c>
      <c r="G1617" t="s">
        <v>165</v>
      </c>
      <c r="H1617" t="s">
        <v>92</v>
      </c>
      <c r="I1617" t="s">
        <v>439</v>
      </c>
      <c r="J1617" t="s">
        <v>439</v>
      </c>
      <c r="K1617" s="4">
        <v>518.26</v>
      </c>
      <c r="L1617" s="4">
        <v>518.26</v>
      </c>
      <c r="M1617" t="s">
        <v>166</v>
      </c>
      <c r="N1617" t="s">
        <v>77</v>
      </c>
      <c r="O1617" t="s">
        <v>86</v>
      </c>
      <c r="P1617" t="s">
        <v>170</v>
      </c>
      <c r="Q1617" t="s">
        <v>86</v>
      </c>
      <c r="R1617" t="s">
        <v>86</v>
      </c>
      <c r="S1617" t="s">
        <v>167</v>
      </c>
      <c r="T1617" t="s">
        <v>167</v>
      </c>
      <c r="U1617" t="s">
        <v>168</v>
      </c>
      <c r="V1617" t="s">
        <v>169</v>
      </c>
      <c r="W1617" t="s">
        <v>77</v>
      </c>
      <c r="X1617" t="s">
        <v>44</v>
      </c>
      <c r="Y1617" t="s">
        <v>99</v>
      </c>
      <c r="Z1617" t="s">
        <v>421</v>
      </c>
      <c r="AC1617" t="str">
        <f>IF(AA1617="",M1617,AA1617)</f>
        <v>não</v>
      </c>
      <c r="AD1617" t="str">
        <f>IF(AB1617="",X1617,AB1617)</f>
        <v>sim</v>
      </c>
      <c r="AE1617" t="str">
        <f>IF(OR(Configuracao!B9="",Configuracao!B10=""),"aguardando limiar",IF(AND(K1617&gt;=Configuracao!B9,K1617/MAX(Reconciliacao!C2,1)&gt;=Configuracao!B10/100),"sim","não"))</f>
        <v>aguardando limiar</v>
      </c>
    </row>
    <row r="1618" spans="1:31" x14ac:dyDescent="0.25">
      <c r="A1618">
        <v>7119</v>
      </c>
      <c r="C1618" t="s">
        <v>1300</v>
      </c>
      <c r="D1618" t="s">
        <v>1290</v>
      </c>
      <c r="E1618" t="s">
        <v>474</v>
      </c>
      <c r="F1618" t="s">
        <v>165</v>
      </c>
      <c r="G1618" t="s">
        <v>165</v>
      </c>
      <c r="H1618" t="s">
        <v>92</v>
      </c>
      <c r="I1618" t="s">
        <v>35</v>
      </c>
      <c r="J1618" t="s">
        <v>35</v>
      </c>
      <c r="K1618" s="4">
        <v>518.26</v>
      </c>
      <c r="L1618" s="4">
        <v>518.26</v>
      </c>
      <c r="M1618" t="s">
        <v>166</v>
      </c>
      <c r="N1618" t="s">
        <v>77</v>
      </c>
      <c r="O1618" t="s">
        <v>86</v>
      </c>
      <c r="P1618" t="s">
        <v>170</v>
      </c>
      <c r="Q1618" t="s">
        <v>86</v>
      </c>
      <c r="R1618" t="s">
        <v>86</v>
      </c>
      <c r="S1618" t="s">
        <v>167</v>
      </c>
      <c r="T1618" t="s">
        <v>167</v>
      </c>
      <c r="U1618" t="s">
        <v>168</v>
      </c>
      <c r="V1618" t="s">
        <v>169</v>
      </c>
      <c r="W1618" t="s">
        <v>77</v>
      </c>
      <c r="X1618" t="s">
        <v>44</v>
      </c>
      <c r="Y1618" t="s">
        <v>99</v>
      </c>
      <c r="Z1618" t="s">
        <v>421</v>
      </c>
      <c r="AC1618" t="str">
        <f>IF(AA1618="",M1618,AA1618)</f>
        <v>não</v>
      </c>
      <c r="AD1618" t="str">
        <f>IF(AB1618="",X1618,AB1618)</f>
        <v>sim</v>
      </c>
      <c r="AE1618" t="str">
        <f>IF(OR(Configuracao!B9="",Configuracao!B10=""),"aguardando limiar",IF(AND(K1618&gt;=Configuracao!B9,K1618/MAX(Reconciliacao!C2,1)&gt;=Configuracao!B10/100),"sim","não"))</f>
        <v>aguardando limiar</v>
      </c>
    </row>
    <row r="1619" spans="1:31" x14ac:dyDescent="0.25">
      <c r="A1619">
        <v>16095</v>
      </c>
      <c r="C1619" t="s">
        <v>1274</v>
      </c>
      <c r="D1619" t="s">
        <v>1275</v>
      </c>
      <c r="E1619" t="s">
        <v>474</v>
      </c>
      <c r="F1619" t="s">
        <v>165</v>
      </c>
      <c r="G1619" t="s">
        <v>165</v>
      </c>
      <c r="H1619" t="s">
        <v>92</v>
      </c>
      <c r="I1619" t="s">
        <v>420</v>
      </c>
      <c r="J1619" t="s">
        <v>420</v>
      </c>
      <c r="K1619" s="4">
        <v>524.52</v>
      </c>
      <c r="L1619" s="4">
        <v>524.52</v>
      </c>
      <c r="M1619" t="s">
        <v>166</v>
      </c>
      <c r="N1619" t="s">
        <v>77</v>
      </c>
      <c r="O1619" t="s">
        <v>86</v>
      </c>
      <c r="P1619" t="s">
        <v>170</v>
      </c>
      <c r="Q1619" t="s">
        <v>86</v>
      </c>
      <c r="R1619" t="s">
        <v>86</v>
      </c>
      <c r="S1619" t="s">
        <v>167</v>
      </c>
      <c r="T1619" t="s">
        <v>167</v>
      </c>
      <c r="U1619" t="s">
        <v>168</v>
      </c>
      <c r="V1619" t="s">
        <v>169</v>
      </c>
      <c r="W1619" t="s">
        <v>77</v>
      </c>
      <c r="X1619" t="s">
        <v>166</v>
      </c>
      <c r="Y1619" t="s">
        <v>741</v>
      </c>
      <c r="Z1619" t="s">
        <v>434</v>
      </c>
      <c r="AC1619" t="str">
        <f>IF(AA1619="",M1619,AA1619)</f>
        <v>não</v>
      </c>
      <c r="AD1619" t="str">
        <f>IF(AB1619="",X1619,AB1619)</f>
        <v>não</v>
      </c>
      <c r="AE1619" t="str">
        <f>IF(OR(Configuracao!B9="",Configuracao!B10=""),"aguardando limiar",IF(AND(K1619&gt;=Configuracao!B9,K1619/MAX(Reconciliacao!C2,1)&gt;=Configuracao!B10/100),"sim","não"))</f>
        <v>aguardando limiar</v>
      </c>
    </row>
    <row r="1620" spans="1:31" x14ac:dyDescent="0.25">
      <c r="A1620">
        <v>18828</v>
      </c>
      <c r="C1620" t="s">
        <v>1301</v>
      </c>
      <c r="D1620" t="s">
        <v>798</v>
      </c>
      <c r="E1620" t="s">
        <v>474</v>
      </c>
      <c r="F1620" t="s">
        <v>165</v>
      </c>
      <c r="G1620" t="s">
        <v>165</v>
      </c>
      <c r="H1620" t="s">
        <v>92</v>
      </c>
      <c r="I1620" t="s">
        <v>35</v>
      </c>
      <c r="J1620" t="s">
        <v>35</v>
      </c>
      <c r="K1620" s="4">
        <v>526.46</v>
      </c>
      <c r="L1620" s="4">
        <v>539.43</v>
      </c>
      <c r="M1620" t="s">
        <v>166</v>
      </c>
      <c r="N1620" t="s">
        <v>77</v>
      </c>
      <c r="O1620" t="s">
        <v>86</v>
      </c>
      <c r="P1620" t="s">
        <v>170</v>
      </c>
      <c r="Q1620" t="s">
        <v>86</v>
      </c>
      <c r="R1620" t="s">
        <v>86</v>
      </c>
      <c r="S1620" t="s">
        <v>167</v>
      </c>
      <c r="T1620" t="s">
        <v>167</v>
      </c>
      <c r="U1620" t="s">
        <v>168</v>
      </c>
      <c r="V1620" t="s">
        <v>169</v>
      </c>
      <c r="W1620" t="s">
        <v>77</v>
      </c>
      <c r="X1620" t="s">
        <v>44</v>
      </c>
      <c r="Y1620" t="s">
        <v>99</v>
      </c>
      <c r="Z1620" t="s">
        <v>421</v>
      </c>
      <c r="AC1620" t="str">
        <f>IF(AA1620="",M1620,AA1620)</f>
        <v>não</v>
      </c>
      <c r="AD1620" t="str">
        <f>IF(AB1620="",X1620,AB1620)</f>
        <v>sim</v>
      </c>
      <c r="AE1620" t="str">
        <f>IF(OR(Configuracao!B9="",Configuracao!B10=""),"aguardando limiar",IF(AND(K1620&gt;=Configuracao!B9,K1620/MAX(Reconciliacao!C2,1)&gt;=Configuracao!B10/100),"sim","não"))</f>
        <v>aguardando limiar</v>
      </c>
    </row>
    <row r="1621" spans="1:31" x14ac:dyDescent="0.25">
      <c r="A1621">
        <v>18619</v>
      </c>
      <c r="C1621" t="s">
        <v>1302</v>
      </c>
      <c r="D1621" t="s">
        <v>1280</v>
      </c>
      <c r="E1621" t="s">
        <v>474</v>
      </c>
      <c r="F1621" t="s">
        <v>165</v>
      </c>
      <c r="G1621" t="s">
        <v>165</v>
      </c>
      <c r="H1621" t="s">
        <v>92</v>
      </c>
      <c r="I1621" t="s">
        <v>35</v>
      </c>
      <c r="J1621" t="s">
        <v>35</v>
      </c>
      <c r="K1621" s="4">
        <v>564.73</v>
      </c>
      <c r="L1621" s="4">
        <v>564.73</v>
      </c>
      <c r="M1621" t="s">
        <v>166</v>
      </c>
      <c r="N1621" t="s">
        <v>77</v>
      </c>
      <c r="O1621" t="s">
        <v>86</v>
      </c>
      <c r="P1621" t="s">
        <v>170</v>
      </c>
      <c r="Q1621" t="s">
        <v>86</v>
      </c>
      <c r="R1621" t="s">
        <v>86</v>
      </c>
      <c r="S1621" t="s">
        <v>167</v>
      </c>
      <c r="T1621" t="s">
        <v>167</v>
      </c>
      <c r="U1621" t="s">
        <v>168</v>
      </c>
      <c r="V1621" t="s">
        <v>169</v>
      </c>
      <c r="W1621" t="s">
        <v>77</v>
      </c>
      <c r="X1621" t="s">
        <v>166</v>
      </c>
      <c r="Y1621" t="s">
        <v>1303</v>
      </c>
      <c r="Z1621" t="s">
        <v>434</v>
      </c>
      <c r="AC1621" t="str">
        <f>IF(AA1621="",M1621,AA1621)</f>
        <v>não</v>
      </c>
      <c r="AD1621" t="str">
        <f>IF(AB1621="",X1621,AB1621)</f>
        <v>não</v>
      </c>
      <c r="AE1621" t="str">
        <f>IF(OR(Configuracao!B9="",Configuracao!B10=""),"aguardando limiar",IF(AND(K1621&gt;=Configuracao!B9,K1621/MAX(Reconciliacao!C2,1)&gt;=Configuracao!B10/100),"sim","não"))</f>
        <v>aguardando limiar</v>
      </c>
    </row>
    <row r="1622" spans="1:31" x14ac:dyDescent="0.25">
      <c r="A1622">
        <v>17516</v>
      </c>
      <c r="C1622" t="s">
        <v>1304</v>
      </c>
      <c r="D1622" t="s">
        <v>1305</v>
      </c>
      <c r="E1622" t="s">
        <v>474</v>
      </c>
      <c r="F1622" t="s">
        <v>165</v>
      </c>
      <c r="G1622" t="s">
        <v>165</v>
      </c>
      <c r="H1622" t="s">
        <v>92</v>
      </c>
      <c r="I1622" t="s">
        <v>442</v>
      </c>
      <c r="J1622" t="s">
        <v>442</v>
      </c>
      <c r="K1622" s="4">
        <v>570.45</v>
      </c>
      <c r="L1622" s="4">
        <v>570.45</v>
      </c>
      <c r="M1622" t="s">
        <v>166</v>
      </c>
      <c r="N1622" t="s">
        <v>77</v>
      </c>
      <c r="O1622" t="s">
        <v>86</v>
      </c>
      <c r="P1622" t="s">
        <v>170</v>
      </c>
      <c r="Q1622" t="s">
        <v>86</v>
      </c>
      <c r="R1622" t="s">
        <v>86</v>
      </c>
      <c r="S1622" t="s">
        <v>167</v>
      </c>
      <c r="T1622" t="s">
        <v>167</v>
      </c>
      <c r="U1622" t="s">
        <v>168</v>
      </c>
      <c r="V1622" t="s">
        <v>169</v>
      </c>
      <c r="W1622" t="s">
        <v>77</v>
      </c>
      <c r="X1622" t="s">
        <v>44</v>
      </c>
      <c r="Y1622" t="s">
        <v>99</v>
      </c>
      <c r="Z1622" t="s">
        <v>421</v>
      </c>
      <c r="AC1622" t="str">
        <f>IF(AA1622="",M1622,AA1622)</f>
        <v>não</v>
      </c>
      <c r="AD1622" t="str">
        <f>IF(AB1622="",X1622,AB1622)</f>
        <v>sim</v>
      </c>
      <c r="AE1622" t="str">
        <f>IF(OR(Configuracao!B9="",Configuracao!B10=""),"aguardando limiar",IF(AND(K1622&gt;=Configuracao!B9,K1622/MAX(Reconciliacao!C2,1)&gt;=Configuracao!B10/100),"sim","não"))</f>
        <v>aguardando limiar</v>
      </c>
    </row>
    <row r="1623" spans="1:31" x14ac:dyDescent="0.25">
      <c r="A1623">
        <v>7836</v>
      </c>
      <c r="C1623" t="s">
        <v>1247</v>
      </c>
      <c r="D1623" t="s">
        <v>734</v>
      </c>
      <c r="E1623" t="s">
        <v>474</v>
      </c>
      <c r="F1623" t="s">
        <v>165</v>
      </c>
      <c r="G1623" t="s">
        <v>165</v>
      </c>
      <c r="H1623" t="s">
        <v>92</v>
      </c>
      <c r="I1623" t="s">
        <v>461</v>
      </c>
      <c r="J1623" t="s">
        <v>461</v>
      </c>
      <c r="K1623" s="4">
        <v>621.12</v>
      </c>
      <c r="L1623" s="4">
        <v>621.12</v>
      </c>
      <c r="M1623" t="s">
        <v>166</v>
      </c>
      <c r="N1623" t="s">
        <v>77</v>
      </c>
      <c r="O1623" t="s">
        <v>86</v>
      </c>
      <c r="P1623" t="s">
        <v>170</v>
      </c>
      <c r="Q1623" t="s">
        <v>86</v>
      </c>
      <c r="R1623" t="s">
        <v>86</v>
      </c>
      <c r="S1623" t="s">
        <v>167</v>
      </c>
      <c r="T1623" t="s">
        <v>167</v>
      </c>
      <c r="U1623" t="s">
        <v>168</v>
      </c>
      <c r="V1623" t="s">
        <v>169</v>
      </c>
      <c r="W1623" t="s">
        <v>77</v>
      </c>
      <c r="X1623" t="s">
        <v>44</v>
      </c>
      <c r="Y1623" t="s">
        <v>99</v>
      </c>
      <c r="Z1623" t="s">
        <v>421</v>
      </c>
      <c r="AC1623" t="str">
        <f>IF(AA1623="",M1623,AA1623)</f>
        <v>não</v>
      </c>
      <c r="AD1623" t="str">
        <f>IF(AB1623="",X1623,AB1623)</f>
        <v>sim</v>
      </c>
      <c r="AE1623" t="str">
        <f>IF(OR(Configuracao!B9="",Configuracao!B10=""),"aguardando limiar",IF(AND(K1623&gt;=Configuracao!B9,K1623/MAX(Reconciliacao!C2,1)&gt;=Configuracao!B10/100),"sim","não"))</f>
        <v>aguardando limiar</v>
      </c>
    </row>
    <row r="1624" spans="1:31" x14ac:dyDescent="0.25">
      <c r="A1624">
        <v>12153</v>
      </c>
      <c r="C1624" t="s">
        <v>1255</v>
      </c>
      <c r="D1624" t="s">
        <v>436</v>
      </c>
      <c r="E1624" t="s">
        <v>474</v>
      </c>
      <c r="F1624" t="s">
        <v>165</v>
      </c>
      <c r="G1624" t="s">
        <v>165</v>
      </c>
      <c r="H1624" t="s">
        <v>92</v>
      </c>
      <c r="I1624" t="s">
        <v>420</v>
      </c>
      <c r="J1624" t="s">
        <v>420</v>
      </c>
      <c r="K1624" s="4">
        <v>667.36</v>
      </c>
      <c r="L1624" s="4">
        <v>667.36</v>
      </c>
      <c r="M1624" t="s">
        <v>166</v>
      </c>
      <c r="N1624" t="s">
        <v>77</v>
      </c>
      <c r="O1624" t="s">
        <v>86</v>
      </c>
      <c r="P1624" t="s">
        <v>170</v>
      </c>
      <c r="Q1624" t="s">
        <v>86</v>
      </c>
      <c r="R1624" t="s">
        <v>86</v>
      </c>
      <c r="S1624" t="s">
        <v>167</v>
      </c>
      <c r="T1624" t="s">
        <v>167</v>
      </c>
      <c r="U1624" t="s">
        <v>168</v>
      </c>
      <c r="V1624" t="s">
        <v>169</v>
      </c>
      <c r="W1624" t="s">
        <v>77</v>
      </c>
      <c r="X1624" t="s">
        <v>44</v>
      </c>
      <c r="Y1624" t="s">
        <v>99</v>
      </c>
      <c r="Z1624" t="s">
        <v>421</v>
      </c>
      <c r="AC1624" t="str">
        <f>IF(AA1624="",M1624,AA1624)</f>
        <v>não</v>
      </c>
      <c r="AD1624" t="str">
        <f>IF(AB1624="",X1624,AB1624)</f>
        <v>sim</v>
      </c>
      <c r="AE1624" t="str">
        <f>IF(OR(Configuracao!B9="",Configuracao!B10=""),"aguardando limiar",IF(AND(K1624&gt;=Configuracao!B9,K1624/MAX(Reconciliacao!C2,1)&gt;=Configuracao!B10/100),"sim","não"))</f>
        <v>aguardando limiar</v>
      </c>
    </row>
    <row r="1625" spans="1:31" x14ac:dyDescent="0.25">
      <c r="A1625">
        <v>12154</v>
      </c>
      <c r="C1625" t="s">
        <v>1256</v>
      </c>
      <c r="D1625" t="s">
        <v>436</v>
      </c>
      <c r="E1625" t="s">
        <v>474</v>
      </c>
      <c r="F1625" t="s">
        <v>165</v>
      </c>
      <c r="G1625" t="s">
        <v>165</v>
      </c>
      <c r="H1625" t="s">
        <v>92</v>
      </c>
      <c r="I1625" t="s">
        <v>454</v>
      </c>
      <c r="J1625" t="s">
        <v>454</v>
      </c>
      <c r="K1625" s="4">
        <v>676.15</v>
      </c>
      <c r="L1625" s="4">
        <v>676.15</v>
      </c>
      <c r="M1625" t="s">
        <v>166</v>
      </c>
      <c r="N1625" t="s">
        <v>77</v>
      </c>
      <c r="O1625" t="s">
        <v>86</v>
      </c>
      <c r="P1625" t="s">
        <v>170</v>
      </c>
      <c r="Q1625" t="s">
        <v>86</v>
      </c>
      <c r="R1625" t="s">
        <v>86</v>
      </c>
      <c r="S1625" t="s">
        <v>167</v>
      </c>
      <c r="T1625" t="s">
        <v>167</v>
      </c>
      <c r="U1625" t="s">
        <v>168</v>
      </c>
      <c r="V1625" t="s">
        <v>169</v>
      </c>
      <c r="W1625" t="s">
        <v>77</v>
      </c>
      <c r="X1625" t="s">
        <v>44</v>
      </c>
      <c r="Y1625" t="s">
        <v>99</v>
      </c>
      <c r="Z1625" t="s">
        <v>421</v>
      </c>
      <c r="AC1625" t="str">
        <f>IF(AA1625="",M1625,AA1625)</f>
        <v>não</v>
      </c>
      <c r="AD1625" t="str">
        <f>IF(AB1625="",X1625,AB1625)</f>
        <v>sim</v>
      </c>
      <c r="AE1625" t="str">
        <f>IF(OR(Configuracao!B9="",Configuracao!B10=""),"aguardando limiar",IF(AND(K1625&gt;=Configuracao!B9,K1625/MAX(Reconciliacao!C2,1)&gt;=Configuracao!B10/100),"sim","não"))</f>
        <v>aguardando limiar</v>
      </c>
    </row>
    <row r="1626" spans="1:31" x14ac:dyDescent="0.25">
      <c r="A1626">
        <v>12639</v>
      </c>
      <c r="C1626" t="s">
        <v>1306</v>
      </c>
      <c r="D1626" t="s">
        <v>450</v>
      </c>
      <c r="E1626" t="s">
        <v>471</v>
      </c>
      <c r="F1626" t="s">
        <v>165</v>
      </c>
      <c r="G1626" t="s">
        <v>165</v>
      </c>
      <c r="H1626" t="s">
        <v>92</v>
      </c>
      <c r="I1626" t="s">
        <v>420</v>
      </c>
      <c r="J1626" t="s">
        <v>420</v>
      </c>
      <c r="K1626" s="4">
        <v>680</v>
      </c>
      <c r="L1626" s="4">
        <v>680</v>
      </c>
      <c r="M1626" t="s">
        <v>166</v>
      </c>
      <c r="N1626" t="s">
        <v>77</v>
      </c>
      <c r="O1626" t="s">
        <v>86</v>
      </c>
      <c r="P1626" t="s">
        <v>170</v>
      </c>
      <c r="Q1626" t="s">
        <v>86</v>
      </c>
      <c r="R1626" t="s">
        <v>86</v>
      </c>
      <c r="S1626" t="s">
        <v>167</v>
      </c>
      <c r="T1626" t="s">
        <v>167</v>
      </c>
      <c r="U1626" t="s">
        <v>168</v>
      </c>
      <c r="V1626" t="s">
        <v>169</v>
      </c>
      <c r="W1626" t="s">
        <v>77</v>
      </c>
      <c r="X1626" t="s">
        <v>44</v>
      </c>
      <c r="Y1626" t="s">
        <v>99</v>
      </c>
      <c r="Z1626" t="s">
        <v>421</v>
      </c>
      <c r="AC1626" t="str">
        <f>IF(AA1626="",M1626,AA1626)</f>
        <v>não</v>
      </c>
      <c r="AD1626" t="str">
        <f>IF(AB1626="",X1626,AB1626)</f>
        <v>sim</v>
      </c>
      <c r="AE1626" t="str">
        <f>IF(OR(Configuracao!B9="",Configuracao!B10=""),"aguardando limiar",IF(AND(K1626&gt;=Configuracao!B9,K1626/MAX(Reconciliacao!C2,1)&gt;=Configuracao!B10/100),"sim","não"))</f>
        <v>aguardando limiar</v>
      </c>
    </row>
    <row r="1627" spans="1:31" x14ac:dyDescent="0.25">
      <c r="A1627">
        <v>12155</v>
      </c>
      <c r="C1627" t="s">
        <v>1257</v>
      </c>
      <c r="D1627" t="s">
        <v>436</v>
      </c>
      <c r="E1627" t="s">
        <v>474</v>
      </c>
      <c r="F1627" t="s">
        <v>165</v>
      </c>
      <c r="G1627" t="s">
        <v>165</v>
      </c>
      <c r="H1627" t="s">
        <v>92</v>
      </c>
      <c r="I1627" t="s">
        <v>461</v>
      </c>
      <c r="J1627" t="s">
        <v>461</v>
      </c>
      <c r="K1627" s="4">
        <v>684.06</v>
      </c>
      <c r="L1627" s="4">
        <v>684.06</v>
      </c>
      <c r="M1627" t="s">
        <v>166</v>
      </c>
      <c r="N1627" t="s">
        <v>77</v>
      </c>
      <c r="O1627" t="s">
        <v>86</v>
      </c>
      <c r="P1627" t="s">
        <v>170</v>
      </c>
      <c r="Q1627" t="s">
        <v>86</v>
      </c>
      <c r="R1627" t="s">
        <v>86</v>
      </c>
      <c r="S1627" t="s">
        <v>167</v>
      </c>
      <c r="T1627" t="s">
        <v>167</v>
      </c>
      <c r="U1627" t="s">
        <v>168</v>
      </c>
      <c r="V1627" t="s">
        <v>169</v>
      </c>
      <c r="W1627" t="s">
        <v>77</v>
      </c>
      <c r="X1627" t="s">
        <v>44</v>
      </c>
      <c r="Y1627" t="s">
        <v>99</v>
      </c>
      <c r="Z1627" t="s">
        <v>421</v>
      </c>
      <c r="AC1627" t="str">
        <f>IF(AA1627="",M1627,AA1627)</f>
        <v>não</v>
      </c>
      <c r="AD1627" t="str">
        <f>IF(AB1627="",X1627,AB1627)</f>
        <v>sim</v>
      </c>
      <c r="AE1627" t="str">
        <f>IF(OR(Configuracao!B9="",Configuracao!B10=""),"aguardando limiar",IF(AND(K1627&gt;=Configuracao!B9,K1627/MAX(Reconciliacao!C2,1)&gt;=Configuracao!B10/100),"sim","não"))</f>
        <v>aguardando limiar</v>
      </c>
    </row>
    <row r="1628" spans="1:31" x14ac:dyDescent="0.25">
      <c r="A1628">
        <v>12156</v>
      </c>
      <c r="C1628" t="s">
        <v>1258</v>
      </c>
      <c r="D1628" t="s">
        <v>436</v>
      </c>
      <c r="E1628" t="s">
        <v>474</v>
      </c>
      <c r="F1628" t="s">
        <v>165</v>
      </c>
      <c r="G1628" t="s">
        <v>165</v>
      </c>
      <c r="H1628" t="s">
        <v>92</v>
      </c>
      <c r="I1628" t="s">
        <v>442</v>
      </c>
      <c r="J1628" t="s">
        <v>442</v>
      </c>
      <c r="K1628" s="4">
        <v>691.83</v>
      </c>
      <c r="L1628" s="4">
        <v>691.83</v>
      </c>
      <c r="M1628" t="s">
        <v>166</v>
      </c>
      <c r="N1628" t="s">
        <v>77</v>
      </c>
      <c r="O1628" t="s">
        <v>86</v>
      </c>
      <c r="P1628" t="s">
        <v>170</v>
      </c>
      <c r="Q1628" t="s">
        <v>86</v>
      </c>
      <c r="R1628" t="s">
        <v>86</v>
      </c>
      <c r="S1628" t="s">
        <v>167</v>
      </c>
      <c r="T1628" t="s">
        <v>167</v>
      </c>
      <c r="U1628" t="s">
        <v>168</v>
      </c>
      <c r="V1628" t="s">
        <v>169</v>
      </c>
      <c r="W1628" t="s">
        <v>77</v>
      </c>
      <c r="X1628" t="s">
        <v>44</v>
      </c>
      <c r="Y1628" t="s">
        <v>99</v>
      </c>
      <c r="Z1628" t="s">
        <v>421</v>
      </c>
      <c r="AC1628" t="str">
        <f>IF(AA1628="",M1628,AA1628)</f>
        <v>não</v>
      </c>
      <c r="AD1628" t="str">
        <f>IF(AB1628="",X1628,AB1628)</f>
        <v>sim</v>
      </c>
      <c r="AE1628" t="str">
        <f>IF(OR(Configuracao!B9="",Configuracao!B10=""),"aguardando limiar",IF(AND(K1628&gt;=Configuracao!B9,K1628/MAX(Reconciliacao!C2,1)&gt;=Configuracao!B10/100),"sim","não"))</f>
        <v>aguardando limiar</v>
      </c>
    </row>
    <row r="1629" spans="1:31" x14ac:dyDescent="0.25">
      <c r="A1629">
        <v>12177</v>
      </c>
      <c r="C1629" t="s">
        <v>1307</v>
      </c>
      <c r="D1629" t="s">
        <v>1298</v>
      </c>
      <c r="E1629" t="s">
        <v>474</v>
      </c>
      <c r="F1629" t="s">
        <v>165</v>
      </c>
      <c r="G1629" t="s">
        <v>165</v>
      </c>
      <c r="H1629" t="s">
        <v>92</v>
      </c>
      <c r="I1629" t="s">
        <v>424</v>
      </c>
      <c r="J1629" t="s">
        <v>424</v>
      </c>
      <c r="K1629" s="4">
        <v>703.61</v>
      </c>
      <c r="L1629" s="4">
        <v>703.61</v>
      </c>
      <c r="M1629" t="s">
        <v>166</v>
      </c>
      <c r="N1629" t="s">
        <v>77</v>
      </c>
      <c r="O1629" t="s">
        <v>86</v>
      </c>
      <c r="P1629" t="s">
        <v>170</v>
      </c>
      <c r="Q1629" t="s">
        <v>86</v>
      </c>
      <c r="R1629" t="s">
        <v>86</v>
      </c>
      <c r="S1629" t="s">
        <v>167</v>
      </c>
      <c r="T1629" t="s">
        <v>167</v>
      </c>
      <c r="U1629" t="s">
        <v>168</v>
      </c>
      <c r="V1629" t="s">
        <v>169</v>
      </c>
      <c r="W1629" t="s">
        <v>77</v>
      </c>
      <c r="X1629" t="s">
        <v>44</v>
      </c>
      <c r="Y1629" t="s">
        <v>99</v>
      </c>
      <c r="Z1629" t="s">
        <v>421</v>
      </c>
      <c r="AC1629" t="str">
        <f>IF(AA1629="",M1629,AA1629)</f>
        <v>não</v>
      </c>
      <c r="AD1629" t="str">
        <f>IF(AB1629="",X1629,AB1629)</f>
        <v>sim</v>
      </c>
      <c r="AE1629" t="str">
        <f>IF(OR(Configuracao!B9="",Configuracao!B10=""),"aguardando limiar",IF(AND(K1629&gt;=Configuracao!B9,K1629/MAX(Reconciliacao!C2,1)&gt;=Configuracao!B10/100),"sim","não"))</f>
        <v>aguardando limiar</v>
      </c>
    </row>
    <row r="1630" spans="1:31" x14ac:dyDescent="0.25">
      <c r="A1630">
        <v>14942</v>
      </c>
      <c r="C1630" t="s">
        <v>1308</v>
      </c>
      <c r="D1630" t="s">
        <v>1309</v>
      </c>
      <c r="E1630" t="s">
        <v>471</v>
      </c>
      <c r="F1630" t="s">
        <v>165</v>
      </c>
      <c r="G1630" t="s">
        <v>165</v>
      </c>
      <c r="H1630" t="s">
        <v>92</v>
      </c>
      <c r="I1630" t="s">
        <v>454</v>
      </c>
      <c r="J1630" t="s">
        <v>454</v>
      </c>
      <c r="K1630" s="4">
        <v>715</v>
      </c>
      <c r="L1630" s="4">
        <v>715</v>
      </c>
      <c r="M1630" t="s">
        <v>166</v>
      </c>
      <c r="N1630" t="s">
        <v>77</v>
      </c>
      <c r="O1630" t="s">
        <v>86</v>
      </c>
      <c r="P1630" t="s">
        <v>170</v>
      </c>
      <c r="Q1630" t="s">
        <v>86</v>
      </c>
      <c r="R1630" t="s">
        <v>86</v>
      </c>
      <c r="S1630" t="s">
        <v>167</v>
      </c>
      <c r="T1630" t="s">
        <v>167</v>
      </c>
      <c r="U1630" t="s">
        <v>168</v>
      </c>
      <c r="V1630" t="s">
        <v>169</v>
      </c>
      <c r="W1630" t="s">
        <v>77</v>
      </c>
      <c r="X1630" t="s">
        <v>44</v>
      </c>
      <c r="Y1630" t="s">
        <v>99</v>
      </c>
      <c r="Z1630" t="s">
        <v>421</v>
      </c>
      <c r="AC1630" t="str">
        <f>IF(AA1630="",M1630,AA1630)</f>
        <v>não</v>
      </c>
      <c r="AD1630" t="str">
        <f>IF(AB1630="",X1630,AB1630)</f>
        <v>sim</v>
      </c>
      <c r="AE1630" t="str">
        <f>IF(OR(Configuracao!B9="",Configuracao!B10=""),"aguardando limiar",IF(AND(K1630&gt;=Configuracao!B9,K1630/MAX(Reconciliacao!C2,1)&gt;=Configuracao!B10/100),"sim","não"))</f>
        <v>aguardando limiar</v>
      </c>
    </row>
    <row r="1631" spans="1:31" x14ac:dyDescent="0.25">
      <c r="A1631">
        <v>18958</v>
      </c>
      <c r="C1631" t="s">
        <v>1310</v>
      </c>
      <c r="D1631" t="s">
        <v>510</v>
      </c>
      <c r="E1631" t="s">
        <v>486</v>
      </c>
      <c r="F1631" t="s">
        <v>165</v>
      </c>
      <c r="G1631" t="s">
        <v>165</v>
      </c>
      <c r="H1631" t="s">
        <v>92</v>
      </c>
      <c r="I1631" t="s">
        <v>35</v>
      </c>
      <c r="J1631" t="s">
        <v>35</v>
      </c>
      <c r="K1631" s="4">
        <v>741</v>
      </c>
      <c r="L1631" s="4">
        <v>741</v>
      </c>
      <c r="M1631" t="s">
        <v>166</v>
      </c>
      <c r="N1631" t="s">
        <v>77</v>
      </c>
      <c r="O1631" t="s">
        <v>86</v>
      </c>
      <c r="P1631" t="s">
        <v>170</v>
      </c>
      <c r="Q1631" t="s">
        <v>86</v>
      </c>
      <c r="R1631" t="s">
        <v>86</v>
      </c>
      <c r="S1631" t="s">
        <v>167</v>
      </c>
      <c r="T1631" t="s">
        <v>167</v>
      </c>
      <c r="U1631" t="s">
        <v>168</v>
      </c>
      <c r="V1631" t="s">
        <v>169</v>
      </c>
      <c r="W1631" t="s">
        <v>77</v>
      </c>
      <c r="X1631" t="s">
        <v>44</v>
      </c>
      <c r="Y1631" t="s">
        <v>99</v>
      </c>
      <c r="Z1631" t="s">
        <v>421</v>
      </c>
      <c r="AC1631" t="str">
        <f>IF(AA1631="",M1631,AA1631)</f>
        <v>não</v>
      </c>
      <c r="AD1631" t="str">
        <f>IF(AB1631="",X1631,AB1631)</f>
        <v>sim</v>
      </c>
      <c r="AE1631" t="str">
        <f>IF(OR(Configuracao!B9="",Configuracao!B10=""),"aguardando limiar",IF(AND(K1631&gt;=Configuracao!B9,K1631/MAX(Reconciliacao!C2,1)&gt;=Configuracao!B10/100),"sim","não"))</f>
        <v>aguardando limiar</v>
      </c>
    </row>
    <row r="1632" spans="1:31" x14ac:dyDescent="0.25">
      <c r="A1632">
        <v>7083</v>
      </c>
      <c r="C1632" t="s">
        <v>1289</v>
      </c>
      <c r="D1632" t="s">
        <v>1290</v>
      </c>
      <c r="E1632" t="s">
        <v>471</v>
      </c>
      <c r="F1632" t="s">
        <v>165</v>
      </c>
      <c r="G1632" t="s">
        <v>165</v>
      </c>
      <c r="H1632" t="s">
        <v>92</v>
      </c>
      <c r="I1632" t="s">
        <v>32</v>
      </c>
      <c r="J1632" t="s">
        <v>32</v>
      </c>
      <c r="K1632" s="4">
        <v>742.34</v>
      </c>
      <c r="L1632" s="4">
        <v>742.34</v>
      </c>
      <c r="M1632" t="s">
        <v>166</v>
      </c>
      <c r="N1632" t="s">
        <v>77</v>
      </c>
      <c r="O1632" t="s">
        <v>86</v>
      </c>
      <c r="P1632" t="s">
        <v>170</v>
      </c>
      <c r="Q1632" t="s">
        <v>86</v>
      </c>
      <c r="R1632" t="s">
        <v>86</v>
      </c>
      <c r="S1632" t="s">
        <v>167</v>
      </c>
      <c r="T1632" t="s">
        <v>167</v>
      </c>
      <c r="U1632" t="s">
        <v>168</v>
      </c>
      <c r="V1632" t="s">
        <v>169</v>
      </c>
      <c r="W1632" t="s">
        <v>77</v>
      </c>
      <c r="X1632" t="s">
        <v>44</v>
      </c>
      <c r="Y1632" t="s">
        <v>99</v>
      </c>
      <c r="Z1632" t="s">
        <v>421</v>
      </c>
      <c r="AC1632" t="str">
        <f>IF(AA1632="",M1632,AA1632)</f>
        <v>não</v>
      </c>
      <c r="AD1632" t="str">
        <f>IF(AB1632="",X1632,AB1632)</f>
        <v>sim</v>
      </c>
      <c r="AE1632" t="str">
        <f>IF(OR(Configuracao!B9="",Configuracao!B10=""),"aguardando limiar",IF(AND(K1632&gt;=Configuracao!B9,K1632/MAX(Reconciliacao!C2,1)&gt;=Configuracao!B10/100),"sim","não"))</f>
        <v>aguardando limiar</v>
      </c>
    </row>
    <row r="1633" spans="1:31" x14ac:dyDescent="0.25">
      <c r="A1633">
        <v>7084</v>
      </c>
      <c r="C1633" t="s">
        <v>1289</v>
      </c>
      <c r="D1633" t="s">
        <v>1290</v>
      </c>
      <c r="E1633" t="s">
        <v>471</v>
      </c>
      <c r="F1633" t="s">
        <v>165</v>
      </c>
      <c r="G1633" t="s">
        <v>165</v>
      </c>
      <c r="H1633" t="s">
        <v>92</v>
      </c>
      <c r="I1633" t="s">
        <v>424</v>
      </c>
      <c r="J1633" t="s">
        <v>424</v>
      </c>
      <c r="K1633" s="4">
        <v>742.34</v>
      </c>
      <c r="L1633" s="4">
        <v>742.34</v>
      </c>
      <c r="M1633" t="s">
        <v>166</v>
      </c>
      <c r="N1633" t="s">
        <v>77</v>
      </c>
      <c r="O1633" t="s">
        <v>86</v>
      </c>
      <c r="P1633" t="s">
        <v>170</v>
      </c>
      <c r="Q1633" t="s">
        <v>86</v>
      </c>
      <c r="R1633" t="s">
        <v>86</v>
      </c>
      <c r="S1633" t="s">
        <v>167</v>
      </c>
      <c r="T1633" t="s">
        <v>167</v>
      </c>
      <c r="U1633" t="s">
        <v>168</v>
      </c>
      <c r="V1633" t="s">
        <v>169</v>
      </c>
      <c r="W1633" t="s">
        <v>77</v>
      </c>
      <c r="X1633" t="s">
        <v>44</v>
      </c>
      <c r="Y1633" t="s">
        <v>99</v>
      </c>
      <c r="Z1633" t="s">
        <v>421</v>
      </c>
      <c r="AC1633" t="str">
        <f>IF(AA1633="",M1633,AA1633)</f>
        <v>não</v>
      </c>
      <c r="AD1633" t="str">
        <f>IF(AB1633="",X1633,AB1633)</f>
        <v>sim</v>
      </c>
      <c r="AE1633" t="str">
        <f>IF(OR(Configuracao!B9="",Configuracao!B10=""),"aguardando limiar",IF(AND(K1633&gt;=Configuracao!B9,K1633/MAX(Reconciliacao!C2,1)&gt;=Configuracao!B10/100),"sim","não"))</f>
        <v>aguardando limiar</v>
      </c>
    </row>
    <row r="1634" spans="1:31" x14ac:dyDescent="0.25">
      <c r="A1634">
        <v>7085</v>
      </c>
      <c r="C1634" t="s">
        <v>1289</v>
      </c>
      <c r="D1634" t="s">
        <v>1290</v>
      </c>
      <c r="E1634" t="s">
        <v>471</v>
      </c>
      <c r="F1634" t="s">
        <v>165</v>
      </c>
      <c r="G1634" t="s">
        <v>165</v>
      </c>
      <c r="H1634" t="s">
        <v>92</v>
      </c>
      <c r="I1634" t="s">
        <v>420</v>
      </c>
      <c r="J1634" t="s">
        <v>420</v>
      </c>
      <c r="K1634" s="4">
        <v>742.34</v>
      </c>
      <c r="L1634" s="4">
        <v>742.34</v>
      </c>
      <c r="M1634" t="s">
        <v>166</v>
      </c>
      <c r="N1634" t="s">
        <v>77</v>
      </c>
      <c r="O1634" t="s">
        <v>86</v>
      </c>
      <c r="P1634" t="s">
        <v>170</v>
      </c>
      <c r="Q1634" t="s">
        <v>86</v>
      </c>
      <c r="R1634" t="s">
        <v>86</v>
      </c>
      <c r="S1634" t="s">
        <v>167</v>
      </c>
      <c r="T1634" t="s">
        <v>167</v>
      </c>
      <c r="U1634" t="s">
        <v>168</v>
      </c>
      <c r="V1634" t="s">
        <v>169</v>
      </c>
      <c r="W1634" t="s">
        <v>77</v>
      </c>
      <c r="X1634" t="s">
        <v>44</v>
      </c>
      <c r="Y1634" t="s">
        <v>99</v>
      </c>
      <c r="Z1634" t="s">
        <v>421</v>
      </c>
      <c r="AC1634" t="str">
        <f>IF(AA1634="",M1634,AA1634)</f>
        <v>não</v>
      </c>
      <c r="AD1634" t="str">
        <f>IF(AB1634="",X1634,AB1634)</f>
        <v>sim</v>
      </c>
      <c r="AE1634" t="str">
        <f>IF(OR(Configuracao!B9="",Configuracao!B10=""),"aguardando limiar",IF(AND(K1634&gt;=Configuracao!B9,K1634/MAX(Reconciliacao!C2,1)&gt;=Configuracao!B10/100),"sim","não"))</f>
        <v>aguardando limiar</v>
      </c>
    </row>
    <row r="1635" spans="1:31" x14ac:dyDescent="0.25">
      <c r="A1635">
        <v>16619</v>
      </c>
      <c r="C1635" t="s">
        <v>1311</v>
      </c>
      <c r="D1635" t="s">
        <v>1275</v>
      </c>
      <c r="E1635" t="s">
        <v>474</v>
      </c>
      <c r="F1635" t="s">
        <v>165</v>
      </c>
      <c r="G1635" t="s">
        <v>165</v>
      </c>
      <c r="H1635" t="s">
        <v>92</v>
      </c>
      <c r="I1635" t="s">
        <v>454</v>
      </c>
      <c r="J1635" t="s">
        <v>454</v>
      </c>
      <c r="K1635" s="4">
        <v>788.76</v>
      </c>
      <c r="L1635" s="4">
        <v>788.76</v>
      </c>
      <c r="M1635" t="s">
        <v>166</v>
      </c>
      <c r="N1635" t="s">
        <v>77</v>
      </c>
      <c r="O1635" t="s">
        <v>86</v>
      </c>
      <c r="P1635" t="s">
        <v>170</v>
      </c>
      <c r="Q1635" t="s">
        <v>86</v>
      </c>
      <c r="R1635" t="s">
        <v>86</v>
      </c>
      <c r="S1635" t="s">
        <v>167</v>
      </c>
      <c r="T1635" t="s">
        <v>167</v>
      </c>
      <c r="U1635" t="s">
        <v>168</v>
      </c>
      <c r="V1635" t="s">
        <v>169</v>
      </c>
      <c r="W1635" t="s">
        <v>77</v>
      </c>
      <c r="X1635" t="s">
        <v>166</v>
      </c>
      <c r="Y1635" t="s">
        <v>741</v>
      </c>
      <c r="Z1635" t="s">
        <v>434</v>
      </c>
      <c r="AC1635" t="str">
        <f>IF(AA1635="",M1635,AA1635)</f>
        <v>não</v>
      </c>
      <c r="AD1635" t="str">
        <f>IF(AB1635="",X1635,AB1635)</f>
        <v>não</v>
      </c>
      <c r="AE1635" t="str">
        <f>IF(OR(Configuracao!B9="",Configuracao!B10=""),"aguardando limiar",IF(AND(K1635&gt;=Configuracao!B9,K1635/MAX(Reconciliacao!C2,1)&gt;=Configuracao!B10/100),"sim","não"))</f>
        <v>aguardando limiar</v>
      </c>
    </row>
    <row r="1636" spans="1:31" x14ac:dyDescent="0.25">
      <c r="A1636">
        <v>8652</v>
      </c>
      <c r="C1636" t="s">
        <v>1261</v>
      </c>
      <c r="D1636" t="s">
        <v>436</v>
      </c>
      <c r="E1636" t="s">
        <v>474</v>
      </c>
      <c r="F1636" t="s">
        <v>165</v>
      </c>
      <c r="G1636" t="s">
        <v>165</v>
      </c>
      <c r="H1636" t="s">
        <v>92</v>
      </c>
      <c r="I1636" t="s">
        <v>32</v>
      </c>
      <c r="J1636" t="s">
        <v>32</v>
      </c>
      <c r="K1636" s="4">
        <v>837.24</v>
      </c>
      <c r="L1636" s="4">
        <v>837.24</v>
      </c>
      <c r="M1636" t="s">
        <v>166</v>
      </c>
      <c r="N1636" t="s">
        <v>77</v>
      </c>
      <c r="O1636" t="s">
        <v>86</v>
      </c>
      <c r="P1636" t="s">
        <v>170</v>
      </c>
      <c r="Q1636" t="s">
        <v>86</v>
      </c>
      <c r="R1636" t="s">
        <v>86</v>
      </c>
      <c r="S1636" t="s">
        <v>167</v>
      </c>
      <c r="T1636" t="s">
        <v>167</v>
      </c>
      <c r="U1636" t="s">
        <v>168</v>
      </c>
      <c r="V1636" t="s">
        <v>169</v>
      </c>
      <c r="W1636" t="s">
        <v>77</v>
      </c>
      <c r="X1636" t="s">
        <v>44</v>
      </c>
      <c r="Y1636" t="s">
        <v>99</v>
      </c>
      <c r="Z1636" t="s">
        <v>421</v>
      </c>
      <c r="AC1636" t="str">
        <f>IF(AA1636="",M1636,AA1636)</f>
        <v>não</v>
      </c>
      <c r="AD1636" t="str">
        <f>IF(AB1636="",X1636,AB1636)</f>
        <v>sim</v>
      </c>
      <c r="AE1636" t="str">
        <f>IF(OR(Configuracao!B9="",Configuracao!B10=""),"aguardando limiar",IF(AND(K1636&gt;=Configuracao!B9,K1636/MAX(Reconciliacao!C2,1)&gt;=Configuracao!B10/100),"sim","não"))</f>
        <v>aguardando limiar</v>
      </c>
    </row>
    <row r="1637" spans="1:31" x14ac:dyDescent="0.25">
      <c r="A1637">
        <v>8653</v>
      </c>
      <c r="C1637" t="s">
        <v>1262</v>
      </c>
      <c r="D1637" t="s">
        <v>436</v>
      </c>
      <c r="E1637" t="s">
        <v>474</v>
      </c>
      <c r="F1637" t="s">
        <v>165</v>
      </c>
      <c r="G1637" t="s">
        <v>165</v>
      </c>
      <c r="H1637" t="s">
        <v>92</v>
      </c>
      <c r="I1637" t="s">
        <v>424</v>
      </c>
      <c r="J1637" t="s">
        <v>424</v>
      </c>
      <c r="K1637" s="4">
        <v>847.17</v>
      </c>
      <c r="L1637" s="4">
        <v>847.17</v>
      </c>
      <c r="M1637" t="s">
        <v>166</v>
      </c>
      <c r="N1637" t="s">
        <v>77</v>
      </c>
      <c r="O1637" t="s">
        <v>86</v>
      </c>
      <c r="P1637" t="s">
        <v>170</v>
      </c>
      <c r="Q1637" t="s">
        <v>86</v>
      </c>
      <c r="R1637" t="s">
        <v>86</v>
      </c>
      <c r="S1637" t="s">
        <v>167</v>
      </c>
      <c r="T1637" t="s">
        <v>167</v>
      </c>
      <c r="U1637" t="s">
        <v>168</v>
      </c>
      <c r="V1637" t="s">
        <v>169</v>
      </c>
      <c r="W1637" t="s">
        <v>77</v>
      </c>
      <c r="X1637" t="s">
        <v>44</v>
      </c>
      <c r="Y1637" t="s">
        <v>99</v>
      </c>
      <c r="Z1637" t="s">
        <v>421</v>
      </c>
      <c r="AC1637" t="str">
        <f>IF(AA1637="",M1637,AA1637)</f>
        <v>não</v>
      </c>
      <c r="AD1637" t="str">
        <f>IF(AB1637="",X1637,AB1637)</f>
        <v>sim</v>
      </c>
      <c r="AE1637" t="str">
        <f>IF(OR(Configuracao!B9="",Configuracao!B10=""),"aguardando limiar",IF(AND(K1637&gt;=Configuracao!B9,K1637/MAX(Reconciliacao!C2,1)&gt;=Configuracao!B10/100),"sim","não"))</f>
        <v>aguardando limiar</v>
      </c>
    </row>
    <row r="1638" spans="1:31" x14ac:dyDescent="0.25">
      <c r="A1638">
        <v>8654</v>
      </c>
      <c r="C1638" t="s">
        <v>1263</v>
      </c>
      <c r="D1638" t="s">
        <v>436</v>
      </c>
      <c r="E1638" t="s">
        <v>474</v>
      </c>
      <c r="F1638" t="s">
        <v>165</v>
      </c>
      <c r="G1638" t="s">
        <v>165</v>
      </c>
      <c r="H1638" t="s">
        <v>92</v>
      </c>
      <c r="I1638" t="s">
        <v>420</v>
      </c>
      <c r="J1638" t="s">
        <v>420</v>
      </c>
      <c r="K1638" s="4">
        <v>855.73</v>
      </c>
      <c r="L1638" s="4">
        <v>855.73</v>
      </c>
      <c r="M1638" t="s">
        <v>166</v>
      </c>
      <c r="N1638" t="s">
        <v>77</v>
      </c>
      <c r="O1638" t="s">
        <v>86</v>
      </c>
      <c r="P1638" t="s">
        <v>170</v>
      </c>
      <c r="Q1638" t="s">
        <v>86</v>
      </c>
      <c r="R1638" t="s">
        <v>86</v>
      </c>
      <c r="S1638" t="s">
        <v>167</v>
      </c>
      <c r="T1638" t="s">
        <v>167</v>
      </c>
      <c r="U1638" t="s">
        <v>168</v>
      </c>
      <c r="V1638" t="s">
        <v>169</v>
      </c>
      <c r="W1638" t="s">
        <v>77</v>
      </c>
      <c r="X1638" t="s">
        <v>44</v>
      </c>
      <c r="Y1638" t="s">
        <v>99</v>
      </c>
      <c r="Z1638" t="s">
        <v>421</v>
      </c>
      <c r="AC1638" t="str">
        <f>IF(AA1638="",M1638,AA1638)</f>
        <v>não</v>
      </c>
      <c r="AD1638" t="str">
        <f>IF(AB1638="",X1638,AB1638)</f>
        <v>sim</v>
      </c>
      <c r="AE1638" t="str">
        <f>IF(OR(Configuracao!B9="",Configuracao!B10=""),"aguardando limiar",IF(AND(K1638&gt;=Configuracao!B9,K1638/MAX(Reconciliacao!C2,1)&gt;=Configuracao!B10/100),"sim","não"))</f>
        <v>aguardando limiar</v>
      </c>
    </row>
    <row r="1639" spans="1:31" x14ac:dyDescent="0.25">
      <c r="A1639">
        <v>14943</v>
      </c>
      <c r="C1639" t="s">
        <v>1308</v>
      </c>
      <c r="D1639" t="s">
        <v>1312</v>
      </c>
      <c r="E1639" t="s">
        <v>471</v>
      </c>
      <c r="F1639" t="s">
        <v>165</v>
      </c>
      <c r="G1639" t="s">
        <v>165</v>
      </c>
      <c r="H1639" t="s">
        <v>92</v>
      </c>
      <c r="I1639" t="s">
        <v>454</v>
      </c>
      <c r="J1639" t="s">
        <v>454</v>
      </c>
      <c r="K1639" s="4">
        <v>860.33</v>
      </c>
      <c r="L1639" s="4">
        <v>860.33</v>
      </c>
      <c r="M1639" t="s">
        <v>166</v>
      </c>
      <c r="N1639" t="s">
        <v>77</v>
      </c>
      <c r="O1639" t="s">
        <v>86</v>
      </c>
      <c r="P1639" t="s">
        <v>170</v>
      </c>
      <c r="Q1639" t="s">
        <v>86</v>
      </c>
      <c r="R1639" t="s">
        <v>86</v>
      </c>
      <c r="S1639" t="s">
        <v>167</v>
      </c>
      <c r="T1639" t="s">
        <v>167</v>
      </c>
      <c r="U1639" t="s">
        <v>168</v>
      </c>
      <c r="V1639" t="s">
        <v>169</v>
      </c>
      <c r="W1639" t="s">
        <v>77</v>
      </c>
      <c r="X1639" t="s">
        <v>44</v>
      </c>
      <c r="Y1639" t="s">
        <v>99</v>
      </c>
      <c r="Z1639" t="s">
        <v>421</v>
      </c>
      <c r="AC1639" t="str">
        <f>IF(AA1639="",M1639,AA1639)</f>
        <v>não</v>
      </c>
      <c r="AD1639" t="str">
        <f>IF(AB1639="",X1639,AB1639)</f>
        <v>sim</v>
      </c>
      <c r="AE1639" t="str">
        <f>IF(OR(Configuracao!B9="",Configuracao!B10=""),"aguardando limiar",IF(AND(K1639&gt;=Configuracao!B9,K1639/MAX(Reconciliacao!C2,1)&gt;=Configuracao!B10/100),"sim","não"))</f>
        <v>aguardando limiar</v>
      </c>
    </row>
    <row r="1640" spans="1:31" x14ac:dyDescent="0.25">
      <c r="A1640">
        <v>8655</v>
      </c>
      <c r="C1640" t="s">
        <v>1264</v>
      </c>
      <c r="D1640" t="s">
        <v>436</v>
      </c>
      <c r="E1640" t="s">
        <v>474</v>
      </c>
      <c r="F1640" t="s">
        <v>165</v>
      </c>
      <c r="G1640" t="s">
        <v>165</v>
      </c>
      <c r="H1640" t="s">
        <v>92</v>
      </c>
      <c r="I1640" t="s">
        <v>454</v>
      </c>
      <c r="J1640" t="s">
        <v>454</v>
      </c>
      <c r="K1640" s="4">
        <v>866.08</v>
      </c>
      <c r="L1640" s="4">
        <v>866.08</v>
      </c>
      <c r="M1640" t="s">
        <v>166</v>
      </c>
      <c r="N1640" t="s">
        <v>77</v>
      </c>
      <c r="O1640" t="s">
        <v>86</v>
      </c>
      <c r="P1640" t="s">
        <v>170</v>
      </c>
      <c r="Q1640" t="s">
        <v>86</v>
      </c>
      <c r="R1640" t="s">
        <v>86</v>
      </c>
      <c r="S1640" t="s">
        <v>167</v>
      </c>
      <c r="T1640" t="s">
        <v>167</v>
      </c>
      <c r="U1640" t="s">
        <v>168</v>
      </c>
      <c r="V1640" t="s">
        <v>169</v>
      </c>
      <c r="W1640" t="s">
        <v>77</v>
      </c>
      <c r="X1640" t="s">
        <v>44</v>
      </c>
      <c r="Y1640" t="s">
        <v>99</v>
      </c>
      <c r="Z1640" t="s">
        <v>421</v>
      </c>
      <c r="AC1640" t="str">
        <f>IF(AA1640="",M1640,AA1640)</f>
        <v>não</v>
      </c>
      <c r="AD1640" t="str">
        <f>IF(AB1640="",X1640,AB1640)</f>
        <v>sim</v>
      </c>
      <c r="AE1640" t="str">
        <f>IF(OR(Configuracao!B9="",Configuracao!B10=""),"aguardando limiar",IF(AND(K1640&gt;=Configuracao!B9,K1640/MAX(Reconciliacao!C2,1)&gt;=Configuracao!B10/100),"sim","não"))</f>
        <v>aguardando limiar</v>
      </c>
    </row>
    <row r="1641" spans="1:31" x14ac:dyDescent="0.25">
      <c r="A1641">
        <v>8656</v>
      </c>
      <c r="C1641" t="s">
        <v>1265</v>
      </c>
      <c r="D1641" t="s">
        <v>436</v>
      </c>
      <c r="E1641" t="s">
        <v>474</v>
      </c>
      <c r="F1641" t="s">
        <v>165</v>
      </c>
      <c r="G1641" t="s">
        <v>165</v>
      </c>
      <c r="H1641" t="s">
        <v>92</v>
      </c>
      <c r="I1641" t="s">
        <v>461</v>
      </c>
      <c r="J1641" t="s">
        <v>461</v>
      </c>
      <c r="K1641" s="4">
        <v>875.41</v>
      </c>
      <c r="L1641" s="4">
        <v>875.41</v>
      </c>
      <c r="M1641" t="s">
        <v>166</v>
      </c>
      <c r="N1641" t="s">
        <v>77</v>
      </c>
      <c r="O1641" t="s">
        <v>86</v>
      </c>
      <c r="P1641" t="s">
        <v>170</v>
      </c>
      <c r="Q1641" t="s">
        <v>86</v>
      </c>
      <c r="R1641" t="s">
        <v>86</v>
      </c>
      <c r="S1641" t="s">
        <v>167</v>
      </c>
      <c r="T1641" t="s">
        <v>167</v>
      </c>
      <c r="U1641" t="s">
        <v>168</v>
      </c>
      <c r="V1641" t="s">
        <v>169</v>
      </c>
      <c r="W1641" t="s">
        <v>77</v>
      </c>
      <c r="X1641" t="s">
        <v>44</v>
      </c>
      <c r="Y1641" t="s">
        <v>99</v>
      </c>
      <c r="Z1641" t="s">
        <v>421</v>
      </c>
      <c r="AC1641" t="str">
        <f>IF(AA1641="",M1641,AA1641)</f>
        <v>não</v>
      </c>
      <c r="AD1641" t="str">
        <f>IF(AB1641="",X1641,AB1641)</f>
        <v>sim</v>
      </c>
      <c r="AE1641" t="str">
        <f>IF(OR(Configuracao!B9="",Configuracao!B10=""),"aguardando limiar",IF(AND(K1641&gt;=Configuracao!B9,K1641/MAX(Reconciliacao!C2,1)&gt;=Configuracao!B10/100),"sim","não"))</f>
        <v>aguardando limiar</v>
      </c>
    </row>
    <row r="1642" spans="1:31" x14ac:dyDescent="0.25">
      <c r="A1642">
        <v>13829</v>
      </c>
      <c r="C1642" t="s">
        <v>1313</v>
      </c>
      <c r="D1642" t="s">
        <v>1314</v>
      </c>
      <c r="E1642" t="s">
        <v>471</v>
      </c>
      <c r="F1642" t="s">
        <v>165</v>
      </c>
      <c r="G1642" t="s">
        <v>165</v>
      </c>
      <c r="H1642" t="s">
        <v>92</v>
      </c>
      <c r="I1642" t="s">
        <v>454</v>
      </c>
      <c r="J1642" t="s">
        <v>454</v>
      </c>
      <c r="K1642" s="4">
        <v>985</v>
      </c>
      <c r="L1642" s="4">
        <v>985</v>
      </c>
      <c r="M1642" t="s">
        <v>166</v>
      </c>
      <c r="N1642" t="s">
        <v>77</v>
      </c>
      <c r="O1642" t="s">
        <v>86</v>
      </c>
      <c r="P1642" t="s">
        <v>170</v>
      </c>
      <c r="Q1642" t="s">
        <v>86</v>
      </c>
      <c r="R1642" t="s">
        <v>86</v>
      </c>
      <c r="S1642" t="s">
        <v>167</v>
      </c>
      <c r="T1642" t="s">
        <v>167</v>
      </c>
      <c r="U1642" t="s">
        <v>168</v>
      </c>
      <c r="V1642" t="s">
        <v>169</v>
      </c>
      <c r="W1642" t="s">
        <v>77</v>
      </c>
      <c r="X1642" t="s">
        <v>44</v>
      </c>
      <c r="Y1642" t="s">
        <v>99</v>
      </c>
      <c r="Z1642" t="s">
        <v>421</v>
      </c>
      <c r="AC1642" t="str">
        <f>IF(AA1642="",M1642,AA1642)</f>
        <v>não</v>
      </c>
      <c r="AD1642" t="str">
        <f>IF(AB1642="",X1642,AB1642)</f>
        <v>sim</v>
      </c>
      <c r="AE1642" t="str">
        <f>IF(OR(Configuracao!B9="",Configuracao!B10=""),"aguardando limiar",IF(AND(K1642&gt;=Configuracao!B9,K1642/MAX(Reconciliacao!C2,1)&gt;=Configuracao!B10/100),"sim","não"))</f>
        <v>aguardando limiar</v>
      </c>
    </row>
    <row r="1643" spans="1:31" x14ac:dyDescent="0.25">
      <c r="A1643">
        <v>17167</v>
      </c>
      <c r="C1643" t="s">
        <v>1315</v>
      </c>
      <c r="D1643" t="s">
        <v>1227</v>
      </c>
      <c r="E1643" t="s">
        <v>471</v>
      </c>
      <c r="F1643" t="s">
        <v>165</v>
      </c>
      <c r="G1643" t="s">
        <v>165</v>
      </c>
      <c r="H1643" t="s">
        <v>92</v>
      </c>
      <c r="I1643" t="s">
        <v>442</v>
      </c>
      <c r="J1643" t="s">
        <v>442</v>
      </c>
      <c r="K1643" s="4">
        <v>1000</v>
      </c>
      <c r="L1643" s="4">
        <v>1000</v>
      </c>
      <c r="M1643" t="s">
        <v>166</v>
      </c>
      <c r="N1643" t="s">
        <v>77</v>
      </c>
      <c r="O1643" t="s">
        <v>86</v>
      </c>
      <c r="P1643" t="s">
        <v>170</v>
      </c>
      <c r="Q1643" t="s">
        <v>86</v>
      </c>
      <c r="R1643" t="s">
        <v>86</v>
      </c>
      <c r="S1643" t="s">
        <v>167</v>
      </c>
      <c r="T1643" t="s">
        <v>167</v>
      </c>
      <c r="U1643" t="s">
        <v>168</v>
      </c>
      <c r="V1643" t="s">
        <v>169</v>
      </c>
      <c r="W1643" t="s">
        <v>77</v>
      </c>
      <c r="X1643" t="s">
        <v>166</v>
      </c>
      <c r="Y1643" t="s">
        <v>472</v>
      </c>
      <c r="Z1643" t="s">
        <v>434</v>
      </c>
      <c r="AC1643" t="str">
        <f>IF(AA1643="",M1643,AA1643)</f>
        <v>não</v>
      </c>
      <c r="AD1643" t="str">
        <f>IF(AB1643="",X1643,AB1643)</f>
        <v>não</v>
      </c>
      <c r="AE1643" t="str">
        <f>IF(OR(Configuracao!B9="",Configuracao!B10=""),"aguardando limiar",IF(AND(K1643&gt;=Configuracao!B9,K1643/MAX(Reconciliacao!C2,1)&gt;=Configuracao!B10/100),"sim","não"))</f>
        <v>aguardando limiar</v>
      </c>
    </row>
    <row r="1644" spans="1:31" x14ac:dyDescent="0.25">
      <c r="A1644">
        <v>17566</v>
      </c>
      <c r="C1644" t="s">
        <v>1316</v>
      </c>
      <c r="D1644" t="s">
        <v>1237</v>
      </c>
      <c r="E1644" t="s">
        <v>471</v>
      </c>
      <c r="F1644" t="s">
        <v>165</v>
      </c>
      <c r="G1644" t="s">
        <v>165</v>
      </c>
      <c r="H1644" t="s">
        <v>92</v>
      </c>
      <c r="I1644" t="s">
        <v>442</v>
      </c>
      <c r="J1644" t="s">
        <v>442</v>
      </c>
      <c r="K1644" s="4">
        <v>1011.66</v>
      </c>
      <c r="L1644" s="4">
        <v>1011.66</v>
      </c>
      <c r="M1644" t="s">
        <v>166</v>
      </c>
      <c r="N1644" t="s">
        <v>77</v>
      </c>
      <c r="O1644" t="s">
        <v>86</v>
      </c>
      <c r="P1644" t="s">
        <v>170</v>
      </c>
      <c r="Q1644" t="s">
        <v>86</v>
      </c>
      <c r="R1644" t="s">
        <v>86</v>
      </c>
      <c r="S1644" t="s">
        <v>167</v>
      </c>
      <c r="T1644" t="s">
        <v>167</v>
      </c>
      <c r="U1644" t="s">
        <v>168</v>
      </c>
      <c r="V1644" t="s">
        <v>169</v>
      </c>
      <c r="W1644" t="s">
        <v>77</v>
      </c>
      <c r="X1644" t="s">
        <v>44</v>
      </c>
      <c r="Y1644" t="s">
        <v>99</v>
      </c>
      <c r="Z1644" t="s">
        <v>421</v>
      </c>
      <c r="AC1644" t="str">
        <f>IF(AA1644="",M1644,AA1644)</f>
        <v>não</v>
      </c>
      <c r="AD1644" t="str">
        <f>IF(AB1644="",X1644,AB1644)</f>
        <v>sim</v>
      </c>
      <c r="AE1644" t="str">
        <f>IF(OR(Configuracao!B9="",Configuracao!B10=""),"aguardando limiar",IF(AND(K1644&gt;=Configuracao!B9,K1644/MAX(Reconciliacao!C2,1)&gt;=Configuracao!B10/100),"sim","não"))</f>
        <v>aguardando limiar</v>
      </c>
    </row>
    <row r="1645" spans="1:31" x14ac:dyDescent="0.25">
      <c r="A1645">
        <v>17567</v>
      </c>
      <c r="C1645" t="s">
        <v>1316</v>
      </c>
      <c r="D1645" t="s">
        <v>1237</v>
      </c>
      <c r="E1645" t="s">
        <v>471</v>
      </c>
      <c r="F1645" t="s">
        <v>165</v>
      </c>
      <c r="G1645" t="s">
        <v>165</v>
      </c>
      <c r="H1645" t="s">
        <v>92</v>
      </c>
      <c r="I1645" t="s">
        <v>439</v>
      </c>
      <c r="J1645" t="s">
        <v>439</v>
      </c>
      <c r="K1645" s="4">
        <v>1011.66</v>
      </c>
      <c r="L1645" s="4">
        <v>1011.66</v>
      </c>
      <c r="M1645" t="s">
        <v>166</v>
      </c>
      <c r="N1645" t="s">
        <v>77</v>
      </c>
      <c r="O1645" t="s">
        <v>86</v>
      </c>
      <c r="P1645" t="s">
        <v>170</v>
      </c>
      <c r="Q1645" t="s">
        <v>86</v>
      </c>
      <c r="R1645" t="s">
        <v>86</v>
      </c>
      <c r="S1645" t="s">
        <v>167</v>
      </c>
      <c r="T1645" t="s">
        <v>167</v>
      </c>
      <c r="U1645" t="s">
        <v>168</v>
      </c>
      <c r="V1645" t="s">
        <v>169</v>
      </c>
      <c r="W1645" t="s">
        <v>77</v>
      </c>
      <c r="X1645" t="s">
        <v>44</v>
      </c>
      <c r="Y1645" t="s">
        <v>99</v>
      </c>
      <c r="Z1645" t="s">
        <v>421</v>
      </c>
      <c r="AC1645" t="str">
        <f>IF(AA1645="",M1645,AA1645)</f>
        <v>não</v>
      </c>
      <c r="AD1645" t="str">
        <f>IF(AB1645="",X1645,AB1645)</f>
        <v>sim</v>
      </c>
      <c r="AE1645" t="str">
        <f>IF(OR(Configuracao!B9="",Configuracao!B10=""),"aguardando limiar",IF(AND(K1645&gt;=Configuracao!B9,K1645/MAX(Reconciliacao!C2,1)&gt;=Configuracao!B10/100),"sim","não"))</f>
        <v>aguardando limiar</v>
      </c>
    </row>
    <row r="1646" spans="1:31" x14ac:dyDescent="0.25">
      <c r="A1646">
        <v>17568</v>
      </c>
      <c r="C1646" t="s">
        <v>1316</v>
      </c>
      <c r="D1646" t="s">
        <v>1237</v>
      </c>
      <c r="E1646" t="s">
        <v>471</v>
      </c>
      <c r="F1646" t="s">
        <v>165</v>
      </c>
      <c r="G1646" t="s">
        <v>165</v>
      </c>
      <c r="H1646" t="s">
        <v>92</v>
      </c>
      <c r="I1646" t="s">
        <v>35</v>
      </c>
      <c r="J1646" t="s">
        <v>35</v>
      </c>
      <c r="K1646" s="4">
        <v>1011.66</v>
      </c>
      <c r="L1646" s="4">
        <v>1011.66</v>
      </c>
      <c r="M1646" t="s">
        <v>166</v>
      </c>
      <c r="N1646" t="s">
        <v>77</v>
      </c>
      <c r="O1646" t="s">
        <v>86</v>
      </c>
      <c r="P1646" t="s">
        <v>170</v>
      </c>
      <c r="Q1646" t="s">
        <v>86</v>
      </c>
      <c r="R1646" t="s">
        <v>86</v>
      </c>
      <c r="S1646" t="s">
        <v>167</v>
      </c>
      <c r="T1646" t="s">
        <v>167</v>
      </c>
      <c r="U1646" t="s">
        <v>168</v>
      </c>
      <c r="V1646" t="s">
        <v>169</v>
      </c>
      <c r="W1646" t="s">
        <v>77</v>
      </c>
      <c r="X1646" t="s">
        <v>44</v>
      </c>
      <c r="Y1646" t="s">
        <v>99</v>
      </c>
      <c r="Z1646" t="s">
        <v>421</v>
      </c>
      <c r="AC1646" t="str">
        <f>IF(AA1646="",M1646,AA1646)</f>
        <v>não</v>
      </c>
      <c r="AD1646" t="str">
        <f>IF(AB1646="",X1646,AB1646)</f>
        <v>sim</v>
      </c>
      <c r="AE1646" t="str">
        <f>IF(OR(Configuracao!B9="",Configuracao!B10=""),"aguardando limiar",IF(AND(K1646&gt;=Configuracao!B9,K1646/MAX(Reconciliacao!C2,1)&gt;=Configuracao!B10/100),"sim","não"))</f>
        <v>aguardando limiar</v>
      </c>
    </row>
    <row r="1647" spans="1:31" x14ac:dyDescent="0.25">
      <c r="A1647">
        <v>12457</v>
      </c>
      <c r="D1647" t="s">
        <v>1271</v>
      </c>
      <c r="E1647" t="s">
        <v>474</v>
      </c>
      <c r="F1647" t="s">
        <v>165</v>
      </c>
      <c r="G1647" t="s">
        <v>165</v>
      </c>
      <c r="H1647" t="s">
        <v>92</v>
      </c>
      <c r="I1647" t="s">
        <v>424</v>
      </c>
      <c r="J1647" t="s">
        <v>424</v>
      </c>
      <c r="K1647" s="4">
        <v>1067.39</v>
      </c>
      <c r="L1647" s="4">
        <v>1067.39</v>
      </c>
      <c r="M1647" t="s">
        <v>166</v>
      </c>
      <c r="N1647" t="s">
        <v>77</v>
      </c>
      <c r="O1647" t="s">
        <v>86</v>
      </c>
      <c r="P1647" t="s">
        <v>170</v>
      </c>
      <c r="Q1647" t="s">
        <v>86</v>
      </c>
      <c r="R1647" t="s">
        <v>86</v>
      </c>
      <c r="S1647" t="s">
        <v>167</v>
      </c>
      <c r="T1647" t="s">
        <v>167</v>
      </c>
      <c r="U1647" t="s">
        <v>168</v>
      </c>
      <c r="V1647" t="s">
        <v>169</v>
      </c>
      <c r="W1647" t="s">
        <v>77</v>
      </c>
      <c r="X1647" t="s">
        <v>44</v>
      </c>
      <c r="Y1647" t="s">
        <v>99</v>
      </c>
      <c r="Z1647" t="s">
        <v>421</v>
      </c>
      <c r="AC1647" t="str">
        <f>IF(AA1647="",M1647,AA1647)</f>
        <v>não</v>
      </c>
      <c r="AD1647" t="str">
        <f>IF(AB1647="",X1647,AB1647)</f>
        <v>sim</v>
      </c>
      <c r="AE1647" t="str">
        <f>IF(OR(Configuracao!B9="",Configuracao!B10=""),"aguardando limiar",IF(AND(K1647&gt;=Configuracao!B9,K1647/MAX(Reconciliacao!C2,1)&gt;=Configuracao!B10/100),"sim","não"))</f>
        <v>aguardando limiar</v>
      </c>
    </row>
    <row r="1648" spans="1:31" x14ac:dyDescent="0.25">
      <c r="A1648">
        <v>16076</v>
      </c>
      <c r="C1648" t="s">
        <v>1317</v>
      </c>
      <c r="D1648" t="s">
        <v>587</v>
      </c>
      <c r="E1648" t="s">
        <v>525</v>
      </c>
      <c r="F1648" t="s">
        <v>165</v>
      </c>
      <c r="G1648" t="s">
        <v>165</v>
      </c>
      <c r="H1648" t="s">
        <v>92</v>
      </c>
      <c r="I1648" t="s">
        <v>420</v>
      </c>
      <c r="J1648" t="s">
        <v>420</v>
      </c>
      <c r="K1648" s="4">
        <v>1108.61</v>
      </c>
      <c r="L1648" s="4">
        <v>1108.61</v>
      </c>
      <c r="M1648" t="s">
        <v>166</v>
      </c>
      <c r="N1648" t="s">
        <v>77</v>
      </c>
      <c r="O1648" t="s">
        <v>86</v>
      </c>
      <c r="P1648" t="s">
        <v>170</v>
      </c>
      <c r="Q1648" t="s">
        <v>86</v>
      </c>
      <c r="R1648" t="s">
        <v>86</v>
      </c>
      <c r="S1648" t="s">
        <v>167</v>
      </c>
      <c r="T1648" t="s">
        <v>167</v>
      </c>
      <c r="U1648" t="s">
        <v>168</v>
      </c>
      <c r="V1648" t="s">
        <v>169</v>
      </c>
      <c r="W1648" t="s">
        <v>77</v>
      </c>
      <c r="X1648" t="s">
        <v>44</v>
      </c>
      <c r="Y1648" t="s">
        <v>99</v>
      </c>
      <c r="Z1648" t="s">
        <v>421</v>
      </c>
      <c r="AC1648" t="str">
        <f>IF(AA1648="",M1648,AA1648)</f>
        <v>não</v>
      </c>
      <c r="AD1648" t="str">
        <f>IF(AB1648="",X1648,AB1648)</f>
        <v>sim</v>
      </c>
      <c r="AE1648" t="str">
        <f>IF(OR(Configuracao!B9="",Configuracao!B10=""),"aguardando limiar",IF(AND(K1648&gt;=Configuracao!B9,K1648/MAX(Reconciliacao!C2,1)&gt;=Configuracao!B10/100),"sim","não"))</f>
        <v>aguardando limiar</v>
      </c>
    </row>
    <row r="1649" spans="1:31" x14ac:dyDescent="0.25">
      <c r="A1649">
        <v>17170</v>
      </c>
      <c r="C1649" t="s">
        <v>1318</v>
      </c>
      <c r="D1649" t="s">
        <v>436</v>
      </c>
      <c r="E1649" t="s">
        <v>474</v>
      </c>
      <c r="F1649" t="s">
        <v>165</v>
      </c>
      <c r="G1649" t="s">
        <v>165</v>
      </c>
      <c r="H1649" t="s">
        <v>92</v>
      </c>
      <c r="I1649" t="s">
        <v>442</v>
      </c>
      <c r="J1649" t="s">
        <v>442</v>
      </c>
      <c r="K1649" s="4">
        <v>1161.31</v>
      </c>
      <c r="L1649" s="4">
        <v>1161.31</v>
      </c>
      <c r="M1649" t="s">
        <v>166</v>
      </c>
      <c r="N1649" t="s">
        <v>77</v>
      </c>
      <c r="O1649" t="s">
        <v>86</v>
      </c>
      <c r="P1649" t="s">
        <v>170</v>
      </c>
      <c r="Q1649" t="s">
        <v>86</v>
      </c>
      <c r="R1649" t="s">
        <v>86</v>
      </c>
      <c r="S1649" t="s">
        <v>167</v>
      </c>
      <c r="T1649" t="s">
        <v>167</v>
      </c>
      <c r="U1649" t="s">
        <v>168</v>
      </c>
      <c r="V1649" t="s">
        <v>169</v>
      </c>
      <c r="W1649" t="s">
        <v>77</v>
      </c>
      <c r="X1649" t="s">
        <v>44</v>
      </c>
      <c r="Y1649" t="s">
        <v>99</v>
      </c>
      <c r="Z1649" t="s">
        <v>421</v>
      </c>
      <c r="AC1649" t="str">
        <f>IF(AA1649="",M1649,AA1649)</f>
        <v>não</v>
      </c>
      <c r="AD1649" t="str">
        <f>IF(AB1649="",X1649,AB1649)</f>
        <v>sim</v>
      </c>
      <c r="AE1649" t="str">
        <f>IF(OR(Configuracao!B9="",Configuracao!B10=""),"aguardando limiar",IF(AND(K1649&gt;=Configuracao!B9,K1649/MAX(Reconciliacao!C2,1)&gt;=Configuracao!B10/100),"sim","não"))</f>
        <v>aguardando limiar</v>
      </c>
    </row>
    <row r="1650" spans="1:31" x14ac:dyDescent="0.25">
      <c r="A1650">
        <v>13830</v>
      </c>
      <c r="C1650" t="s">
        <v>1313</v>
      </c>
      <c r="D1650" t="s">
        <v>1314</v>
      </c>
      <c r="E1650" t="s">
        <v>471</v>
      </c>
      <c r="F1650" t="s">
        <v>165</v>
      </c>
      <c r="G1650" t="s">
        <v>165</v>
      </c>
      <c r="H1650" t="s">
        <v>92</v>
      </c>
      <c r="I1650" t="s">
        <v>461</v>
      </c>
      <c r="J1650" t="s">
        <v>461</v>
      </c>
      <c r="K1650" s="4">
        <v>1192.61</v>
      </c>
      <c r="L1650" s="4">
        <v>1192.61</v>
      </c>
      <c r="M1650" t="s">
        <v>166</v>
      </c>
      <c r="N1650" t="s">
        <v>77</v>
      </c>
      <c r="O1650" t="s">
        <v>86</v>
      </c>
      <c r="P1650" t="s">
        <v>170</v>
      </c>
      <c r="Q1650" t="s">
        <v>86</v>
      </c>
      <c r="R1650" t="s">
        <v>86</v>
      </c>
      <c r="S1650" t="s">
        <v>167</v>
      </c>
      <c r="T1650" t="s">
        <v>167</v>
      </c>
      <c r="U1650" t="s">
        <v>168</v>
      </c>
      <c r="V1650" t="s">
        <v>169</v>
      </c>
      <c r="W1650" t="s">
        <v>77</v>
      </c>
      <c r="X1650" t="s">
        <v>44</v>
      </c>
      <c r="Y1650" t="s">
        <v>99</v>
      </c>
      <c r="Z1650" t="s">
        <v>421</v>
      </c>
      <c r="AC1650" t="str">
        <f>IF(AA1650="",M1650,AA1650)</f>
        <v>não</v>
      </c>
      <c r="AD1650" t="str">
        <f>IF(AB1650="",X1650,AB1650)</f>
        <v>sim</v>
      </c>
      <c r="AE1650" t="str">
        <f>IF(OR(Configuracao!B9="",Configuracao!B10=""),"aguardando limiar",IF(AND(K1650&gt;=Configuracao!B9,K1650/MAX(Reconciliacao!C2,1)&gt;=Configuracao!B10/100),"sim","não"))</f>
        <v>aguardando limiar</v>
      </c>
    </row>
    <row r="1651" spans="1:31" x14ac:dyDescent="0.25">
      <c r="A1651">
        <v>13831</v>
      </c>
      <c r="C1651" t="s">
        <v>1313</v>
      </c>
      <c r="D1651" t="s">
        <v>1314</v>
      </c>
      <c r="E1651" t="s">
        <v>471</v>
      </c>
      <c r="F1651" t="s">
        <v>165</v>
      </c>
      <c r="G1651" t="s">
        <v>165</v>
      </c>
      <c r="H1651" t="s">
        <v>92</v>
      </c>
      <c r="I1651" t="s">
        <v>442</v>
      </c>
      <c r="J1651" t="s">
        <v>442</v>
      </c>
      <c r="K1651" s="4">
        <v>1192.61</v>
      </c>
      <c r="L1651" s="4">
        <v>1192.61</v>
      </c>
      <c r="M1651" t="s">
        <v>166</v>
      </c>
      <c r="N1651" t="s">
        <v>77</v>
      </c>
      <c r="O1651" t="s">
        <v>86</v>
      </c>
      <c r="P1651" t="s">
        <v>170</v>
      </c>
      <c r="Q1651" t="s">
        <v>86</v>
      </c>
      <c r="R1651" t="s">
        <v>86</v>
      </c>
      <c r="S1651" t="s">
        <v>167</v>
      </c>
      <c r="T1651" t="s">
        <v>167</v>
      </c>
      <c r="U1651" t="s">
        <v>168</v>
      </c>
      <c r="V1651" t="s">
        <v>169</v>
      </c>
      <c r="W1651" t="s">
        <v>77</v>
      </c>
      <c r="X1651" t="s">
        <v>44</v>
      </c>
      <c r="Y1651" t="s">
        <v>99</v>
      </c>
      <c r="Z1651" t="s">
        <v>421</v>
      </c>
      <c r="AC1651" t="str">
        <f>IF(AA1651="",M1651,AA1651)</f>
        <v>não</v>
      </c>
      <c r="AD1651" t="str">
        <f>IF(AB1651="",X1651,AB1651)</f>
        <v>sim</v>
      </c>
      <c r="AE1651" t="str">
        <f>IF(OR(Configuracao!B9="",Configuracao!B10=""),"aguardando limiar",IF(AND(K1651&gt;=Configuracao!B9,K1651/MAX(Reconciliacao!C2,1)&gt;=Configuracao!B10/100),"sim","não"))</f>
        <v>aguardando limiar</v>
      </c>
    </row>
    <row r="1652" spans="1:31" x14ac:dyDescent="0.25">
      <c r="A1652">
        <v>13832</v>
      </c>
      <c r="C1652" t="s">
        <v>1313</v>
      </c>
      <c r="D1652" t="s">
        <v>1314</v>
      </c>
      <c r="E1652" t="s">
        <v>471</v>
      </c>
      <c r="F1652" t="s">
        <v>165</v>
      </c>
      <c r="G1652" t="s">
        <v>165</v>
      </c>
      <c r="H1652" t="s">
        <v>92</v>
      </c>
      <c r="I1652" t="s">
        <v>439</v>
      </c>
      <c r="J1652" t="s">
        <v>439</v>
      </c>
      <c r="K1652" s="4">
        <v>1192.61</v>
      </c>
      <c r="L1652" s="4">
        <v>1192.61</v>
      </c>
      <c r="M1652" t="s">
        <v>166</v>
      </c>
      <c r="N1652" t="s">
        <v>77</v>
      </c>
      <c r="O1652" t="s">
        <v>86</v>
      </c>
      <c r="P1652" t="s">
        <v>170</v>
      </c>
      <c r="Q1652" t="s">
        <v>86</v>
      </c>
      <c r="R1652" t="s">
        <v>86</v>
      </c>
      <c r="S1652" t="s">
        <v>167</v>
      </c>
      <c r="T1652" t="s">
        <v>167</v>
      </c>
      <c r="U1652" t="s">
        <v>168</v>
      </c>
      <c r="V1652" t="s">
        <v>169</v>
      </c>
      <c r="W1652" t="s">
        <v>77</v>
      </c>
      <c r="X1652" t="s">
        <v>44</v>
      </c>
      <c r="Y1652" t="s">
        <v>99</v>
      </c>
      <c r="Z1652" t="s">
        <v>421</v>
      </c>
      <c r="AC1652" t="str">
        <f>IF(AA1652="",M1652,AA1652)</f>
        <v>não</v>
      </c>
      <c r="AD1652" t="str">
        <f>IF(AB1652="",X1652,AB1652)</f>
        <v>sim</v>
      </c>
      <c r="AE1652" t="str">
        <f>IF(OR(Configuracao!B9="",Configuracao!B10=""),"aguardando limiar",IF(AND(K1652&gt;=Configuracao!B9,K1652/MAX(Reconciliacao!C2,1)&gt;=Configuracao!B10/100),"sim","não"))</f>
        <v>aguardando limiar</v>
      </c>
    </row>
    <row r="1653" spans="1:31" x14ac:dyDescent="0.25">
      <c r="A1653">
        <v>13833</v>
      </c>
      <c r="C1653" t="s">
        <v>1313</v>
      </c>
      <c r="D1653" t="s">
        <v>1314</v>
      </c>
      <c r="E1653" t="s">
        <v>471</v>
      </c>
      <c r="F1653" t="s">
        <v>165</v>
      </c>
      <c r="G1653" t="s">
        <v>165</v>
      </c>
      <c r="H1653" t="s">
        <v>92</v>
      </c>
      <c r="I1653" t="s">
        <v>35</v>
      </c>
      <c r="J1653" t="s">
        <v>35</v>
      </c>
      <c r="K1653" s="4">
        <v>1192.61</v>
      </c>
      <c r="L1653" s="4">
        <v>1192.61</v>
      </c>
      <c r="M1653" t="s">
        <v>166</v>
      </c>
      <c r="N1653" t="s">
        <v>77</v>
      </c>
      <c r="O1653" t="s">
        <v>86</v>
      </c>
      <c r="P1653" t="s">
        <v>170</v>
      </c>
      <c r="Q1653" t="s">
        <v>86</v>
      </c>
      <c r="R1653" t="s">
        <v>86</v>
      </c>
      <c r="S1653" t="s">
        <v>167</v>
      </c>
      <c r="T1653" t="s">
        <v>167</v>
      </c>
      <c r="U1653" t="s">
        <v>168</v>
      </c>
      <c r="V1653" t="s">
        <v>169</v>
      </c>
      <c r="W1653" t="s">
        <v>77</v>
      </c>
      <c r="X1653" t="s">
        <v>44</v>
      </c>
      <c r="Y1653" t="s">
        <v>99</v>
      </c>
      <c r="Z1653" t="s">
        <v>421</v>
      </c>
      <c r="AC1653" t="str">
        <f>IF(AA1653="",M1653,AA1653)</f>
        <v>não</v>
      </c>
      <c r="AD1653" t="str">
        <f>IF(AB1653="",X1653,AB1653)</f>
        <v>sim</v>
      </c>
      <c r="AE1653" t="str">
        <f>IF(OR(Configuracao!B9="",Configuracao!B10=""),"aguardando limiar",IF(AND(K1653&gt;=Configuracao!B9,K1653/MAX(Reconciliacao!C2,1)&gt;=Configuracao!B10/100),"sim","não"))</f>
        <v>aguardando limiar</v>
      </c>
    </row>
    <row r="1654" spans="1:31" x14ac:dyDescent="0.25">
      <c r="A1654">
        <v>18841</v>
      </c>
      <c r="C1654" t="s">
        <v>1315</v>
      </c>
      <c r="D1654" t="s">
        <v>1237</v>
      </c>
      <c r="E1654" t="s">
        <v>471</v>
      </c>
      <c r="F1654" t="s">
        <v>165</v>
      </c>
      <c r="G1654" t="s">
        <v>165</v>
      </c>
      <c r="H1654" t="s">
        <v>92</v>
      </c>
      <c r="I1654" t="s">
        <v>35</v>
      </c>
      <c r="J1654" t="s">
        <v>35</v>
      </c>
      <c r="K1654" s="4">
        <v>1251.92</v>
      </c>
      <c r="L1654" s="4">
        <v>1251.92</v>
      </c>
      <c r="M1654" t="s">
        <v>166</v>
      </c>
      <c r="N1654" t="s">
        <v>77</v>
      </c>
      <c r="O1654" t="s">
        <v>86</v>
      </c>
      <c r="P1654" t="s">
        <v>170</v>
      </c>
      <c r="Q1654" t="s">
        <v>86</v>
      </c>
      <c r="R1654" t="s">
        <v>86</v>
      </c>
      <c r="S1654" t="s">
        <v>167</v>
      </c>
      <c r="T1654" t="s">
        <v>167</v>
      </c>
      <c r="U1654" t="s">
        <v>168</v>
      </c>
      <c r="V1654" t="s">
        <v>169</v>
      </c>
      <c r="W1654" t="s">
        <v>77</v>
      </c>
      <c r="X1654" t="s">
        <v>44</v>
      </c>
      <c r="Y1654" t="s">
        <v>99</v>
      </c>
      <c r="Z1654" t="s">
        <v>421</v>
      </c>
      <c r="AC1654" t="str">
        <f>IF(AA1654="",M1654,AA1654)</f>
        <v>não</v>
      </c>
      <c r="AD1654" t="str">
        <f>IF(AB1654="",X1654,AB1654)</f>
        <v>sim</v>
      </c>
      <c r="AE1654" t="str">
        <f>IF(OR(Configuracao!B9="",Configuracao!B10=""),"aguardando limiar",IF(AND(K1654&gt;=Configuracao!B9,K1654/MAX(Reconciliacao!C2,1)&gt;=Configuracao!B10/100),"sim","não"))</f>
        <v>aguardando limiar</v>
      </c>
    </row>
    <row r="1655" spans="1:31" x14ac:dyDescent="0.25">
      <c r="A1655">
        <v>17365</v>
      </c>
      <c r="C1655" t="s">
        <v>1319</v>
      </c>
      <c r="D1655" t="s">
        <v>1277</v>
      </c>
      <c r="E1655" t="s">
        <v>474</v>
      </c>
      <c r="F1655" t="s">
        <v>165</v>
      </c>
      <c r="G1655" t="s">
        <v>165</v>
      </c>
      <c r="H1655" t="s">
        <v>92</v>
      </c>
      <c r="I1655" t="s">
        <v>442</v>
      </c>
      <c r="J1655" t="s">
        <v>442</v>
      </c>
      <c r="K1655" s="4">
        <v>1277.5</v>
      </c>
      <c r="L1655" s="4">
        <v>1277.5</v>
      </c>
      <c r="M1655" t="s">
        <v>166</v>
      </c>
      <c r="N1655" t="s">
        <v>77</v>
      </c>
      <c r="O1655" t="s">
        <v>86</v>
      </c>
      <c r="P1655" t="s">
        <v>170</v>
      </c>
      <c r="Q1655" t="s">
        <v>86</v>
      </c>
      <c r="R1655" t="s">
        <v>86</v>
      </c>
      <c r="S1655" t="s">
        <v>167</v>
      </c>
      <c r="T1655" t="s">
        <v>167</v>
      </c>
      <c r="U1655" t="s">
        <v>168</v>
      </c>
      <c r="V1655" t="s">
        <v>169</v>
      </c>
      <c r="W1655" t="s">
        <v>77</v>
      </c>
      <c r="X1655" t="s">
        <v>44</v>
      </c>
      <c r="Y1655" t="s">
        <v>99</v>
      </c>
      <c r="Z1655" t="s">
        <v>421</v>
      </c>
      <c r="AC1655" t="str">
        <f>IF(AA1655="",M1655,AA1655)</f>
        <v>não</v>
      </c>
      <c r="AD1655" t="str">
        <f>IF(AB1655="",X1655,AB1655)</f>
        <v>sim</v>
      </c>
      <c r="AE1655" t="str">
        <f>IF(OR(Configuracao!B9="",Configuracao!B10=""),"aguardando limiar",IF(AND(K1655&gt;=Configuracao!B9,K1655/MAX(Reconciliacao!C2,1)&gt;=Configuracao!B10/100),"sim","não"))</f>
        <v>aguardando limiar</v>
      </c>
    </row>
    <row r="1656" spans="1:31" x14ac:dyDescent="0.25">
      <c r="A1656">
        <v>12902</v>
      </c>
      <c r="C1656" t="s">
        <v>1320</v>
      </c>
      <c r="D1656" t="s">
        <v>1288</v>
      </c>
      <c r="E1656" t="s">
        <v>474</v>
      </c>
      <c r="F1656" t="s">
        <v>165</v>
      </c>
      <c r="G1656" t="s">
        <v>165</v>
      </c>
      <c r="H1656" t="s">
        <v>92</v>
      </c>
      <c r="I1656" t="s">
        <v>420</v>
      </c>
      <c r="J1656" t="s">
        <v>420</v>
      </c>
      <c r="K1656" s="4">
        <v>1282.55</v>
      </c>
      <c r="L1656" s="4">
        <v>1282.55</v>
      </c>
      <c r="M1656" t="s">
        <v>166</v>
      </c>
      <c r="N1656" t="s">
        <v>77</v>
      </c>
      <c r="O1656" t="s">
        <v>86</v>
      </c>
      <c r="P1656" t="s">
        <v>170</v>
      </c>
      <c r="Q1656" t="s">
        <v>86</v>
      </c>
      <c r="R1656" t="s">
        <v>86</v>
      </c>
      <c r="S1656" t="s">
        <v>167</v>
      </c>
      <c r="T1656" t="s">
        <v>167</v>
      </c>
      <c r="U1656" t="s">
        <v>168</v>
      </c>
      <c r="V1656" t="s">
        <v>169</v>
      </c>
      <c r="W1656" t="s">
        <v>77</v>
      </c>
      <c r="X1656" t="s">
        <v>44</v>
      </c>
      <c r="Y1656" t="s">
        <v>99</v>
      </c>
      <c r="Z1656" t="s">
        <v>421</v>
      </c>
      <c r="AC1656" t="str">
        <f>IF(AA1656="",M1656,AA1656)</f>
        <v>não</v>
      </c>
      <c r="AD1656" t="str">
        <f>IF(AB1656="",X1656,AB1656)</f>
        <v>sim</v>
      </c>
      <c r="AE1656" t="str">
        <f>IF(OR(Configuracao!B9="",Configuracao!B10=""),"aguardando limiar",IF(AND(K1656&gt;=Configuracao!B9,K1656/MAX(Reconciliacao!C2,1)&gt;=Configuracao!B10/100),"sim","não"))</f>
        <v>aguardando limiar</v>
      </c>
    </row>
    <row r="1657" spans="1:31" x14ac:dyDescent="0.25">
      <c r="A1657">
        <v>15785</v>
      </c>
      <c r="C1657" t="s">
        <v>1320</v>
      </c>
      <c r="D1657" t="s">
        <v>1288</v>
      </c>
      <c r="E1657" t="s">
        <v>474</v>
      </c>
      <c r="F1657" t="s">
        <v>165</v>
      </c>
      <c r="G1657" t="s">
        <v>165</v>
      </c>
      <c r="H1657" t="s">
        <v>92</v>
      </c>
      <c r="I1657" t="s">
        <v>454</v>
      </c>
      <c r="J1657" t="s">
        <v>454</v>
      </c>
      <c r="K1657" s="4">
        <v>1282.55</v>
      </c>
      <c r="L1657" s="4">
        <v>1282.55</v>
      </c>
      <c r="M1657" t="s">
        <v>166</v>
      </c>
      <c r="N1657" t="s">
        <v>77</v>
      </c>
      <c r="O1657" t="s">
        <v>86</v>
      </c>
      <c r="P1657" t="s">
        <v>170</v>
      </c>
      <c r="Q1657" t="s">
        <v>86</v>
      </c>
      <c r="R1657" t="s">
        <v>86</v>
      </c>
      <c r="S1657" t="s">
        <v>167</v>
      </c>
      <c r="T1657" t="s">
        <v>167</v>
      </c>
      <c r="U1657" t="s">
        <v>168</v>
      </c>
      <c r="V1657" t="s">
        <v>169</v>
      </c>
      <c r="W1657" t="s">
        <v>77</v>
      </c>
      <c r="X1657" t="s">
        <v>44</v>
      </c>
      <c r="Y1657" t="s">
        <v>99</v>
      </c>
      <c r="Z1657" t="s">
        <v>421</v>
      </c>
      <c r="AC1657" t="str">
        <f>IF(AA1657="",M1657,AA1657)</f>
        <v>não</v>
      </c>
      <c r="AD1657" t="str">
        <f>IF(AB1657="",X1657,AB1657)</f>
        <v>sim</v>
      </c>
      <c r="AE1657" t="str">
        <f>IF(OR(Configuracao!B9="",Configuracao!B10=""),"aguardando limiar",IF(AND(K1657&gt;=Configuracao!B9,K1657/MAX(Reconciliacao!C2,1)&gt;=Configuracao!B10/100),"sim","não"))</f>
        <v>aguardando limiar</v>
      </c>
    </row>
    <row r="1658" spans="1:31" x14ac:dyDescent="0.25">
      <c r="A1658">
        <v>16540</v>
      </c>
      <c r="C1658" t="s">
        <v>1320</v>
      </c>
      <c r="D1658" t="s">
        <v>1288</v>
      </c>
      <c r="E1658" t="s">
        <v>474</v>
      </c>
      <c r="F1658" t="s">
        <v>165</v>
      </c>
      <c r="G1658" t="s">
        <v>165</v>
      </c>
      <c r="H1658" t="s">
        <v>92</v>
      </c>
      <c r="I1658" t="s">
        <v>461</v>
      </c>
      <c r="J1658" t="s">
        <v>461</v>
      </c>
      <c r="K1658" s="4">
        <v>1282.55</v>
      </c>
      <c r="L1658" s="4">
        <v>1282.55</v>
      </c>
      <c r="M1658" t="s">
        <v>166</v>
      </c>
      <c r="N1658" t="s">
        <v>77</v>
      </c>
      <c r="O1658" t="s">
        <v>86</v>
      </c>
      <c r="P1658" t="s">
        <v>170</v>
      </c>
      <c r="Q1658" t="s">
        <v>86</v>
      </c>
      <c r="R1658" t="s">
        <v>86</v>
      </c>
      <c r="S1658" t="s">
        <v>167</v>
      </c>
      <c r="T1658" t="s">
        <v>167</v>
      </c>
      <c r="U1658" t="s">
        <v>168</v>
      </c>
      <c r="V1658" t="s">
        <v>169</v>
      </c>
      <c r="W1658" t="s">
        <v>77</v>
      </c>
      <c r="X1658" t="s">
        <v>44</v>
      </c>
      <c r="Y1658" t="s">
        <v>99</v>
      </c>
      <c r="Z1658" t="s">
        <v>421</v>
      </c>
      <c r="AC1658" t="str">
        <f>IF(AA1658="",M1658,AA1658)</f>
        <v>não</v>
      </c>
      <c r="AD1658" t="str">
        <f>IF(AB1658="",X1658,AB1658)</f>
        <v>sim</v>
      </c>
      <c r="AE1658" t="str">
        <f>IF(OR(Configuracao!B9="",Configuracao!B10=""),"aguardando limiar",IF(AND(K1658&gt;=Configuracao!B9,K1658/MAX(Reconciliacao!C2,1)&gt;=Configuracao!B10/100),"sim","não"))</f>
        <v>aguardando limiar</v>
      </c>
    </row>
    <row r="1659" spans="1:31" x14ac:dyDescent="0.25">
      <c r="A1659">
        <v>16541</v>
      </c>
      <c r="C1659" t="s">
        <v>1320</v>
      </c>
      <c r="D1659" t="s">
        <v>1288</v>
      </c>
      <c r="E1659" t="s">
        <v>474</v>
      </c>
      <c r="F1659" t="s">
        <v>165</v>
      </c>
      <c r="G1659" t="s">
        <v>165</v>
      </c>
      <c r="H1659" t="s">
        <v>92</v>
      </c>
      <c r="I1659" t="s">
        <v>442</v>
      </c>
      <c r="J1659" t="s">
        <v>442</v>
      </c>
      <c r="K1659" s="4">
        <v>1282.55</v>
      </c>
      <c r="L1659" s="4">
        <v>1282.55</v>
      </c>
      <c r="M1659" t="s">
        <v>166</v>
      </c>
      <c r="N1659" t="s">
        <v>77</v>
      </c>
      <c r="O1659" t="s">
        <v>86</v>
      </c>
      <c r="P1659" t="s">
        <v>170</v>
      </c>
      <c r="Q1659" t="s">
        <v>86</v>
      </c>
      <c r="R1659" t="s">
        <v>86</v>
      </c>
      <c r="S1659" t="s">
        <v>167</v>
      </c>
      <c r="T1659" t="s">
        <v>167</v>
      </c>
      <c r="U1659" t="s">
        <v>168</v>
      </c>
      <c r="V1659" t="s">
        <v>169</v>
      </c>
      <c r="W1659" t="s">
        <v>77</v>
      </c>
      <c r="X1659" t="s">
        <v>44</v>
      </c>
      <c r="Y1659" t="s">
        <v>99</v>
      </c>
      <c r="Z1659" t="s">
        <v>421</v>
      </c>
      <c r="AC1659" t="str">
        <f>IF(AA1659="",M1659,AA1659)</f>
        <v>não</v>
      </c>
      <c r="AD1659" t="str">
        <f>IF(AB1659="",X1659,AB1659)</f>
        <v>sim</v>
      </c>
      <c r="AE1659" t="str">
        <f>IF(OR(Configuracao!B9="",Configuracao!B10=""),"aguardando limiar",IF(AND(K1659&gt;=Configuracao!B9,K1659/MAX(Reconciliacao!C2,1)&gt;=Configuracao!B10/100),"sim","não"))</f>
        <v>aguardando limiar</v>
      </c>
    </row>
    <row r="1660" spans="1:31" x14ac:dyDescent="0.25">
      <c r="A1660">
        <v>16542</v>
      </c>
      <c r="C1660" t="s">
        <v>1320</v>
      </c>
      <c r="D1660" t="s">
        <v>1288</v>
      </c>
      <c r="E1660" t="s">
        <v>474</v>
      </c>
      <c r="F1660" t="s">
        <v>165</v>
      </c>
      <c r="G1660" t="s">
        <v>165</v>
      </c>
      <c r="H1660" t="s">
        <v>92</v>
      </c>
      <c r="I1660" t="s">
        <v>439</v>
      </c>
      <c r="J1660" t="s">
        <v>439</v>
      </c>
      <c r="K1660" s="4">
        <v>1282.55</v>
      </c>
      <c r="L1660" s="4">
        <v>1282.55</v>
      </c>
      <c r="M1660" t="s">
        <v>166</v>
      </c>
      <c r="N1660" t="s">
        <v>77</v>
      </c>
      <c r="O1660" t="s">
        <v>86</v>
      </c>
      <c r="P1660" t="s">
        <v>170</v>
      </c>
      <c r="Q1660" t="s">
        <v>86</v>
      </c>
      <c r="R1660" t="s">
        <v>86</v>
      </c>
      <c r="S1660" t="s">
        <v>167</v>
      </c>
      <c r="T1660" t="s">
        <v>167</v>
      </c>
      <c r="U1660" t="s">
        <v>168</v>
      </c>
      <c r="V1660" t="s">
        <v>169</v>
      </c>
      <c r="W1660" t="s">
        <v>77</v>
      </c>
      <c r="X1660" t="s">
        <v>44</v>
      </c>
      <c r="Y1660" t="s">
        <v>99</v>
      </c>
      <c r="Z1660" t="s">
        <v>421</v>
      </c>
      <c r="AC1660" t="str">
        <f>IF(AA1660="",M1660,AA1660)</f>
        <v>não</v>
      </c>
      <c r="AD1660" t="str">
        <f>IF(AB1660="",X1660,AB1660)</f>
        <v>sim</v>
      </c>
      <c r="AE1660" t="str">
        <f>IF(OR(Configuracao!B9="",Configuracao!B10=""),"aguardando limiar",IF(AND(K1660&gt;=Configuracao!B9,K1660/MAX(Reconciliacao!C2,1)&gt;=Configuracao!B10/100),"sim","não"))</f>
        <v>aguardando limiar</v>
      </c>
    </row>
    <row r="1661" spans="1:31" x14ac:dyDescent="0.25">
      <c r="A1661">
        <v>16543</v>
      </c>
      <c r="C1661" t="s">
        <v>1320</v>
      </c>
      <c r="D1661" t="s">
        <v>1288</v>
      </c>
      <c r="E1661" t="s">
        <v>474</v>
      </c>
      <c r="F1661" t="s">
        <v>165</v>
      </c>
      <c r="G1661" t="s">
        <v>165</v>
      </c>
      <c r="H1661" t="s">
        <v>92</v>
      </c>
      <c r="I1661" t="s">
        <v>35</v>
      </c>
      <c r="J1661" t="s">
        <v>35</v>
      </c>
      <c r="K1661" s="4">
        <v>1282.55</v>
      </c>
      <c r="L1661" s="4">
        <v>1282.55</v>
      </c>
      <c r="M1661" t="s">
        <v>166</v>
      </c>
      <c r="N1661" t="s">
        <v>77</v>
      </c>
      <c r="O1661" t="s">
        <v>86</v>
      </c>
      <c r="P1661" t="s">
        <v>170</v>
      </c>
      <c r="Q1661" t="s">
        <v>86</v>
      </c>
      <c r="R1661" t="s">
        <v>86</v>
      </c>
      <c r="S1661" t="s">
        <v>167</v>
      </c>
      <c r="T1661" t="s">
        <v>167</v>
      </c>
      <c r="U1661" t="s">
        <v>168</v>
      </c>
      <c r="V1661" t="s">
        <v>169</v>
      </c>
      <c r="W1661" t="s">
        <v>77</v>
      </c>
      <c r="X1661" t="s">
        <v>44</v>
      </c>
      <c r="Y1661" t="s">
        <v>99</v>
      </c>
      <c r="Z1661" t="s">
        <v>421</v>
      </c>
      <c r="AC1661" t="str">
        <f>IF(AA1661="",M1661,AA1661)</f>
        <v>não</v>
      </c>
      <c r="AD1661" t="str">
        <f>IF(AB1661="",X1661,AB1661)</f>
        <v>sim</v>
      </c>
      <c r="AE1661" t="str">
        <f>IF(OR(Configuracao!B9="",Configuracao!B10=""),"aguardando limiar",IF(AND(K1661&gt;=Configuracao!B9,K1661/MAX(Reconciliacao!C2,1)&gt;=Configuracao!B10/100),"sim","não"))</f>
        <v>aguardando limiar</v>
      </c>
    </row>
    <row r="1662" spans="1:31" x14ac:dyDescent="0.25">
      <c r="A1662">
        <v>5973</v>
      </c>
      <c r="D1662" t="s">
        <v>1321</v>
      </c>
      <c r="E1662" t="s">
        <v>471</v>
      </c>
      <c r="F1662" t="s">
        <v>165</v>
      </c>
      <c r="G1662" t="s">
        <v>165</v>
      </c>
      <c r="H1662" t="s">
        <v>92</v>
      </c>
      <c r="I1662" t="s">
        <v>32</v>
      </c>
      <c r="J1662" t="s">
        <v>32</v>
      </c>
      <c r="K1662" s="4">
        <v>1312.78</v>
      </c>
      <c r="L1662" s="4">
        <v>1312.78</v>
      </c>
      <c r="M1662" t="s">
        <v>166</v>
      </c>
      <c r="N1662" t="s">
        <v>77</v>
      </c>
      <c r="O1662" t="s">
        <v>86</v>
      </c>
      <c r="P1662" t="s">
        <v>170</v>
      </c>
      <c r="Q1662" t="s">
        <v>86</v>
      </c>
      <c r="R1662" t="s">
        <v>86</v>
      </c>
      <c r="S1662" t="s">
        <v>167</v>
      </c>
      <c r="T1662" t="s">
        <v>167</v>
      </c>
      <c r="U1662" t="s">
        <v>168</v>
      </c>
      <c r="V1662" t="s">
        <v>169</v>
      </c>
      <c r="W1662" t="s">
        <v>77</v>
      </c>
      <c r="X1662" t="s">
        <v>44</v>
      </c>
      <c r="Y1662" t="s">
        <v>99</v>
      </c>
      <c r="Z1662" t="s">
        <v>421</v>
      </c>
      <c r="AC1662" t="str">
        <f>IF(AA1662="",M1662,AA1662)</f>
        <v>não</v>
      </c>
      <c r="AD1662" t="str">
        <f>IF(AB1662="",X1662,AB1662)</f>
        <v>sim</v>
      </c>
      <c r="AE1662" t="str">
        <f>IF(OR(Configuracao!B9="",Configuracao!B10=""),"aguardando limiar",IF(AND(K1662&gt;=Configuracao!B9,K1662/MAX(Reconciliacao!C2,1)&gt;=Configuracao!B10/100),"sim","não"))</f>
        <v>aguardando limiar</v>
      </c>
    </row>
    <row r="1663" spans="1:31" x14ac:dyDescent="0.25">
      <c r="A1663">
        <v>5974</v>
      </c>
      <c r="D1663" t="s">
        <v>1321</v>
      </c>
      <c r="E1663" t="s">
        <v>471</v>
      </c>
      <c r="F1663" t="s">
        <v>165</v>
      </c>
      <c r="G1663" t="s">
        <v>165</v>
      </c>
      <c r="H1663" t="s">
        <v>92</v>
      </c>
      <c r="I1663" t="s">
        <v>424</v>
      </c>
      <c r="J1663" t="s">
        <v>424</v>
      </c>
      <c r="K1663" s="4">
        <v>1312.78</v>
      </c>
      <c r="L1663" s="4">
        <v>1312.78</v>
      </c>
      <c r="M1663" t="s">
        <v>166</v>
      </c>
      <c r="N1663" t="s">
        <v>77</v>
      </c>
      <c r="O1663" t="s">
        <v>86</v>
      </c>
      <c r="P1663" t="s">
        <v>170</v>
      </c>
      <c r="Q1663" t="s">
        <v>86</v>
      </c>
      <c r="R1663" t="s">
        <v>86</v>
      </c>
      <c r="S1663" t="s">
        <v>167</v>
      </c>
      <c r="T1663" t="s">
        <v>167</v>
      </c>
      <c r="U1663" t="s">
        <v>168</v>
      </c>
      <c r="V1663" t="s">
        <v>169</v>
      </c>
      <c r="W1663" t="s">
        <v>77</v>
      </c>
      <c r="X1663" t="s">
        <v>44</v>
      </c>
      <c r="Y1663" t="s">
        <v>99</v>
      </c>
      <c r="Z1663" t="s">
        <v>421</v>
      </c>
      <c r="AC1663" t="str">
        <f>IF(AA1663="",M1663,AA1663)</f>
        <v>não</v>
      </c>
      <c r="AD1663" t="str">
        <f>IF(AB1663="",X1663,AB1663)</f>
        <v>sim</v>
      </c>
      <c r="AE1663" t="str">
        <f>IF(OR(Configuracao!B9="",Configuracao!B10=""),"aguardando limiar",IF(AND(K1663&gt;=Configuracao!B9,K1663/MAX(Reconciliacao!C2,1)&gt;=Configuracao!B10/100),"sim","não"))</f>
        <v>aguardando limiar</v>
      </c>
    </row>
    <row r="1664" spans="1:31" x14ac:dyDescent="0.25">
      <c r="A1664">
        <v>5975</v>
      </c>
      <c r="D1664" t="s">
        <v>1321</v>
      </c>
      <c r="E1664" t="s">
        <v>471</v>
      </c>
      <c r="F1664" t="s">
        <v>165</v>
      </c>
      <c r="G1664" t="s">
        <v>165</v>
      </c>
      <c r="H1664" t="s">
        <v>92</v>
      </c>
      <c r="I1664" t="s">
        <v>420</v>
      </c>
      <c r="J1664" t="s">
        <v>420</v>
      </c>
      <c r="K1664" s="4">
        <v>1312.78</v>
      </c>
      <c r="L1664" s="4">
        <v>1312.78</v>
      </c>
      <c r="M1664" t="s">
        <v>166</v>
      </c>
      <c r="N1664" t="s">
        <v>77</v>
      </c>
      <c r="O1664" t="s">
        <v>86</v>
      </c>
      <c r="P1664" t="s">
        <v>170</v>
      </c>
      <c r="Q1664" t="s">
        <v>86</v>
      </c>
      <c r="R1664" t="s">
        <v>86</v>
      </c>
      <c r="S1664" t="s">
        <v>167</v>
      </c>
      <c r="T1664" t="s">
        <v>167</v>
      </c>
      <c r="U1664" t="s">
        <v>168</v>
      </c>
      <c r="V1664" t="s">
        <v>169</v>
      </c>
      <c r="W1664" t="s">
        <v>77</v>
      </c>
      <c r="X1664" t="s">
        <v>44</v>
      </c>
      <c r="Y1664" t="s">
        <v>99</v>
      </c>
      <c r="Z1664" t="s">
        <v>421</v>
      </c>
      <c r="AC1664" t="str">
        <f>IF(AA1664="",M1664,AA1664)</f>
        <v>não</v>
      </c>
      <c r="AD1664" t="str">
        <f>IF(AB1664="",X1664,AB1664)</f>
        <v>sim</v>
      </c>
      <c r="AE1664" t="str">
        <f>IF(OR(Configuracao!B9="",Configuracao!B10=""),"aguardando limiar",IF(AND(K1664&gt;=Configuracao!B9,K1664/MAX(Reconciliacao!C2,1)&gt;=Configuracao!B10/100),"sim","não"))</f>
        <v>aguardando limiar</v>
      </c>
    </row>
    <row r="1665" spans="1:31" x14ac:dyDescent="0.25">
      <c r="A1665">
        <v>5976</v>
      </c>
      <c r="D1665" t="s">
        <v>1321</v>
      </c>
      <c r="E1665" t="s">
        <v>471</v>
      </c>
      <c r="F1665" t="s">
        <v>165</v>
      </c>
      <c r="G1665" t="s">
        <v>165</v>
      </c>
      <c r="H1665" t="s">
        <v>92</v>
      </c>
      <c r="I1665" t="s">
        <v>454</v>
      </c>
      <c r="J1665" t="s">
        <v>454</v>
      </c>
      <c r="K1665" s="4">
        <v>1312.78</v>
      </c>
      <c r="L1665" s="4">
        <v>1312.78</v>
      </c>
      <c r="M1665" t="s">
        <v>166</v>
      </c>
      <c r="N1665" t="s">
        <v>77</v>
      </c>
      <c r="O1665" t="s">
        <v>86</v>
      </c>
      <c r="P1665" t="s">
        <v>170</v>
      </c>
      <c r="Q1665" t="s">
        <v>86</v>
      </c>
      <c r="R1665" t="s">
        <v>86</v>
      </c>
      <c r="S1665" t="s">
        <v>167</v>
      </c>
      <c r="T1665" t="s">
        <v>167</v>
      </c>
      <c r="U1665" t="s">
        <v>168</v>
      </c>
      <c r="V1665" t="s">
        <v>169</v>
      </c>
      <c r="W1665" t="s">
        <v>77</v>
      </c>
      <c r="X1665" t="s">
        <v>44</v>
      </c>
      <c r="Y1665" t="s">
        <v>99</v>
      </c>
      <c r="Z1665" t="s">
        <v>421</v>
      </c>
      <c r="AC1665" t="str">
        <f>IF(AA1665="",M1665,AA1665)</f>
        <v>não</v>
      </c>
      <c r="AD1665" t="str">
        <f>IF(AB1665="",X1665,AB1665)</f>
        <v>sim</v>
      </c>
      <c r="AE1665" t="str">
        <f>IF(OR(Configuracao!B9="",Configuracao!B10=""),"aguardando limiar",IF(AND(K1665&gt;=Configuracao!B9,K1665/MAX(Reconciliacao!C2,1)&gt;=Configuracao!B10/100),"sim","não"))</f>
        <v>aguardando limiar</v>
      </c>
    </row>
    <row r="1666" spans="1:31" x14ac:dyDescent="0.25">
      <c r="A1666">
        <v>5977</v>
      </c>
      <c r="D1666" t="s">
        <v>1321</v>
      </c>
      <c r="E1666" t="s">
        <v>471</v>
      </c>
      <c r="F1666" t="s">
        <v>165</v>
      </c>
      <c r="G1666" t="s">
        <v>165</v>
      </c>
      <c r="H1666" t="s">
        <v>92</v>
      </c>
      <c r="I1666" t="s">
        <v>461</v>
      </c>
      <c r="J1666" t="s">
        <v>461</v>
      </c>
      <c r="K1666" s="4">
        <v>1312.78</v>
      </c>
      <c r="L1666" s="4">
        <v>1312.78</v>
      </c>
      <c r="M1666" t="s">
        <v>166</v>
      </c>
      <c r="N1666" t="s">
        <v>77</v>
      </c>
      <c r="O1666" t="s">
        <v>86</v>
      </c>
      <c r="P1666" t="s">
        <v>170</v>
      </c>
      <c r="Q1666" t="s">
        <v>86</v>
      </c>
      <c r="R1666" t="s">
        <v>86</v>
      </c>
      <c r="S1666" t="s">
        <v>167</v>
      </c>
      <c r="T1666" t="s">
        <v>167</v>
      </c>
      <c r="U1666" t="s">
        <v>168</v>
      </c>
      <c r="V1666" t="s">
        <v>169</v>
      </c>
      <c r="W1666" t="s">
        <v>77</v>
      </c>
      <c r="X1666" t="s">
        <v>44</v>
      </c>
      <c r="Y1666" t="s">
        <v>99</v>
      </c>
      <c r="Z1666" t="s">
        <v>421</v>
      </c>
      <c r="AC1666" t="str">
        <f>IF(AA1666="",M1666,AA1666)</f>
        <v>não</v>
      </c>
      <c r="AD1666" t="str">
        <f>IF(AB1666="",X1666,AB1666)</f>
        <v>sim</v>
      </c>
      <c r="AE1666" t="str">
        <f>IF(OR(Configuracao!B9="",Configuracao!B10=""),"aguardando limiar",IF(AND(K1666&gt;=Configuracao!B9,K1666/MAX(Reconciliacao!C2,1)&gt;=Configuracao!B10/100),"sim","não"))</f>
        <v>aguardando limiar</v>
      </c>
    </row>
    <row r="1667" spans="1:31" x14ac:dyDescent="0.25">
      <c r="A1667">
        <v>5978</v>
      </c>
      <c r="D1667" t="s">
        <v>1321</v>
      </c>
      <c r="E1667" t="s">
        <v>471</v>
      </c>
      <c r="F1667" t="s">
        <v>165</v>
      </c>
      <c r="G1667" t="s">
        <v>165</v>
      </c>
      <c r="H1667" t="s">
        <v>92</v>
      </c>
      <c r="I1667" t="s">
        <v>442</v>
      </c>
      <c r="J1667" t="s">
        <v>442</v>
      </c>
      <c r="K1667" s="4">
        <v>1312.78</v>
      </c>
      <c r="L1667" s="4">
        <v>1312.78</v>
      </c>
      <c r="M1667" t="s">
        <v>166</v>
      </c>
      <c r="N1667" t="s">
        <v>77</v>
      </c>
      <c r="O1667" t="s">
        <v>86</v>
      </c>
      <c r="P1667" t="s">
        <v>170</v>
      </c>
      <c r="Q1667" t="s">
        <v>86</v>
      </c>
      <c r="R1667" t="s">
        <v>86</v>
      </c>
      <c r="S1667" t="s">
        <v>167</v>
      </c>
      <c r="T1667" t="s">
        <v>167</v>
      </c>
      <c r="U1667" t="s">
        <v>168</v>
      </c>
      <c r="V1667" t="s">
        <v>169</v>
      </c>
      <c r="W1667" t="s">
        <v>77</v>
      </c>
      <c r="X1667" t="s">
        <v>44</v>
      </c>
      <c r="Y1667" t="s">
        <v>99</v>
      </c>
      <c r="Z1667" t="s">
        <v>421</v>
      </c>
      <c r="AC1667" t="str">
        <f>IF(AA1667="",M1667,AA1667)</f>
        <v>não</v>
      </c>
      <c r="AD1667" t="str">
        <f>IF(AB1667="",X1667,AB1667)</f>
        <v>sim</v>
      </c>
      <c r="AE1667" t="str">
        <f>IF(OR(Configuracao!B9="",Configuracao!B10=""),"aguardando limiar",IF(AND(K1667&gt;=Configuracao!B9,K1667/MAX(Reconciliacao!C2,1)&gt;=Configuracao!B10/100),"sim","não"))</f>
        <v>aguardando limiar</v>
      </c>
    </row>
    <row r="1668" spans="1:31" x14ac:dyDescent="0.25">
      <c r="A1668">
        <v>5979</v>
      </c>
      <c r="D1668" t="s">
        <v>1321</v>
      </c>
      <c r="E1668" t="s">
        <v>471</v>
      </c>
      <c r="F1668" t="s">
        <v>165</v>
      </c>
      <c r="G1668" t="s">
        <v>165</v>
      </c>
      <c r="H1668" t="s">
        <v>92</v>
      </c>
      <c r="I1668" t="s">
        <v>439</v>
      </c>
      <c r="J1668" t="s">
        <v>439</v>
      </c>
      <c r="K1668" s="4">
        <v>1312.78</v>
      </c>
      <c r="L1668" s="4">
        <v>1312.78</v>
      </c>
      <c r="M1668" t="s">
        <v>166</v>
      </c>
      <c r="N1668" t="s">
        <v>77</v>
      </c>
      <c r="O1668" t="s">
        <v>86</v>
      </c>
      <c r="P1668" t="s">
        <v>170</v>
      </c>
      <c r="Q1668" t="s">
        <v>86</v>
      </c>
      <c r="R1668" t="s">
        <v>86</v>
      </c>
      <c r="S1668" t="s">
        <v>167</v>
      </c>
      <c r="T1668" t="s">
        <v>167</v>
      </c>
      <c r="U1668" t="s">
        <v>168</v>
      </c>
      <c r="V1668" t="s">
        <v>169</v>
      </c>
      <c r="W1668" t="s">
        <v>77</v>
      </c>
      <c r="X1668" t="s">
        <v>44</v>
      </c>
      <c r="Y1668" t="s">
        <v>99</v>
      </c>
      <c r="Z1668" t="s">
        <v>421</v>
      </c>
      <c r="AC1668" t="str">
        <f>IF(AA1668="",M1668,AA1668)</f>
        <v>não</v>
      </c>
      <c r="AD1668" t="str">
        <f>IF(AB1668="",X1668,AB1668)</f>
        <v>sim</v>
      </c>
      <c r="AE1668" t="str">
        <f>IF(OR(Configuracao!B9="",Configuracao!B10=""),"aguardando limiar",IF(AND(K1668&gt;=Configuracao!B9,K1668/MAX(Reconciliacao!C2,1)&gt;=Configuracao!B10/100),"sim","não"))</f>
        <v>aguardando limiar</v>
      </c>
    </row>
    <row r="1669" spans="1:31" x14ac:dyDescent="0.25">
      <c r="A1669">
        <v>5980</v>
      </c>
      <c r="D1669" t="s">
        <v>1321</v>
      </c>
      <c r="E1669" t="s">
        <v>471</v>
      </c>
      <c r="F1669" t="s">
        <v>165</v>
      </c>
      <c r="G1669" t="s">
        <v>165</v>
      </c>
      <c r="H1669" t="s">
        <v>92</v>
      </c>
      <c r="I1669" t="s">
        <v>35</v>
      </c>
      <c r="J1669" t="s">
        <v>35</v>
      </c>
      <c r="K1669" s="4">
        <v>1312.78</v>
      </c>
      <c r="L1669" s="4">
        <v>1312.78</v>
      </c>
      <c r="M1669" t="s">
        <v>166</v>
      </c>
      <c r="N1669" t="s">
        <v>77</v>
      </c>
      <c r="O1669" t="s">
        <v>86</v>
      </c>
      <c r="P1669" t="s">
        <v>170</v>
      </c>
      <c r="Q1669" t="s">
        <v>86</v>
      </c>
      <c r="R1669" t="s">
        <v>86</v>
      </c>
      <c r="S1669" t="s">
        <v>167</v>
      </c>
      <c r="T1669" t="s">
        <v>167</v>
      </c>
      <c r="U1669" t="s">
        <v>168</v>
      </c>
      <c r="V1669" t="s">
        <v>169</v>
      </c>
      <c r="W1669" t="s">
        <v>77</v>
      </c>
      <c r="X1669" t="s">
        <v>44</v>
      </c>
      <c r="Y1669" t="s">
        <v>99</v>
      </c>
      <c r="Z1669" t="s">
        <v>421</v>
      </c>
      <c r="AC1669" t="str">
        <f>IF(AA1669="",M1669,AA1669)</f>
        <v>não</v>
      </c>
      <c r="AD1669" t="str">
        <f>IF(AB1669="",X1669,AB1669)</f>
        <v>sim</v>
      </c>
      <c r="AE1669" t="str">
        <f>IF(OR(Configuracao!B9="",Configuracao!B10=""),"aguardando limiar",IF(AND(K1669&gt;=Configuracao!B9,K1669/MAX(Reconciliacao!C2,1)&gt;=Configuracao!B10/100),"sim","não"))</f>
        <v>aguardando limiar</v>
      </c>
    </row>
    <row r="1670" spans="1:31" x14ac:dyDescent="0.25">
      <c r="A1670">
        <v>11869</v>
      </c>
      <c r="C1670" t="s">
        <v>1247</v>
      </c>
      <c r="D1670" t="s">
        <v>949</v>
      </c>
      <c r="E1670" t="s">
        <v>474</v>
      </c>
      <c r="F1670" t="s">
        <v>165</v>
      </c>
      <c r="G1670" t="s">
        <v>165</v>
      </c>
      <c r="H1670" t="s">
        <v>92</v>
      </c>
      <c r="I1670" t="s">
        <v>32</v>
      </c>
      <c r="J1670" t="s">
        <v>32</v>
      </c>
      <c r="K1670" s="4">
        <v>1322.55</v>
      </c>
      <c r="L1670" s="4">
        <v>1322.55</v>
      </c>
      <c r="M1670" t="s">
        <v>166</v>
      </c>
      <c r="N1670" t="s">
        <v>77</v>
      </c>
      <c r="O1670" t="s">
        <v>86</v>
      </c>
      <c r="P1670" t="s">
        <v>170</v>
      </c>
      <c r="Q1670" t="s">
        <v>86</v>
      </c>
      <c r="R1670" t="s">
        <v>86</v>
      </c>
      <c r="S1670" t="s">
        <v>167</v>
      </c>
      <c r="T1670" t="s">
        <v>167</v>
      </c>
      <c r="U1670" t="s">
        <v>168</v>
      </c>
      <c r="V1670" t="s">
        <v>169</v>
      </c>
      <c r="W1670" t="s">
        <v>77</v>
      </c>
      <c r="X1670" t="s">
        <v>44</v>
      </c>
      <c r="Y1670" t="s">
        <v>99</v>
      </c>
      <c r="Z1670" t="s">
        <v>421</v>
      </c>
      <c r="AC1670" t="str">
        <f>IF(AA1670="",M1670,AA1670)</f>
        <v>não</v>
      </c>
      <c r="AD1670" t="str">
        <f>IF(AB1670="",X1670,AB1670)</f>
        <v>sim</v>
      </c>
      <c r="AE1670" t="str">
        <f>IF(OR(Configuracao!B9="",Configuracao!B10=""),"aguardando limiar",IF(AND(K1670&gt;=Configuracao!B9,K1670/MAX(Reconciliacao!C2,1)&gt;=Configuracao!B10/100),"sim","não"))</f>
        <v>aguardando limiar</v>
      </c>
    </row>
    <row r="1671" spans="1:31" x14ac:dyDescent="0.25">
      <c r="A1671">
        <v>13351</v>
      </c>
      <c r="C1671" t="s">
        <v>1247</v>
      </c>
      <c r="D1671" t="s">
        <v>949</v>
      </c>
      <c r="E1671" t="s">
        <v>474</v>
      </c>
      <c r="F1671" t="s">
        <v>165</v>
      </c>
      <c r="G1671" t="s">
        <v>165</v>
      </c>
      <c r="H1671" t="s">
        <v>92</v>
      </c>
      <c r="I1671" t="s">
        <v>424</v>
      </c>
      <c r="J1671" t="s">
        <v>424</v>
      </c>
      <c r="K1671" s="4">
        <v>1322.55</v>
      </c>
      <c r="L1671" s="4">
        <v>1322.55</v>
      </c>
      <c r="M1671" t="s">
        <v>166</v>
      </c>
      <c r="N1671" t="s">
        <v>77</v>
      </c>
      <c r="O1671" t="s">
        <v>86</v>
      </c>
      <c r="P1671" t="s">
        <v>170</v>
      </c>
      <c r="Q1671" t="s">
        <v>86</v>
      </c>
      <c r="R1671" t="s">
        <v>86</v>
      </c>
      <c r="S1671" t="s">
        <v>167</v>
      </c>
      <c r="T1671" t="s">
        <v>167</v>
      </c>
      <c r="U1671" t="s">
        <v>168</v>
      </c>
      <c r="V1671" t="s">
        <v>169</v>
      </c>
      <c r="W1671" t="s">
        <v>77</v>
      </c>
      <c r="X1671" t="s">
        <v>44</v>
      </c>
      <c r="Y1671" t="s">
        <v>99</v>
      </c>
      <c r="Z1671" t="s">
        <v>421</v>
      </c>
      <c r="AC1671" t="str">
        <f>IF(AA1671="",M1671,AA1671)</f>
        <v>não</v>
      </c>
      <c r="AD1671" t="str">
        <f>IF(AB1671="",X1671,AB1671)</f>
        <v>sim</v>
      </c>
      <c r="AE1671" t="str">
        <f>IF(OR(Configuracao!B9="",Configuracao!B10=""),"aguardando limiar",IF(AND(K1671&gt;=Configuracao!B9,K1671/MAX(Reconciliacao!C2,1)&gt;=Configuracao!B10/100),"sim","não"))</f>
        <v>aguardando limiar</v>
      </c>
    </row>
    <row r="1672" spans="1:31" x14ac:dyDescent="0.25">
      <c r="A1672">
        <v>16074</v>
      </c>
      <c r="C1672" t="s">
        <v>1317</v>
      </c>
      <c r="D1672" t="s">
        <v>510</v>
      </c>
      <c r="E1672" t="s">
        <v>511</v>
      </c>
      <c r="F1672" t="s">
        <v>165</v>
      </c>
      <c r="G1672" t="s">
        <v>165</v>
      </c>
      <c r="H1672" t="s">
        <v>92</v>
      </c>
      <c r="I1672" t="s">
        <v>420</v>
      </c>
      <c r="J1672" t="s">
        <v>420</v>
      </c>
      <c r="K1672" s="4">
        <v>1340.82</v>
      </c>
      <c r="L1672" s="4">
        <v>1340.82</v>
      </c>
      <c r="M1672" t="s">
        <v>166</v>
      </c>
      <c r="N1672" t="s">
        <v>77</v>
      </c>
      <c r="O1672" t="s">
        <v>86</v>
      </c>
      <c r="P1672" t="s">
        <v>170</v>
      </c>
      <c r="Q1672" t="s">
        <v>86</v>
      </c>
      <c r="R1672" t="s">
        <v>86</v>
      </c>
      <c r="S1672" t="s">
        <v>167</v>
      </c>
      <c r="T1672" t="s">
        <v>167</v>
      </c>
      <c r="U1672" t="s">
        <v>168</v>
      </c>
      <c r="V1672" t="s">
        <v>169</v>
      </c>
      <c r="W1672" t="s">
        <v>77</v>
      </c>
      <c r="X1672" t="s">
        <v>44</v>
      </c>
      <c r="Y1672" t="s">
        <v>99</v>
      </c>
      <c r="Z1672" t="s">
        <v>421</v>
      </c>
      <c r="AC1672" t="str">
        <f>IF(AA1672="",M1672,AA1672)</f>
        <v>não</v>
      </c>
      <c r="AD1672" t="str">
        <f>IF(AB1672="",X1672,AB1672)</f>
        <v>sim</v>
      </c>
      <c r="AE1672" t="str">
        <f>IF(OR(Configuracao!B9="",Configuracao!B10=""),"aguardando limiar",IF(AND(K1672&gt;=Configuracao!B9,K1672/MAX(Reconciliacao!C2,1)&gt;=Configuracao!B10/100),"sim","não"))</f>
        <v>aguardando limiar</v>
      </c>
    </row>
    <row r="1673" spans="1:31" x14ac:dyDescent="0.25">
      <c r="A1673">
        <v>18496</v>
      </c>
      <c r="C1673" t="s">
        <v>1247</v>
      </c>
      <c r="D1673" t="s">
        <v>949</v>
      </c>
      <c r="E1673" t="s">
        <v>474</v>
      </c>
      <c r="F1673" t="s">
        <v>165</v>
      </c>
      <c r="G1673" t="s">
        <v>165</v>
      </c>
      <c r="H1673" t="s">
        <v>92</v>
      </c>
      <c r="I1673" t="s">
        <v>439</v>
      </c>
      <c r="J1673" t="s">
        <v>439</v>
      </c>
      <c r="K1673" s="4">
        <v>1432.6</v>
      </c>
      <c r="L1673" s="4">
        <v>1432.6</v>
      </c>
      <c r="M1673" t="s">
        <v>166</v>
      </c>
      <c r="N1673" t="s">
        <v>77</v>
      </c>
      <c r="O1673" t="s">
        <v>86</v>
      </c>
      <c r="P1673" t="s">
        <v>170</v>
      </c>
      <c r="Q1673" t="s">
        <v>86</v>
      </c>
      <c r="R1673" t="s">
        <v>86</v>
      </c>
      <c r="S1673" t="s">
        <v>167</v>
      </c>
      <c r="T1673" t="s">
        <v>167</v>
      </c>
      <c r="U1673" t="s">
        <v>168</v>
      </c>
      <c r="V1673" t="s">
        <v>169</v>
      </c>
      <c r="W1673" t="s">
        <v>77</v>
      </c>
      <c r="X1673" t="s">
        <v>44</v>
      </c>
      <c r="Y1673" t="s">
        <v>99</v>
      </c>
      <c r="Z1673" t="s">
        <v>421</v>
      </c>
      <c r="AC1673" t="str">
        <f>IF(AA1673="",M1673,AA1673)</f>
        <v>não</v>
      </c>
      <c r="AD1673" t="str">
        <f>IF(AB1673="",X1673,AB1673)</f>
        <v>sim</v>
      </c>
      <c r="AE1673" t="str">
        <f>IF(OR(Configuracao!B9="",Configuracao!B10=""),"aguardando limiar",IF(AND(K1673&gt;=Configuracao!B9,K1673/MAX(Reconciliacao!C2,1)&gt;=Configuracao!B10/100),"sim","não"))</f>
        <v>aguardando limiar</v>
      </c>
    </row>
    <row r="1674" spans="1:31" x14ac:dyDescent="0.25">
      <c r="A1674">
        <v>15825</v>
      </c>
      <c r="C1674" t="s">
        <v>1247</v>
      </c>
      <c r="D1674" t="s">
        <v>949</v>
      </c>
      <c r="E1674" t="s">
        <v>474</v>
      </c>
      <c r="F1674" t="s">
        <v>165</v>
      </c>
      <c r="G1674" t="s">
        <v>165</v>
      </c>
      <c r="H1674" t="s">
        <v>92</v>
      </c>
      <c r="I1674" t="s">
        <v>454</v>
      </c>
      <c r="J1674" t="s">
        <v>454</v>
      </c>
      <c r="K1674" s="4">
        <v>1512.28</v>
      </c>
      <c r="L1674" s="4">
        <v>1512.28</v>
      </c>
      <c r="M1674" t="s">
        <v>166</v>
      </c>
      <c r="N1674" t="s">
        <v>77</v>
      </c>
      <c r="O1674" t="s">
        <v>86</v>
      </c>
      <c r="P1674" t="s">
        <v>170</v>
      </c>
      <c r="Q1674" t="s">
        <v>86</v>
      </c>
      <c r="R1674" t="s">
        <v>86</v>
      </c>
      <c r="S1674" t="s">
        <v>167</v>
      </c>
      <c r="T1674" t="s">
        <v>167</v>
      </c>
      <c r="U1674" t="s">
        <v>168</v>
      </c>
      <c r="V1674" t="s">
        <v>169</v>
      </c>
      <c r="W1674" t="s">
        <v>77</v>
      </c>
      <c r="X1674" t="s">
        <v>44</v>
      </c>
      <c r="Y1674" t="s">
        <v>99</v>
      </c>
      <c r="Z1674" t="s">
        <v>421</v>
      </c>
      <c r="AC1674" t="str">
        <f>IF(AA1674="",M1674,AA1674)</f>
        <v>não</v>
      </c>
      <c r="AD1674" t="str">
        <f>IF(AB1674="",X1674,AB1674)</f>
        <v>sim</v>
      </c>
      <c r="AE1674" t="str">
        <f>IF(OR(Configuracao!B9="",Configuracao!B10=""),"aguardando limiar",IF(AND(K1674&gt;=Configuracao!B9,K1674/MAX(Reconciliacao!C2,1)&gt;=Configuracao!B10/100),"sim","não"))</f>
        <v>aguardando limiar</v>
      </c>
    </row>
    <row r="1675" spans="1:31" x14ac:dyDescent="0.25">
      <c r="A1675">
        <v>16088</v>
      </c>
      <c r="C1675" t="s">
        <v>1247</v>
      </c>
      <c r="D1675" t="s">
        <v>949</v>
      </c>
      <c r="E1675" t="s">
        <v>474</v>
      </c>
      <c r="F1675" t="s">
        <v>165</v>
      </c>
      <c r="G1675" t="s">
        <v>165</v>
      </c>
      <c r="H1675" t="s">
        <v>92</v>
      </c>
      <c r="I1675" t="s">
        <v>420</v>
      </c>
      <c r="J1675" t="s">
        <v>420</v>
      </c>
      <c r="K1675" s="4">
        <v>1512.28</v>
      </c>
      <c r="L1675" s="4">
        <v>1512.28</v>
      </c>
      <c r="M1675" t="s">
        <v>166</v>
      </c>
      <c r="N1675" t="s">
        <v>77</v>
      </c>
      <c r="O1675" t="s">
        <v>86</v>
      </c>
      <c r="P1675" t="s">
        <v>170</v>
      </c>
      <c r="Q1675" t="s">
        <v>86</v>
      </c>
      <c r="R1675" t="s">
        <v>86</v>
      </c>
      <c r="S1675" t="s">
        <v>167</v>
      </c>
      <c r="T1675" t="s">
        <v>167</v>
      </c>
      <c r="U1675" t="s">
        <v>168</v>
      </c>
      <c r="V1675" t="s">
        <v>169</v>
      </c>
      <c r="W1675" t="s">
        <v>77</v>
      </c>
      <c r="X1675" t="s">
        <v>44</v>
      </c>
      <c r="Y1675" t="s">
        <v>99</v>
      </c>
      <c r="Z1675" t="s">
        <v>421</v>
      </c>
      <c r="AC1675" t="str">
        <f>IF(AA1675="",M1675,AA1675)</f>
        <v>não</v>
      </c>
      <c r="AD1675" t="str">
        <f>IF(AB1675="",X1675,AB1675)</f>
        <v>sim</v>
      </c>
      <c r="AE1675" t="str">
        <f>IF(OR(Configuracao!B9="",Configuracao!B10=""),"aguardando limiar",IF(AND(K1675&gt;=Configuracao!B9,K1675/MAX(Reconciliacao!C2,1)&gt;=Configuracao!B10/100),"sim","não"))</f>
        <v>aguardando limiar</v>
      </c>
    </row>
    <row r="1676" spans="1:31" x14ac:dyDescent="0.25">
      <c r="A1676">
        <v>16932</v>
      </c>
      <c r="C1676" t="s">
        <v>1247</v>
      </c>
      <c r="D1676" t="s">
        <v>949</v>
      </c>
      <c r="E1676" t="s">
        <v>474</v>
      </c>
      <c r="F1676" t="s">
        <v>165</v>
      </c>
      <c r="G1676" t="s">
        <v>165</v>
      </c>
      <c r="H1676" t="s">
        <v>92</v>
      </c>
      <c r="I1676" t="s">
        <v>461</v>
      </c>
      <c r="J1676" t="s">
        <v>461</v>
      </c>
      <c r="K1676" s="4">
        <v>1512.28</v>
      </c>
      <c r="L1676" s="4">
        <v>1512.28</v>
      </c>
      <c r="M1676" t="s">
        <v>166</v>
      </c>
      <c r="N1676" t="s">
        <v>77</v>
      </c>
      <c r="O1676" t="s">
        <v>86</v>
      </c>
      <c r="P1676" t="s">
        <v>170</v>
      </c>
      <c r="Q1676" t="s">
        <v>86</v>
      </c>
      <c r="R1676" t="s">
        <v>86</v>
      </c>
      <c r="S1676" t="s">
        <v>167</v>
      </c>
      <c r="T1676" t="s">
        <v>167</v>
      </c>
      <c r="U1676" t="s">
        <v>168</v>
      </c>
      <c r="V1676" t="s">
        <v>169</v>
      </c>
      <c r="W1676" t="s">
        <v>77</v>
      </c>
      <c r="X1676" t="s">
        <v>44</v>
      </c>
      <c r="Y1676" t="s">
        <v>99</v>
      </c>
      <c r="Z1676" t="s">
        <v>421</v>
      </c>
      <c r="AC1676" t="str">
        <f>IF(AA1676="",M1676,AA1676)</f>
        <v>não</v>
      </c>
      <c r="AD1676" t="str">
        <f>IF(AB1676="",X1676,AB1676)</f>
        <v>sim</v>
      </c>
      <c r="AE1676" t="str">
        <f>IF(OR(Configuracao!B9="",Configuracao!B10=""),"aguardando limiar",IF(AND(K1676&gt;=Configuracao!B9,K1676/MAX(Reconciliacao!C2,1)&gt;=Configuracao!B10/100),"sim","não"))</f>
        <v>aguardando limiar</v>
      </c>
    </row>
    <row r="1677" spans="1:31" x14ac:dyDescent="0.25">
      <c r="A1677">
        <v>17685</v>
      </c>
      <c r="C1677" t="s">
        <v>1247</v>
      </c>
      <c r="D1677" t="s">
        <v>949</v>
      </c>
      <c r="E1677" t="s">
        <v>474</v>
      </c>
      <c r="F1677" t="s">
        <v>165</v>
      </c>
      <c r="G1677" t="s">
        <v>165</v>
      </c>
      <c r="H1677" t="s">
        <v>92</v>
      </c>
      <c r="I1677" t="s">
        <v>442</v>
      </c>
      <c r="J1677" t="s">
        <v>442</v>
      </c>
      <c r="K1677" s="4">
        <v>1512.28</v>
      </c>
      <c r="L1677" s="4">
        <v>1512.28</v>
      </c>
      <c r="M1677" t="s">
        <v>166</v>
      </c>
      <c r="N1677" t="s">
        <v>77</v>
      </c>
      <c r="O1677" t="s">
        <v>86</v>
      </c>
      <c r="P1677" t="s">
        <v>170</v>
      </c>
      <c r="Q1677" t="s">
        <v>86</v>
      </c>
      <c r="R1677" t="s">
        <v>86</v>
      </c>
      <c r="S1677" t="s">
        <v>167</v>
      </c>
      <c r="T1677" t="s">
        <v>167</v>
      </c>
      <c r="U1677" t="s">
        <v>168</v>
      </c>
      <c r="V1677" t="s">
        <v>169</v>
      </c>
      <c r="W1677" t="s">
        <v>77</v>
      </c>
      <c r="X1677" t="s">
        <v>44</v>
      </c>
      <c r="Y1677" t="s">
        <v>99</v>
      </c>
      <c r="Z1677" t="s">
        <v>421</v>
      </c>
      <c r="AC1677" t="str">
        <f>IF(AA1677="",M1677,AA1677)</f>
        <v>não</v>
      </c>
      <c r="AD1677" t="str">
        <f>IF(AB1677="",X1677,AB1677)</f>
        <v>sim</v>
      </c>
      <c r="AE1677" t="str">
        <f>IF(OR(Configuracao!B9="",Configuracao!B10=""),"aguardando limiar",IF(AND(K1677&gt;=Configuracao!B9,K1677/MAX(Reconciliacao!C2,1)&gt;=Configuracao!B10/100),"sim","não"))</f>
        <v>aguardando limiar</v>
      </c>
    </row>
    <row r="1678" spans="1:31" x14ac:dyDescent="0.25">
      <c r="A1678">
        <v>19171</v>
      </c>
      <c r="C1678" t="s">
        <v>1247</v>
      </c>
      <c r="D1678" t="s">
        <v>949</v>
      </c>
      <c r="E1678" t="s">
        <v>474</v>
      </c>
      <c r="F1678" t="s">
        <v>165</v>
      </c>
      <c r="G1678" t="s">
        <v>165</v>
      </c>
      <c r="H1678" t="s">
        <v>92</v>
      </c>
      <c r="I1678" t="s">
        <v>35</v>
      </c>
      <c r="J1678" t="s">
        <v>35</v>
      </c>
      <c r="K1678" s="4">
        <v>1591.96</v>
      </c>
      <c r="L1678" s="4">
        <v>1591.96</v>
      </c>
      <c r="M1678" t="s">
        <v>166</v>
      </c>
      <c r="N1678" t="s">
        <v>77</v>
      </c>
      <c r="O1678" t="s">
        <v>86</v>
      </c>
      <c r="P1678" t="s">
        <v>170</v>
      </c>
      <c r="Q1678" t="s">
        <v>86</v>
      </c>
      <c r="R1678" t="s">
        <v>86</v>
      </c>
      <c r="S1678" t="s">
        <v>167</v>
      </c>
      <c r="T1678" t="s">
        <v>167</v>
      </c>
      <c r="U1678" t="s">
        <v>168</v>
      </c>
      <c r="V1678" t="s">
        <v>169</v>
      </c>
      <c r="W1678" t="s">
        <v>77</v>
      </c>
      <c r="X1678" t="s">
        <v>44</v>
      </c>
      <c r="Y1678" t="s">
        <v>99</v>
      </c>
      <c r="Z1678" t="s">
        <v>421</v>
      </c>
      <c r="AC1678" t="str">
        <f>IF(AA1678="",M1678,AA1678)</f>
        <v>não</v>
      </c>
      <c r="AD1678" t="str">
        <f>IF(AB1678="",X1678,AB1678)</f>
        <v>sim</v>
      </c>
      <c r="AE1678" t="str">
        <f>IF(OR(Configuracao!B9="",Configuracao!B10=""),"aguardando limiar",IF(AND(K1678&gt;=Configuracao!B9,K1678/MAX(Reconciliacao!C2,1)&gt;=Configuracao!B10/100),"sim","não"))</f>
        <v>aguardando limiar</v>
      </c>
    </row>
    <row r="1679" spans="1:31" x14ac:dyDescent="0.25">
      <c r="A1679">
        <v>18839</v>
      </c>
      <c r="C1679" t="s">
        <v>1322</v>
      </c>
      <c r="D1679" t="s">
        <v>1323</v>
      </c>
      <c r="E1679" t="s">
        <v>474</v>
      </c>
      <c r="F1679" t="s">
        <v>165</v>
      </c>
      <c r="G1679" t="s">
        <v>165</v>
      </c>
      <c r="H1679" t="s">
        <v>92</v>
      </c>
      <c r="I1679" t="s">
        <v>35</v>
      </c>
      <c r="J1679" t="s">
        <v>35</v>
      </c>
      <c r="K1679" s="4">
        <v>1739.36</v>
      </c>
      <c r="L1679" s="4">
        <v>1739.36</v>
      </c>
      <c r="M1679" t="s">
        <v>166</v>
      </c>
      <c r="N1679" t="s">
        <v>77</v>
      </c>
      <c r="O1679" t="s">
        <v>86</v>
      </c>
      <c r="P1679" t="s">
        <v>170</v>
      </c>
      <c r="Q1679" t="s">
        <v>86</v>
      </c>
      <c r="R1679" t="s">
        <v>86</v>
      </c>
      <c r="S1679" t="s">
        <v>167</v>
      </c>
      <c r="T1679" t="s">
        <v>167</v>
      </c>
      <c r="U1679" t="s">
        <v>168</v>
      </c>
      <c r="V1679" t="s">
        <v>169</v>
      </c>
      <c r="W1679" t="s">
        <v>77</v>
      </c>
      <c r="X1679" t="s">
        <v>166</v>
      </c>
      <c r="Y1679" t="s">
        <v>472</v>
      </c>
      <c r="Z1679" t="s">
        <v>434</v>
      </c>
      <c r="AC1679" t="str">
        <f>IF(AA1679="",M1679,AA1679)</f>
        <v>não</v>
      </c>
      <c r="AD1679" t="str">
        <f>IF(AB1679="",X1679,AB1679)</f>
        <v>não</v>
      </c>
      <c r="AE1679" t="str">
        <f>IF(OR(Configuracao!B9="",Configuracao!B10=""),"aguardando limiar",IF(AND(K1679&gt;=Configuracao!B9,K1679/MAX(Reconciliacao!C2,1)&gt;=Configuracao!B10/100),"sim","não"))</f>
        <v>aguardando limiar</v>
      </c>
    </row>
    <row r="1680" spans="1:31" x14ac:dyDescent="0.25">
      <c r="A1680">
        <v>12436</v>
      </c>
      <c r="C1680" t="s">
        <v>1324</v>
      </c>
      <c r="D1680" t="s">
        <v>438</v>
      </c>
      <c r="E1680" t="s">
        <v>477</v>
      </c>
      <c r="F1680" t="s">
        <v>165</v>
      </c>
      <c r="G1680" t="s">
        <v>165</v>
      </c>
      <c r="H1680" t="s">
        <v>92</v>
      </c>
      <c r="I1680" t="s">
        <v>424</v>
      </c>
      <c r="J1680" t="s">
        <v>424</v>
      </c>
      <c r="K1680" s="4">
        <v>1895.07</v>
      </c>
      <c r="L1680" s="4">
        <v>1895.07</v>
      </c>
      <c r="M1680" t="s">
        <v>166</v>
      </c>
      <c r="N1680" t="s">
        <v>77</v>
      </c>
      <c r="O1680" t="s">
        <v>86</v>
      </c>
      <c r="P1680" t="s">
        <v>170</v>
      </c>
      <c r="Q1680" t="s">
        <v>86</v>
      </c>
      <c r="R1680" t="s">
        <v>86</v>
      </c>
      <c r="S1680" t="s">
        <v>167</v>
      </c>
      <c r="T1680" t="s">
        <v>167</v>
      </c>
      <c r="U1680" t="s">
        <v>168</v>
      </c>
      <c r="V1680" t="s">
        <v>169</v>
      </c>
      <c r="W1680" t="s">
        <v>77</v>
      </c>
      <c r="X1680" t="s">
        <v>166</v>
      </c>
      <c r="Y1680" t="s">
        <v>472</v>
      </c>
      <c r="Z1680" t="s">
        <v>434</v>
      </c>
      <c r="AC1680" t="str">
        <f>IF(AA1680="",M1680,AA1680)</f>
        <v>não</v>
      </c>
      <c r="AD1680" t="str">
        <f>IF(AB1680="",X1680,AB1680)</f>
        <v>não</v>
      </c>
      <c r="AE1680" t="str">
        <f>IF(OR(Configuracao!B9="",Configuracao!B10=""),"aguardando limiar",IF(AND(K1680&gt;=Configuracao!B9,K1680/MAX(Reconciliacao!C2,1)&gt;=Configuracao!B10/100),"sim","não"))</f>
        <v>aguardando limiar</v>
      </c>
    </row>
    <row r="1681" spans="1:31" x14ac:dyDescent="0.25">
      <c r="A1681">
        <v>17168</v>
      </c>
      <c r="C1681" t="s">
        <v>1247</v>
      </c>
      <c r="D1681" t="s">
        <v>1325</v>
      </c>
      <c r="E1681" t="s">
        <v>474</v>
      </c>
      <c r="F1681" t="s">
        <v>165</v>
      </c>
      <c r="G1681" t="s">
        <v>165</v>
      </c>
      <c r="H1681" t="s">
        <v>92</v>
      </c>
      <c r="I1681" t="s">
        <v>442</v>
      </c>
      <c r="J1681" t="s">
        <v>442</v>
      </c>
      <c r="K1681" s="4">
        <v>1999</v>
      </c>
      <c r="L1681" s="4">
        <v>1999</v>
      </c>
      <c r="M1681" t="s">
        <v>166</v>
      </c>
      <c r="N1681" t="s">
        <v>77</v>
      </c>
      <c r="O1681" t="s">
        <v>86</v>
      </c>
      <c r="P1681" t="s">
        <v>170</v>
      </c>
      <c r="Q1681" t="s">
        <v>86</v>
      </c>
      <c r="R1681" t="s">
        <v>86</v>
      </c>
      <c r="S1681" t="s">
        <v>167</v>
      </c>
      <c r="T1681" t="s">
        <v>167</v>
      </c>
      <c r="U1681" t="s">
        <v>168</v>
      </c>
      <c r="V1681" t="s">
        <v>169</v>
      </c>
      <c r="W1681" t="s">
        <v>77</v>
      </c>
      <c r="X1681" t="s">
        <v>166</v>
      </c>
      <c r="Y1681" t="s">
        <v>472</v>
      </c>
      <c r="Z1681" t="s">
        <v>434</v>
      </c>
      <c r="AC1681" t="str">
        <f>IF(AA1681="",M1681,AA1681)</f>
        <v>não</v>
      </c>
      <c r="AD1681" t="str">
        <f>IF(AB1681="",X1681,AB1681)</f>
        <v>não</v>
      </c>
      <c r="AE1681" t="str">
        <f>IF(OR(Configuracao!B9="",Configuracao!B10=""),"aguardando limiar",IF(AND(K1681&gt;=Configuracao!B9,K1681/MAX(Reconciliacao!C2,1)&gt;=Configuracao!B10/100),"sim","não"))</f>
        <v>aguardando limiar</v>
      </c>
    </row>
    <row r="1682" spans="1:31" x14ac:dyDescent="0.25">
      <c r="A1682">
        <v>11994</v>
      </c>
      <c r="D1682" t="s">
        <v>474</v>
      </c>
      <c r="E1682" t="s">
        <v>474</v>
      </c>
      <c r="F1682" t="s">
        <v>165</v>
      </c>
      <c r="G1682" t="s">
        <v>165</v>
      </c>
      <c r="H1682" t="s">
        <v>92</v>
      </c>
      <c r="I1682" t="s">
        <v>32</v>
      </c>
      <c r="J1682" t="s">
        <v>32</v>
      </c>
      <c r="K1682" s="4">
        <v>2000</v>
      </c>
      <c r="L1682" s="4">
        <v>2000</v>
      </c>
      <c r="M1682" t="s">
        <v>166</v>
      </c>
      <c r="N1682" t="s">
        <v>77</v>
      </c>
      <c r="O1682" t="s">
        <v>86</v>
      </c>
      <c r="P1682" t="s">
        <v>170</v>
      </c>
      <c r="Q1682" t="s">
        <v>86</v>
      </c>
      <c r="R1682" t="s">
        <v>86</v>
      </c>
      <c r="S1682" t="s">
        <v>167</v>
      </c>
      <c r="T1682" t="s">
        <v>167</v>
      </c>
      <c r="U1682" t="s">
        <v>168</v>
      </c>
      <c r="V1682" t="s">
        <v>169</v>
      </c>
      <c r="W1682" t="s">
        <v>77</v>
      </c>
      <c r="X1682" t="s">
        <v>44</v>
      </c>
      <c r="Y1682" t="s">
        <v>99</v>
      </c>
      <c r="Z1682" t="s">
        <v>421</v>
      </c>
      <c r="AC1682" t="str">
        <f>IF(AA1682="",M1682,AA1682)</f>
        <v>não</v>
      </c>
      <c r="AD1682" t="str">
        <f>IF(AB1682="",X1682,AB1682)</f>
        <v>sim</v>
      </c>
      <c r="AE1682" t="str">
        <f>IF(OR(Configuracao!B9="",Configuracao!B10=""),"aguardando limiar",IF(AND(K1682&gt;=Configuracao!B9,K1682/MAX(Reconciliacao!C2,1)&gt;=Configuracao!B10/100),"sim","não"))</f>
        <v>aguardando limiar</v>
      </c>
    </row>
    <row r="1683" spans="1:31" x14ac:dyDescent="0.25">
      <c r="A1683">
        <v>18955</v>
      </c>
      <c r="C1683" t="s">
        <v>1326</v>
      </c>
      <c r="D1683" t="s">
        <v>510</v>
      </c>
      <c r="E1683" t="s">
        <v>511</v>
      </c>
      <c r="F1683" t="s">
        <v>165</v>
      </c>
      <c r="G1683" t="s">
        <v>165</v>
      </c>
      <c r="H1683" t="s">
        <v>92</v>
      </c>
      <c r="I1683" t="s">
        <v>35</v>
      </c>
      <c r="J1683" t="s">
        <v>35</v>
      </c>
      <c r="K1683" s="4">
        <v>2044</v>
      </c>
      <c r="L1683" s="4">
        <v>2044</v>
      </c>
      <c r="M1683" t="s">
        <v>166</v>
      </c>
      <c r="N1683" t="s">
        <v>77</v>
      </c>
      <c r="O1683" t="s">
        <v>86</v>
      </c>
      <c r="P1683" t="s">
        <v>170</v>
      </c>
      <c r="Q1683" t="s">
        <v>86</v>
      </c>
      <c r="R1683" t="s">
        <v>86</v>
      </c>
      <c r="S1683" t="s">
        <v>167</v>
      </c>
      <c r="T1683" t="s">
        <v>167</v>
      </c>
      <c r="U1683" t="s">
        <v>168</v>
      </c>
      <c r="V1683" t="s">
        <v>169</v>
      </c>
      <c r="W1683" t="s">
        <v>77</v>
      </c>
      <c r="X1683" t="s">
        <v>44</v>
      </c>
      <c r="Y1683" t="s">
        <v>99</v>
      </c>
      <c r="Z1683" t="s">
        <v>421</v>
      </c>
      <c r="AC1683" t="str">
        <f>IF(AA1683="",M1683,AA1683)</f>
        <v>não</v>
      </c>
      <c r="AD1683" t="str">
        <f>IF(AB1683="",X1683,AB1683)</f>
        <v>sim</v>
      </c>
      <c r="AE1683" t="str">
        <f>IF(OR(Configuracao!B9="",Configuracao!B10=""),"aguardando limiar",IF(AND(K1683&gt;=Configuracao!B9,K1683/MAX(Reconciliacao!C2,1)&gt;=Configuracao!B10/100),"sim","não"))</f>
        <v>aguardando limiar</v>
      </c>
    </row>
    <row r="1684" spans="1:31" x14ac:dyDescent="0.25">
      <c r="A1684">
        <v>16075</v>
      </c>
      <c r="C1684" t="s">
        <v>1317</v>
      </c>
      <c r="D1684" t="s">
        <v>583</v>
      </c>
      <c r="E1684" t="s">
        <v>467</v>
      </c>
      <c r="F1684" t="s">
        <v>165</v>
      </c>
      <c r="G1684" t="s">
        <v>165</v>
      </c>
      <c r="H1684" t="s">
        <v>92</v>
      </c>
      <c r="I1684" t="s">
        <v>420</v>
      </c>
      <c r="J1684" t="s">
        <v>420</v>
      </c>
      <c r="K1684" s="4">
        <v>2085.95</v>
      </c>
      <c r="L1684" s="4">
        <v>2085.95</v>
      </c>
      <c r="M1684" t="s">
        <v>166</v>
      </c>
      <c r="N1684" t="s">
        <v>77</v>
      </c>
      <c r="O1684" t="s">
        <v>86</v>
      </c>
      <c r="P1684" t="s">
        <v>170</v>
      </c>
      <c r="Q1684" t="s">
        <v>86</v>
      </c>
      <c r="R1684" t="s">
        <v>86</v>
      </c>
      <c r="S1684" t="s">
        <v>167</v>
      </c>
      <c r="T1684" t="s">
        <v>167</v>
      </c>
      <c r="U1684" t="s">
        <v>168</v>
      </c>
      <c r="V1684" t="s">
        <v>169</v>
      </c>
      <c r="W1684" t="s">
        <v>77</v>
      </c>
      <c r="X1684" t="s">
        <v>44</v>
      </c>
      <c r="Y1684" t="s">
        <v>99</v>
      </c>
      <c r="Z1684" t="s">
        <v>421</v>
      </c>
      <c r="AC1684" t="str">
        <f>IF(AA1684="",M1684,AA1684)</f>
        <v>não</v>
      </c>
      <c r="AD1684" t="str">
        <f>IF(AB1684="",X1684,AB1684)</f>
        <v>sim</v>
      </c>
      <c r="AE1684" t="str">
        <f>IF(OR(Configuracao!B9="",Configuracao!B10=""),"aguardando limiar",IF(AND(K1684&gt;=Configuracao!B9,K1684/MAX(Reconciliacao!C2,1)&gt;=Configuracao!B10/100),"sim","não"))</f>
        <v>aguardando limiar</v>
      </c>
    </row>
    <row r="1685" spans="1:31" x14ac:dyDescent="0.25">
      <c r="A1685">
        <v>16094</v>
      </c>
      <c r="C1685" t="s">
        <v>1311</v>
      </c>
      <c r="D1685" t="s">
        <v>1275</v>
      </c>
      <c r="E1685" t="s">
        <v>474</v>
      </c>
      <c r="F1685" t="s">
        <v>165</v>
      </c>
      <c r="G1685" t="s">
        <v>165</v>
      </c>
      <c r="H1685" t="s">
        <v>92</v>
      </c>
      <c r="I1685" t="s">
        <v>420</v>
      </c>
      <c r="J1685" t="s">
        <v>420</v>
      </c>
      <c r="K1685" s="4">
        <v>2103.34</v>
      </c>
      <c r="L1685" s="4">
        <v>2103.34</v>
      </c>
      <c r="M1685" t="s">
        <v>166</v>
      </c>
      <c r="N1685" t="s">
        <v>77</v>
      </c>
      <c r="O1685" t="s">
        <v>86</v>
      </c>
      <c r="P1685" t="s">
        <v>170</v>
      </c>
      <c r="Q1685" t="s">
        <v>86</v>
      </c>
      <c r="R1685" t="s">
        <v>86</v>
      </c>
      <c r="S1685" t="s">
        <v>167</v>
      </c>
      <c r="T1685" t="s">
        <v>167</v>
      </c>
      <c r="U1685" t="s">
        <v>168</v>
      </c>
      <c r="V1685" t="s">
        <v>169</v>
      </c>
      <c r="W1685" t="s">
        <v>77</v>
      </c>
      <c r="X1685" t="s">
        <v>166</v>
      </c>
      <c r="Y1685" t="s">
        <v>741</v>
      </c>
      <c r="Z1685" t="s">
        <v>434</v>
      </c>
      <c r="AC1685" t="str">
        <f>IF(AA1685="",M1685,AA1685)</f>
        <v>não</v>
      </c>
      <c r="AD1685" t="str">
        <f>IF(AB1685="",X1685,AB1685)</f>
        <v>não</v>
      </c>
      <c r="AE1685" t="str">
        <f>IF(OR(Configuracao!B9="",Configuracao!B10=""),"aguardando limiar",IF(AND(K1685&gt;=Configuracao!B9,K1685/MAX(Reconciliacao!C2,1)&gt;=Configuracao!B10/100),"sim","não"))</f>
        <v>aguardando limiar</v>
      </c>
    </row>
    <row r="1686" spans="1:31" x14ac:dyDescent="0.25">
      <c r="A1686">
        <v>18003</v>
      </c>
      <c r="C1686" t="s">
        <v>1327</v>
      </c>
      <c r="D1686" t="s">
        <v>1328</v>
      </c>
      <c r="E1686" t="s">
        <v>471</v>
      </c>
      <c r="F1686" t="s">
        <v>165</v>
      </c>
      <c r="G1686" t="s">
        <v>165</v>
      </c>
      <c r="H1686" t="s">
        <v>92</v>
      </c>
      <c r="I1686" t="s">
        <v>439</v>
      </c>
      <c r="J1686" t="s">
        <v>439</v>
      </c>
      <c r="K1686" s="4">
        <v>2156</v>
      </c>
      <c r="L1686" s="4">
        <v>2156</v>
      </c>
      <c r="M1686" t="s">
        <v>166</v>
      </c>
      <c r="N1686" t="s">
        <v>77</v>
      </c>
      <c r="O1686" t="s">
        <v>86</v>
      </c>
      <c r="P1686" t="s">
        <v>170</v>
      </c>
      <c r="Q1686" t="s">
        <v>86</v>
      </c>
      <c r="R1686" t="s">
        <v>86</v>
      </c>
      <c r="S1686" t="s">
        <v>167</v>
      </c>
      <c r="T1686" t="s">
        <v>167</v>
      </c>
      <c r="U1686" t="s">
        <v>168</v>
      </c>
      <c r="V1686" t="s">
        <v>169</v>
      </c>
      <c r="W1686" t="s">
        <v>77</v>
      </c>
      <c r="X1686" t="s">
        <v>44</v>
      </c>
      <c r="Y1686" t="s">
        <v>99</v>
      </c>
      <c r="Z1686" t="s">
        <v>421</v>
      </c>
      <c r="AC1686" t="str">
        <f>IF(AA1686="",M1686,AA1686)</f>
        <v>não</v>
      </c>
      <c r="AD1686" t="str">
        <f>IF(AB1686="",X1686,AB1686)</f>
        <v>sim</v>
      </c>
      <c r="AE1686" t="str">
        <f>IF(OR(Configuracao!B9="",Configuracao!B10=""),"aguardando limiar",IF(AND(K1686&gt;=Configuracao!B9,K1686/MAX(Reconciliacao!C2,1)&gt;=Configuracao!B10/100),"sim","não"))</f>
        <v>aguardando limiar</v>
      </c>
    </row>
    <row r="1687" spans="1:31" x14ac:dyDescent="0.25">
      <c r="A1687">
        <v>7040</v>
      </c>
      <c r="C1687" t="s">
        <v>1329</v>
      </c>
      <c r="D1687" t="s">
        <v>1330</v>
      </c>
      <c r="E1687" t="s">
        <v>474</v>
      </c>
      <c r="F1687" t="s">
        <v>165</v>
      </c>
      <c r="G1687" t="s">
        <v>165</v>
      </c>
      <c r="H1687" t="s">
        <v>92</v>
      </c>
      <c r="I1687" t="s">
        <v>32</v>
      </c>
      <c r="J1687" t="s">
        <v>32</v>
      </c>
      <c r="K1687" s="4">
        <v>2173.29</v>
      </c>
      <c r="L1687" s="4">
        <v>2173.29</v>
      </c>
      <c r="M1687" t="s">
        <v>166</v>
      </c>
      <c r="N1687" t="s">
        <v>77</v>
      </c>
      <c r="O1687" t="s">
        <v>86</v>
      </c>
      <c r="P1687" t="s">
        <v>170</v>
      </c>
      <c r="Q1687" t="s">
        <v>86</v>
      </c>
      <c r="R1687" t="s">
        <v>86</v>
      </c>
      <c r="S1687" t="s">
        <v>167</v>
      </c>
      <c r="T1687" t="s">
        <v>167</v>
      </c>
      <c r="U1687" t="s">
        <v>168</v>
      </c>
      <c r="V1687" t="s">
        <v>169</v>
      </c>
      <c r="W1687" t="s">
        <v>77</v>
      </c>
      <c r="X1687" t="s">
        <v>44</v>
      </c>
      <c r="Y1687" t="s">
        <v>99</v>
      </c>
      <c r="Z1687" t="s">
        <v>421</v>
      </c>
      <c r="AC1687" t="str">
        <f>IF(AA1687="",M1687,AA1687)</f>
        <v>não</v>
      </c>
      <c r="AD1687" t="str">
        <f>IF(AB1687="",X1687,AB1687)</f>
        <v>sim</v>
      </c>
      <c r="AE1687" t="str">
        <f>IF(OR(Configuracao!B9="",Configuracao!B10=""),"aguardando limiar",IF(AND(K1687&gt;=Configuracao!B9,K1687/MAX(Reconciliacao!C2,1)&gt;=Configuracao!B10/100),"sim","não"))</f>
        <v>aguardando limiar</v>
      </c>
    </row>
    <row r="1688" spans="1:31" x14ac:dyDescent="0.25">
      <c r="A1688">
        <v>7041</v>
      </c>
      <c r="C1688" t="s">
        <v>1329</v>
      </c>
      <c r="D1688" t="s">
        <v>1330</v>
      </c>
      <c r="E1688" t="s">
        <v>474</v>
      </c>
      <c r="F1688" t="s">
        <v>165</v>
      </c>
      <c r="G1688" t="s">
        <v>165</v>
      </c>
      <c r="H1688" t="s">
        <v>92</v>
      </c>
      <c r="I1688" t="s">
        <v>424</v>
      </c>
      <c r="J1688" t="s">
        <v>424</v>
      </c>
      <c r="K1688" s="4">
        <v>2173.29</v>
      </c>
      <c r="L1688" s="4">
        <v>2173.29</v>
      </c>
      <c r="M1688" t="s">
        <v>166</v>
      </c>
      <c r="N1688" t="s">
        <v>77</v>
      </c>
      <c r="O1688" t="s">
        <v>86</v>
      </c>
      <c r="P1688" t="s">
        <v>170</v>
      </c>
      <c r="Q1688" t="s">
        <v>86</v>
      </c>
      <c r="R1688" t="s">
        <v>86</v>
      </c>
      <c r="S1688" t="s">
        <v>167</v>
      </c>
      <c r="T1688" t="s">
        <v>167</v>
      </c>
      <c r="U1688" t="s">
        <v>168</v>
      </c>
      <c r="V1688" t="s">
        <v>169</v>
      </c>
      <c r="W1688" t="s">
        <v>77</v>
      </c>
      <c r="X1688" t="s">
        <v>44</v>
      </c>
      <c r="Y1688" t="s">
        <v>99</v>
      </c>
      <c r="Z1688" t="s">
        <v>421</v>
      </c>
      <c r="AC1688" t="str">
        <f>IF(AA1688="",M1688,AA1688)</f>
        <v>não</v>
      </c>
      <c r="AD1688" t="str">
        <f>IF(AB1688="",X1688,AB1688)</f>
        <v>sim</v>
      </c>
      <c r="AE1688" t="str">
        <f>IF(OR(Configuracao!B9="",Configuracao!B10=""),"aguardando limiar",IF(AND(K1688&gt;=Configuracao!B9,K1688/MAX(Reconciliacao!C2,1)&gt;=Configuracao!B10/100),"sim","não"))</f>
        <v>aguardando limiar</v>
      </c>
    </row>
    <row r="1689" spans="1:31" x14ac:dyDescent="0.25">
      <c r="A1689">
        <v>7056</v>
      </c>
      <c r="C1689" t="s">
        <v>1313</v>
      </c>
      <c r="D1689" t="s">
        <v>1331</v>
      </c>
      <c r="E1689" t="s">
        <v>471</v>
      </c>
      <c r="F1689" t="s">
        <v>165</v>
      </c>
      <c r="G1689" t="s">
        <v>165</v>
      </c>
      <c r="H1689" t="s">
        <v>92</v>
      </c>
      <c r="I1689" t="s">
        <v>420</v>
      </c>
      <c r="J1689" t="s">
        <v>420</v>
      </c>
      <c r="K1689" s="4">
        <v>2310.91</v>
      </c>
      <c r="L1689" s="4">
        <v>2310.91</v>
      </c>
      <c r="M1689" t="s">
        <v>166</v>
      </c>
      <c r="N1689" t="s">
        <v>77</v>
      </c>
      <c r="O1689" t="s">
        <v>86</v>
      </c>
      <c r="P1689" t="s">
        <v>170</v>
      </c>
      <c r="Q1689" t="s">
        <v>86</v>
      </c>
      <c r="R1689" t="s">
        <v>86</v>
      </c>
      <c r="S1689" t="s">
        <v>167</v>
      </c>
      <c r="T1689" t="s">
        <v>167</v>
      </c>
      <c r="U1689" t="s">
        <v>168</v>
      </c>
      <c r="V1689" t="s">
        <v>169</v>
      </c>
      <c r="W1689" t="s">
        <v>77</v>
      </c>
      <c r="X1689" t="s">
        <v>44</v>
      </c>
      <c r="Y1689" t="s">
        <v>99</v>
      </c>
      <c r="Z1689" t="s">
        <v>421</v>
      </c>
      <c r="AC1689" t="str">
        <f>IF(AA1689="",M1689,AA1689)</f>
        <v>não</v>
      </c>
      <c r="AD1689" t="str">
        <f>IF(AB1689="",X1689,AB1689)</f>
        <v>sim</v>
      </c>
      <c r="AE1689" t="str">
        <f>IF(OR(Configuracao!B9="",Configuracao!B10=""),"aguardando limiar",IF(AND(K1689&gt;=Configuracao!B9,K1689/MAX(Reconciliacao!C2,1)&gt;=Configuracao!B10/100),"sim","não"))</f>
        <v>aguardando limiar</v>
      </c>
    </row>
    <row r="1690" spans="1:31" x14ac:dyDescent="0.25">
      <c r="A1690">
        <v>18956</v>
      </c>
      <c r="C1690" t="s">
        <v>1332</v>
      </c>
      <c r="D1690" t="s">
        <v>510</v>
      </c>
      <c r="E1690" t="s">
        <v>511</v>
      </c>
      <c r="F1690" t="s">
        <v>165</v>
      </c>
      <c r="G1690" t="s">
        <v>165</v>
      </c>
      <c r="H1690" t="s">
        <v>92</v>
      </c>
      <c r="I1690" t="s">
        <v>35</v>
      </c>
      <c r="J1690" t="s">
        <v>35</v>
      </c>
      <c r="K1690" s="4">
        <v>2322</v>
      </c>
      <c r="L1690" s="4">
        <v>2322</v>
      </c>
      <c r="M1690" t="s">
        <v>166</v>
      </c>
      <c r="N1690" t="s">
        <v>77</v>
      </c>
      <c r="O1690" t="s">
        <v>86</v>
      </c>
      <c r="P1690" t="s">
        <v>170</v>
      </c>
      <c r="Q1690" t="s">
        <v>86</v>
      </c>
      <c r="R1690" t="s">
        <v>86</v>
      </c>
      <c r="S1690" t="s">
        <v>167</v>
      </c>
      <c r="T1690" t="s">
        <v>167</v>
      </c>
      <c r="U1690" t="s">
        <v>168</v>
      </c>
      <c r="V1690" t="s">
        <v>169</v>
      </c>
      <c r="W1690" t="s">
        <v>77</v>
      </c>
      <c r="X1690" t="s">
        <v>44</v>
      </c>
      <c r="Y1690" t="s">
        <v>99</v>
      </c>
      <c r="Z1690" t="s">
        <v>421</v>
      </c>
      <c r="AC1690" t="str">
        <f>IF(AA1690="",M1690,AA1690)</f>
        <v>não</v>
      </c>
      <c r="AD1690" t="str">
        <f>IF(AB1690="",X1690,AB1690)</f>
        <v>sim</v>
      </c>
      <c r="AE1690" t="str">
        <f>IF(OR(Configuracao!B9="",Configuracao!B10=""),"aguardando limiar",IF(AND(K1690&gt;=Configuracao!B9,K1690/MAX(Reconciliacao!C2,1)&gt;=Configuracao!B10/100),"sim","não"))</f>
        <v>aguardando limiar</v>
      </c>
    </row>
    <row r="1691" spans="1:31" x14ac:dyDescent="0.25">
      <c r="A1691">
        <v>7042</v>
      </c>
      <c r="C1691" t="s">
        <v>1329</v>
      </c>
      <c r="D1691" t="s">
        <v>1330</v>
      </c>
      <c r="E1691" t="s">
        <v>474</v>
      </c>
      <c r="F1691" t="s">
        <v>165</v>
      </c>
      <c r="G1691" t="s">
        <v>165</v>
      </c>
      <c r="H1691" t="s">
        <v>92</v>
      </c>
      <c r="I1691" t="s">
        <v>420</v>
      </c>
      <c r="J1691" t="s">
        <v>420</v>
      </c>
      <c r="K1691" s="4">
        <v>2347.15</v>
      </c>
      <c r="L1691" s="4">
        <v>2347.15</v>
      </c>
      <c r="M1691" t="s">
        <v>166</v>
      </c>
      <c r="N1691" t="s">
        <v>77</v>
      </c>
      <c r="O1691" t="s">
        <v>86</v>
      </c>
      <c r="P1691" t="s">
        <v>170</v>
      </c>
      <c r="Q1691" t="s">
        <v>86</v>
      </c>
      <c r="R1691" t="s">
        <v>86</v>
      </c>
      <c r="S1691" t="s">
        <v>167</v>
      </c>
      <c r="T1691" t="s">
        <v>167</v>
      </c>
      <c r="U1691" t="s">
        <v>168</v>
      </c>
      <c r="V1691" t="s">
        <v>169</v>
      </c>
      <c r="W1691" t="s">
        <v>77</v>
      </c>
      <c r="X1691" t="s">
        <v>44</v>
      </c>
      <c r="Y1691" t="s">
        <v>99</v>
      </c>
      <c r="Z1691" t="s">
        <v>421</v>
      </c>
      <c r="AC1691" t="str">
        <f>IF(AA1691="",M1691,AA1691)</f>
        <v>não</v>
      </c>
      <c r="AD1691" t="str">
        <f>IF(AB1691="",X1691,AB1691)</f>
        <v>sim</v>
      </c>
      <c r="AE1691" t="str">
        <f>IF(OR(Configuracao!B9="",Configuracao!B10=""),"aguardando limiar",IF(AND(K1691&gt;=Configuracao!B9,K1691/MAX(Reconciliacao!C2,1)&gt;=Configuracao!B10/100),"sim","não"))</f>
        <v>aguardando limiar</v>
      </c>
    </row>
    <row r="1692" spans="1:31" x14ac:dyDescent="0.25">
      <c r="A1692">
        <v>7043</v>
      </c>
      <c r="C1692" t="s">
        <v>1329</v>
      </c>
      <c r="D1692" t="s">
        <v>1330</v>
      </c>
      <c r="E1692" t="s">
        <v>474</v>
      </c>
      <c r="F1692" t="s">
        <v>165</v>
      </c>
      <c r="G1692" t="s">
        <v>165</v>
      </c>
      <c r="H1692" t="s">
        <v>92</v>
      </c>
      <c r="I1692" t="s">
        <v>454</v>
      </c>
      <c r="J1692" t="s">
        <v>454</v>
      </c>
      <c r="K1692" s="4">
        <v>2347.15</v>
      </c>
      <c r="L1692" s="4">
        <v>2347.15</v>
      </c>
      <c r="M1692" t="s">
        <v>166</v>
      </c>
      <c r="N1692" t="s">
        <v>77</v>
      </c>
      <c r="O1692" t="s">
        <v>86</v>
      </c>
      <c r="P1692" t="s">
        <v>170</v>
      </c>
      <c r="Q1692" t="s">
        <v>86</v>
      </c>
      <c r="R1692" t="s">
        <v>86</v>
      </c>
      <c r="S1692" t="s">
        <v>167</v>
      </c>
      <c r="T1692" t="s">
        <v>167</v>
      </c>
      <c r="U1692" t="s">
        <v>168</v>
      </c>
      <c r="V1692" t="s">
        <v>169</v>
      </c>
      <c r="W1692" t="s">
        <v>77</v>
      </c>
      <c r="X1692" t="s">
        <v>44</v>
      </c>
      <c r="Y1692" t="s">
        <v>99</v>
      </c>
      <c r="Z1692" t="s">
        <v>421</v>
      </c>
      <c r="AC1692" t="str">
        <f>IF(AA1692="",M1692,AA1692)</f>
        <v>não</v>
      </c>
      <c r="AD1692" t="str">
        <f>IF(AB1692="",X1692,AB1692)</f>
        <v>sim</v>
      </c>
      <c r="AE1692" t="str">
        <f>IF(OR(Configuracao!B9="",Configuracao!B10=""),"aguardando limiar",IF(AND(K1692&gt;=Configuracao!B9,K1692/MAX(Reconciliacao!C2,1)&gt;=Configuracao!B10/100),"sim","não"))</f>
        <v>aguardando limiar</v>
      </c>
    </row>
    <row r="1693" spans="1:31" x14ac:dyDescent="0.25">
      <c r="A1693">
        <v>7044</v>
      </c>
      <c r="C1693" t="s">
        <v>1329</v>
      </c>
      <c r="D1693" t="s">
        <v>1330</v>
      </c>
      <c r="E1693" t="s">
        <v>474</v>
      </c>
      <c r="F1693" t="s">
        <v>165</v>
      </c>
      <c r="G1693" t="s">
        <v>165</v>
      </c>
      <c r="H1693" t="s">
        <v>92</v>
      </c>
      <c r="I1693" t="s">
        <v>461</v>
      </c>
      <c r="J1693" t="s">
        <v>461</v>
      </c>
      <c r="K1693" s="4">
        <v>2347.15</v>
      </c>
      <c r="L1693" s="4">
        <v>2347.15</v>
      </c>
      <c r="M1693" t="s">
        <v>166</v>
      </c>
      <c r="N1693" t="s">
        <v>77</v>
      </c>
      <c r="O1693" t="s">
        <v>86</v>
      </c>
      <c r="P1693" t="s">
        <v>170</v>
      </c>
      <c r="Q1693" t="s">
        <v>86</v>
      </c>
      <c r="R1693" t="s">
        <v>86</v>
      </c>
      <c r="S1693" t="s">
        <v>167</v>
      </c>
      <c r="T1693" t="s">
        <v>167</v>
      </c>
      <c r="U1693" t="s">
        <v>168</v>
      </c>
      <c r="V1693" t="s">
        <v>169</v>
      </c>
      <c r="W1693" t="s">
        <v>77</v>
      </c>
      <c r="X1693" t="s">
        <v>44</v>
      </c>
      <c r="Y1693" t="s">
        <v>99</v>
      </c>
      <c r="Z1693" t="s">
        <v>421</v>
      </c>
      <c r="AC1693" t="str">
        <f>IF(AA1693="",M1693,AA1693)</f>
        <v>não</v>
      </c>
      <c r="AD1693" t="str">
        <f>IF(AB1693="",X1693,AB1693)</f>
        <v>sim</v>
      </c>
      <c r="AE1693" t="str">
        <f>IF(OR(Configuracao!B9="",Configuracao!B10=""),"aguardando limiar",IF(AND(K1693&gt;=Configuracao!B9,K1693/MAX(Reconciliacao!C2,1)&gt;=Configuracao!B10/100),"sim","não"))</f>
        <v>aguardando limiar</v>
      </c>
    </row>
    <row r="1694" spans="1:31" x14ac:dyDescent="0.25">
      <c r="A1694">
        <v>7045</v>
      </c>
      <c r="C1694" t="s">
        <v>1329</v>
      </c>
      <c r="D1694" t="s">
        <v>1330</v>
      </c>
      <c r="E1694" t="s">
        <v>474</v>
      </c>
      <c r="F1694" t="s">
        <v>165</v>
      </c>
      <c r="G1694" t="s">
        <v>165</v>
      </c>
      <c r="H1694" t="s">
        <v>92</v>
      </c>
      <c r="I1694" t="s">
        <v>442</v>
      </c>
      <c r="J1694" t="s">
        <v>442</v>
      </c>
      <c r="K1694" s="4">
        <v>2347.15</v>
      </c>
      <c r="L1694" s="4">
        <v>2347.15</v>
      </c>
      <c r="M1694" t="s">
        <v>166</v>
      </c>
      <c r="N1694" t="s">
        <v>77</v>
      </c>
      <c r="O1694" t="s">
        <v>86</v>
      </c>
      <c r="P1694" t="s">
        <v>170</v>
      </c>
      <c r="Q1694" t="s">
        <v>86</v>
      </c>
      <c r="R1694" t="s">
        <v>86</v>
      </c>
      <c r="S1694" t="s">
        <v>167</v>
      </c>
      <c r="T1694" t="s">
        <v>167</v>
      </c>
      <c r="U1694" t="s">
        <v>168</v>
      </c>
      <c r="V1694" t="s">
        <v>169</v>
      </c>
      <c r="W1694" t="s">
        <v>77</v>
      </c>
      <c r="X1694" t="s">
        <v>44</v>
      </c>
      <c r="Y1694" t="s">
        <v>99</v>
      </c>
      <c r="Z1694" t="s">
        <v>421</v>
      </c>
      <c r="AC1694" t="str">
        <f>IF(AA1694="",M1694,AA1694)</f>
        <v>não</v>
      </c>
      <c r="AD1694" t="str">
        <f>IF(AB1694="",X1694,AB1694)</f>
        <v>sim</v>
      </c>
      <c r="AE1694" t="str">
        <f>IF(OR(Configuracao!B9="",Configuracao!B10=""),"aguardando limiar",IF(AND(K1694&gt;=Configuracao!B9,K1694/MAX(Reconciliacao!C2,1)&gt;=Configuracao!B10/100),"sim","não"))</f>
        <v>aguardando limiar</v>
      </c>
    </row>
    <row r="1695" spans="1:31" x14ac:dyDescent="0.25">
      <c r="A1695">
        <v>7046</v>
      </c>
      <c r="C1695" t="s">
        <v>1329</v>
      </c>
      <c r="D1695" t="s">
        <v>1330</v>
      </c>
      <c r="E1695" t="s">
        <v>474</v>
      </c>
      <c r="F1695" t="s">
        <v>165</v>
      </c>
      <c r="G1695" t="s">
        <v>165</v>
      </c>
      <c r="H1695" t="s">
        <v>92</v>
      </c>
      <c r="I1695" t="s">
        <v>439</v>
      </c>
      <c r="J1695" t="s">
        <v>439</v>
      </c>
      <c r="K1695" s="4">
        <v>2347.15</v>
      </c>
      <c r="L1695" s="4">
        <v>2347.15</v>
      </c>
      <c r="M1695" t="s">
        <v>166</v>
      </c>
      <c r="N1695" t="s">
        <v>77</v>
      </c>
      <c r="O1695" t="s">
        <v>86</v>
      </c>
      <c r="P1695" t="s">
        <v>170</v>
      </c>
      <c r="Q1695" t="s">
        <v>86</v>
      </c>
      <c r="R1695" t="s">
        <v>86</v>
      </c>
      <c r="S1695" t="s">
        <v>167</v>
      </c>
      <c r="T1695" t="s">
        <v>167</v>
      </c>
      <c r="U1695" t="s">
        <v>168</v>
      </c>
      <c r="V1695" t="s">
        <v>169</v>
      </c>
      <c r="W1695" t="s">
        <v>77</v>
      </c>
      <c r="X1695" t="s">
        <v>44</v>
      </c>
      <c r="Y1695" t="s">
        <v>99</v>
      </c>
      <c r="Z1695" t="s">
        <v>421</v>
      </c>
      <c r="AC1695" t="str">
        <f>IF(AA1695="",M1695,AA1695)</f>
        <v>não</v>
      </c>
      <c r="AD1695" t="str">
        <f>IF(AB1695="",X1695,AB1695)</f>
        <v>sim</v>
      </c>
      <c r="AE1695" t="str">
        <f>IF(OR(Configuracao!B9="",Configuracao!B10=""),"aguardando limiar",IF(AND(K1695&gt;=Configuracao!B9,K1695/MAX(Reconciliacao!C2,1)&gt;=Configuracao!B10/100),"sim","não"))</f>
        <v>aguardando limiar</v>
      </c>
    </row>
    <row r="1696" spans="1:31" x14ac:dyDescent="0.25">
      <c r="A1696">
        <v>7047</v>
      </c>
      <c r="C1696" t="s">
        <v>1329</v>
      </c>
      <c r="D1696" t="s">
        <v>1330</v>
      </c>
      <c r="E1696" t="s">
        <v>474</v>
      </c>
      <c r="F1696" t="s">
        <v>165</v>
      </c>
      <c r="G1696" t="s">
        <v>165</v>
      </c>
      <c r="H1696" t="s">
        <v>92</v>
      </c>
      <c r="I1696" t="s">
        <v>35</v>
      </c>
      <c r="J1696" t="s">
        <v>35</v>
      </c>
      <c r="K1696" s="4">
        <v>2347.15</v>
      </c>
      <c r="L1696" s="4">
        <v>2347.15</v>
      </c>
      <c r="M1696" t="s">
        <v>166</v>
      </c>
      <c r="N1696" t="s">
        <v>77</v>
      </c>
      <c r="O1696" t="s">
        <v>86</v>
      </c>
      <c r="P1696" t="s">
        <v>170</v>
      </c>
      <c r="Q1696" t="s">
        <v>86</v>
      </c>
      <c r="R1696" t="s">
        <v>86</v>
      </c>
      <c r="S1696" t="s">
        <v>167</v>
      </c>
      <c r="T1696" t="s">
        <v>167</v>
      </c>
      <c r="U1696" t="s">
        <v>168</v>
      </c>
      <c r="V1696" t="s">
        <v>169</v>
      </c>
      <c r="W1696" t="s">
        <v>77</v>
      </c>
      <c r="X1696" t="s">
        <v>44</v>
      </c>
      <c r="Y1696" t="s">
        <v>99</v>
      </c>
      <c r="Z1696" t="s">
        <v>421</v>
      </c>
      <c r="AC1696" t="str">
        <f>IF(AA1696="",M1696,AA1696)</f>
        <v>não</v>
      </c>
      <c r="AD1696" t="str">
        <f>IF(AB1696="",X1696,AB1696)</f>
        <v>sim</v>
      </c>
      <c r="AE1696" t="str">
        <f>IF(OR(Configuracao!B9="",Configuracao!B10=""),"aguardando limiar",IF(AND(K1696&gt;=Configuracao!B9,K1696/MAX(Reconciliacao!C2,1)&gt;=Configuracao!B10/100),"sim","não"))</f>
        <v>aguardando limiar</v>
      </c>
    </row>
    <row r="1697" spans="1:31" x14ac:dyDescent="0.25">
      <c r="A1697">
        <v>12021</v>
      </c>
      <c r="C1697" t="s">
        <v>1278</v>
      </c>
      <c r="D1697" t="s">
        <v>436</v>
      </c>
      <c r="E1697" t="s">
        <v>474</v>
      </c>
      <c r="F1697" t="s">
        <v>165</v>
      </c>
      <c r="G1697" t="s">
        <v>165</v>
      </c>
      <c r="H1697" t="s">
        <v>92</v>
      </c>
      <c r="I1697" t="s">
        <v>424</v>
      </c>
      <c r="J1697" t="s">
        <v>424</v>
      </c>
      <c r="K1697" s="4">
        <v>2374.27</v>
      </c>
      <c r="L1697" s="4">
        <v>2374.27</v>
      </c>
      <c r="M1697" t="s">
        <v>166</v>
      </c>
      <c r="N1697" t="s">
        <v>77</v>
      </c>
      <c r="O1697" t="s">
        <v>86</v>
      </c>
      <c r="P1697" t="s">
        <v>170</v>
      </c>
      <c r="Q1697" t="s">
        <v>86</v>
      </c>
      <c r="R1697" t="s">
        <v>86</v>
      </c>
      <c r="S1697" t="s">
        <v>167</v>
      </c>
      <c r="T1697" t="s">
        <v>167</v>
      </c>
      <c r="U1697" t="s">
        <v>168</v>
      </c>
      <c r="V1697" t="s">
        <v>169</v>
      </c>
      <c r="W1697" t="s">
        <v>77</v>
      </c>
      <c r="X1697" t="s">
        <v>44</v>
      </c>
      <c r="Y1697" t="s">
        <v>99</v>
      </c>
      <c r="Z1697" t="s">
        <v>421</v>
      </c>
      <c r="AC1697" t="str">
        <f>IF(AA1697="",M1697,AA1697)</f>
        <v>não</v>
      </c>
      <c r="AD1697" t="str">
        <f>IF(AB1697="",X1697,AB1697)</f>
        <v>sim</v>
      </c>
      <c r="AE1697" t="str">
        <f>IF(OR(Configuracao!B9="",Configuracao!B10=""),"aguardando limiar",IF(AND(K1697&gt;=Configuracao!B9,K1697/MAX(Reconciliacao!C2,1)&gt;=Configuracao!B10/100),"sim","não"))</f>
        <v>aguardando limiar</v>
      </c>
    </row>
    <row r="1698" spans="1:31" x14ac:dyDescent="0.25">
      <c r="A1698">
        <v>18759</v>
      </c>
      <c r="C1698" t="s">
        <v>1315</v>
      </c>
      <c r="D1698" t="s">
        <v>1333</v>
      </c>
      <c r="E1698" t="s">
        <v>471</v>
      </c>
      <c r="F1698" t="s">
        <v>165</v>
      </c>
      <c r="G1698" t="s">
        <v>165</v>
      </c>
      <c r="H1698" t="s">
        <v>92</v>
      </c>
      <c r="I1698" t="s">
        <v>35</v>
      </c>
      <c r="J1698" t="s">
        <v>35</v>
      </c>
      <c r="K1698" s="4">
        <v>2500</v>
      </c>
      <c r="L1698" s="4">
        <v>2500</v>
      </c>
      <c r="M1698" t="s">
        <v>166</v>
      </c>
      <c r="N1698" t="s">
        <v>77</v>
      </c>
      <c r="O1698" t="s">
        <v>86</v>
      </c>
      <c r="P1698" t="s">
        <v>170</v>
      </c>
      <c r="Q1698" t="s">
        <v>86</v>
      </c>
      <c r="R1698" t="s">
        <v>86</v>
      </c>
      <c r="S1698" t="s">
        <v>167</v>
      </c>
      <c r="T1698" t="s">
        <v>167</v>
      </c>
      <c r="U1698" t="s">
        <v>168</v>
      </c>
      <c r="V1698" t="s">
        <v>169</v>
      </c>
      <c r="W1698" t="s">
        <v>77</v>
      </c>
      <c r="X1698" t="s">
        <v>166</v>
      </c>
      <c r="Y1698" t="s">
        <v>472</v>
      </c>
      <c r="Z1698" t="s">
        <v>434</v>
      </c>
      <c r="AC1698" t="str">
        <f>IF(AA1698="",M1698,AA1698)</f>
        <v>não</v>
      </c>
      <c r="AD1698" t="str">
        <f>IF(AB1698="",X1698,AB1698)</f>
        <v>não</v>
      </c>
      <c r="AE1698" t="str">
        <f>IF(OR(Configuracao!B9="",Configuracao!B10=""),"aguardando limiar",IF(AND(K1698&gt;=Configuracao!B9,K1698/MAX(Reconciliacao!C2,1)&gt;=Configuracao!B10/100),"sim","não"))</f>
        <v>aguardando limiar</v>
      </c>
    </row>
    <row r="1699" spans="1:31" x14ac:dyDescent="0.25">
      <c r="A1699">
        <v>7054</v>
      </c>
      <c r="C1699" t="s">
        <v>1313</v>
      </c>
      <c r="D1699" t="s">
        <v>1331</v>
      </c>
      <c r="E1699" t="s">
        <v>471</v>
      </c>
      <c r="F1699" t="s">
        <v>165</v>
      </c>
      <c r="G1699" t="s">
        <v>165</v>
      </c>
      <c r="H1699" t="s">
        <v>92</v>
      </c>
      <c r="I1699" t="s">
        <v>32</v>
      </c>
      <c r="J1699" t="s">
        <v>32</v>
      </c>
      <c r="K1699" s="4">
        <v>2618.67</v>
      </c>
      <c r="L1699" s="4">
        <v>2618.67</v>
      </c>
      <c r="M1699" t="s">
        <v>166</v>
      </c>
      <c r="N1699" t="s">
        <v>77</v>
      </c>
      <c r="O1699" t="s">
        <v>86</v>
      </c>
      <c r="P1699" t="s">
        <v>170</v>
      </c>
      <c r="Q1699" t="s">
        <v>86</v>
      </c>
      <c r="R1699" t="s">
        <v>86</v>
      </c>
      <c r="S1699" t="s">
        <v>167</v>
      </c>
      <c r="T1699" t="s">
        <v>167</v>
      </c>
      <c r="U1699" t="s">
        <v>168</v>
      </c>
      <c r="V1699" t="s">
        <v>169</v>
      </c>
      <c r="W1699" t="s">
        <v>77</v>
      </c>
      <c r="X1699" t="s">
        <v>44</v>
      </c>
      <c r="Y1699" t="s">
        <v>99</v>
      </c>
      <c r="Z1699" t="s">
        <v>421</v>
      </c>
      <c r="AC1699" t="str">
        <f>IF(AA1699="",M1699,AA1699)</f>
        <v>não</v>
      </c>
      <c r="AD1699" t="str">
        <f>IF(AB1699="",X1699,AB1699)</f>
        <v>sim</v>
      </c>
      <c r="AE1699" t="str">
        <f>IF(OR(Configuracao!B9="",Configuracao!B10=""),"aguardando limiar",IF(AND(K1699&gt;=Configuracao!B9,K1699/MAX(Reconciliacao!C2,1)&gt;=Configuracao!B10/100),"sim","não"))</f>
        <v>aguardando limiar</v>
      </c>
    </row>
    <row r="1700" spans="1:31" x14ac:dyDescent="0.25">
      <c r="A1700">
        <v>7055</v>
      </c>
      <c r="C1700" t="s">
        <v>1313</v>
      </c>
      <c r="D1700" t="s">
        <v>1331</v>
      </c>
      <c r="E1700" t="s">
        <v>471</v>
      </c>
      <c r="F1700" t="s">
        <v>165</v>
      </c>
      <c r="G1700" t="s">
        <v>165</v>
      </c>
      <c r="H1700" t="s">
        <v>92</v>
      </c>
      <c r="I1700" t="s">
        <v>424</v>
      </c>
      <c r="J1700" t="s">
        <v>424</v>
      </c>
      <c r="K1700" s="4">
        <v>2727.18</v>
      </c>
      <c r="L1700" s="4">
        <v>2727.18</v>
      </c>
      <c r="M1700" t="s">
        <v>166</v>
      </c>
      <c r="N1700" t="s">
        <v>77</v>
      </c>
      <c r="O1700" t="s">
        <v>86</v>
      </c>
      <c r="P1700" t="s">
        <v>170</v>
      </c>
      <c r="Q1700" t="s">
        <v>86</v>
      </c>
      <c r="R1700" t="s">
        <v>86</v>
      </c>
      <c r="S1700" t="s">
        <v>167</v>
      </c>
      <c r="T1700" t="s">
        <v>167</v>
      </c>
      <c r="U1700" t="s">
        <v>168</v>
      </c>
      <c r="V1700" t="s">
        <v>169</v>
      </c>
      <c r="W1700" t="s">
        <v>77</v>
      </c>
      <c r="X1700" t="s">
        <v>44</v>
      </c>
      <c r="Y1700" t="s">
        <v>99</v>
      </c>
      <c r="Z1700" t="s">
        <v>421</v>
      </c>
      <c r="AC1700" t="str">
        <f>IF(AA1700="",M1700,AA1700)</f>
        <v>não</v>
      </c>
      <c r="AD1700" t="str">
        <f>IF(AB1700="",X1700,AB1700)</f>
        <v>sim</v>
      </c>
      <c r="AE1700" t="str">
        <f>IF(OR(Configuracao!B9="",Configuracao!B10=""),"aguardando limiar",IF(AND(K1700&gt;=Configuracao!B9,K1700/MAX(Reconciliacao!C2,1)&gt;=Configuracao!B10/100),"sim","não"))</f>
        <v>aguardando limiar</v>
      </c>
    </row>
    <row r="1701" spans="1:31" x14ac:dyDescent="0.25">
      <c r="A1701">
        <v>12434</v>
      </c>
      <c r="C1701" t="s">
        <v>1324</v>
      </c>
      <c r="D1701" t="s">
        <v>510</v>
      </c>
      <c r="E1701" t="s">
        <v>511</v>
      </c>
      <c r="F1701" t="s">
        <v>165</v>
      </c>
      <c r="G1701" t="s">
        <v>165</v>
      </c>
      <c r="H1701" t="s">
        <v>92</v>
      </c>
      <c r="I1701" t="s">
        <v>424</v>
      </c>
      <c r="J1701" t="s">
        <v>424</v>
      </c>
      <c r="K1701" s="4">
        <v>2728.97</v>
      </c>
      <c r="L1701" s="4">
        <v>2728.97</v>
      </c>
      <c r="M1701" t="s">
        <v>166</v>
      </c>
      <c r="N1701" t="s">
        <v>77</v>
      </c>
      <c r="O1701" t="s">
        <v>86</v>
      </c>
      <c r="P1701" t="s">
        <v>170</v>
      </c>
      <c r="Q1701" t="s">
        <v>86</v>
      </c>
      <c r="R1701" t="s">
        <v>86</v>
      </c>
      <c r="S1701" t="s">
        <v>167</v>
      </c>
      <c r="T1701" t="s">
        <v>167</v>
      </c>
      <c r="U1701" t="s">
        <v>168</v>
      </c>
      <c r="V1701" t="s">
        <v>169</v>
      </c>
      <c r="W1701" t="s">
        <v>77</v>
      </c>
      <c r="X1701" t="s">
        <v>44</v>
      </c>
      <c r="Y1701" t="s">
        <v>99</v>
      </c>
      <c r="Z1701" t="s">
        <v>421</v>
      </c>
      <c r="AC1701" t="str">
        <f>IF(AA1701="",M1701,AA1701)</f>
        <v>não</v>
      </c>
      <c r="AD1701" t="str">
        <f>IF(AB1701="",X1701,AB1701)</f>
        <v>sim</v>
      </c>
      <c r="AE1701" t="str">
        <f>IF(OR(Configuracao!B9="",Configuracao!B10=""),"aguardando limiar",IF(AND(K1701&gt;=Configuracao!B9,K1701/MAX(Reconciliacao!C2,1)&gt;=Configuracao!B10/100),"sim","não"))</f>
        <v>aguardando limiar</v>
      </c>
    </row>
    <row r="1702" spans="1:31" x14ac:dyDescent="0.25">
      <c r="A1702">
        <v>11642</v>
      </c>
      <c r="C1702" t="s">
        <v>1281</v>
      </c>
      <c r="D1702" t="s">
        <v>1282</v>
      </c>
      <c r="E1702" t="s">
        <v>474</v>
      </c>
      <c r="F1702" t="s">
        <v>165</v>
      </c>
      <c r="G1702" t="s">
        <v>165</v>
      </c>
      <c r="H1702" t="s">
        <v>92</v>
      </c>
      <c r="I1702" t="s">
        <v>32</v>
      </c>
      <c r="J1702" t="s">
        <v>32</v>
      </c>
      <c r="K1702" s="4">
        <v>2824.5</v>
      </c>
      <c r="L1702" s="4">
        <v>2824.5</v>
      </c>
      <c r="M1702" t="s">
        <v>166</v>
      </c>
      <c r="N1702" t="s">
        <v>77</v>
      </c>
      <c r="O1702" t="s">
        <v>86</v>
      </c>
      <c r="P1702" t="s">
        <v>170</v>
      </c>
      <c r="Q1702" t="s">
        <v>86</v>
      </c>
      <c r="R1702" t="s">
        <v>86</v>
      </c>
      <c r="S1702" t="s">
        <v>167</v>
      </c>
      <c r="T1702" t="s">
        <v>167</v>
      </c>
      <c r="U1702" t="s">
        <v>168</v>
      </c>
      <c r="V1702" t="s">
        <v>169</v>
      </c>
      <c r="W1702" t="s">
        <v>77</v>
      </c>
      <c r="X1702" t="s">
        <v>44</v>
      </c>
      <c r="Y1702" t="s">
        <v>99</v>
      </c>
      <c r="Z1702" t="s">
        <v>421</v>
      </c>
      <c r="AC1702" t="str">
        <f>IF(AA1702="",M1702,AA1702)</f>
        <v>não</v>
      </c>
      <c r="AD1702" t="str">
        <f>IF(AB1702="",X1702,AB1702)</f>
        <v>sim</v>
      </c>
      <c r="AE1702" t="str">
        <f>IF(OR(Configuracao!B9="",Configuracao!B10=""),"aguardando limiar",IF(AND(K1702&gt;=Configuracao!B9,K1702/MAX(Reconciliacao!C2,1)&gt;=Configuracao!B10/100),"sim","não"))</f>
        <v>aguardando limiar</v>
      </c>
    </row>
    <row r="1703" spans="1:31" x14ac:dyDescent="0.25">
      <c r="A1703">
        <v>17847</v>
      </c>
      <c r="C1703" t="s">
        <v>1334</v>
      </c>
      <c r="D1703" t="s">
        <v>510</v>
      </c>
      <c r="E1703" t="s">
        <v>511</v>
      </c>
      <c r="F1703" t="s">
        <v>165</v>
      </c>
      <c r="G1703" t="s">
        <v>165</v>
      </c>
      <c r="H1703" t="s">
        <v>92</v>
      </c>
      <c r="I1703" t="s">
        <v>439</v>
      </c>
      <c r="J1703" t="s">
        <v>439</v>
      </c>
      <c r="K1703" s="4">
        <v>2848</v>
      </c>
      <c r="L1703" s="4">
        <v>2848</v>
      </c>
      <c r="M1703" t="s">
        <v>166</v>
      </c>
      <c r="N1703" t="s">
        <v>77</v>
      </c>
      <c r="O1703" t="s">
        <v>86</v>
      </c>
      <c r="P1703" t="s">
        <v>170</v>
      </c>
      <c r="Q1703" t="s">
        <v>86</v>
      </c>
      <c r="R1703" t="s">
        <v>86</v>
      </c>
      <c r="S1703" t="s">
        <v>167</v>
      </c>
      <c r="T1703" t="s">
        <v>167</v>
      </c>
      <c r="U1703" t="s">
        <v>168</v>
      </c>
      <c r="V1703" t="s">
        <v>169</v>
      </c>
      <c r="W1703" t="s">
        <v>77</v>
      </c>
      <c r="X1703" t="s">
        <v>44</v>
      </c>
      <c r="Y1703" t="s">
        <v>99</v>
      </c>
      <c r="Z1703" t="s">
        <v>421</v>
      </c>
      <c r="AC1703" t="str">
        <f>IF(AA1703="",M1703,AA1703)</f>
        <v>não</v>
      </c>
      <c r="AD1703" t="str">
        <f>IF(AB1703="",X1703,AB1703)</f>
        <v>sim</v>
      </c>
      <c r="AE1703" t="str">
        <f>IF(OR(Configuracao!B9="",Configuracao!B10=""),"aguardando limiar",IF(AND(K1703&gt;=Configuracao!B9,K1703/MAX(Reconciliacao!C2,1)&gt;=Configuracao!B10/100),"sim","não"))</f>
        <v>aguardando limiar</v>
      </c>
    </row>
    <row r="1704" spans="1:31" x14ac:dyDescent="0.25">
      <c r="A1704">
        <v>13072</v>
      </c>
      <c r="C1704" t="s">
        <v>1335</v>
      </c>
      <c r="D1704" t="s">
        <v>436</v>
      </c>
      <c r="E1704" t="s">
        <v>474</v>
      </c>
      <c r="F1704" t="s">
        <v>165</v>
      </c>
      <c r="G1704" t="s">
        <v>165</v>
      </c>
      <c r="H1704" t="s">
        <v>92</v>
      </c>
      <c r="I1704" t="s">
        <v>424</v>
      </c>
      <c r="J1704" t="s">
        <v>424</v>
      </c>
      <c r="K1704" s="4">
        <v>2908.15</v>
      </c>
      <c r="L1704" s="4">
        <v>2908.15</v>
      </c>
      <c r="M1704" t="s">
        <v>166</v>
      </c>
      <c r="N1704" t="s">
        <v>77</v>
      </c>
      <c r="O1704" t="s">
        <v>86</v>
      </c>
      <c r="P1704" t="s">
        <v>170</v>
      </c>
      <c r="Q1704" t="s">
        <v>86</v>
      </c>
      <c r="R1704" t="s">
        <v>86</v>
      </c>
      <c r="S1704" t="s">
        <v>167</v>
      </c>
      <c r="T1704" t="s">
        <v>167</v>
      </c>
      <c r="U1704" t="s">
        <v>168</v>
      </c>
      <c r="V1704" t="s">
        <v>169</v>
      </c>
      <c r="W1704" t="s">
        <v>77</v>
      </c>
      <c r="X1704" t="s">
        <v>44</v>
      </c>
      <c r="Y1704" t="s">
        <v>99</v>
      </c>
      <c r="Z1704" t="s">
        <v>421</v>
      </c>
      <c r="AC1704" t="str">
        <f>IF(AA1704="",M1704,AA1704)</f>
        <v>não</v>
      </c>
      <c r="AD1704" t="str">
        <f>IF(AB1704="",X1704,AB1704)</f>
        <v>sim</v>
      </c>
      <c r="AE1704" t="str">
        <f>IF(OR(Configuracao!B9="",Configuracao!B10=""),"aguardando limiar",IF(AND(K1704&gt;=Configuracao!B9,K1704/MAX(Reconciliacao!C2,1)&gt;=Configuracao!B10/100),"sim","não"))</f>
        <v>aguardando limiar</v>
      </c>
    </row>
    <row r="1705" spans="1:31" x14ac:dyDescent="0.25">
      <c r="A1705">
        <v>11549</v>
      </c>
      <c r="C1705" t="s">
        <v>1336</v>
      </c>
      <c r="D1705" t="s">
        <v>1337</v>
      </c>
      <c r="E1705" t="s">
        <v>474</v>
      </c>
      <c r="F1705" t="s">
        <v>165</v>
      </c>
      <c r="G1705" t="s">
        <v>165</v>
      </c>
      <c r="H1705" t="s">
        <v>92</v>
      </c>
      <c r="I1705" t="s">
        <v>32</v>
      </c>
      <c r="J1705" t="s">
        <v>32</v>
      </c>
      <c r="K1705" s="4">
        <v>2935.5</v>
      </c>
      <c r="L1705" s="4">
        <v>2935.5</v>
      </c>
      <c r="M1705" t="s">
        <v>166</v>
      </c>
      <c r="N1705" t="s">
        <v>77</v>
      </c>
      <c r="O1705" t="s">
        <v>86</v>
      </c>
      <c r="P1705" t="s">
        <v>170</v>
      </c>
      <c r="Q1705" t="s">
        <v>86</v>
      </c>
      <c r="R1705" t="s">
        <v>86</v>
      </c>
      <c r="S1705" t="s">
        <v>167</v>
      </c>
      <c r="T1705" t="s">
        <v>167</v>
      </c>
      <c r="U1705" t="s">
        <v>168</v>
      </c>
      <c r="V1705" t="s">
        <v>169</v>
      </c>
      <c r="W1705" t="s">
        <v>77</v>
      </c>
      <c r="X1705" t="s">
        <v>44</v>
      </c>
      <c r="Y1705" t="s">
        <v>99</v>
      </c>
      <c r="Z1705" t="s">
        <v>421</v>
      </c>
      <c r="AC1705" t="str">
        <f>IF(AA1705="",M1705,AA1705)</f>
        <v>não</v>
      </c>
      <c r="AD1705" t="str">
        <f>IF(AB1705="",X1705,AB1705)</f>
        <v>sim</v>
      </c>
      <c r="AE1705" t="str">
        <f>IF(OR(Configuracao!B9="",Configuracao!B10=""),"aguardando limiar",IF(AND(K1705&gt;=Configuracao!B9,K1705/MAX(Reconciliacao!C2,1)&gt;=Configuracao!B10/100),"sim","não"))</f>
        <v>aguardando limiar</v>
      </c>
    </row>
    <row r="1706" spans="1:31" x14ac:dyDescent="0.25">
      <c r="A1706">
        <v>15551</v>
      </c>
      <c r="C1706" t="s">
        <v>1338</v>
      </c>
      <c r="D1706" t="s">
        <v>1286</v>
      </c>
      <c r="E1706" t="s">
        <v>474</v>
      </c>
      <c r="F1706" t="s">
        <v>165</v>
      </c>
      <c r="G1706" t="s">
        <v>165</v>
      </c>
      <c r="H1706" t="s">
        <v>92</v>
      </c>
      <c r="I1706" t="s">
        <v>454</v>
      </c>
      <c r="J1706" t="s">
        <v>454</v>
      </c>
      <c r="K1706" s="4">
        <v>3070</v>
      </c>
      <c r="L1706" s="4">
        <v>3070</v>
      </c>
      <c r="M1706" t="s">
        <v>166</v>
      </c>
      <c r="N1706" t="s">
        <v>77</v>
      </c>
      <c r="O1706" t="s">
        <v>86</v>
      </c>
      <c r="P1706" t="s">
        <v>170</v>
      </c>
      <c r="Q1706" t="s">
        <v>86</v>
      </c>
      <c r="R1706" t="s">
        <v>86</v>
      </c>
      <c r="S1706" t="s">
        <v>167</v>
      </c>
      <c r="T1706" t="s">
        <v>167</v>
      </c>
      <c r="U1706" t="s">
        <v>168</v>
      </c>
      <c r="V1706" t="s">
        <v>169</v>
      </c>
      <c r="W1706" t="s">
        <v>77</v>
      </c>
      <c r="X1706" t="s">
        <v>44</v>
      </c>
      <c r="Y1706" t="s">
        <v>99</v>
      </c>
      <c r="Z1706" t="s">
        <v>421</v>
      </c>
      <c r="AC1706" t="str">
        <f>IF(AA1706="",M1706,AA1706)</f>
        <v>não</v>
      </c>
      <c r="AD1706" t="str">
        <f>IF(AB1706="",X1706,AB1706)</f>
        <v>sim</v>
      </c>
      <c r="AE1706" t="str">
        <f>IF(OR(Configuracao!B9="",Configuracao!B10=""),"aguardando limiar",IF(AND(K1706&gt;=Configuracao!B9,K1706/MAX(Reconciliacao!C2,1)&gt;=Configuracao!B10/100),"sim","não"))</f>
        <v>aguardando limiar</v>
      </c>
    </row>
    <row r="1707" spans="1:31" x14ac:dyDescent="0.25">
      <c r="A1707">
        <v>17789</v>
      </c>
      <c r="D1707" t="s">
        <v>474</v>
      </c>
      <c r="E1707" t="s">
        <v>474</v>
      </c>
      <c r="F1707" t="s">
        <v>165</v>
      </c>
      <c r="G1707" t="s">
        <v>165</v>
      </c>
      <c r="H1707" t="s">
        <v>92</v>
      </c>
      <c r="I1707" t="s">
        <v>442</v>
      </c>
      <c r="J1707" t="s">
        <v>442</v>
      </c>
      <c r="K1707" s="4">
        <v>3086</v>
      </c>
      <c r="L1707" s="4">
        <v>3086</v>
      </c>
      <c r="M1707" t="s">
        <v>166</v>
      </c>
      <c r="N1707" t="s">
        <v>77</v>
      </c>
      <c r="O1707" t="s">
        <v>86</v>
      </c>
      <c r="P1707" t="s">
        <v>170</v>
      </c>
      <c r="Q1707" t="s">
        <v>86</v>
      </c>
      <c r="R1707" t="s">
        <v>86</v>
      </c>
      <c r="S1707" t="s">
        <v>167</v>
      </c>
      <c r="T1707" t="s">
        <v>167</v>
      </c>
      <c r="U1707" t="s">
        <v>168</v>
      </c>
      <c r="V1707" t="s">
        <v>169</v>
      </c>
      <c r="W1707" t="s">
        <v>77</v>
      </c>
      <c r="X1707" t="s">
        <v>44</v>
      </c>
      <c r="Y1707" t="s">
        <v>99</v>
      </c>
      <c r="Z1707" t="s">
        <v>421</v>
      </c>
      <c r="AC1707" t="str">
        <f>IF(AA1707="",M1707,AA1707)</f>
        <v>não</v>
      </c>
      <c r="AD1707" t="str">
        <f>IF(AB1707="",X1707,AB1707)</f>
        <v>sim</v>
      </c>
      <c r="AE1707" t="str">
        <f>IF(OR(Configuracao!B9="",Configuracao!B10=""),"aguardando limiar",IF(AND(K1707&gt;=Configuracao!B9,K1707/MAX(Reconciliacao!C2,1)&gt;=Configuracao!B10/100),"sim","não"))</f>
        <v>aguardando limiar</v>
      </c>
    </row>
    <row r="1708" spans="1:31" x14ac:dyDescent="0.25">
      <c r="A1708">
        <v>18165</v>
      </c>
      <c r="C1708" t="s">
        <v>1339</v>
      </c>
      <c r="D1708" t="s">
        <v>1337</v>
      </c>
      <c r="E1708" t="s">
        <v>474</v>
      </c>
      <c r="F1708" t="s">
        <v>165</v>
      </c>
      <c r="G1708" t="s">
        <v>165</v>
      </c>
      <c r="H1708" t="s">
        <v>92</v>
      </c>
      <c r="I1708" t="s">
        <v>439</v>
      </c>
      <c r="J1708" t="s">
        <v>439</v>
      </c>
      <c r="K1708" s="4">
        <v>3250.68</v>
      </c>
      <c r="L1708" s="4">
        <v>3250.68</v>
      </c>
      <c r="M1708" t="s">
        <v>166</v>
      </c>
      <c r="N1708" t="s">
        <v>77</v>
      </c>
      <c r="O1708" t="s">
        <v>86</v>
      </c>
      <c r="P1708" t="s">
        <v>170</v>
      </c>
      <c r="Q1708" t="s">
        <v>86</v>
      </c>
      <c r="R1708" t="s">
        <v>86</v>
      </c>
      <c r="S1708" t="s">
        <v>167</v>
      </c>
      <c r="T1708" t="s">
        <v>167</v>
      </c>
      <c r="U1708" t="s">
        <v>168</v>
      </c>
      <c r="V1708" t="s">
        <v>169</v>
      </c>
      <c r="W1708" t="s">
        <v>77</v>
      </c>
      <c r="X1708" t="s">
        <v>44</v>
      </c>
      <c r="Y1708" t="s">
        <v>99</v>
      </c>
      <c r="Z1708" t="s">
        <v>421</v>
      </c>
      <c r="AC1708" t="str">
        <f>IF(AA1708="",M1708,AA1708)</f>
        <v>não</v>
      </c>
      <c r="AD1708" t="str">
        <f>IF(AB1708="",X1708,AB1708)</f>
        <v>sim</v>
      </c>
      <c r="AE1708" t="str">
        <f>IF(OR(Configuracao!B9="",Configuracao!B10=""),"aguardando limiar",IF(AND(K1708&gt;=Configuracao!B9,K1708/MAX(Reconciliacao!C2,1)&gt;=Configuracao!B10/100),"sim","não"))</f>
        <v>aguardando limiar</v>
      </c>
    </row>
    <row r="1709" spans="1:31" x14ac:dyDescent="0.25">
      <c r="A1709">
        <v>17848</v>
      </c>
      <c r="C1709" t="s">
        <v>1334</v>
      </c>
      <c r="D1709" t="s">
        <v>510</v>
      </c>
      <c r="E1709" t="s">
        <v>486</v>
      </c>
      <c r="F1709" t="s">
        <v>165</v>
      </c>
      <c r="G1709" t="s">
        <v>165</v>
      </c>
      <c r="H1709" t="s">
        <v>92</v>
      </c>
      <c r="I1709" t="s">
        <v>439</v>
      </c>
      <c r="J1709" t="s">
        <v>439</v>
      </c>
      <c r="K1709" s="4">
        <v>3285</v>
      </c>
      <c r="L1709" s="4">
        <v>3285</v>
      </c>
      <c r="M1709" t="s">
        <v>166</v>
      </c>
      <c r="N1709" t="s">
        <v>77</v>
      </c>
      <c r="O1709" t="s">
        <v>86</v>
      </c>
      <c r="P1709" t="s">
        <v>170</v>
      </c>
      <c r="Q1709" t="s">
        <v>86</v>
      </c>
      <c r="R1709" t="s">
        <v>86</v>
      </c>
      <c r="S1709" t="s">
        <v>167</v>
      </c>
      <c r="T1709" t="s">
        <v>167</v>
      </c>
      <c r="U1709" t="s">
        <v>168</v>
      </c>
      <c r="V1709" t="s">
        <v>169</v>
      </c>
      <c r="W1709" t="s">
        <v>77</v>
      </c>
      <c r="X1709" t="s">
        <v>44</v>
      </c>
      <c r="Y1709" t="s">
        <v>99</v>
      </c>
      <c r="Z1709" t="s">
        <v>421</v>
      </c>
      <c r="AC1709" t="str">
        <f>IF(AA1709="",M1709,AA1709)</f>
        <v>não</v>
      </c>
      <c r="AD1709" t="str">
        <f>IF(AB1709="",X1709,AB1709)</f>
        <v>sim</v>
      </c>
      <c r="AE1709" t="str">
        <f>IF(OR(Configuracao!B9="",Configuracao!B10=""),"aguardando limiar",IF(AND(K1709&gt;=Configuracao!B9,K1709/MAX(Reconciliacao!C2,1)&gt;=Configuracao!B10/100),"sim","não"))</f>
        <v>aguardando limiar</v>
      </c>
    </row>
    <row r="1710" spans="1:31" x14ac:dyDescent="0.25">
      <c r="A1710">
        <v>12435</v>
      </c>
      <c r="C1710" t="s">
        <v>1324</v>
      </c>
      <c r="D1710" t="s">
        <v>583</v>
      </c>
      <c r="E1710" t="s">
        <v>467</v>
      </c>
      <c r="F1710" t="s">
        <v>165</v>
      </c>
      <c r="G1710" t="s">
        <v>165</v>
      </c>
      <c r="H1710" t="s">
        <v>92</v>
      </c>
      <c r="I1710" t="s">
        <v>424</v>
      </c>
      <c r="J1710" t="s">
        <v>424</v>
      </c>
      <c r="K1710" s="4">
        <v>3360.16</v>
      </c>
      <c r="L1710" s="4">
        <v>3360.16</v>
      </c>
      <c r="M1710" t="s">
        <v>166</v>
      </c>
      <c r="N1710" t="s">
        <v>77</v>
      </c>
      <c r="O1710" t="s">
        <v>86</v>
      </c>
      <c r="P1710" t="s">
        <v>170</v>
      </c>
      <c r="Q1710" t="s">
        <v>86</v>
      </c>
      <c r="R1710" t="s">
        <v>86</v>
      </c>
      <c r="S1710" t="s">
        <v>167</v>
      </c>
      <c r="T1710" t="s">
        <v>167</v>
      </c>
      <c r="U1710" t="s">
        <v>168</v>
      </c>
      <c r="V1710" t="s">
        <v>169</v>
      </c>
      <c r="W1710" t="s">
        <v>77</v>
      </c>
      <c r="X1710" t="s">
        <v>44</v>
      </c>
      <c r="Y1710" t="s">
        <v>99</v>
      </c>
      <c r="Z1710" t="s">
        <v>421</v>
      </c>
      <c r="AC1710" t="str">
        <f>IF(AA1710="",M1710,AA1710)</f>
        <v>não</v>
      </c>
      <c r="AD1710" t="str">
        <f>IF(AB1710="",X1710,AB1710)</f>
        <v>sim</v>
      </c>
      <c r="AE1710" t="str">
        <f>IF(OR(Configuracao!B9="",Configuracao!B10=""),"aguardando limiar",IF(AND(K1710&gt;=Configuracao!B9,K1710/MAX(Reconciliacao!C2,1)&gt;=Configuracao!B10/100),"sim","não"))</f>
        <v>aguardando limiar</v>
      </c>
    </row>
    <row r="1711" spans="1:31" x14ac:dyDescent="0.25">
      <c r="A1711">
        <v>11352</v>
      </c>
      <c r="C1711" t="s">
        <v>1340</v>
      </c>
      <c r="D1711" t="s">
        <v>1288</v>
      </c>
      <c r="E1711" t="s">
        <v>474</v>
      </c>
      <c r="F1711" t="s">
        <v>165</v>
      </c>
      <c r="G1711" t="s">
        <v>165</v>
      </c>
      <c r="H1711" t="s">
        <v>92</v>
      </c>
      <c r="I1711" t="s">
        <v>32</v>
      </c>
      <c r="J1711" t="s">
        <v>32</v>
      </c>
      <c r="K1711" s="4">
        <v>3390.51</v>
      </c>
      <c r="L1711" s="4">
        <v>3390.51</v>
      </c>
      <c r="M1711" t="s">
        <v>166</v>
      </c>
      <c r="N1711" t="s">
        <v>77</v>
      </c>
      <c r="O1711" t="s">
        <v>86</v>
      </c>
      <c r="P1711" t="s">
        <v>170</v>
      </c>
      <c r="Q1711" t="s">
        <v>86</v>
      </c>
      <c r="R1711" t="s">
        <v>86</v>
      </c>
      <c r="S1711" t="s">
        <v>167</v>
      </c>
      <c r="T1711" t="s">
        <v>167</v>
      </c>
      <c r="U1711" t="s">
        <v>168</v>
      </c>
      <c r="V1711" t="s">
        <v>169</v>
      </c>
      <c r="W1711" t="s">
        <v>77</v>
      </c>
      <c r="X1711" t="s">
        <v>44</v>
      </c>
      <c r="Y1711" t="s">
        <v>99</v>
      </c>
      <c r="Z1711" t="s">
        <v>421</v>
      </c>
      <c r="AC1711" t="str">
        <f>IF(AA1711="",M1711,AA1711)</f>
        <v>não</v>
      </c>
      <c r="AD1711" t="str">
        <f>IF(AB1711="",X1711,AB1711)</f>
        <v>sim</v>
      </c>
      <c r="AE1711" t="str">
        <f>IF(OR(Configuracao!B9="",Configuracao!B10=""),"aguardando limiar",IF(AND(K1711&gt;=Configuracao!B9,K1711/MAX(Reconciliacao!C2,1)&gt;=Configuracao!B10/100),"sim","não"))</f>
        <v>aguardando limiar</v>
      </c>
    </row>
    <row r="1712" spans="1:31" x14ac:dyDescent="0.25">
      <c r="A1712">
        <v>12175</v>
      </c>
      <c r="C1712" t="s">
        <v>1340</v>
      </c>
      <c r="D1712" t="s">
        <v>1288</v>
      </c>
      <c r="E1712" t="s">
        <v>474</v>
      </c>
      <c r="F1712" t="s">
        <v>165</v>
      </c>
      <c r="G1712" t="s">
        <v>165</v>
      </c>
      <c r="H1712" t="s">
        <v>92</v>
      </c>
      <c r="I1712" t="s">
        <v>424</v>
      </c>
      <c r="J1712" t="s">
        <v>424</v>
      </c>
      <c r="K1712" s="4">
        <v>3390.51</v>
      </c>
      <c r="L1712" s="4">
        <v>3390.51</v>
      </c>
      <c r="M1712" t="s">
        <v>166</v>
      </c>
      <c r="N1712" t="s">
        <v>77</v>
      </c>
      <c r="O1712" t="s">
        <v>86</v>
      </c>
      <c r="P1712" t="s">
        <v>170</v>
      </c>
      <c r="Q1712" t="s">
        <v>86</v>
      </c>
      <c r="R1712" t="s">
        <v>86</v>
      </c>
      <c r="S1712" t="s">
        <v>167</v>
      </c>
      <c r="T1712" t="s">
        <v>167</v>
      </c>
      <c r="U1712" t="s">
        <v>168</v>
      </c>
      <c r="V1712" t="s">
        <v>169</v>
      </c>
      <c r="W1712" t="s">
        <v>77</v>
      </c>
      <c r="X1712" t="s">
        <v>44</v>
      </c>
      <c r="Y1712" t="s">
        <v>99</v>
      </c>
      <c r="Z1712" t="s">
        <v>421</v>
      </c>
      <c r="AC1712" t="str">
        <f>IF(AA1712="",M1712,AA1712)</f>
        <v>não</v>
      </c>
      <c r="AD1712" t="str">
        <f>IF(AB1712="",X1712,AB1712)</f>
        <v>sim</v>
      </c>
      <c r="AE1712" t="str">
        <f>IF(OR(Configuracao!B9="",Configuracao!B10=""),"aguardando limiar",IF(AND(K1712&gt;=Configuracao!B9,K1712/MAX(Reconciliacao!C2,1)&gt;=Configuracao!B10/100),"sim","não"))</f>
        <v>aguardando limiar</v>
      </c>
    </row>
    <row r="1713" spans="1:31" x14ac:dyDescent="0.25">
      <c r="A1713">
        <v>12698</v>
      </c>
      <c r="C1713" t="s">
        <v>1287</v>
      </c>
      <c r="D1713" t="s">
        <v>1288</v>
      </c>
      <c r="E1713" t="s">
        <v>474</v>
      </c>
      <c r="F1713" t="s">
        <v>165</v>
      </c>
      <c r="G1713" t="s">
        <v>165</v>
      </c>
      <c r="H1713" t="s">
        <v>92</v>
      </c>
      <c r="I1713" t="s">
        <v>420</v>
      </c>
      <c r="J1713" t="s">
        <v>420</v>
      </c>
      <c r="K1713" s="4">
        <v>3417.61</v>
      </c>
      <c r="L1713" s="4">
        <v>3417.61</v>
      </c>
      <c r="M1713" t="s">
        <v>166</v>
      </c>
      <c r="N1713" t="s">
        <v>77</v>
      </c>
      <c r="O1713" t="s">
        <v>86</v>
      </c>
      <c r="P1713" t="s">
        <v>170</v>
      </c>
      <c r="Q1713" t="s">
        <v>86</v>
      </c>
      <c r="R1713" t="s">
        <v>86</v>
      </c>
      <c r="S1713" t="s">
        <v>167</v>
      </c>
      <c r="T1713" t="s">
        <v>167</v>
      </c>
      <c r="U1713" t="s">
        <v>168</v>
      </c>
      <c r="V1713" t="s">
        <v>169</v>
      </c>
      <c r="W1713" t="s">
        <v>77</v>
      </c>
      <c r="X1713" t="s">
        <v>44</v>
      </c>
      <c r="Y1713" t="s">
        <v>99</v>
      </c>
      <c r="Z1713" t="s">
        <v>421</v>
      </c>
      <c r="AC1713" t="str">
        <f>IF(AA1713="",M1713,AA1713)</f>
        <v>não</v>
      </c>
      <c r="AD1713" t="str">
        <f>IF(AB1713="",X1713,AB1713)</f>
        <v>sim</v>
      </c>
      <c r="AE1713" t="str">
        <f>IF(OR(Configuracao!B9="",Configuracao!B10=""),"aguardando limiar",IF(AND(K1713&gt;=Configuracao!B9,K1713/MAX(Reconciliacao!C2,1)&gt;=Configuracao!B10/100),"sim","não"))</f>
        <v>aguardando limiar</v>
      </c>
    </row>
    <row r="1714" spans="1:31" x14ac:dyDescent="0.25">
      <c r="A1714">
        <v>17364</v>
      </c>
      <c r="C1714" t="s">
        <v>1341</v>
      </c>
      <c r="D1714" t="s">
        <v>1337</v>
      </c>
      <c r="E1714" t="s">
        <v>474</v>
      </c>
      <c r="F1714" t="s">
        <v>165</v>
      </c>
      <c r="G1714" t="s">
        <v>165</v>
      </c>
      <c r="H1714" t="s">
        <v>92</v>
      </c>
      <c r="I1714" t="s">
        <v>442</v>
      </c>
      <c r="J1714" t="s">
        <v>442</v>
      </c>
      <c r="K1714" s="4">
        <v>3578.22</v>
      </c>
      <c r="L1714" s="4">
        <v>3578.22</v>
      </c>
      <c r="M1714" t="s">
        <v>166</v>
      </c>
      <c r="N1714" t="s">
        <v>77</v>
      </c>
      <c r="O1714" t="s">
        <v>86</v>
      </c>
      <c r="P1714" t="s">
        <v>170</v>
      </c>
      <c r="Q1714" t="s">
        <v>86</v>
      </c>
      <c r="R1714" t="s">
        <v>86</v>
      </c>
      <c r="S1714" t="s">
        <v>167</v>
      </c>
      <c r="T1714" t="s">
        <v>167</v>
      </c>
      <c r="U1714" t="s">
        <v>168</v>
      </c>
      <c r="V1714" t="s">
        <v>169</v>
      </c>
      <c r="W1714" t="s">
        <v>77</v>
      </c>
      <c r="X1714" t="s">
        <v>44</v>
      </c>
      <c r="Y1714" t="s">
        <v>99</v>
      </c>
      <c r="Z1714" t="s">
        <v>421</v>
      </c>
      <c r="AC1714" t="str">
        <f>IF(AA1714="",M1714,AA1714)</f>
        <v>não</v>
      </c>
      <c r="AD1714" t="str">
        <f>IF(AB1714="",X1714,AB1714)</f>
        <v>sim</v>
      </c>
      <c r="AE1714" t="str">
        <f>IF(OR(Configuracao!B9="",Configuracao!B10=""),"aguardando limiar",IF(AND(K1714&gt;=Configuracao!B9,K1714/MAX(Reconciliacao!C2,1)&gt;=Configuracao!B10/100),"sim","não"))</f>
        <v>aguardando limiar</v>
      </c>
    </row>
    <row r="1715" spans="1:31" x14ac:dyDescent="0.25">
      <c r="A1715">
        <v>14589</v>
      </c>
      <c r="C1715" t="s">
        <v>1287</v>
      </c>
      <c r="D1715" t="s">
        <v>1288</v>
      </c>
      <c r="E1715" t="s">
        <v>474</v>
      </c>
      <c r="F1715" t="s">
        <v>165</v>
      </c>
      <c r="G1715" t="s">
        <v>165</v>
      </c>
      <c r="H1715" t="s">
        <v>92</v>
      </c>
      <c r="I1715" t="s">
        <v>454</v>
      </c>
      <c r="J1715" t="s">
        <v>454</v>
      </c>
      <c r="K1715" s="4">
        <v>3783.77</v>
      </c>
      <c r="L1715" s="4">
        <v>3783.77</v>
      </c>
      <c r="M1715" t="s">
        <v>166</v>
      </c>
      <c r="N1715" t="s">
        <v>77</v>
      </c>
      <c r="O1715" t="s">
        <v>86</v>
      </c>
      <c r="P1715" t="s">
        <v>170</v>
      </c>
      <c r="Q1715" t="s">
        <v>86</v>
      </c>
      <c r="R1715" t="s">
        <v>86</v>
      </c>
      <c r="S1715" t="s">
        <v>167</v>
      </c>
      <c r="T1715" t="s">
        <v>167</v>
      </c>
      <c r="U1715" t="s">
        <v>168</v>
      </c>
      <c r="V1715" t="s">
        <v>169</v>
      </c>
      <c r="W1715" t="s">
        <v>77</v>
      </c>
      <c r="X1715" t="s">
        <v>44</v>
      </c>
      <c r="Y1715" t="s">
        <v>99</v>
      </c>
      <c r="Z1715" t="s">
        <v>421</v>
      </c>
      <c r="AC1715" t="str">
        <f>IF(AA1715="",M1715,AA1715)</f>
        <v>não</v>
      </c>
      <c r="AD1715" t="str">
        <f>IF(AB1715="",X1715,AB1715)</f>
        <v>sim</v>
      </c>
      <c r="AE1715" t="str">
        <f>IF(OR(Configuracao!B9="",Configuracao!B10=""),"aguardando limiar",IF(AND(K1715&gt;=Configuracao!B9,K1715/MAX(Reconciliacao!C2,1)&gt;=Configuracao!B10/100),"sim","não"))</f>
        <v>aguardando limiar</v>
      </c>
    </row>
    <row r="1716" spans="1:31" x14ac:dyDescent="0.25">
      <c r="A1716">
        <v>14960</v>
      </c>
      <c r="C1716" t="s">
        <v>1287</v>
      </c>
      <c r="D1716" t="s">
        <v>1288</v>
      </c>
      <c r="E1716" t="s">
        <v>474</v>
      </c>
      <c r="F1716" t="s">
        <v>165</v>
      </c>
      <c r="G1716" t="s">
        <v>165</v>
      </c>
      <c r="H1716" t="s">
        <v>92</v>
      </c>
      <c r="I1716" t="s">
        <v>461</v>
      </c>
      <c r="J1716" t="s">
        <v>461</v>
      </c>
      <c r="K1716" s="4">
        <v>3783.77</v>
      </c>
      <c r="L1716" s="4">
        <v>3783.77</v>
      </c>
      <c r="M1716" t="s">
        <v>166</v>
      </c>
      <c r="N1716" t="s">
        <v>77</v>
      </c>
      <c r="O1716" t="s">
        <v>86</v>
      </c>
      <c r="P1716" t="s">
        <v>170</v>
      </c>
      <c r="Q1716" t="s">
        <v>86</v>
      </c>
      <c r="R1716" t="s">
        <v>86</v>
      </c>
      <c r="S1716" t="s">
        <v>167</v>
      </c>
      <c r="T1716" t="s">
        <v>167</v>
      </c>
      <c r="U1716" t="s">
        <v>168</v>
      </c>
      <c r="V1716" t="s">
        <v>169</v>
      </c>
      <c r="W1716" t="s">
        <v>77</v>
      </c>
      <c r="X1716" t="s">
        <v>44</v>
      </c>
      <c r="Y1716" t="s">
        <v>99</v>
      </c>
      <c r="Z1716" t="s">
        <v>421</v>
      </c>
      <c r="AC1716" t="str">
        <f>IF(AA1716="",M1716,AA1716)</f>
        <v>não</v>
      </c>
      <c r="AD1716" t="str">
        <f>IF(AB1716="",X1716,AB1716)</f>
        <v>sim</v>
      </c>
      <c r="AE1716" t="str">
        <f>IF(OR(Configuracao!B9="",Configuracao!B10=""),"aguardando limiar",IF(AND(K1716&gt;=Configuracao!B9,K1716/MAX(Reconciliacao!C2,1)&gt;=Configuracao!B10/100),"sim","não"))</f>
        <v>aguardando limiar</v>
      </c>
    </row>
    <row r="1717" spans="1:31" x14ac:dyDescent="0.25">
      <c r="A1717">
        <v>15947</v>
      </c>
      <c r="C1717" t="s">
        <v>1287</v>
      </c>
      <c r="D1717" t="s">
        <v>1288</v>
      </c>
      <c r="E1717" t="s">
        <v>474</v>
      </c>
      <c r="F1717" t="s">
        <v>165</v>
      </c>
      <c r="G1717" t="s">
        <v>165</v>
      </c>
      <c r="H1717" t="s">
        <v>92</v>
      </c>
      <c r="I1717" t="s">
        <v>442</v>
      </c>
      <c r="J1717" t="s">
        <v>442</v>
      </c>
      <c r="K1717" s="4">
        <v>3783.77</v>
      </c>
      <c r="L1717" s="4">
        <v>3783.77</v>
      </c>
      <c r="M1717" t="s">
        <v>166</v>
      </c>
      <c r="N1717" t="s">
        <v>77</v>
      </c>
      <c r="O1717" t="s">
        <v>86</v>
      </c>
      <c r="P1717" t="s">
        <v>170</v>
      </c>
      <c r="Q1717" t="s">
        <v>86</v>
      </c>
      <c r="R1717" t="s">
        <v>86</v>
      </c>
      <c r="S1717" t="s">
        <v>167</v>
      </c>
      <c r="T1717" t="s">
        <v>167</v>
      </c>
      <c r="U1717" t="s">
        <v>168</v>
      </c>
      <c r="V1717" t="s">
        <v>169</v>
      </c>
      <c r="W1717" t="s">
        <v>77</v>
      </c>
      <c r="X1717" t="s">
        <v>44</v>
      </c>
      <c r="Y1717" t="s">
        <v>99</v>
      </c>
      <c r="Z1717" t="s">
        <v>421</v>
      </c>
      <c r="AC1717" t="str">
        <f>IF(AA1717="",M1717,AA1717)</f>
        <v>não</v>
      </c>
      <c r="AD1717" t="str">
        <f>IF(AB1717="",X1717,AB1717)</f>
        <v>sim</v>
      </c>
      <c r="AE1717" t="str">
        <f>IF(OR(Configuracao!B9="",Configuracao!B10=""),"aguardando limiar",IF(AND(K1717&gt;=Configuracao!B9,K1717/MAX(Reconciliacao!C2,1)&gt;=Configuracao!B10/100),"sim","não"))</f>
        <v>aguardando limiar</v>
      </c>
    </row>
    <row r="1718" spans="1:31" x14ac:dyDescent="0.25">
      <c r="A1718">
        <v>15948</v>
      </c>
      <c r="C1718" t="s">
        <v>1287</v>
      </c>
      <c r="D1718" t="s">
        <v>1288</v>
      </c>
      <c r="E1718" t="s">
        <v>474</v>
      </c>
      <c r="F1718" t="s">
        <v>165</v>
      </c>
      <c r="G1718" t="s">
        <v>165</v>
      </c>
      <c r="H1718" t="s">
        <v>92</v>
      </c>
      <c r="I1718" t="s">
        <v>439</v>
      </c>
      <c r="J1718" t="s">
        <v>439</v>
      </c>
      <c r="K1718" s="4">
        <v>3783.77</v>
      </c>
      <c r="L1718" s="4">
        <v>3783.77</v>
      </c>
      <c r="M1718" t="s">
        <v>166</v>
      </c>
      <c r="N1718" t="s">
        <v>77</v>
      </c>
      <c r="O1718" t="s">
        <v>86</v>
      </c>
      <c r="P1718" t="s">
        <v>170</v>
      </c>
      <c r="Q1718" t="s">
        <v>86</v>
      </c>
      <c r="R1718" t="s">
        <v>86</v>
      </c>
      <c r="S1718" t="s">
        <v>167</v>
      </c>
      <c r="T1718" t="s">
        <v>167</v>
      </c>
      <c r="U1718" t="s">
        <v>168</v>
      </c>
      <c r="V1718" t="s">
        <v>169</v>
      </c>
      <c r="W1718" t="s">
        <v>77</v>
      </c>
      <c r="X1718" t="s">
        <v>44</v>
      </c>
      <c r="Y1718" t="s">
        <v>99</v>
      </c>
      <c r="Z1718" t="s">
        <v>421</v>
      </c>
      <c r="AC1718" t="str">
        <f>IF(AA1718="",M1718,AA1718)</f>
        <v>não</v>
      </c>
      <c r="AD1718" t="str">
        <f>IF(AB1718="",X1718,AB1718)</f>
        <v>sim</v>
      </c>
      <c r="AE1718" t="str">
        <f>IF(OR(Configuracao!B9="",Configuracao!B10=""),"aguardando limiar",IF(AND(K1718&gt;=Configuracao!B9,K1718/MAX(Reconciliacao!C2,1)&gt;=Configuracao!B10/100),"sim","não"))</f>
        <v>aguardando limiar</v>
      </c>
    </row>
    <row r="1719" spans="1:31" x14ac:dyDescent="0.25">
      <c r="A1719">
        <v>15949</v>
      </c>
      <c r="C1719" t="s">
        <v>1287</v>
      </c>
      <c r="D1719" t="s">
        <v>1288</v>
      </c>
      <c r="E1719" t="s">
        <v>474</v>
      </c>
      <c r="F1719" t="s">
        <v>165</v>
      </c>
      <c r="G1719" t="s">
        <v>165</v>
      </c>
      <c r="H1719" t="s">
        <v>92</v>
      </c>
      <c r="I1719" t="s">
        <v>35</v>
      </c>
      <c r="J1719" t="s">
        <v>35</v>
      </c>
      <c r="K1719" s="4">
        <v>3783.77</v>
      </c>
      <c r="L1719" s="4">
        <v>3783.77</v>
      </c>
      <c r="M1719" t="s">
        <v>166</v>
      </c>
      <c r="N1719" t="s">
        <v>77</v>
      </c>
      <c r="O1719" t="s">
        <v>86</v>
      </c>
      <c r="P1719" t="s">
        <v>170</v>
      </c>
      <c r="Q1719" t="s">
        <v>86</v>
      </c>
      <c r="R1719" t="s">
        <v>86</v>
      </c>
      <c r="S1719" t="s">
        <v>167</v>
      </c>
      <c r="T1719" t="s">
        <v>167</v>
      </c>
      <c r="U1719" t="s">
        <v>168</v>
      </c>
      <c r="V1719" t="s">
        <v>169</v>
      </c>
      <c r="W1719" t="s">
        <v>77</v>
      </c>
      <c r="X1719" t="s">
        <v>44</v>
      </c>
      <c r="Y1719" t="s">
        <v>99</v>
      </c>
      <c r="Z1719" t="s">
        <v>421</v>
      </c>
      <c r="AC1719" t="str">
        <f>IF(AA1719="",M1719,AA1719)</f>
        <v>não</v>
      </c>
      <c r="AD1719" t="str">
        <f>IF(AB1719="",X1719,AB1719)</f>
        <v>sim</v>
      </c>
      <c r="AE1719" t="str">
        <f>IF(OR(Configuracao!B9="",Configuracao!B10=""),"aguardando limiar",IF(AND(K1719&gt;=Configuracao!B9,K1719/MAX(Reconciliacao!C2,1)&gt;=Configuracao!B10/100),"sim","não"))</f>
        <v>aguardando limiar</v>
      </c>
    </row>
    <row r="1720" spans="1:31" x14ac:dyDescent="0.25">
      <c r="A1720">
        <v>15854</v>
      </c>
      <c r="C1720" t="s">
        <v>1342</v>
      </c>
      <c r="D1720" t="s">
        <v>587</v>
      </c>
      <c r="E1720" t="s">
        <v>525</v>
      </c>
      <c r="F1720" t="s">
        <v>165</v>
      </c>
      <c r="G1720" t="s">
        <v>165</v>
      </c>
      <c r="H1720" t="s">
        <v>92</v>
      </c>
      <c r="I1720" t="s">
        <v>454</v>
      </c>
      <c r="J1720" t="s">
        <v>454</v>
      </c>
      <c r="K1720" s="4">
        <v>3954</v>
      </c>
      <c r="L1720" s="4">
        <v>3954</v>
      </c>
      <c r="M1720" t="s">
        <v>166</v>
      </c>
      <c r="N1720" t="s">
        <v>77</v>
      </c>
      <c r="O1720" t="s">
        <v>86</v>
      </c>
      <c r="P1720" t="s">
        <v>170</v>
      </c>
      <c r="Q1720" t="s">
        <v>86</v>
      </c>
      <c r="R1720" t="s">
        <v>86</v>
      </c>
      <c r="S1720" t="s">
        <v>167</v>
      </c>
      <c r="T1720" t="s">
        <v>167</v>
      </c>
      <c r="U1720" t="s">
        <v>168</v>
      </c>
      <c r="V1720" t="s">
        <v>169</v>
      </c>
      <c r="W1720" t="s">
        <v>77</v>
      </c>
      <c r="X1720" t="s">
        <v>44</v>
      </c>
      <c r="Y1720" t="s">
        <v>99</v>
      </c>
      <c r="Z1720" t="s">
        <v>421</v>
      </c>
      <c r="AC1720" t="str">
        <f>IF(AA1720="",M1720,AA1720)</f>
        <v>não</v>
      </c>
      <c r="AD1720" t="str">
        <f>IF(AB1720="",X1720,AB1720)</f>
        <v>sim</v>
      </c>
      <c r="AE1720" t="str">
        <f>IF(OR(Configuracao!B9="",Configuracao!B10=""),"aguardando limiar",IF(AND(K1720&gt;=Configuracao!B9,K1720/MAX(Reconciliacao!C2,1)&gt;=Configuracao!B10/100),"sim","não"))</f>
        <v>aguardando limiar</v>
      </c>
    </row>
    <row r="1721" spans="1:31" x14ac:dyDescent="0.25">
      <c r="A1721">
        <v>14174</v>
      </c>
      <c r="C1721" t="s">
        <v>1343</v>
      </c>
      <c r="D1721" t="s">
        <v>1344</v>
      </c>
      <c r="E1721" t="s">
        <v>471</v>
      </c>
      <c r="F1721" t="s">
        <v>165</v>
      </c>
      <c r="G1721" t="s">
        <v>165</v>
      </c>
      <c r="H1721" t="s">
        <v>92</v>
      </c>
      <c r="I1721" t="s">
        <v>454</v>
      </c>
      <c r="J1721" t="s">
        <v>454</v>
      </c>
      <c r="K1721" s="4">
        <v>3961.32</v>
      </c>
      <c r="L1721" s="4">
        <v>3961.32</v>
      </c>
      <c r="M1721" t="s">
        <v>166</v>
      </c>
      <c r="N1721" t="s">
        <v>77</v>
      </c>
      <c r="O1721" t="s">
        <v>86</v>
      </c>
      <c r="P1721" t="s">
        <v>170</v>
      </c>
      <c r="Q1721" t="s">
        <v>86</v>
      </c>
      <c r="R1721" t="s">
        <v>86</v>
      </c>
      <c r="S1721" t="s">
        <v>167</v>
      </c>
      <c r="T1721" t="s">
        <v>167</v>
      </c>
      <c r="U1721" t="s">
        <v>168</v>
      </c>
      <c r="V1721" t="s">
        <v>169</v>
      </c>
      <c r="W1721" t="s">
        <v>77</v>
      </c>
      <c r="X1721" t="s">
        <v>166</v>
      </c>
      <c r="Y1721" t="s">
        <v>472</v>
      </c>
      <c r="Z1721" t="s">
        <v>434</v>
      </c>
      <c r="AC1721" t="str">
        <f>IF(AA1721="",M1721,AA1721)</f>
        <v>não</v>
      </c>
      <c r="AD1721" t="str">
        <f>IF(AB1721="",X1721,AB1721)</f>
        <v>não</v>
      </c>
      <c r="AE1721" t="str">
        <f>IF(OR(Configuracao!B9="",Configuracao!B10=""),"aguardando limiar",IF(AND(K1721&gt;=Configuracao!B9,K1721/MAX(Reconciliacao!C2,1)&gt;=Configuracao!B10/100),"sim","não"))</f>
        <v>aguardando limiar</v>
      </c>
    </row>
    <row r="1722" spans="1:31" x14ac:dyDescent="0.25">
      <c r="A1722">
        <v>17375</v>
      </c>
      <c r="C1722" t="s">
        <v>1327</v>
      </c>
      <c r="D1722" t="s">
        <v>1328</v>
      </c>
      <c r="E1722" t="s">
        <v>471</v>
      </c>
      <c r="F1722" t="s">
        <v>165</v>
      </c>
      <c r="G1722" t="s">
        <v>165</v>
      </c>
      <c r="H1722" t="s">
        <v>92</v>
      </c>
      <c r="I1722" t="s">
        <v>442</v>
      </c>
      <c r="J1722" t="s">
        <v>442</v>
      </c>
      <c r="K1722" s="4">
        <v>4000</v>
      </c>
      <c r="L1722" s="4">
        <v>4000</v>
      </c>
      <c r="M1722" t="s">
        <v>166</v>
      </c>
      <c r="N1722" t="s">
        <v>77</v>
      </c>
      <c r="O1722" t="s">
        <v>86</v>
      </c>
      <c r="P1722" t="s">
        <v>170</v>
      </c>
      <c r="Q1722" t="s">
        <v>86</v>
      </c>
      <c r="R1722" t="s">
        <v>86</v>
      </c>
      <c r="S1722" t="s">
        <v>167</v>
      </c>
      <c r="T1722" t="s">
        <v>167</v>
      </c>
      <c r="U1722" t="s">
        <v>168</v>
      </c>
      <c r="V1722" t="s">
        <v>169</v>
      </c>
      <c r="W1722" t="s">
        <v>77</v>
      </c>
      <c r="X1722" t="s">
        <v>44</v>
      </c>
      <c r="Y1722" t="s">
        <v>99</v>
      </c>
      <c r="Z1722" t="s">
        <v>421</v>
      </c>
      <c r="AC1722" t="str">
        <f>IF(AA1722="",M1722,AA1722)</f>
        <v>não</v>
      </c>
      <c r="AD1722" t="str">
        <f>IF(AB1722="",X1722,AB1722)</f>
        <v>sim</v>
      </c>
      <c r="AE1722" t="str">
        <f>IF(OR(Configuracao!B9="",Configuracao!B10=""),"aguardando limiar",IF(AND(K1722&gt;=Configuracao!B9,K1722/MAX(Reconciliacao!C2,1)&gt;=Configuracao!B10/100),"sim","não"))</f>
        <v>aguardando limiar</v>
      </c>
    </row>
    <row r="1723" spans="1:31" x14ac:dyDescent="0.25">
      <c r="A1723">
        <v>12157</v>
      </c>
      <c r="C1723" t="s">
        <v>1345</v>
      </c>
      <c r="D1723" t="s">
        <v>436</v>
      </c>
      <c r="E1723" t="s">
        <v>474</v>
      </c>
      <c r="F1723" t="s">
        <v>165</v>
      </c>
      <c r="G1723" t="s">
        <v>165</v>
      </c>
      <c r="H1723" t="s">
        <v>92</v>
      </c>
      <c r="I1723" t="s">
        <v>439</v>
      </c>
      <c r="J1723" t="s">
        <v>442</v>
      </c>
      <c r="K1723" s="4">
        <v>4150.98</v>
      </c>
      <c r="L1723" s="4">
        <v>4150.98</v>
      </c>
      <c r="M1723" t="s">
        <v>166</v>
      </c>
      <c r="N1723" t="s">
        <v>77</v>
      </c>
      <c r="O1723" t="s">
        <v>86</v>
      </c>
      <c r="P1723" t="s">
        <v>170</v>
      </c>
      <c r="Q1723" t="s">
        <v>86</v>
      </c>
      <c r="R1723" t="s">
        <v>86</v>
      </c>
      <c r="S1723" t="s">
        <v>167</v>
      </c>
      <c r="T1723" t="s">
        <v>167</v>
      </c>
      <c r="U1723" t="s">
        <v>168</v>
      </c>
      <c r="V1723" t="s">
        <v>169</v>
      </c>
      <c r="W1723" t="s">
        <v>77</v>
      </c>
      <c r="X1723" t="s">
        <v>44</v>
      </c>
      <c r="Y1723" t="s">
        <v>99</v>
      </c>
      <c r="Z1723" t="s">
        <v>421</v>
      </c>
      <c r="AC1723" t="str">
        <f>IF(AA1723="",M1723,AA1723)</f>
        <v>não</v>
      </c>
      <c r="AD1723" t="str">
        <f>IF(AB1723="",X1723,AB1723)</f>
        <v>sim</v>
      </c>
      <c r="AE1723" t="str">
        <f>IF(OR(Configuracao!B9="",Configuracao!B10=""),"aguardando limiar",IF(AND(K1723&gt;=Configuracao!B9,K1723/MAX(Reconciliacao!C2,1)&gt;=Configuracao!B10/100),"sim","não"))</f>
        <v>aguardando limiar</v>
      </c>
    </row>
    <row r="1724" spans="1:31" x14ac:dyDescent="0.25">
      <c r="A1724">
        <v>12022</v>
      </c>
      <c r="C1724" t="s">
        <v>1346</v>
      </c>
      <c r="D1724" t="s">
        <v>1286</v>
      </c>
      <c r="E1724" t="s">
        <v>474</v>
      </c>
      <c r="F1724" t="s">
        <v>165</v>
      </c>
      <c r="G1724" t="s">
        <v>165</v>
      </c>
      <c r="H1724" t="s">
        <v>92</v>
      </c>
      <c r="I1724" t="s">
        <v>424</v>
      </c>
      <c r="J1724" t="s">
        <v>424</v>
      </c>
      <c r="K1724" s="4">
        <v>4172.16</v>
      </c>
      <c r="L1724" s="4">
        <v>4172.16</v>
      </c>
      <c r="M1724" t="s">
        <v>166</v>
      </c>
      <c r="N1724" t="s">
        <v>77</v>
      </c>
      <c r="O1724" t="s">
        <v>86</v>
      </c>
      <c r="P1724" t="s">
        <v>170</v>
      </c>
      <c r="Q1724" t="s">
        <v>86</v>
      </c>
      <c r="R1724" t="s">
        <v>86</v>
      </c>
      <c r="S1724" t="s">
        <v>167</v>
      </c>
      <c r="T1724" t="s">
        <v>167</v>
      </c>
      <c r="U1724" t="s">
        <v>168</v>
      </c>
      <c r="V1724" t="s">
        <v>169</v>
      </c>
      <c r="W1724" t="s">
        <v>77</v>
      </c>
      <c r="X1724" t="s">
        <v>44</v>
      </c>
      <c r="Y1724" t="s">
        <v>99</v>
      </c>
      <c r="Z1724" t="s">
        <v>421</v>
      </c>
      <c r="AC1724" t="str">
        <f>IF(AA1724="",M1724,AA1724)</f>
        <v>não</v>
      </c>
      <c r="AD1724" t="str">
        <f>IF(AB1724="",X1724,AB1724)</f>
        <v>sim</v>
      </c>
      <c r="AE1724" t="str">
        <f>IF(OR(Configuracao!B9="",Configuracao!B10=""),"aguardando limiar",IF(AND(K1724&gt;=Configuracao!B9,K1724/MAX(Reconciliacao!C2,1)&gt;=Configuracao!B10/100),"sim","não"))</f>
        <v>aguardando limiar</v>
      </c>
    </row>
    <row r="1725" spans="1:31" x14ac:dyDescent="0.25">
      <c r="A1725">
        <v>12181</v>
      </c>
      <c r="C1725" t="s">
        <v>1347</v>
      </c>
      <c r="D1725" t="s">
        <v>436</v>
      </c>
      <c r="E1725" t="s">
        <v>474</v>
      </c>
      <c r="F1725" t="s">
        <v>165</v>
      </c>
      <c r="G1725" t="s">
        <v>165</v>
      </c>
      <c r="H1725" t="s">
        <v>92</v>
      </c>
      <c r="I1725" t="s">
        <v>424</v>
      </c>
      <c r="J1725" t="s">
        <v>424</v>
      </c>
      <c r="K1725" s="4">
        <v>4474.11</v>
      </c>
      <c r="L1725" s="4">
        <v>4474.11</v>
      </c>
      <c r="M1725" t="s">
        <v>166</v>
      </c>
      <c r="N1725" t="s">
        <v>77</v>
      </c>
      <c r="O1725" t="s">
        <v>86</v>
      </c>
      <c r="P1725" t="s">
        <v>170</v>
      </c>
      <c r="Q1725" t="s">
        <v>86</v>
      </c>
      <c r="R1725" t="s">
        <v>86</v>
      </c>
      <c r="S1725" t="s">
        <v>167</v>
      </c>
      <c r="T1725" t="s">
        <v>167</v>
      </c>
      <c r="U1725" t="s">
        <v>168</v>
      </c>
      <c r="V1725" t="s">
        <v>169</v>
      </c>
      <c r="W1725" t="s">
        <v>77</v>
      </c>
      <c r="X1725" t="s">
        <v>44</v>
      </c>
      <c r="Y1725" t="s">
        <v>99</v>
      </c>
      <c r="Z1725" t="s">
        <v>421</v>
      </c>
      <c r="AC1725" t="str">
        <f>IF(AA1725="",M1725,AA1725)</f>
        <v>não</v>
      </c>
      <c r="AD1725" t="str">
        <f>IF(AB1725="",X1725,AB1725)</f>
        <v>sim</v>
      </c>
      <c r="AE1725" t="str">
        <f>IF(OR(Configuracao!B9="",Configuracao!B10=""),"aguardando limiar",IF(AND(K1725&gt;=Configuracao!B9,K1725/MAX(Reconciliacao!C2,1)&gt;=Configuracao!B10/100),"sim","não"))</f>
        <v>aguardando limiar</v>
      </c>
    </row>
    <row r="1726" spans="1:31" x14ac:dyDescent="0.25">
      <c r="A1726">
        <v>6988</v>
      </c>
      <c r="C1726" t="s">
        <v>1348</v>
      </c>
      <c r="D1726" t="s">
        <v>1288</v>
      </c>
      <c r="E1726" t="s">
        <v>471</v>
      </c>
      <c r="F1726" t="s">
        <v>165</v>
      </c>
      <c r="G1726" t="s">
        <v>165</v>
      </c>
      <c r="H1726" t="s">
        <v>92</v>
      </c>
      <c r="I1726" t="s">
        <v>32</v>
      </c>
      <c r="J1726" t="s">
        <v>32</v>
      </c>
      <c r="K1726" s="4">
        <v>4577.27</v>
      </c>
      <c r="L1726" s="4">
        <v>4577.27</v>
      </c>
      <c r="M1726" t="s">
        <v>166</v>
      </c>
      <c r="N1726" t="s">
        <v>77</v>
      </c>
      <c r="O1726" t="s">
        <v>86</v>
      </c>
      <c r="P1726" t="s">
        <v>170</v>
      </c>
      <c r="Q1726" t="s">
        <v>86</v>
      </c>
      <c r="R1726" t="s">
        <v>86</v>
      </c>
      <c r="S1726" t="s">
        <v>167</v>
      </c>
      <c r="T1726" t="s">
        <v>167</v>
      </c>
      <c r="U1726" t="s">
        <v>168</v>
      </c>
      <c r="V1726" t="s">
        <v>169</v>
      </c>
      <c r="W1726" t="s">
        <v>77</v>
      </c>
      <c r="X1726" t="s">
        <v>44</v>
      </c>
      <c r="Y1726" t="s">
        <v>99</v>
      </c>
      <c r="Z1726" t="s">
        <v>421</v>
      </c>
      <c r="AC1726" t="str">
        <f>IF(AA1726="",M1726,AA1726)</f>
        <v>não</v>
      </c>
      <c r="AD1726" t="str">
        <f>IF(AB1726="",X1726,AB1726)</f>
        <v>sim</v>
      </c>
      <c r="AE1726" t="str">
        <f>IF(OR(Configuracao!B9="",Configuracao!B10=""),"aguardando limiar",IF(AND(K1726&gt;=Configuracao!B9,K1726/MAX(Reconciliacao!C2,1)&gt;=Configuracao!B10/100),"sim","não"))</f>
        <v>aguardando limiar</v>
      </c>
    </row>
    <row r="1727" spans="1:31" x14ac:dyDescent="0.25">
      <c r="A1727">
        <v>6989</v>
      </c>
      <c r="C1727" t="s">
        <v>1348</v>
      </c>
      <c r="D1727" t="s">
        <v>1288</v>
      </c>
      <c r="E1727" t="s">
        <v>471</v>
      </c>
      <c r="F1727" t="s">
        <v>165</v>
      </c>
      <c r="G1727" t="s">
        <v>165</v>
      </c>
      <c r="H1727" t="s">
        <v>92</v>
      </c>
      <c r="I1727" t="s">
        <v>424</v>
      </c>
      <c r="J1727" t="s">
        <v>424</v>
      </c>
      <c r="K1727" s="4">
        <v>4577.27</v>
      </c>
      <c r="L1727" s="4">
        <v>4577.27</v>
      </c>
      <c r="M1727" t="s">
        <v>166</v>
      </c>
      <c r="N1727" t="s">
        <v>77</v>
      </c>
      <c r="O1727" t="s">
        <v>86</v>
      </c>
      <c r="P1727" t="s">
        <v>170</v>
      </c>
      <c r="Q1727" t="s">
        <v>86</v>
      </c>
      <c r="R1727" t="s">
        <v>86</v>
      </c>
      <c r="S1727" t="s">
        <v>167</v>
      </c>
      <c r="T1727" t="s">
        <v>167</v>
      </c>
      <c r="U1727" t="s">
        <v>168</v>
      </c>
      <c r="V1727" t="s">
        <v>169</v>
      </c>
      <c r="W1727" t="s">
        <v>77</v>
      </c>
      <c r="X1727" t="s">
        <v>44</v>
      </c>
      <c r="Y1727" t="s">
        <v>99</v>
      </c>
      <c r="Z1727" t="s">
        <v>421</v>
      </c>
      <c r="AC1727" t="str">
        <f>IF(AA1727="",M1727,AA1727)</f>
        <v>não</v>
      </c>
      <c r="AD1727" t="str">
        <f>IF(AB1727="",X1727,AB1727)</f>
        <v>sim</v>
      </c>
      <c r="AE1727" t="str">
        <f>IF(OR(Configuracao!B9="",Configuracao!B10=""),"aguardando limiar",IF(AND(K1727&gt;=Configuracao!B9,K1727/MAX(Reconciliacao!C2,1)&gt;=Configuracao!B10/100),"sim","não"))</f>
        <v>aguardando limiar</v>
      </c>
    </row>
    <row r="1728" spans="1:31" x14ac:dyDescent="0.25">
      <c r="A1728">
        <v>6990</v>
      </c>
      <c r="C1728" t="s">
        <v>1296</v>
      </c>
      <c r="D1728" t="s">
        <v>1288</v>
      </c>
      <c r="E1728" t="s">
        <v>471</v>
      </c>
      <c r="F1728" t="s">
        <v>165</v>
      </c>
      <c r="G1728" t="s">
        <v>165</v>
      </c>
      <c r="H1728" t="s">
        <v>92</v>
      </c>
      <c r="I1728" t="s">
        <v>420</v>
      </c>
      <c r="J1728" t="s">
        <v>420</v>
      </c>
      <c r="K1728" s="4">
        <v>4607.39</v>
      </c>
      <c r="L1728" s="4">
        <v>4607.39</v>
      </c>
      <c r="M1728" t="s">
        <v>166</v>
      </c>
      <c r="N1728" t="s">
        <v>77</v>
      </c>
      <c r="O1728" t="s">
        <v>86</v>
      </c>
      <c r="P1728" t="s">
        <v>170</v>
      </c>
      <c r="Q1728" t="s">
        <v>86</v>
      </c>
      <c r="R1728" t="s">
        <v>86</v>
      </c>
      <c r="S1728" t="s">
        <v>167</v>
      </c>
      <c r="T1728" t="s">
        <v>167</v>
      </c>
      <c r="U1728" t="s">
        <v>168</v>
      </c>
      <c r="V1728" t="s">
        <v>169</v>
      </c>
      <c r="W1728" t="s">
        <v>77</v>
      </c>
      <c r="X1728" t="s">
        <v>44</v>
      </c>
      <c r="Y1728" t="s">
        <v>99</v>
      </c>
      <c r="Z1728" t="s">
        <v>421</v>
      </c>
      <c r="AC1728" t="str">
        <f>IF(AA1728="",M1728,AA1728)</f>
        <v>não</v>
      </c>
      <c r="AD1728" t="str">
        <f>IF(AB1728="",X1728,AB1728)</f>
        <v>sim</v>
      </c>
      <c r="AE1728" t="str">
        <f>IF(OR(Configuracao!B9="",Configuracao!B10=""),"aguardando limiar",IF(AND(K1728&gt;=Configuracao!B9,K1728/MAX(Reconciliacao!C2,1)&gt;=Configuracao!B10/100),"sim","não"))</f>
        <v>aguardando limiar</v>
      </c>
    </row>
    <row r="1729" spans="1:31" x14ac:dyDescent="0.25">
      <c r="A1729">
        <v>18959</v>
      </c>
      <c r="C1729" t="s">
        <v>1349</v>
      </c>
      <c r="D1729" t="s">
        <v>587</v>
      </c>
      <c r="E1729" t="s">
        <v>525</v>
      </c>
      <c r="F1729" t="s">
        <v>165</v>
      </c>
      <c r="G1729" t="s">
        <v>165</v>
      </c>
      <c r="H1729" t="s">
        <v>92</v>
      </c>
      <c r="I1729" t="s">
        <v>35</v>
      </c>
      <c r="J1729" t="s">
        <v>35</v>
      </c>
      <c r="K1729" s="4">
        <v>4724</v>
      </c>
      <c r="L1729" s="4">
        <v>4724</v>
      </c>
      <c r="M1729" t="s">
        <v>166</v>
      </c>
      <c r="N1729" t="s">
        <v>77</v>
      </c>
      <c r="O1729" t="s">
        <v>86</v>
      </c>
      <c r="P1729" t="s">
        <v>170</v>
      </c>
      <c r="Q1729" t="s">
        <v>86</v>
      </c>
      <c r="R1729" t="s">
        <v>86</v>
      </c>
      <c r="S1729" t="s">
        <v>167</v>
      </c>
      <c r="T1729" t="s">
        <v>167</v>
      </c>
      <c r="U1729" t="s">
        <v>168</v>
      </c>
      <c r="V1729" t="s">
        <v>169</v>
      </c>
      <c r="W1729" t="s">
        <v>77</v>
      </c>
      <c r="X1729" t="s">
        <v>44</v>
      </c>
      <c r="Y1729" t="s">
        <v>99</v>
      </c>
      <c r="Z1729" t="s">
        <v>421</v>
      </c>
      <c r="AC1729" t="str">
        <f>IF(AA1729="",M1729,AA1729)</f>
        <v>não</v>
      </c>
      <c r="AD1729" t="str">
        <f>IF(AB1729="",X1729,AB1729)</f>
        <v>sim</v>
      </c>
      <c r="AE1729" t="str">
        <f>IF(OR(Configuracao!B9="",Configuracao!B10=""),"aguardando limiar",IF(AND(K1729&gt;=Configuracao!B9,K1729/MAX(Reconciliacao!C2,1)&gt;=Configuracao!B10/100),"sim","não"))</f>
        <v>aguardando limiar</v>
      </c>
    </row>
    <row r="1730" spans="1:31" x14ac:dyDescent="0.25">
      <c r="A1730">
        <v>18580</v>
      </c>
      <c r="D1730" t="s">
        <v>471</v>
      </c>
      <c r="E1730" t="s">
        <v>471</v>
      </c>
      <c r="F1730" t="s">
        <v>165</v>
      </c>
      <c r="G1730" t="s">
        <v>165</v>
      </c>
      <c r="H1730" t="s">
        <v>92</v>
      </c>
      <c r="I1730" t="s">
        <v>439</v>
      </c>
      <c r="J1730" t="s">
        <v>439</v>
      </c>
      <c r="K1730" s="4">
        <v>4877</v>
      </c>
      <c r="L1730" s="4">
        <v>4877</v>
      </c>
      <c r="M1730" t="s">
        <v>166</v>
      </c>
      <c r="N1730" t="s">
        <v>77</v>
      </c>
      <c r="O1730" t="s">
        <v>86</v>
      </c>
      <c r="P1730" t="s">
        <v>170</v>
      </c>
      <c r="Q1730" t="s">
        <v>86</v>
      </c>
      <c r="R1730" t="s">
        <v>86</v>
      </c>
      <c r="S1730" t="s">
        <v>167</v>
      </c>
      <c r="T1730" t="s">
        <v>167</v>
      </c>
      <c r="U1730" t="s">
        <v>168</v>
      </c>
      <c r="V1730" t="s">
        <v>169</v>
      </c>
      <c r="W1730" t="s">
        <v>77</v>
      </c>
      <c r="X1730" t="s">
        <v>44</v>
      </c>
      <c r="Y1730" t="s">
        <v>99</v>
      </c>
      <c r="Z1730" t="s">
        <v>421</v>
      </c>
      <c r="AC1730" t="str">
        <f>IF(AA1730="",M1730,AA1730)</f>
        <v>não</v>
      </c>
      <c r="AD1730" t="str">
        <f>IF(AB1730="",X1730,AB1730)</f>
        <v>sim</v>
      </c>
      <c r="AE1730" t="str">
        <f>IF(OR(Configuracao!B9="",Configuracao!B10=""),"aguardando limiar",IF(AND(K1730&gt;=Configuracao!B9,K1730/MAX(Reconciliacao!C2,1)&gt;=Configuracao!B10/100),"sim","não"))</f>
        <v>aguardando limiar</v>
      </c>
    </row>
    <row r="1731" spans="1:31" x14ac:dyDescent="0.25">
      <c r="A1731">
        <v>19339</v>
      </c>
      <c r="D1731" t="s">
        <v>471</v>
      </c>
      <c r="E1731" t="s">
        <v>471</v>
      </c>
      <c r="F1731" t="s">
        <v>165</v>
      </c>
      <c r="G1731" t="s">
        <v>165</v>
      </c>
      <c r="H1731" t="s">
        <v>92</v>
      </c>
      <c r="I1731" t="s">
        <v>35</v>
      </c>
      <c r="J1731" t="s">
        <v>35</v>
      </c>
      <c r="K1731" s="4">
        <v>4877</v>
      </c>
      <c r="L1731" s="4">
        <v>4877</v>
      </c>
      <c r="M1731" t="s">
        <v>166</v>
      </c>
      <c r="N1731" t="s">
        <v>77</v>
      </c>
      <c r="O1731" t="s">
        <v>86</v>
      </c>
      <c r="P1731" t="s">
        <v>170</v>
      </c>
      <c r="Q1731" t="s">
        <v>86</v>
      </c>
      <c r="R1731" t="s">
        <v>86</v>
      </c>
      <c r="S1731" t="s">
        <v>167</v>
      </c>
      <c r="T1731" t="s">
        <v>167</v>
      </c>
      <c r="U1731" t="s">
        <v>168</v>
      </c>
      <c r="V1731" t="s">
        <v>169</v>
      </c>
      <c r="W1731" t="s">
        <v>77</v>
      </c>
      <c r="X1731" t="s">
        <v>44</v>
      </c>
      <c r="Y1731" t="s">
        <v>99</v>
      </c>
      <c r="Z1731" t="s">
        <v>421</v>
      </c>
      <c r="AC1731" t="str">
        <f>IF(AA1731="",M1731,AA1731)</f>
        <v>não</v>
      </c>
      <c r="AD1731" t="str">
        <f>IF(AB1731="",X1731,AB1731)</f>
        <v>sim</v>
      </c>
      <c r="AE1731" t="str">
        <f>IF(OR(Configuracao!B9="",Configuracao!B10=""),"aguardando limiar",IF(AND(K1731&gt;=Configuracao!B9,K1731/MAX(Reconciliacao!C2,1)&gt;=Configuracao!B10/100),"sim","não"))</f>
        <v>aguardando limiar</v>
      </c>
    </row>
    <row r="1732" spans="1:31" x14ac:dyDescent="0.25">
      <c r="A1732">
        <v>18573</v>
      </c>
      <c r="D1732" t="s">
        <v>471</v>
      </c>
      <c r="E1732" t="s">
        <v>471</v>
      </c>
      <c r="F1732" t="s">
        <v>165</v>
      </c>
      <c r="G1732" t="s">
        <v>165</v>
      </c>
      <c r="H1732" t="s">
        <v>92</v>
      </c>
      <c r="I1732" t="s">
        <v>439</v>
      </c>
      <c r="J1732" t="s">
        <v>439</v>
      </c>
      <c r="K1732" s="4">
        <v>4877.64</v>
      </c>
      <c r="L1732" s="4">
        <v>4877.64</v>
      </c>
      <c r="M1732" t="s">
        <v>166</v>
      </c>
      <c r="N1732" t="s">
        <v>77</v>
      </c>
      <c r="O1732" t="s">
        <v>86</v>
      </c>
      <c r="P1732" t="s">
        <v>170</v>
      </c>
      <c r="Q1732" t="s">
        <v>86</v>
      </c>
      <c r="R1732" t="s">
        <v>86</v>
      </c>
      <c r="S1732" t="s">
        <v>167</v>
      </c>
      <c r="T1732" t="s">
        <v>167</v>
      </c>
      <c r="U1732" t="s">
        <v>168</v>
      </c>
      <c r="V1732" t="s">
        <v>169</v>
      </c>
      <c r="W1732" t="s">
        <v>77</v>
      </c>
      <c r="X1732" t="s">
        <v>44</v>
      </c>
      <c r="Y1732" t="s">
        <v>99</v>
      </c>
      <c r="Z1732" t="s">
        <v>421</v>
      </c>
      <c r="AC1732" t="str">
        <f>IF(AA1732="",M1732,AA1732)</f>
        <v>não</v>
      </c>
      <c r="AD1732" t="str">
        <f>IF(AB1732="",X1732,AB1732)</f>
        <v>sim</v>
      </c>
      <c r="AE1732" t="str">
        <f>IF(OR(Configuracao!B9="",Configuracao!B10=""),"aguardando limiar",IF(AND(K1732&gt;=Configuracao!B9,K1732/MAX(Reconciliacao!C2,1)&gt;=Configuracao!B10/100),"sim","não"))</f>
        <v>aguardando limiar</v>
      </c>
    </row>
    <row r="1733" spans="1:31" x14ac:dyDescent="0.25">
      <c r="A1733">
        <v>17784</v>
      </c>
      <c r="D1733" t="s">
        <v>471</v>
      </c>
      <c r="E1733" t="s">
        <v>471</v>
      </c>
      <c r="F1733" t="s">
        <v>165</v>
      </c>
      <c r="G1733" t="s">
        <v>165</v>
      </c>
      <c r="H1733" t="s">
        <v>92</v>
      </c>
      <c r="I1733" t="s">
        <v>442</v>
      </c>
      <c r="J1733" t="s">
        <v>442</v>
      </c>
      <c r="K1733" s="4">
        <v>4940</v>
      </c>
      <c r="L1733" s="4">
        <v>4940</v>
      </c>
      <c r="M1733" t="s">
        <v>166</v>
      </c>
      <c r="N1733" t="s">
        <v>77</v>
      </c>
      <c r="O1733" t="s">
        <v>86</v>
      </c>
      <c r="P1733" t="s">
        <v>170</v>
      </c>
      <c r="Q1733" t="s">
        <v>86</v>
      </c>
      <c r="R1733" t="s">
        <v>86</v>
      </c>
      <c r="S1733" t="s">
        <v>167</v>
      </c>
      <c r="T1733" t="s">
        <v>167</v>
      </c>
      <c r="U1733" t="s">
        <v>168</v>
      </c>
      <c r="V1733" t="s">
        <v>169</v>
      </c>
      <c r="W1733" t="s">
        <v>77</v>
      </c>
      <c r="X1733" t="s">
        <v>44</v>
      </c>
      <c r="Y1733" t="s">
        <v>99</v>
      </c>
      <c r="Z1733" t="s">
        <v>421</v>
      </c>
      <c r="AC1733" t="str">
        <f>IF(AA1733="",M1733,AA1733)</f>
        <v>não</v>
      </c>
      <c r="AD1733" t="str">
        <f>IF(AB1733="",X1733,AB1733)</f>
        <v>sim</v>
      </c>
      <c r="AE1733" t="str">
        <f>IF(OR(Configuracao!B9="",Configuracao!B10=""),"aguardando limiar",IF(AND(K1733&gt;=Configuracao!B9,K1733/MAX(Reconciliacao!C2,1)&gt;=Configuracao!B10/100),"sim","não"))</f>
        <v>aguardando limiar</v>
      </c>
    </row>
    <row r="1734" spans="1:31" x14ac:dyDescent="0.25">
      <c r="A1734">
        <v>11551</v>
      </c>
      <c r="C1734" t="s">
        <v>509</v>
      </c>
      <c r="D1734" t="s">
        <v>471</v>
      </c>
      <c r="E1734" t="s">
        <v>471</v>
      </c>
      <c r="F1734" t="s">
        <v>165</v>
      </c>
      <c r="G1734" t="s">
        <v>165</v>
      </c>
      <c r="H1734" t="s">
        <v>92</v>
      </c>
      <c r="I1734" t="s">
        <v>32</v>
      </c>
      <c r="J1734" t="s">
        <v>32</v>
      </c>
      <c r="K1734" s="4">
        <v>4950</v>
      </c>
      <c r="L1734" s="4">
        <v>4950</v>
      </c>
      <c r="M1734" t="s">
        <v>166</v>
      </c>
      <c r="N1734" t="s">
        <v>77</v>
      </c>
      <c r="O1734" t="s">
        <v>86</v>
      </c>
      <c r="P1734" t="s">
        <v>170</v>
      </c>
      <c r="Q1734" t="s">
        <v>86</v>
      </c>
      <c r="R1734" t="s">
        <v>86</v>
      </c>
      <c r="S1734" t="s">
        <v>167</v>
      </c>
      <c r="T1734" t="s">
        <v>167</v>
      </c>
      <c r="U1734" t="s">
        <v>168</v>
      </c>
      <c r="V1734" t="s">
        <v>169</v>
      </c>
      <c r="W1734" t="s">
        <v>77</v>
      </c>
      <c r="X1734" t="s">
        <v>44</v>
      </c>
      <c r="Y1734" t="s">
        <v>99</v>
      </c>
      <c r="Z1734" t="s">
        <v>421</v>
      </c>
      <c r="AC1734" t="str">
        <f>IF(AA1734="",M1734,AA1734)</f>
        <v>não</v>
      </c>
      <c r="AD1734" t="str">
        <f>IF(AB1734="",X1734,AB1734)</f>
        <v>sim</v>
      </c>
      <c r="AE1734" t="str">
        <f>IF(OR(Configuracao!B9="",Configuracao!B10=""),"aguardando limiar",IF(AND(K1734&gt;=Configuracao!B9,K1734/MAX(Reconciliacao!C2,1)&gt;=Configuracao!B10/100),"sim","não"))</f>
        <v>aguardando limiar</v>
      </c>
    </row>
    <row r="1735" spans="1:31" x14ac:dyDescent="0.25">
      <c r="A1735">
        <v>12319</v>
      </c>
      <c r="C1735" t="s">
        <v>509</v>
      </c>
      <c r="D1735" t="s">
        <v>471</v>
      </c>
      <c r="E1735" t="s">
        <v>471</v>
      </c>
      <c r="F1735" t="s">
        <v>165</v>
      </c>
      <c r="G1735" t="s">
        <v>165</v>
      </c>
      <c r="H1735" t="s">
        <v>92</v>
      </c>
      <c r="I1735" t="s">
        <v>424</v>
      </c>
      <c r="J1735" t="s">
        <v>424</v>
      </c>
      <c r="K1735" s="4">
        <v>4950</v>
      </c>
      <c r="L1735" s="4">
        <v>4950</v>
      </c>
      <c r="M1735" t="s">
        <v>166</v>
      </c>
      <c r="N1735" t="s">
        <v>77</v>
      </c>
      <c r="O1735" t="s">
        <v>86</v>
      </c>
      <c r="P1735" t="s">
        <v>170</v>
      </c>
      <c r="Q1735" t="s">
        <v>86</v>
      </c>
      <c r="R1735" t="s">
        <v>86</v>
      </c>
      <c r="S1735" t="s">
        <v>167</v>
      </c>
      <c r="T1735" t="s">
        <v>167</v>
      </c>
      <c r="U1735" t="s">
        <v>168</v>
      </c>
      <c r="V1735" t="s">
        <v>169</v>
      </c>
      <c r="W1735" t="s">
        <v>77</v>
      </c>
      <c r="X1735" t="s">
        <v>44</v>
      </c>
      <c r="Y1735" t="s">
        <v>99</v>
      </c>
      <c r="Z1735" t="s">
        <v>421</v>
      </c>
      <c r="AC1735" t="str">
        <f>IF(AA1735="",M1735,AA1735)</f>
        <v>não</v>
      </c>
      <c r="AD1735" t="str">
        <f>IF(AB1735="",X1735,AB1735)</f>
        <v>sim</v>
      </c>
      <c r="AE1735" t="str">
        <f>IF(OR(Configuracao!B9="",Configuracao!B10=""),"aguardando limiar",IF(AND(K1735&gt;=Configuracao!B9,K1735/MAX(Reconciliacao!C2,1)&gt;=Configuracao!B10/100),"sim","não"))</f>
        <v>aguardando limiar</v>
      </c>
    </row>
    <row r="1736" spans="1:31" x14ac:dyDescent="0.25">
      <c r="A1736">
        <v>17316</v>
      </c>
      <c r="D1736" t="s">
        <v>471</v>
      </c>
      <c r="E1736" t="s">
        <v>471</v>
      </c>
      <c r="F1736" t="s">
        <v>165</v>
      </c>
      <c r="G1736" t="s">
        <v>165</v>
      </c>
      <c r="H1736" t="s">
        <v>92</v>
      </c>
      <c r="I1736" t="s">
        <v>454</v>
      </c>
      <c r="J1736" t="s">
        <v>454</v>
      </c>
      <c r="K1736" s="4">
        <v>4950</v>
      </c>
      <c r="L1736" s="4">
        <v>4950</v>
      </c>
      <c r="M1736" t="s">
        <v>166</v>
      </c>
      <c r="N1736" t="s">
        <v>77</v>
      </c>
      <c r="O1736" t="s">
        <v>86</v>
      </c>
      <c r="P1736" t="s">
        <v>170</v>
      </c>
      <c r="Q1736" t="s">
        <v>86</v>
      </c>
      <c r="R1736" t="s">
        <v>86</v>
      </c>
      <c r="S1736" t="s">
        <v>167</v>
      </c>
      <c r="T1736" t="s">
        <v>167</v>
      </c>
      <c r="U1736" t="s">
        <v>168</v>
      </c>
      <c r="V1736" t="s">
        <v>169</v>
      </c>
      <c r="W1736" t="s">
        <v>77</v>
      </c>
      <c r="X1736" t="s">
        <v>44</v>
      </c>
      <c r="Y1736" t="s">
        <v>99</v>
      </c>
      <c r="Z1736" t="s">
        <v>421</v>
      </c>
      <c r="AC1736" t="str">
        <f>IF(AA1736="",M1736,AA1736)</f>
        <v>não</v>
      </c>
      <c r="AD1736" t="str">
        <f>IF(AB1736="",X1736,AB1736)</f>
        <v>sim</v>
      </c>
      <c r="AE1736" t="str">
        <f>IF(OR(Configuracao!B9="",Configuracao!B10=""),"aguardando limiar",IF(AND(K1736&gt;=Configuracao!B9,K1736/MAX(Reconciliacao!C2,1)&gt;=Configuracao!B10/100),"sim","não"))</f>
        <v>aguardando limiar</v>
      </c>
    </row>
    <row r="1737" spans="1:31" x14ac:dyDescent="0.25">
      <c r="A1737">
        <v>17327</v>
      </c>
      <c r="D1737" t="s">
        <v>471</v>
      </c>
      <c r="E1737" t="s">
        <v>471</v>
      </c>
      <c r="F1737" t="s">
        <v>165</v>
      </c>
      <c r="G1737" t="s">
        <v>165</v>
      </c>
      <c r="H1737" t="s">
        <v>92</v>
      </c>
      <c r="I1737" t="s">
        <v>461</v>
      </c>
      <c r="J1737" t="s">
        <v>461</v>
      </c>
      <c r="K1737" s="4">
        <v>4950</v>
      </c>
      <c r="L1737" s="4">
        <v>4950</v>
      </c>
      <c r="M1737" t="s">
        <v>166</v>
      </c>
      <c r="N1737" t="s">
        <v>77</v>
      </c>
      <c r="O1737" t="s">
        <v>86</v>
      </c>
      <c r="P1737" t="s">
        <v>170</v>
      </c>
      <c r="Q1737" t="s">
        <v>86</v>
      </c>
      <c r="R1737" t="s">
        <v>86</v>
      </c>
      <c r="S1737" t="s">
        <v>167</v>
      </c>
      <c r="T1737" t="s">
        <v>167</v>
      </c>
      <c r="U1737" t="s">
        <v>168</v>
      </c>
      <c r="V1737" t="s">
        <v>169</v>
      </c>
      <c r="W1737" t="s">
        <v>77</v>
      </c>
      <c r="X1737" t="s">
        <v>44</v>
      </c>
      <c r="Y1737" t="s">
        <v>99</v>
      </c>
      <c r="Z1737" t="s">
        <v>421</v>
      </c>
      <c r="AC1737" t="str">
        <f>IF(AA1737="",M1737,AA1737)</f>
        <v>não</v>
      </c>
      <c r="AD1737" t="str">
        <f>IF(AB1737="",X1737,AB1737)</f>
        <v>sim</v>
      </c>
      <c r="AE1737" t="str">
        <f>IF(OR(Configuracao!B9="",Configuracao!B10=""),"aguardando limiar",IF(AND(K1737&gt;=Configuracao!B9,K1737/MAX(Reconciliacao!C2,1)&gt;=Configuracao!B10/100),"sim","não"))</f>
        <v>aguardando limiar</v>
      </c>
    </row>
    <row r="1738" spans="1:31" x14ac:dyDescent="0.25">
      <c r="A1738">
        <v>17849</v>
      </c>
      <c r="C1738" t="s">
        <v>1334</v>
      </c>
      <c r="D1738" t="s">
        <v>583</v>
      </c>
      <c r="E1738" t="s">
        <v>467</v>
      </c>
      <c r="F1738" t="s">
        <v>165</v>
      </c>
      <c r="G1738" t="s">
        <v>165</v>
      </c>
      <c r="H1738" t="s">
        <v>92</v>
      </c>
      <c r="I1738" t="s">
        <v>439</v>
      </c>
      <c r="J1738" t="s">
        <v>439</v>
      </c>
      <c r="K1738" s="4">
        <v>4952</v>
      </c>
      <c r="L1738" s="4">
        <v>4952</v>
      </c>
      <c r="M1738" t="s">
        <v>166</v>
      </c>
      <c r="N1738" t="s">
        <v>77</v>
      </c>
      <c r="O1738" t="s">
        <v>86</v>
      </c>
      <c r="P1738" t="s">
        <v>170</v>
      </c>
      <c r="Q1738" t="s">
        <v>86</v>
      </c>
      <c r="R1738" t="s">
        <v>86</v>
      </c>
      <c r="S1738" t="s">
        <v>167</v>
      </c>
      <c r="T1738" t="s">
        <v>167</v>
      </c>
      <c r="U1738" t="s">
        <v>168</v>
      </c>
      <c r="V1738" t="s">
        <v>169</v>
      </c>
      <c r="W1738" t="s">
        <v>77</v>
      </c>
      <c r="X1738" t="s">
        <v>44</v>
      </c>
      <c r="Y1738" t="s">
        <v>99</v>
      </c>
      <c r="Z1738" t="s">
        <v>421</v>
      </c>
      <c r="AC1738" t="str">
        <f>IF(AA1738="",M1738,AA1738)</f>
        <v>não</v>
      </c>
      <c r="AD1738" t="str">
        <f>IF(AB1738="",X1738,AB1738)</f>
        <v>sim</v>
      </c>
      <c r="AE1738" t="str">
        <f>IF(OR(Configuracao!B9="",Configuracao!B10=""),"aguardando limiar",IF(AND(K1738&gt;=Configuracao!B9,K1738/MAX(Reconciliacao!C2,1)&gt;=Configuracao!B10/100),"sim","não"))</f>
        <v>aguardando limiar</v>
      </c>
    </row>
    <row r="1739" spans="1:31" x14ac:dyDescent="0.25">
      <c r="A1739">
        <v>12178</v>
      </c>
      <c r="D1739" t="s">
        <v>474</v>
      </c>
      <c r="E1739" t="s">
        <v>474</v>
      </c>
      <c r="F1739" t="s">
        <v>165</v>
      </c>
      <c r="G1739" t="s">
        <v>165</v>
      </c>
      <c r="H1739" t="s">
        <v>92</v>
      </c>
      <c r="I1739" t="s">
        <v>424</v>
      </c>
      <c r="J1739" t="s">
        <v>424</v>
      </c>
      <c r="K1739" s="4">
        <v>5000</v>
      </c>
      <c r="L1739" s="4">
        <v>5000</v>
      </c>
      <c r="M1739" t="s">
        <v>166</v>
      </c>
      <c r="N1739" t="s">
        <v>77</v>
      </c>
      <c r="O1739" t="s">
        <v>86</v>
      </c>
      <c r="P1739" t="s">
        <v>170</v>
      </c>
      <c r="Q1739" t="s">
        <v>86</v>
      </c>
      <c r="R1739" t="s">
        <v>86</v>
      </c>
      <c r="S1739" t="s">
        <v>167</v>
      </c>
      <c r="T1739" t="s">
        <v>167</v>
      </c>
      <c r="U1739" t="s">
        <v>168</v>
      </c>
      <c r="V1739" t="s">
        <v>169</v>
      </c>
      <c r="W1739" t="s">
        <v>77</v>
      </c>
      <c r="X1739" t="s">
        <v>44</v>
      </c>
      <c r="Y1739" t="s">
        <v>99</v>
      </c>
      <c r="Z1739" t="s">
        <v>421</v>
      </c>
      <c r="AC1739" t="str">
        <f>IF(AA1739="",M1739,AA1739)</f>
        <v>não</v>
      </c>
      <c r="AD1739" t="str">
        <f>IF(AB1739="",X1739,AB1739)</f>
        <v>sim</v>
      </c>
      <c r="AE1739" t="str">
        <f>IF(OR(Configuracao!B9="",Configuracao!B10=""),"aguardando limiar",IF(AND(K1739&gt;=Configuracao!B9,K1739/MAX(Reconciliacao!C2,1)&gt;=Configuracao!B10/100),"sim","não"))</f>
        <v>aguardando limiar</v>
      </c>
    </row>
    <row r="1740" spans="1:31" x14ac:dyDescent="0.25">
      <c r="A1740">
        <v>17785</v>
      </c>
      <c r="D1740" t="s">
        <v>474</v>
      </c>
      <c r="E1740" t="s">
        <v>474</v>
      </c>
      <c r="F1740" t="s">
        <v>165</v>
      </c>
      <c r="G1740" t="s">
        <v>165</v>
      </c>
      <c r="H1740" t="s">
        <v>92</v>
      </c>
      <c r="I1740" t="s">
        <v>442</v>
      </c>
      <c r="J1740" t="s">
        <v>442</v>
      </c>
      <c r="K1740" s="4">
        <v>5000</v>
      </c>
      <c r="L1740" s="4">
        <v>5000</v>
      </c>
      <c r="M1740" t="s">
        <v>166</v>
      </c>
      <c r="N1740" t="s">
        <v>77</v>
      </c>
      <c r="O1740" t="s">
        <v>86</v>
      </c>
      <c r="P1740" t="s">
        <v>170</v>
      </c>
      <c r="Q1740" t="s">
        <v>86</v>
      </c>
      <c r="R1740" t="s">
        <v>86</v>
      </c>
      <c r="S1740" t="s">
        <v>167</v>
      </c>
      <c r="T1740" t="s">
        <v>167</v>
      </c>
      <c r="U1740" t="s">
        <v>168</v>
      </c>
      <c r="V1740" t="s">
        <v>169</v>
      </c>
      <c r="W1740" t="s">
        <v>77</v>
      </c>
      <c r="X1740" t="s">
        <v>44</v>
      </c>
      <c r="Y1740" t="s">
        <v>99</v>
      </c>
      <c r="Z1740" t="s">
        <v>421</v>
      </c>
      <c r="AC1740" t="str">
        <f>IF(AA1740="",M1740,AA1740)</f>
        <v>não</v>
      </c>
      <c r="AD1740" t="str">
        <f>IF(AB1740="",X1740,AB1740)</f>
        <v>sim</v>
      </c>
      <c r="AE1740" t="str">
        <f>IF(OR(Configuracao!B9="",Configuracao!B10=""),"aguardando limiar",IF(AND(K1740&gt;=Configuracao!B9,K1740/MAX(Reconciliacao!C2,1)&gt;=Configuracao!B10/100),"sim","não"))</f>
        <v>aguardando limiar</v>
      </c>
    </row>
    <row r="1741" spans="1:31" x14ac:dyDescent="0.25">
      <c r="A1741">
        <v>6991</v>
      </c>
      <c r="C1741" t="s">
        <v>1296</v>
      </c>
      <c r="D1741" t="s">
        <v>1288</v>
      </c>
      <c r="E1741" t="s">
        <v>471</v>
      </c>
      <c r="F1741" t="s">
        <v>165</v>
      </c>
      <c r="G1741" t="s">
        <v>165</v>
      </c>
      <c r="H1741" t="s">
        <v>92</v>
      </c>
      <c r="I1741" t="s">
        <v>454</v>
      </c>
      <c r="J1741" t="s">
        <v>454</v>
      </c>
      <c r="K1741" s="4">
        <v>5101.01</v>
      </c>
      <c r="L1741" s="4">
        <v>5101.01</v>
      </c>
      <c r="M1741" t="s">
        <v>166</v>
      </c>
      <c r="N1741" t="s">
        <v>77</v>
      </c>
      <c r="O1741" t="s">
        <v>86</v>
      </c>
      <c r="P1741" t="s">
        <v>170</v>
      </c>
      <c r="Q1741" t="s">
        <v>86</v>
      </c>
      <c r="R1741" t="s">
        <v>86</v>
      </c>
      <c r="S1741" t="s">
        <v>167</v>
      </c>
      <c r="T1741" t="s">
        <v>167</v>
      </c>
      <c r="U1741" t="s">
        <v>168</v>
      </c>
      <c r="V1741" t="s">
        <v>169</v>
      </c>
      <c r="W1741" t="s">
        <v>77</v>
      </c>
      <c r="X1741" t="s">
        <v>44</v>
      </c>
      <c r="Y1741" t="s">
        <v>99</v>
      </c>
      <c r="Z1741" t="s">
        <v>421</v>
      </c>
      <c r="AC1741" t="str">
        <f>IF(AA1741="",M1741,AA1741)</f>
        <v>não</v>
      </c>
      <c r="AD1741" t="str">
        <f>IF(AB1741="",X1741,AB1741)</f>
        <v>sim</v>
      </c>
      <c r="AE1741" t="str">
        <f>IF(OR(Configuracao!B9="",Configuracao!B10=""),"aguardando limiar",IF(AND(K1741&gt;=Configuracao!B9,K1741/MAX(Reconciliacao!C2,1)&gt;=Configuracao!B10/100),"sim","não"))</f>
        <v>aguardando limiar</v>
      </c>
    </row>
    <row r="1742" spans="1:31" x14ac:dyDescent="0.25">
      <c r="A1742">
        <v>6992</v>
      </c>
      <c r="C1742" t="s">
        <v>1296</v>
      </c>
      <c r="D1742" t="s">
        <v>1288</v>
      </c>
      <c r="E1742" t="s">
        <v>471</v>
      </c>
      <c r="F1742" t="s">
        <v>165</v>
      </c>
      <c r="G1742" t="s">
        <v>165</v>
      </c>
      <c r="H1742" t="s">
        <v>92</v>
      </c>
      <c r="I1742" t="s">
        <v>461</v>
      </c>
      <c r="J1742" t="s">
        <v>461</v>
      </c>
      <c r="K1742" s="4">
        <v>5101.01</v>
      </c>
      <c r="L1742" s="4">
        <v>5101.01</v>
      </c>
      <c r="M1742" t="s">
        <v>166</v>
      </c>
      <c r="N1742" t="s">
        <v>77</v>
      </c>
      <c r="O1742" t="s">
        <v>86</v>
      </c>
      <c r="P1742" t="s">
        <v>170</v>
      </c>
      <c r="Q1742" t="s">
        <v>86</v>
      </c>
      <c r="R1742" t="s">
        <v>86</v>
      </c>
      <c r="S1742" t="s">
        <v>167</v>
      </c>
      <c r="T1742" t="s">
        <v>167</v>
      </c>
      <c r="U1742" t="s">
        <v>168</v>
      </c>
      <c r="V1742" t="s">
        <v>169</v>
      </c>
      <c r="W1742" t="s">
        <v>77</v>
      </c>
      <c r="X1742" t="s">
        <v>44</v>
      </c>
      <c r="Y1742" t="s">
        <v>99</v>
      </c>
      <c r="Z1742" t="s">
        <v>421</v>
      </c>
      <c r="AC1742" t="str">
        <f>IF(AA1742="",M1742,AA1742)</f>
        <v>não</v>
      </c>
      <c r="AD1742" t="str">
        <f>IF(AB1742="",X1742,AB1742)</f>
        <v>sim</v>
      </c>
      <c r="AE1742" t="str">
        <f>IF(OR(Configuracao!B9="",Configuracao!B10=""),"aguardando limiar",IF(AND(K1742&gt;=Configuracao!B9,K1742/MAX(Reconciliacao!C2,1)&gt;=Configuracao!B10/100),"sim","não"))</f>
        <v>aguardando limiar</v>
      </c>
    </row>
    <row r="1743" spans="1:31" x14ac:dyDescent="0.25">
      <c r="A1743">
        <v>6993</v>
      </c>
      <c r="C1743" t="s">
        <v>1296</v>
      </c>
      <c r="D1743" t="s">
        <v>1288</v>
      </c>
      <c r="E1743" t="s">
        <v>471</v>
      </c>
      <c r="F1743" t="s">
        <v>165</v>
      </c>
      <c r="G1743" t="s">
        <v>165</v>
      </c>
      <c r="H1743" t="s">
        <v>92</v>
      </c>
      <c r="I1743" t="s">
        <v>442</v>
      </c>
      <c r="J1743" t="s">
        <v>442</v>
      </c>
      <c r="K1743" s="4">
        <v>5101.01</v>
      </c>
      <c r="L1743" s="4">
        <v>5101.01</v>
      </c>
      <c r="M1743" t="s">
        <v>166</v>
      </c>
      <c r="N1743" t="s">
        <v>77</v>
      </c>
      <c r="O1743" t="s">
        <v>86</v>
      </c>
      <c r="P1743" t="s">
        <v>170</v>
      </c>
      <c r="Q1743" t="s">
        <v>86</v>
      </c>
      <c r="R1743" t="s">
        <v>86</v>
      </c>
      <c r="S1743" t="s">
        <v>167</v>
      </c>
      <c r="T1743" t="s">
        <v>167</v>
      </c>
      <c r="U1743" t="s">
        <v>168</v>
      </c>
      <c r="V1743" t="s">
        <v>169</v>
      </c>
      <c r="W1743" t="s">
        <v>77</v>
      </c>
      <c r="X1743" t="s">
        <v>44</v>
      </c>
      <c r="Y1743" t="s">
        <v>99</v>
      </c>
      <c r="Z1743" t="s">
        <v>421</v>
      </c>
      <c r="AC1743" t="str">
        <f>IF(AA1743="",M1743,AA1743)</f>
        <v>não</v>
      </c>
      <c r="AD1743" t="str">
        <f>IF(AB1743="",X1743,AB1743)</f>
        <v>sim</v>
      </c>
      <c r="AE1743" t="str">
        <f>IF(OR(Configuracao!B9="",Configuracao!B10=""),"aguardando limiar",IF(AND(K1743&gt;=Configuracao!B9,K1743/MAX(Reconciliacao!C2,1)&gt;=Configuracao!B10/100),"sim","não"))</f>
        <v>aguardando limiar</v>
      </c>
    </row>
    <row r="1744" spans="1:31" x14ac:dyDescent="0.25">
      <c r="A1744">
        <v>6994</v>
      </c>
      <c r="C1744" t="s">
        <v>1296</v>
      </c>
      <c r="D1744" t="s">
        <v>1288</v>
      </c>
      <c r="E1744" t="s">
        <v>471</v>
      </c>
      <c r="F1744" t="s">
        <v>165</v>
      </c>
      <c r="G1744" t="s">
        <v>165</v>
      </c>
      <c r="H1744" t="s">
        <v>92</v>
      </c>
      <c r="I1744" t="s">
        <v>439</v>
      </c>
      <c r="J1744" t="s">
        <v>439</v>
      </c>
      <c r="K1744" s="4">
        <v>5101.01</v>
      </c>
      <c r="L1744" s="4">
        <v>5101.01</v>
      </c>
      <c r="M1744" t="s">
        <v>166</v>
      </c>
      <c r="N1744" t="s">
        <v>77</v>
      </c>
      <c r="O1744" t="s">
        <v>86</v>
      </c>
      <c r="P1744" t="s">
        <v>170</v>
      </c>
      <c r="Q1744" t="s">
        <v>86</v>
      </c>
      <c r="R1744" t="s">
        <v>86</v>
      </c>
      <c r="S1744" t="s">
        <v>167</v>
      </c>
      <c r="T1744" t="s">
        <v>167</v>
      </c>
      <c r="U1744" t="s">
        <v>168</v>
      </c>
      <c r="V1744" t="s">
        <v>169</v>
      </c>
      <c r="W1744" t="s">
        <v>77</v>
      </c>
      <c r="X1744" t="s">
        <v>44</v>
      </c>
      <c r="Y1744" t="s">
        <v>99</v>
      </c>
      <c r="Z1744" t="s">
        <v>421</v>
      </c>
      <c r="AC1744" t="str">
        <f>IF(AA1744="",M1744,AA1744)</f>
        <v>não</v>
      </c>
      <c r="AD1744" t="str">
        <f>IF(AB1744="",X1744,AB1744)</f>
        <v>sim</v>
      </c>
      <c r="AE1744" t="str">
        <f>IF(OR(Configuracao!B9="",Configuracao!B10=""),"aguardando limiar",IF(AND(K1744&gt;=Configuracao!B9,K1744/MAX(Reconciliacao!C2,1)&gt;=Configuracao!B10/100),"sim","não"))</f>
        <v>aguardando limiar</v>
      </c>
    </row>
    <row r="1745" spans="1:31" x14ac:dyDescent="0.25">
      <c r="A1745">
        <v>6995</v>
      </c>
      <c r="C1745" t="s">
        <v>1296</v>
      </c>
      <c r="D1745" t="s">
        <v>1288</v>
      </c>
      <c r="E1745" t="s">
        <v>471</v>
      </c>
      <c r="F1745" t="s">
        <v>165</v>
      </c>
      <c r="G1745" t="s">
        <v>165</v>
      </c>
      <c r="H1745" t="s">
        <v>92</v>
      </c>
      <c r="I1745" t="s">
        <v>35</v>
      </c>
      <c r="J1745" t="s">
        <v>35</v>
      </c>
      <c r="K1745" s="4">
        <v>5101.01</v>
      </c>
      <c r="L1745" s="4">
        <v>5101.01</v>
      </c>
      <c r="M1745" t="s">
        <v>166</v>
      </c>
      <c r="N1745" t="s">
        <v>77</v>
      </c>
      <c r="O1745" t="s">
        <v>86</v>
      </c>
      <c r="P1745" t="s">
        <v>170</v>
      </c>
      <c r="Q1745" t="s">
        <v>86</v>
      </c>
      <c r="R1745" t="s">
        <v>86</v>
      </c>
      <c r="S1745" t="s">
        <v>167</v>
      </c>
      <c r="T1745" t="s">
        <v>167</v>
      </c>
      <c r="U1745" t="s">
        <v>168</v>
      </c>
      <c r="V1745" t="s">
        <v>169</v>
      </c>
      <c r="W1745" t="s">
        <v>77</v>
      </c>
      <c r="X1745" t="s">
        <v>44</v>
      </c>
      <c r="Y1745" t="s">
        <v>99</v>
      </c>
      <c r="Z1745" t="s">
        <v>421</v>
      </c>
      <c r="AC1745" t="str">
        <f>IF(AA1745="",M1745,AA1745)</f>
        <v>não</v>
      </c>
      <c r="AD1745" t="str">
        <f>IF(AB1745="",X1745,AB1745)</f>
        <v>sim</v>
      </c>
      <c r="AE1745" t="str">
        <f>IF(OR(Configuracao!B9="",Configuracao!B10=""),"aguardando limiar",IF(AND(K1745&gt;=Configuracao!B9,K1745/MAX(Reconciliacao!C2,1)&gt;=Configuracao!B10/100),"sim","não"))</f>
        <v>aguardando limiar</v>
      </c>
    </row>
    <row r="1746" spans="1:31" x14ac:dyDescent="0.25">
      <c r="A1746">
        <v>12437</v>
      </c>
      <c r="C1746" t="s">
        <v>1324</v>
      </c>
      <c r="D1746" t="s">
        <v>587</v>
      </c>
      <c r="E1746" t="s">
        <v>525</v>
      </c>
      <c r="F1746" t="s">
        <v>165</v>
      </c>
      <c r="G1746" t="s">
        <v>165</v>
      </c>
      <c r="H1746" t="s">
        <v>92</v>
      </c>
      <c r="I1746" t="s">
        <v>424</v>
      </c>
      <c r="J1746" t="s">
        <v>424</v>
      </c>
      <c r="K1746" s="4">
        <v>5638.27</v>
      </c>
      <c r="L1746" s="4">
        <v>5638.27</v>
      </c>
      <c r="M1746" t="s">
        <v>166</v>
      </c>
      <c r="N1746" t="s">
        <v>77</v>
      </c>
      <c r="O1746" t="s">
        <v>86</v>
      </c>
      <c r="P1746" t="s">
        <v>170</v>
      </c>
      <c r="Q1746" t="s">
        <v>86</v>
      </c>
      <c r="R1746" t="s">
        <v>86</v>
      </c>
      <c r="S1746" t="s">
        <v>167</v>
      </c>
      <c r="T1746" t="s">
        <v>167</v>
      </c>
      <c r="U1746" t="s">
        <v>168</v>
      </c>
      <c r="V1746" t="s">
        <v>169</v>
      </c>
      <c r="W1746" t="s">
        <v>77</v>
      </c>
      <c r="X1746" t="s">
        <v>44</v>
      </c>
      <c r="Y1746" t="s">
        <v>99</v>
      </c>
      <c r="Z1746" t="s">
        <v>421</v>
      </c>
      <c r="AC1746" t="str">
        <f>IF(AA1746="",M1746,AA1746)</f>
        <v>não</v>
      </c>
      <c r="AD1746" t="str">
        <f>IF(AB1746="",X1746,AB1746)</f>
        <v>sim</v>
      </c>
      <c r="AE1746" t="str">
        <f>IF(OR(Configuracao!B9="",Configuracao!B10=""),"aguardando limiar",IF(AND(K1746&gt;=Configuracao!B9,K1746/MAX(Reconciliacao!C2,1)&gt;=Configuracao!B10/100),"sim","não"))</f>
        <v>aguardando limiar</v>
      </c>
    </row>
    <row r="1747" spans="1:31" x14ac:dyDescent="0.25">
      <c r="A1747">
        <v>17226</v>
      </c>
      <c r="D1747" t="s">
        <v>474</v>
      </c>
      <c r="E1747" t="s">
        <v>474</v>
      </c>
      <c r="F1747" t="s">
        <v>165</v>
      </c>
      <c r="G1747" t="s">
        <v>165</v>
      </c>
      <c r="H1747" t="s">
        <v>92</v>
      </c>
      <c r="I1747" t="s">
        <v>32</v>
      </c>
      <c r="J1747" t="s">
        <v>32</v>
      </c>
      <c r="K1747" s="4">
        <v>5810.09</v>
      </c>
      <c r="L1747" s="4">
        <v>5810.09</v>
      </c>
      <c r="M1747" t="s">
        <v>166</v>
      </c>
      <c r="N1747" t="s">
        <v>77</v>
      </c>
      <c r="O1747" t="s">
        <v>86</v>
      </c>
      <c r="P1747" t="s">
        <v>170</v>
      </c>
      <c r="Q1747" t="s">
        <v>86</v>
      </c>
      <c r="R1747" t="s">
        <v>86</v>
      </c>
      <c r="S1747" t="s">
        <v>167</v>
      </c>
      <c r="T1747" t="s">
        <v>167</v>
      </c>
      <c r="U1747" t="s">
        <v>168</v>
      </c>
      <c r="V1747" t="s">
        <v>169</v>
      </c>
      <c r="W1747" t="s">
        <v>77</v>
      </c>
      <c r="X1747" t="s">
        <v>44</v>
      </c>
      <c r="Y1747" t="s">
        <v>99</v>
      </c>
      <c r="Z1747" t="s">
        <v>421</v>
      </c>
      <c r="AC1747" t="str">
        <f>IF(AA1747="",M1747,AA1747)</f>
        <v>não</v>
      </c>
      <c r="AD1747" t="str">
        <f>IF(AB1747="",X1747,AB1747)</f>
        <v>sim</v>
      </c>
      <c r="AE1747" t="str">
        <f>IF(OR(Configuracao!B9="",Configuracao!B10=""),"aguardando limiar",IF(AND(K1747&gt;=Configuracao!B9,K1747/MAX(Reconciliacao!C2,1)&gt;=Configuracao!B10/100),"sim","não"))</f>
        <v>aguardando limiar</v>
      </c>
    </row>
    <row r="1748" spans="1:31" x14ac:dyDescent="0.25">
      <c r="A1748">
        <v>17850</v>
      </c>
      <c r="C1748" t="s">
        <v>1334</v>
      </c>
      <c r="D1748" t="s">
        <v>587</v>
      </c>
      <c r="E1748" t="s">
        <v>525</v>
      </c>
      <c r="F1748" t="s">
        <v>165</v>
      </c>
      <c r="G1748" t="s">
        <v>165</v>
      </c>
      <c r="H1748" t="s">
        <v>92</v>
      </c>
      <c r="I1748" t="s">
        <v>439</v>
      </c>
      <c r="J1748" t="s">
        <v>439</v>
      </c>
      <c r="K1748" s="4">
        <v>6215</v>
      </c>
      <c r="L1748" s="4">
        <v>6215</v>
      </c>
      <c r="M1748" t="s">
        <v>166</v>
      </c>
      <c r="N1748" t="s">
        <v>77</v>
      </c>
      <c r="O1748" t="s">
        <v>86</v>
      </c>
      <c r="P1748" t="s">
        <v>170</v>
      </c>
      <c r="Q1748" t="s">
        <v>86</v>
      </c>
      <c r="R1748" t="s">
        <v>86</v>
      </c>
      <c r="S1748" t="s">
        <v>167</v>
      </c>
      <c r="T1748" t="s">
        <v>167</v>
      </c>
      <c r="U1748" t="s">
        <v>168</v>
      </c>
      <c r="V1748" t="s">
        <v>169</v>
      </c>
      <c r="W1748" t="s">
        <v>77</v>
      </c>
      <c r="X1748" t="s">
        <v>44</v>
      </c>
      <c r="Y1748" t="s">
        <v>99</v>
      </c>
      <c r="Z1748" t="s">
        <v>421</v>
      </c>
      <c r="AC1748" t="str">
        <f>IF(AA1748="",M1748,AA1748)</f>
        <v>não</v>
      </c>
      <c r="AD1748" t="str">
        <f>IF(AB1748="",X1748,AB1748)</f>
        <v>sim</v>
      </c>
      <c r="AE1748" t="str">
        <f>IF(OR(Configuracao!B9="",Configuracao!B10=""),"aguardando limiar",IF(AND(K1748&gt;=Configuracao!B9,K1748/MAX(Reconciliacao!C2,1)&gt;=Configuracao!B10/100),"sim","não"))</f>
        <v>aguardando limiar</v>
      </c>
    </row>
    <row r="1749" spans="1:31" x14ac:dyDescent="0.25">
      <c r="A1749">
        <v>18831</v>
      </c>
      <c r="C1749" t="s">
        <v>1350</v>
      </c>
      <c r="D1749" t="s">
        <v>1295</v>
      </c>
      <c r="E1749" t="s">
        <v>474</v>
      </c>
      <c r="F1749" t="s">
        <v>165</v>
      </c>
      <c r="G1749" t="s">
        <v>165</v>
      </c>
      <c r="H1749" t="s">
        <v>92</v>
      </c>
      <c r="I1749" t="s">
        <v>35</v>
      </c>
      <c r="J1749" t="s">
        <v>35</v>
      </c>
      <c r="K1749" s="4">
        <v>6410.65</v>
      </c>
      <c r="L1749" s="4">
        <v>6410.65</v>
      </c>
      <c r="M1749" t="s">
        <v>166</v>
      </c>
      <c r="N1749" t="s">
        <v>77</v>
      </c>
      <c r="O1749" t="s">
        <v>86</v>
      </c>
      <c r="P1749" t="s">
        <v>170</v>
      </c>
      <c r="Q1749" t="s">
        <v>86</v>
      </c>
      <c r="R1749" t="s">
        <v>86</v>
      </c>
      <c r="S1749" t="s">
        <v>167</v>
      </c>
      <c r="T1749" t="s">
        <v>167</v>
      </c>
      <c r="U1749" t="s">
        <v>168</v>
      </c>
      <c r="V1749" t="s">
        <v>169</v>
      </c>
      <c r="W1749" t="s">
        <v>77</v>
      </c>
      <c r="X1749" t="s">
        <v>166</v>
      </c>
      <c r="Y1749" t="s">
        <v>1303</v>
      </c>
      <c r="Z1749" t="s">
        <v>434</v>
      </c>
      <c r="AC1749" t="str">
        <f>IF(AA1749="",M1749,AA1749)</f>
        <v>não</v>
      </c>
      <c r="AD1749" t="str">
        <f>IF(AB1749="",X1749,AB1749)</f>
        <v>não</v>
      </c>
      <c r="AE1749" t="str">
        <f>IF(OR(Configuracao!B9="",Configuracao!B10=""),"aguardando limiar",IF(AND(K1749&gt;=Configuracao!B9,K1749/MAX(Reconciliacao!C2,1)&gt;=Configuracao!B10/100),"sim","não"))</f>
        <v>aguardando limiar</v>
      </c>
    </row>
    <row r="1750" spans="1:31" x14ac:dyDescent="0.25">
      <c r="A1750">
        <v>18861</v>
      </c>
      <c r="C1750" t="s">
        <v>1351</v>
      </c>
      <c r="D1750" t="s">
        <v>1352</v>
      </c>
      <c r="E1750" t="s">
        <v>474</v>
      </c>
      <c r="F1750" t="s">
        <v>165</v>
      </c>
      <c r="G1750" t="s">
        <v>165</v>
      </c>
      <c r="H1750" t="s">
        <v>92</v>
      </c>
      <c r="I1750" t="s">
        <v>35</v>
      </c>
      <c r="J1750" t="s">
        <v>35</v>
      </c>
      <c r="K1750" s="4">
        <v>6421.37</v>
      </c>
      <c r="L1750" s="4">
        <v>6421.37</v>
      </c>
      <c r="M1750" t="s">
        <v>166</v>
      </c>
      <c r="N1750" t="s">
        <v>77</v>
      </c>
      <c r="O1750" t="s">
        <v>86</v>
      </c>
      <c r="P1750" t="s">
        <v>170</v>
      </c>
      <c r="Q1750" t="s">
        <v>86</v>
      </c>
      <c r="R1750" t="s">
        <v>86</v>
      </c>
      <c r="S1750" t="s">
        <v>167</v>
      </c>
      <c r="T1750" t="s">
        <v>167</v>
      </c>
      <c r="U1750" t="s">
        <v>168</v>
      </c>
      <c r="V1750" t="s">
        <v>169</v>
      </c>
      <c r="W1750" t="s">
        <v>77</v>
      </c>
      <c r="X1750" t="s">
        <v>44</v>
      </c>
      <c r="Y1750" t="s">
        <v>99</v>
      </c>
      <c r="Z1750" t="s">
        <v>421</v>
      </c>
      <c r="AC1750" t="str">
        <f>IF(AA1750="",M1750,AA1750)</f>
        <v>não</v>
      </c>
      <c r="AD1750" t="str">
        <f>IF(AB1750="",X1750,AB1750)</f>
        <v>sim</v>
      </c>
      <c r="AE1750" t="str">
        <f>IF(OR(Configuracao!B9="",Configuracao!B10=""),"aguardando limiar",IF(AND(K1750&gt;=Configuracao!B9,K1750/MAX(Reconciliacao!C2,1)&gt;=Configuracao!B10/100),"sim","não"))</f>
        <v>aguardando limiar</v>
      </c>
    </row>
    <row r="1751" spans="1:31" x14ac:dyDescent="0.25">
      <c r="A1751">
        <v>19183</v>
      </c>
      <c r="C1751" t="s">
        <v>1351</v>
      </c>
      <c r="D1751" t="s">
        <v>1352</v>
      </c>
      <c r="E1751" t="s">
        <v>474</v>
      </c>
      <c r="F1751" t="s">
        <v>165</v>
      </c>
      <c r="G1751" t="s">
        <v>165</v>
      </c>
      <c r="H1751" t="s">
        <v>92</v>
      </c>
      <c r="I1751" t="s">
        <v>35</v>
      </c>
      <c r="J1751" t="s">
        <v>35</v>
      </c>
      <c r="K1751" s="4">
        <v>6592.59</v>
      </c>
      <c r="L1751" s="4">
        <v>6592.59</v>
      </c>
      <c r="M1751" t="s">
        <v>166</v>
      </c>
      <c r="N1751" t="s">
        <v>77</v>
      </c>
      <c r="O1751" t="s">
        <v>86</v>
      </c>
      <c r="P1751" t="s">
        <v>170</v>
      </c>
      <c r="Q1751" t="s">
        <v>86</v>
      </c>
      <c r="R1751" t="s">
        <v>86</v>
      </c>
      <c r="S1751" t="s">
        <v>167</v>
      </c>
      <c r="T1751" t="s">
        <v>167</v>
      </c>
      <c r="U1751" t="s">
        <v>168</v>
      </c>
      <c r="V1751" t="s">
        <v>169</v>
      </c>
      <c r="W1751" t="s">
        <v>77</v>
      </c>
      <c r="X1751" t="s">
        <v>44</v>
      </c>
      <c r="Y1751" t="s">
        <v>99</v>
      </c>
      <c r="Z1751" t="s">
        <v>421</v>
      </c>
      <c r="AC1751" t="str">
        <f>IF(AA1751="",M1751,AA1751)</f>
        <v>não</v>
      </c>
      <c r="AD1751" t="str">
        <f>IF(AB1751="",X1751,AB1751)</f>
        <v>sim</v>
      </c>
      <c r="AE1751" t="str">
        <f>IF(OR(Configuracao!B9="",Configuracao!B10=""),"aguardando limiar",IF(AND(K1751&gt;=Configuracao!B9,K1751/MAX(Reconciliacao!C2,1)&gt;=Configuracao!B10/100),"sim","não"))</f>
        <v>aguardando limiar</v>
      </c>
    </row>
    <row r="1752" spans="1:31" x14ac:dyDescent="0.25">
      <c r="A1752">
        <v>15853</v>
      </c>
      <c r="C1752" t="s">
        <v>1342</v>
      </c>
      <c r="D1752" t="s">
        <v>583</v>
      </c>
      <c r="E1752" t="s">
        <v>467</v>
      </c>
      <c r="F1752" t="s">
        <v>165</v>
      </c>
      <c r="G1752" t="s">
        <v>165</v>
      </c>
      <c r="H1752" t="s">
        <v>92</v>
      </c>
      <c r="I1752" t="s">
        <v>454</v>
      </c>
      <c r="J1752" t="s">
        <v>454</v>
      </c>
      <c r="K1752" s="4">
        <v>6662</v>
      </c>
      <c r="L1752" s="4">
        <v>6662</v>
      </c>
      <c r="M1752" t="s">
        <v>166</v>
      </c>
      <c r="N1752" t="s">
        <v>77</v>
      </c>
      <c r="O1752" t="s">
        <v>86</v>
      </c>
      <c r="P1752" t="s">
        <v>170</v>
      </c>
      <c r="Q1752" t="s">
        <v>86</v>
      </c>
      <c r="R1752" t="s">
        <v>86</v>
      </c>
      <c r="S1752" t="s">
        <v>167</v>
      </c>
      <c r="T1752" t="s">
        <v>167</v>
      </c>
      <c r="U1752" t="s">
        <v>168</v>
      </c>
      <c r="V1752" t="s">
        <v>169</v>
      </c>
      <c r="W1752" t="s">
        <v>77</v>
      </c>
      <c r="X1752" t="s">
        <v>44</v>
      </c>
      <c r="Y1752" t="s">
        <v>99</v>
      </c>
      <c r="Z1752" t="s">
        <v>421</v>
      </c>
      <c r="AC1752" t="str">
        <f>IF(AA1752="",M1752,AA1752)</f>
        <v>não</v>
      </c>
      <c r="AD1752" t="str">
        <f>IF(AB1752="",X1752,AB1752)</f>
        <v>sim</v>
      </c>
      <c r="AE1752" t="str">
        <f>IF(OR(Configuracao!B9="",Configuracao!B10=""),"aguardando limiar",IF(AND(K1752&gt;=Configuracao!B9,K1752/MAX(Reconciliacao!C2,1)&gt;=Configuracao!B10/100),"sim","não"))</f>
        <v>aguardando limiar</v>
      </c>
    </row>
    <row r="1753" spans="1:31" x14ac:dyDescent="0.25">
      <c r="A1753">
        <v>17543</v>
      </c>
      <c r="C1753" t="s">
        <v>1351</v>
      </c>
      <c r="D1753" t="s">
        <v>1352</v>
      </c>
      <c r="E1753" t="s">
        <v>474</v>
      </c>
      <c r="F1753" t="s">
        <v>165</v>
      </c>
      <c r="G1753" t="s">
        <v>165</v>
      </c>
      <c r="H1753" t="s">
        <v>92</v>
      </c>
      <c r="I1753" t="s">
        <v>442</v>
      </c>
      <c r="J1753" t="s">
        <v>442</v>
      </c>
      <c r="K1753" s="4">
        <v>6667.49</v>
      </c>
      <c r="L1753" s="4">
        <v>6667.49</v>
      </c>
      <c r="M1753" t="s">
        <v>166</v>
      </c>
      <c r="N1753" t="s">
        <v>77</v>
      </c>
      <c r="O1753" t="s">
        <v>86</v>
      </c>
      <c r="P1753" t="s">
        <v>170</v>
      </c>
      <c r="Q1753" t="s">
        <v>86</v>
      </c>
      <c r="R1753" t="s">
        <v>86</v>
      </c>
      <c r="S1753" t="s">
        <v>167</v>
      </c>
      <c r="T1753" t="s">
        <v>167</v>
      </c>
      <c r="U1753" t="s">
        <v>168</v>
      </c>
      <c r="V1753" t="s">
        <v>169</v>
      </c>
      <c r="W1753" t="s">
        <v>77</v>
      </c>
      <c r="X1753" t="s">
        <v>44</v>
      </c>
      <c r="Y1753" t="s">
        <v>99</v>
      </c>
      <c r="Z1753" t="s">
        <v>421</v>
      </c>
      <c r="AC1753" t="str">
        <f>IF(AA1753="",M1753,AA1753)</f>
        <v>não</v>
      </c>
      <c r="AD1753" t="str">
        <f>IF(AB1753="",X1753,AB1753)</f>
        <v>sim</v>
      </c>
      <c r="AE1753" t="str">
        <f>IF(OR(Configuracao!B9="",Configuracao!B10=""),"aguardando limiar",IF(AND(K1753&gt;=Configuracao!B9,K1753/MAX(Reconciliacao!C2,1)&gt;=Configuracao!B10/100),"sim","não"))</f>
        <v>aguardando limiar</v>
      </c>
    </row>
    <row r="1754" spans="1:31" x14ac:dyDescent="0.25">
      <c r="A1754">
        <v>15852</v>
      </c>
      <c r="C1754" t="s">
        <v>1342</v>
      </c>
      <c r="D1754" t="s">
        <v>510</v>
      </c>
      <c r="E1754" t="s">
        <v>511</v>
      </c>
      <c r="F1754" t="s">
        <v>165</v>
      </c>
      <c r="G1754" t="s">
        <v>165</v>
      </c>
      <c r="H1754" t="s">
        <v>92</v>
      </c>
      <c r="I1754" t="s">
        <v>454</v>
      </c>
      <c r="J1754" t="s">
        <v>454</v>
      </c>
      <c r="K1754" s="4">
        <v>6703</v>
      </c>
      <c r="L1754" s="4">
        <v>6703</v>
      </c>
      <c r="M1754" t="s">
        <v>166</v>
      </c>
      <c r="N1754" t="s">
        <v>77</v>
      </c>
      <c r="O1754" t="s">
        <v>86</v>
      </c>
      <c r="P1754" t="s">
        <v>170</v>
      </c>
      <c r="Q1754" t="s">
        <v>86</v>
      </c>
      <c r="R1754" t="s">
        <v>86</v>
      </c>
      <c r="S1754" t="s">
        <v>167</v>
      </c>
      <c r="T1754" t="s">
        <v>167</v>
      </c>
      <c r="U1754" t="s">
        <v>168</v>
      </c>
      <c r="V1754" t="s">
        <v>169</v>
      </c>
      <c r="W1754" t="s">
        <v>77</v>
      </c>
      <c r="X1754" t="s">
        <v>44</v>
      </c>
      <c r="Y1754" t="s">
        <v>99</v>
      </c>
      <c r="Z1754" t="s">
        <v>421</v>
      </c>
      <c r="AC1754" t="str">
        <f>IF(AA1754="",M1754,AA1754)</f>
        <v>não</v>
      </c>
      <c r="AD1754" t="str">
        <f>IF(AB1754="",X1754,AB1754)</f>
        <v>sim</v>
      </c>
      <c r="AE1754" t="str">
        <f>IF(OR(Configuracao!B9="",Configuracao!B10=""),"aguardando limiar",IF(AND(K1754&gt;=Configuracao!B9,K1754/MAX(Reconciliacao!C2,1)&gt;=Configuracao!B10/100),"sim","não"))</f>
        <v>aguardando limiar</v>
      </c>
    </row>
    <row r="1755" spans="1:31" x14ac:dyDescent="0.25">
      <c r="A1755">
        <v>15846</v>
      </c>
      <c r="C1755" t="s">
        <v>1351</v>
      </c>
      <c r="D1755" t="s">
        <v>1352</v>
      </c>
      <c r="E1755" t="s">
        <v>474</v>
      </c>
      <c r="F1755" t="s">
        <v>165</v>
      </c>
      <c r="G1755" t="s">
        <v>165</v>
      </c>
      <c r="H1755" t="s">
        <v>92</v>
      </c>
      <c r="I1755" t="s">
        <v>454</v>
      </c>
      <c r="J1755" t="s">
        <v>454</v>
      </c>
      <c r="K1755" s="4">
        <v>6884.24</v>
      </c>
      <c r="L1755" s="4">
        <v>6884.24</v>
      </c>
      <c r="M1755" t="s">
        <v>166</v>
      </c>
      <c r="N1755" t="s">
        <v>77</v>
      </c>
      <c r="O1755" t="s">
        <v>86</v>
      </c>
      <c r="P1755" t="s">
        <v>170</v>
      </c>
      <c r="Q1755" t="s">
        <v>86</v>
      </c>
      <c r="R1755" t="s">
        <v>86</v>
      </c>
      <c r="S1755" t="s">
        <v>167</v>
      </c>
      <c r="T1755" t="s">
        <v>167</v>
      </c>
      <c r="U1755" t="s">
        <v>168</v>
      </c>
      <c r="V1755" t="s">
        <v>169</v>
      </c>
      <c r="W1755" t="s">
        <v>77</v>
      </c>
      <c r="X1755" t="s">
        <v>44</v>
      </c>
      <c r="Y1755" t="s">
        <v>99</v>
      </c>
      <c r="Z1755" t="s">
        <v>421</v>
      </c>
      <c r="AC1755" t="str">
        <f>IF(AA1755="",M1755,AA1755)</f>
        <v>não</v>
      </c>
      <c r="AD1755" t="str">
        <f>IF(AB1755="",X1755,AB1755)</f>
        <v>sim</v>
      </c>
      <c r="AE1755" t="str">
        <f>IF(OR(Configuracao!B9="",Configuracao!B10=""),"aguardando limiar",IF(AND(K1755&gt;=Configuracao!B9,K1755/MAX(Reconciliacao!C2,1)&gt;=Configuracao!B10/100),"sim","não"))</f>
        <v>aguardando limiar</v>
      </c>
    </row>
    <row r="1756" spans="1:31" x14ac:dyDescent="0.25">
      <c r="A1756">
        <v>18686</v>
      </c>
      <c r="C1756" t="s">
        <v>1315</v>
      </c>
      <c r="D1756" t="s">
        <v>1353</v>
      </c>
      <c r="E1756" t="s">
        <v>471</v>
      </c>
      <c r="F1756" t="s">
        <v>165</v>
      </c>
      <c r="G1756" t="s">
        <v>165</v>
      </c>
      <c r="H1756" t="s">
        <v>92</v>
      </c>
      <c r="I1756" t="s">
        <v>35</v>
      </c>
      <c r="J1756" t="s">
        <v>35</v>
      </c>
      <c r="K1756" s="4">
        <v>7000</v>
      </c>
      <c r="L1756" s="4">
        <v>7000</v>
      </c>
      <c r="M1756" t="s">
        <v>166</v>
      </c>
      <c r="N1756" t="s">
        <v>77</v>
      </c>
      <c r="O1756" t="s">
        <v>86</v>
      </c>
      <c r="P1756" t="s">
        <v>170</v>
      </c>
      <c r="Q1756" t="s">
        <v>86</v>
      </c>
      <c r="R1756" t="s">
        <v>86</v>
      </c>
      <c r="S1756" t="s">
        <v>167</v>
      </c>
      <c r="T1756" t="s">
        <v>167</v>
      </c>
      <c r="U1756" t="s">
        <v>168</v>
      </c>
      <c r="V1756" t="s">
        <v>169</v>
      </c>
      <c r="W1756" t="s">
        <v>77</v>
      </c>
      <c r="X1756" t="s">
        <v>166</v>
      </c>
      <c r="Y1756" t="s">
        <v>472</v>
      </c>
      <c r="Z1756" t="s">
        <v>434</v>
      </c>
      <c r="AC1756" t="str">
        <f>IF(AA1756="",M1756,AA1756)</f>
        <v>não</v>
      </c>
      <c r="AD1756" t="str">
        <f>IF(AB1756="",X1756,AB1756)</f>
        <v>não</v>
      </c>
      <c r="AE1756" t="str">
        <f>IF(OR(Configuracao!B9="",Configuracao!B10=""),"aguardando limiar",IF(AND(K1756&gt;=Configuracao!B9,K1756/MAX(Reconciliacao!C2,1)&gt;=Configuracao!B10/100),"sim","não"))</f>
        <v>aguardando limiar</v>
      </c>
    </row>
    <row r="1757" spans="1:31" x14ac:dyDescent="0.25">
      <c r="A1757">
        <v>7148</v>
      </c>
      <c r="C1757" t="s">
        <v>1283</v>
      </c>
      <c r="D1757" t="s">
        <v>1284</v>
      </c>
      <c r="E1757" t="s">
        <v>471</v>
      </c>
      <c r="F1757" t="s">
        <v>165</v>
      </c>
      <c r="G1757" t="s">
        <v>165</v>
      </c>
      <c r="H1757" t="s">
        <v>92</v>
      </c>
      <c r="I1757" t="s">
        <v>454</v>
      </c>
      <c r="J1757" t="s">
        <v>454</v>
      </c>
      <c r="K1757" s="4">
        <v>7608.02</v>
      </c>
      <c r="L1757" s="4">
        <v>7608.02</v>
      </c>
      <c r="M1757" t="s">
        <v>166</v>
      </c>
      <c r="N1757" t="s">
        <v>77</v>
      </c>
      <c r="O1757" t="s">
        <v>86</v>
      </c>
      <c r="P1757" t="s">
        <v>170</v>
      </c>
      <c r="Q1757" t="s">
        <v>86</v>
      </c>
      <c r="R1757" t="s">
        <v>86</v>
      </c>
      <c r="S1757" t="s">
        <v>167</v>
      </c>
      <c r="T1757" t="s">
        <v>167</v>
      </c>
      <c r="U1757" t="s">
        <v>168</v>
      </c>
      <c r="V1757" t="s">
        <v>169</v>
      </c>
      <c r="W1757" t="s">
        <v>77</v>
      </c>
      <c r="X1757" t="s">
        <v>166</v>
      </c>
      <c r="Y1757" t="s">
        <v>1354</v>
      </c>
      <c r="Z1757" t="s">
        <v>434</v>
      </c>
      <c r="AC1757" t="str">
        <f>IF(AA1757="",M1757,AA1757)</f>
        <v>não</v>
      </c>
      <c r="AD1757" t="str">
        <f>IF(AB1757="",X1757,AB1757)</f>
        <v>não</v>
      </c>
      <c r="AE1757" t="str">
        <f>IF(OR(Configuracao!B9="",Configuracao!B10=""),"aguardando limiar",IF(AND(K1757&gt;=Configuracao!B9,K1757/MAX(Reconciliacao!C2,1)&gt;=Configuracao!B10/100),"sim","não"))</f>
        <v>aguardando limiar</v>
      </c>
    </row>
    <row r="1758" spans="1:31" x14ac:dyDescent="0.25">
      <c r="A1758">
        <v>18579</v>
      </c>
      <c r="D1758" t="s">
        <v>474</v>
      </c>
      <c r="E1758" t="s">
        <v>474</v>
      </c>
      <c r="F1758" t="s">
        <v>165</v>
      </c>
      <c r="G1758" t="s">
        <v>165</v>
      </c>
      <c r="H1758" t="s">
        <v>92</v>
      </c>
      <c r="I1758" t="s">
        <v>439</v>
      </c>
      <c r="J1758" t="s">
        <v>439</v>
      </c>
      <c r="K1758" s="4">
        <v>7985</v>
      </c>
      <c r="L1758" s="4">
        <v>7985</v>
      </c>
      <c r="M1758" t="s">
        <v>166</v>
      </c>
      <c r="N1758" t="s">
        <v>77</v>
      </c>
      <c r="O1758" t="s">
        <v>86</v>
      </c>
      <c r="P1758" t="s">
        <v>170</v>
      </c>
      <c r="Q1758" t="s">
        <v>86</v>
      </c>
      <c r="R1758" t="s">
        <v>86</v>
      </c>
      <c r="S1758" t="s">
        <v>167</v>
      </c>
      <c r="T1758" t="s">
        <v>167</v>
      </c>
      <c r="U1758" t="s">
        <v>168</v>
      </c>
      <c r="V1758" t="s">
        <v>169</v>
      </c>
      <c r="W1758" t="s">
        <v>77</v>
      </c>
      <c r="X1758" t="s">
        <v>166</v>
      </c>
      <c r="Y1758" t="s">
        <v>1354</v>
      </c>
      <c r="Z1758" t="s">
        <v>434</v>
      </c>
      <c r="AC1758" t="str">
        <f>IF(AA1758="",M1758,AA1758)</f>
        <v>não</v>
      </c>
      <c r="AD1758" t="str">
        <f>IF(AB1758="",X1758,AB1758)</f>
        <v>não</v>
      </c>
      <c r="AE1758" t="str">
        <f>IF(OR(Configuracao!B9="",Configuracao!B10=""),"aguardando limiar",IF(AND(K1758&gt;=Configuracao!B9,K1758/MAX(Reconciliacao!C2,1)&gt;=Configuracao!B10/100),"sim","não"))</f>
        <v>aguardando limiar</v>
      </c>
    </row>
    <row r="1759" spans="1:31" x14ac:dyDescent="0.25">
      <c r="A1759">
        <v>19342</v>
      </c>
      <c r="D1759" t="s">
        <v>474</v>
      </c>
      <c r="E1759" t="s">
        <v>474</v>
      </c>
      <c r="F1759" t="s">
        <v>165</v>
      </c>
      <c r="G1759" t="s">
        <v>165</v>
      </c>
      <c r="H1759" t="s">
        <v>92</v>
      </c>
      <c r="I1759" t="s">
        <v>35</v>
      </c>
      <c r="J1759" t="s">
        <v>35</v>
      </c>
      <c r="K1759" s="4">
        <v>7985</v>
      </c>
      <c r="L1759" s="4">
        <v>7985</v>
      </c>
      <c r="M1759" t="s">
        <v>166</v>
      </c>
      <c r="N1759" t="s">
        <v>77</v>
      </c>
      <c r="O1759" t="s">
        <v>86</v>
      </c>
      <c r="P1759" t="s">
        <v>170</v>
      </c>
      <c r="Q1759" t="s">
        <v>86</v>
      </c>
      <c r="R1759" t="s">
        <v>86</v>
      </c>
      <c r="S1759" t="s">
        <v>167</v>
      </c>
      <c r="T1759" t="s">
        <v>167</v>
      </c>
      <c r="U1759" t="s">
        <v>168</v>
      </c>
      <c r="V1759" t="s">
        <v>169</v>
      </c>
      <c r="W1759" t="s">
        <v>77</v>
      </c>
      <c r="X1759" t="s">
        <v>166</v>
      </c>
      <c r="Y1759" t="s">
        <v>1354</v>
      </c>
      <c r="Z1759" t="s">
        <v>434</v>
      </c>
      <c r="AC1759" t="str">
        <f>IF(AA1759="",M1759,AA1759)</f>
        <v>não</v>
      </c>
      <c r="AD1759" t="str">
        <f>IF(AB1759="",X1759,AB1759)</f>
        <v>não</v>
      </c>
      <c r="AE1759" t="str">
        <f>IF(OR(Configuracao!B9="",Configuracao!B10=""),"aguardando limiar",IF(AND(K1759&gt;=Configuracao!B9,K1759/MAX(Reconciliacao!C2,1)&gt;=Configuracao!B10/100),"sim","não"))</f>
        <v>aguardando limiar</v>
      </c>
    </row>
    <row r="1760" spans="1:31" x14ac:dyDescent="0.25">
      <c r="A1760">
        <v>18572</v>
      </c>
      <c r="D1760" t="s">
        <v>474</v>
      </c>
      <c r="E1760" t="s">
        <v>474</v>
      </c>
      <c r="F1760" t="s">
        <v>165</v>
      </c>
      <c r="G1760" t="s">
        <v>165</v>
      </c>
      <c r="H1760" t="s">
        <v>92</v>
      </c>
      <c r="I1760" t="s">
        <v>439</v>
      </c>
      <c r="J1760" t="s">
        <v>439</v>
      </c>
      <c r="K1760" s="4">
        <v>7986.05</v>
      </c>
      <c r="L1760" s="4">
        <v>7986.05</v>
      </c>
      <c r="M1760" t="s">
        <v>166</v>
      </c>
      <c r="N1760" t="s">
        <v>77</v>
      </c>
      <c r="O1760" t="s">
        <v>86</v>
      </c>
      <c r="P1760" t="s">
        <v>170</v>
      </c>
      <c r="Q1760" t="s">
        <v>86</v>
      </c>
      <c r="R1760" t="s">
        <v>86</v>
      </c>
      <c r="S1760" t="s">
        <v>167</v>
      </c>
      <c r="T1760" t="s">
        <v>167</v>
      </c>
      <c r="U1760" t="s">
        <v>168</v>
      </c>
      <c r="V1760" t="s">
        <v>169</v>
      </c>
      <c r="W1760" t="s">
        <v>77</v>
      </c>
      <c r="X1760" t="s">
        <v>166</v>
      </c>
      <c r="Y1760" t="s">
        <v>1354</v>
      </c>
      <c r="Z1760" t="s">
        <v>434</v>
      </c>
      <c r="AC1760" t="str">
        <f>IF(AA1760="",M1760,AA1760)</f>
        <v>não</v>
      </c>
      <c r="AD1760" t="str">
        <f>IF(AB1760="",X1760,AB1760)</f>
        <v>não</v>
      </c>
      <c r="AE1760" t="str">
        <f>IF(OR(Configuracao!B9="",Configuracao!B10=""),"aguardando limiar",IF(AND(K1760&gt;=Configuracao!B9,K1760/MAX(Reconciliacao!C2,1)&gt;=Configuracao!B10/100),"sim","não"))</f>
        <v>aguardando limiar</v>
      </c>
    </row>
    <row r="1761" spans="1:31" x14ac:dyDescent="0.25">
      <c r="A1761">
        <v>11550</v>
      </c>
      <c r="C1761" t="s">
        <v>509</v>
      </c>
      <c r="D1761" t="s">
        <v>474</v>
      </c>
      <c r="E1761" t="s">
        <v>474</v>
      </c>
      <c r="F1761" t="s">
        <v>165</v>
      </c>
      <c r="G1761" t="s">
        <v>165</v>
      </c>
      <c r="H1761" t="s">
        <v>92</v>
      </c>
      <c r="I1761" t="s">
        <v>32</v>
      </c>
      <c r="J1761" t="s">
        <v>32</v>
      </c>
      <c r="K1761" s="4">
        <v>8100</v>
      </c>
      <c r="L1761" s="4">
        <v>8100</v>
      </c>
      <c r="M1761" t="s">
        <v>166</v>
      </c>
      <c r="N1761" t="s">
        <v>77</v>
      </c>
      <c r="O1761" t="s">
        <v>86</v>
      </c>
      <c r="P1761" t="s">
        <v>170</v>
      </c>
      <c r="Q1761" t="s">
        <v>86</v>
      </c>
      <c r="R1761" t="s">
        <v>86</v>
      </c>
      <c r="S1761" t="s">
        <v>167</v>
      </c>
      <c r="T1761" t="s">
        <v>167</v>
      </c>
      <c r="U1761" t="s">
        <v>168</v>
      </c>
      <c r="V1761" t="s">
        <v>169</v>
      </c>
      <c r="W1761" t="s">
        <v>77</v>
      </c>
      <c r="X1761" t="s">
        <v>166</v>
      </c>
      <c r="Y1761" t="s">
        <v>1354</v>
      </c>
      <c r="Z1761" t="s">
        <v>434</v>
      </c>
      <c r="AC1761" t="str">
        <f>IF(AA1761="",M1761,AA1761)</f>
        <v>não</v>
      </c>
      <c r="AD1761" t="str">
        <f>IF(AB1761="",X1761,AB1761)</f>
        <v>não</v>
      </c>
      <c r="AE1761" t="str">
        <f>IF(OR(Configuracao!B9="",Configuracao!B10=""),"aguardando limiar",IF(AND(K1761&gt;=Configuracao!B9,K1761/MAX(Reconciliacao!C2,1)&gt;=Configuracao!B10/100),"sim","não"))</f>
        <v>aguardando limiar</v>
      </c>
    </row>
    <row r="1762" spans="1:31" x14ac:dyDescent="0.25">
      <c r="A1762">
        <v>12318</v>
      </c>
      <c r="C1762" t="s">
        <v>509</v>
      </c>
      <c r="D1762" t="s">
        <v>474</v>
      </c>
      <c r="E1762" t="s">
        <v>474</v>
      </c>
      <c r="F1762" t="s">
        <v>165</v>
      </c>
      <c r="G1762" t="s">
        <v>165</v>
      </c>
      <c r="H1762" t="s">
        <v>92</v>
      </c>
      <c r="I1762" t="s">
        <v>424</v>
      </c>
      <c r="J1762" t="s">
        <v>424</v>
      </c>
      <c r="K1762" s="4">
        <v>8100</v>
      </c>
      <c r="L1762" s="4">
        <v>8100</v>
      </c>
      <c r="M1762" t="s">
        <v>166</v>
      </c>
      <c r="N1762" t="s">
        <v>77</v>
      </c>
      <c r="O1762" t="s">
        <v>86</v>
      </c>
      <c r="P1762" t="s">
        <v>170</v>
      </c>
      <c r="Q1762" t="s">
        <v>86</v>
      </c>
      <c r="R1762" t="s">
        <v>86</v>
      </c>
      <c r="S1762" t="s">
        <v>167</v>
      </c>
      <c r="T1762" t="s">
        <v>167</v>
      </c>
      <c r="U1762" t="s">
        <v>168</v>
      </c>
      <c r="V1762" t="s">
        <v>169</v>
      </c>
      <c r="W1762" t="s">
        <v>77</v>
      </c>
      <c r="X1762" t="s">
        <v>166</v>
      </c>
      <c r="Y1762" t="s">
        <v>1354</v>
      </c>
      <c r="Z1762" t="s">
        <v>434</v>
      </c>
      <c r="AC1762" t="str">
        <f>IF(AA1762="",M1762,AA1762)</f>
        <v>não</v>
      </c>
      <c r="AD1762" t="str">
        <f>IF(AB1762="",X1762,AB1762)</f>
        <v>não</v>
      </c>
      <c r="AE1762" t="str">
        <f>IF(OR(Configuracao!B9="",Configuracao!B10=""),"aguardando limiar",IF(AND(K1762&gt;=Configuracao!B9,K1762/MAX(Reconciliacao!C2,1)&gt;=Configuracao!B10/100),"sim","não"))</f>
        <v>aguardando limiar</v>
      </c>
    </row>
    <row r="1763" spans="1:31" x14ac:dyDescent="0.25">
      <c r="A1763">
        <v>17318</v>
      </c>
      <c r="D1763" t="s">
        <v>474</v>
      </c>
      <c r="E1763" t="s">
        <v>474</v>
      </c>
      <c r="F1763" t="s">
        <v>165</v>
      </c>
      <c r="G1763" t="s">
        <v>165</v>
      </c>
      <c r="H1763" t="s">
        <v>92</v>
      </c>
      <c r="I1763" t="s">
        <v>454</v>
      </c>
      <c r="J1763" t="s">
        <v>454</v>
      </c>
      <c r="K1763" s="4">
        <v>8100</v>
      </c>
      <c r="L1763" s="4">
        <v>8100</v>
      </c>
      <c r="M1763" t="s">
        <v>166</v>
      </c>
      <c r="N1763" t="s">
        <v>77</v>
      </c>
      <c r="O1763" t="s">
        <v>86</v>
      </c>
      <c r="P1763" t="s">
        <v>170</v>
      </c>
      <c r="Q1763" t="s">
        <v>86</v>
      </c>
      <c r="R1763" t="s">
        <v>86</v>
      </c>
      <c r="S1763" t="s">
        <v>167</v>
      </c>
      <c r="T1763" t="s">
        <v>167</v>
      </c>
      <c r="U1763" t="s">
        <v>168</v>
      </c>
      <c r="V1763" t="s">
        <v>169</v>
      </c>
      <c r="W1763" t="s">
        <v>77</v>
      </c>
      <c r="X1763" t="s">
        <v>166</v>
      </c>
      <c r="Y1763" t="s">
        <v>1354</v>
      </c>
      <c r="Z1763" t="s">
        <v>434</v>
      </c>
      <c r="AC1763" t="str">
        <f>IF(AA1763="",M1763,AA1763)</f>
        <v>não</v>
      </c>
      <c r="AD1763" t="str">
        <f>IF(AB1763="",X1763,AB1763)</f>
        <v>não</v>
      </c>
      <c r="AE1763" t="str">
        <f>IF(OR(Configuracao!B9="",Configuracao!B10=""),"aguardando limiar",IF(AND(K1763&gt;=Configuracao!B9,K1763/MAX(Reconciliacao!C2,1)&gt;=Configuracao!B10/100),"sim","não"))</f>
        <v>aguardando limiar</v>
      </c>
    </row>
    <row r="1764" spans="1:31" x14ac:dyDescent="0.25">
      <c r="A1764">
        <v>17326</v>
      </c>
      <c r="D1764" t="s">
        <v>474</v>
      </c>
      <c r="E1764" t="s">
        <v>474</v>
      </c>
      <c r="F1764" t="s">
        <v>165</v>
      </c>
      <c r="G1764" t="s">
        <v>165</v>
      </c>
      <c r="H1764" t="s">
        <v>92</v>
      </c>
      <c r="I1764" t="s">
        <v>461</v>
      </c>
      <c r="J1764" t="s">
        <v>461</v>
      </c>
      <c r="K1764" s="4">
        <v>8100</v>
      </c>
      <c r="L1764" s="4">
        <v>8100</v>
      </c>
      <c r="M1764" t="s">
        <v>166</v>
      </c>
      <c r="N1764" t="s">
        <v>77</v>
      </c>
      <c r="O1764" t="s">
        <v>86</v>
      </c>
      <c r="P1764" t="s">
        <v>170</v>
      </c>
      <c r="Q1764" t="s">
        <v>86</v>
      </c>
      <c r="R1764" t="s">
        <v>86</v>
      </c>
      <c r="S1764" t="s">
        <v>167</v>
      </c>
      <c r="T1764" t="s">
        <v>167</v>
      </c>
      <c r="U1764" t="s">
        <v>168</v>
      </c>
      <c r="V1764" t="s">
        <v>169</v>
      </c>
      <c r="W1764" t="s">
        <v>77</v>
      </c>
      <c r="X1764" t="s">
        <v>166</v>
      </c>
      <c r="Y1764" t="s">
        <v>1354</v>
      </c>
      <c r="Z1764" t="s">
        <v>434</v>
      </c>
      <c r="AC1764" t="str">
        <f>IF(AA1764="",M1764,AA1764)</f>
        <v>não</v>
      </c>
      <c r="AD1764" t="str">
        <f>IF(AB1764="",X1764,AB1764)</f>
        <v>não</v>
      </c>
      <c r="AE1764" t="str">
        <f>IF(OR(Configuracao!B9="",Configuracao!B10=""),"aguardando limiar",IF(AND(K1764&gt;=Configuracao!B9,K1764/MAX(Reconciliacao!C2,1)&gt;=Configuracao!B10/100),"sim","não"))</f>
        <v>aguardando limiar</v>
      </c>
    </row>
    <row r="1765" spans="1:31" x14ac:dyDescent="0.25">
      <c r="A1765">
        <v>13386</v>
      </c>
      <c r="C1765" t="s">
        <v>1315</v>
      </c>
      <c r="D1765" t="s">
        <v>1355</v>
      </c>
      <c r="E1765" t="s">
        <v>471</v>
      </c>
      <c r="F1765" t="s">
        <v>165</v>
      </c>
      <c r="G1765" t="s">
        <v>165</v>
      </c>
      <c r="H1765" t="s">
        <v>92</v>
      </c>
      <c r="I1765" t="s">
        <v>454</v>
      </c>
      <c r="J1765" t="s">
        <v>454</v>
      </c>
      <c r="K1765" s="4">
        <v>8617.97</v>
      </c>
      <c r="L1765" s="4">
        <v>8617.97</v>
      </c>
      <c r="M1765" t="s">
        <v>166</v>
      </c>
      <c r="N1765" t="s">
        <v>77</v>
      </c>
      <c r="O1765" t="s">
        <v>86</v>
      </c>
      <c r="P1765" t="s">
        <v>170</v>
      </c>
      <c r="Q1765" t="s">
        <v>86</v>
      </c>
      <c r="R1765" t="s">
        <v>86</v>
      </c>
      <c r="S1765" t="s">
        <v>167</v>
      </c>
      <c r="T1765" t="s">
        <v>167</v>
      </c>
      <c r="U1765" t="s">
        <v>168</v>
      </c>
      <c r="V1765" t="s">
        <v>169</v>
      </c>
      <c r="W1765" t="s">
        <v>77</v>
      </c>
      <c r="X1765" t="s">
        <v>166</v>
      </c>
      <c r="Y1765" t="s">
        <v>1354</v>
      </c>
      <c r="Z1765" t="s">
        <v>434</v>
      </c>
      <c r="AC1765" t="str">
        <f>IF(AA1765="",M1765,AA1765)</f>
        <v>não</v>
      </c>
      <c r="AD1765" t="str">
        <f>IF(AB1765="",X1765,AB1765)</f>
        <v>não</v>
      </c>
      <c r="AE1765" t="str">
        <f>IF(OR(Configuracao!B9="",Configuracao!B10=""),"aguardando limiar",IF(AND(K1765&gt;=Configuracao!B9,K1765/MAX(Reconciliacao!C2,1)&gt;=Configuracao!B10/100),"sim","não"))</f>
        <v>aguardando limiar</v>
      </c>
    </row>
    <row r="1766" spans="1:31" x14ac:dyDescent="0.25">
      <c r="A1766">
        <v>13385</v>
      </c>
      <c r="C1766" t="s">
        <v>1315</v>
      </c>
      <c r="D1766" t="s">
        <v>1355</v>
      </c>
      <c r="E1766" t="s">
        <v>471</v>
      </c>
      <c r="F1766" t="s">
        <v>165</v>
      </c>
      <c r="G1766" t="s">
        <v>165</v>
      </c>
      <c r="H1766" t="s">
        <v>92</v>
      </c>
      <c r="I1766" t="s">
        <v>420</v>
      </c>
      <c r="J1766" t="s">
        <v>420</v>
      </c>
      <c r="K1766" s="4">
        <v>8617.98</v>
      </c>
      <c r="L1766" s="4">
        <v>8617.98</v>
      </c>
      <c r="M1766" t="s">
        <v>166</v>
      </c>
      <c r="N1766" t="s">
        <v>77</v>
      </c>
      <c r="O1766" t="s">
        <v>86</v>
      </c>
      <c r="P1766" t="s">
        <v>170</v>
      </c>
      <c r="Q1766" t="s">
        <v>86</v>
      </c>
      <c r="R1766" t="s">
        <v>86</v>
      </c>
      <c r="S1766" t="s">
        <v>167</v>
      </c>
      <c r="T1766" t="s">
        <v>167</v>
      </c>
      <c r="U1766" t="s">
        <v>168</v>
      </c>
      <c r="V1766" t="s">
        <v>169</v>
      </c>
      <c r="W1766" t="s">
        <v>77</v>
      </c>
      <c r="X1766" t="s">
        <v>166</v>
      </c>
      <c r="Y1766" t="s">
        <v>1354</v>
      </c>
      <c r="Z1766" t="s">
        <v>434</v>
      </c>
      <c r="AC1766" t="str">
        <f>IF(AA1766="",M1766,AA1766)</f>
        <v>não</v>
      </c>
      <c r="AD1766" t="str">
        <f>IF(AB1766="",X1766,AB1766)</f>
        <v>não</v>
      </c>
      <c r="AE1766" t="str">
        <f>IF(OR(Configuracao!B9="",Configuracao!B10=""),"aguardando limiar",IF(AND(K1766&gt;=Configuracao!B9,K1766/MAX(Reconciliacao!C2,1)&gt;=Configuracao!B10/100),"sim","não"))</f>
        <v>aguardando limiar</v>
      </c>
    </row>
    <row r="1767" spans="1:31" x14ac:dyDescent="0.25">
      <c r="A1767">
        <v>13387</v>
      </c>
      <c r="C1767" t="s">
        <v>1315</v>
      </c>
      <c r="D1767" t="s">
        <v>1355</v>
      </c>
      <c r="E1767" t="s">
        <v>471</v>
      </c>
      <c r="F1767" t="s">
        <v>165</v>
      </c>
      <c r="G1767" t="s">
        <v>165</v>
      </c>
      <c r="H1767" t="s">
        <v>92</v>
      </c>
      <c r="I1767" t="s">
        <v>461</v>
      </c>
      <c r="J1767" t="s">
        <v>461</v>
      </c>
      <c r="K1767" s="4">
        <v>8617.98</v>
      </c>
      <c r="L1767" s="4">
        <v>8617.98</v>
      </c>
      <c r="M1767" t="s">
        <v>166</v>
      </c>
      <c r="N1767" t="s">
        <v>77</v>
      </c>
      <c r="O1767" t="s">
        <v>86</v>
      </c>
      <c r="P1767" t="s">
        <v>170</v>
      </c>
      <c r="Q1767" t="s">
        <v>86</v>
      </c>
      <c r="R1767" t="s">
        <v>86</v>
      </c>
      <c r="S1767" t="s">
        <v>167</v>
      </c>
      <c r="T1767" t="s">
        <v>167</v>
      </c>
      <c r="U1767" t="s">
        <v>168</v>
      </c>
      <c r="V1767" t="s">
        <v>169</v>
      </c>
      <c r="W1767" t="s">
        <v>77</v>
      </c>
      <c r="X1767" t="s">
        <v>166</v>
      </c>
      <c r="Y1767" t="s">
        <v>1354</v>
      </c>
      <c r="Z1767" t="s">
        <v>434</v>
      </c>
      <c r="AC1767" t="str">
        <f>IF(AA1767="",M1767,AA1767)</f>
        <v>não</v>
      </c>
      <c r="AD1767" t="str">
        <f>IF(AB1767="",X1767,AB1767)</f>
        <v>não</v>
      </c>
      <c r="AE1767" t="str">
        <f>IF(OR(Configuracao!B9="",Configuracao!B10=""),"aguardando limiar",IF(AND(K1767&gt;=Configuracao!B9,K1767/MAX(Reconciliacao!C2,1)&gt;=Configuracao!B10/100),"sim","não"))</f>
        <v>aguardando limiar</v>
      </c>
    </row>
    <row r="1768" spans="1:31" x14ac:dyDescent="0.25">
      <c r="A1768">
        <v>15802</v>
      </c>
      <c r="C1768" t="s">
        <v>1247</v>
      </c>
      <c r="D1768" t="s">
        <v>1356</v>
      </c>
      <c r="E1768" t="s">
        <v>474</v>
      </c>
      <c r="F1768" t="s">
        <v>165</v>
      </c>
      <c r="G1768" t="s">
        <v>165</v>
      </c>
      <c r="H1768" t="s">
        <v>92</v>
      </c>
      <c r="I1768" t="s">
        <v>454</v>
      </c>
      <c r="J1768" t="s">
        <v>454</v>
      </c>
      <c r="K1768" s="4">
        <v>9000</v>
      </c>
      <c r="L1768" s="4">
        <v>9000</v>
      </c>
      <c r="M1768" t="s">
        <v>166</v>
      </c>
      <c r="N1768" t="s">
        <v>77</v>
      </c>
      <c r="O1768" t="s">
        <v>86</v>
      </c>
      <c r="P1768" t="s">
        <v>170</v>
      </c>
      <c r="Q1768" t="s">
        <v>86</v>
      </c>
      <c r="R1768" t="s">
        <v>86</v>
      </c>
      <c r="S1768" t="s">
        <v>167</v>
      </c>
      <c r="T1768" t="s">
        <v>167</v>
      </c>
      <c r="U1768" t="s">
        <v>168</v>
      </c>
      <c r="V1768" t="s">
        <v>169</v>
      </c>
      <c r="W1768" t="s">
        <v>77</v>
      </c>
      <c r="X1768" t="s">
        <v>166</v>
      </c>
      <c r="Y1768" t="s">
        <v>1357</v>
      </c>
      <c r="Z1768" t="s">
        <v>434</v>
      </c>
      <c r="AC1768" t="str">
        <f>IF(AA1768="",M1768,AA1768)</f>
        <v>não</v>
      </c>
      <c r="AD1768" t="str">
        <f>IF(AB1768="",X1768,AB1768)</f>
        <v>não</v>
      </c>
      <c r="AE1768" t="str">
        <f>IF(OR(Configuracao!B9="",Configuracao!B10=""),"aguardando limiar",IF(AND(K1768&gt;=Configuracao!B9,K1768/MAX(Reconciliacao!C2,1)&gt;=Configuracao!B10/100),"sim","não"))</f>
        <v>aguardando limiar</v>
      </c>
    </row>
    <row r="1769" spans="1:31" x14ac:dyDescent="0.25">
      <c r="A1769">
        <v>7164</v>
      </c>
      <c r="C1769" t="s">
        <v>1307</v>
      </c>
      <c r="D1769" t="s">
        <v>1298</v>
      </c>
      <c r="E1769" t="s">
        <v>474</v>
      </c>
      <c r="F1769" t="s">
        <v>165</v>
      </c>
      <c r="G1769" t="s">
        <v>165</v>
      </c>
      <c r="H1769" t="s">
        <v>92</v>
      </c>
      <c r="I1769" t="s">
        <v>454</v>
      </c>
      <c r="J1769" t="s">
        <v>454</v>
      </c>
      <c r="K1769" s="4">
        <v>9120.9</v>
      </c>
      <c r="L1769" s="4">
        <v>9120.9</v>
      </c>
      <c r="M1769" t="s">
        <v>166</v>
      </c>
      <c r="N1769" t="s">
        <v>77</v>
      </c>
      <c r="O1769" t="s">
        <v>86</v>
      </c>
      <c r="P1769" t="s">
        <v>170</v>
      </c>
      <c r="Q1769" t="s">
        <v>86</v>
      </c>
      <c r="R1769" t="s">
        <v>86</v>
      </c>
      <c r="S1769" t="s">
        <v>167</v>
      </c>
      <c r="T1769" t="s">
        <v>167</v>
      </c>
      <c r="U1769" t="s">
        <v>168</v>
      </c>
      <c r="V1769" t="s">
        <v>169</v>
      </c>
      <c r="W1769" t="s">
        <v>77</v>
      </c>
      <c r="X1769" t="s">
        <v>166</v>
      </c>
      <c r="Y1769" t="s">
        <v>1354</v>
      </c>
      <c r="Z1769" t="s">
        <v>434</v>
      </c>
      <c r="AC1769" t="str">
        <f>IF(AA1769="",M1769,AA1769)</f>
        <v>não</v>
      </c>
      <c r="AD1769" t="str">
        <f>IF(AB1769="",X1769,AB1769)</f>
        <v>não</v>
      </c>
      <c r="AE1769" t="str">
        <f>IF(OR(Configuracao!B9="",Configuracao!B10=""),"aguardando limiar",IF(AND(K1769&gt;=Configuracao!B9,K1769/MAX(Reconciliacao!C2,1)&gt;=Configuracao!B10/100),"sim","não"))</f>
        <v>aguardando limiar</v>
      </c>
    </row>
    <row r="1770" spans="1:31" x14ac:dyDescent="0.25">
      <c r="A1770">
        <v>17300</v>
      </c>
      <c r="D1770" t="s">
        <v>471</v>
      </c>
      <c r="E1770" t="s">
        <v>471</v>
      </c>
      <c r="F1770" t="s">
        <v>165</v>
      </c>
      <c r="G1770" t="s">
        <v>165</v>
      </c>
      <c r="H1770" t="s">
        <v>92</v>
      </c>
      <c r="I1770" t="s">
        <v>424</v>
      </c>
      <c r="J1770" t="s">
        <v>424</v>
      </c>
      <c r="K1770" s="4">
        <v>9228.63</v>
      </c>
      <c r="L1770" s="4">
        <v>9228.63</v>
      </c>
      <c r="M1770" t="s">
        <v>166</v>
      </c>
      <c r="N1770" t="s">
        <v>77</v>
      </c>
      <c r="O1770" t="s">
        <v>86</v>
      </c>
      <c r="P1770" t="s">
        <v>170</v>
      </c>
      <c r="Q1770" t="s">
        <v>86</v>
      </c>
      <c r="R1770" t="s">
        <v>86</v>
      </c>
      <c r="S1770" t="s">
        <v>167</v>
      </c>
      <c r="T1770" t="s">
        <v>167</v>
      </c>
      <c r="U1770" t="s">
        <v>168</v>
      </c>
      <c r="V1770" t="s">
        <v>169</v>
      </c>
      <c r="W1770" t="s">
        <v>77</v>
      </c>
      <c r="X1770" t="s">
        <v>166</v>
      </c>
      <c r="Y1770" t="s">
        <v>1354</v>
      </c>
      <c r="Z1770" t="s">
        <v>434</v>
      </c>
      <c r="AC1770" t="str">
        <f>IF(AA1770="",M1770,AA1770)</f>
        <v>não</v>
      </c>
      <c r="AD1770" t="str">
        <f>IF(AB1770="",X1770,AB1770)</f>
        <v>não</v>
      </c>
      <c r="AE1770" t="str">
        <f>IF(OR(Configuracao!B9="",Configuracao!B10=""),"aguardando limiar",IF(AND(K1770&gt;=Configuracao!B9,K1770/MAX(Reconciliacao!C2,1)&gt;=Configuracao!B10/100),"sim","não"))</f>
        <v>aguardando limiar</v>
      </c>
    </row>
    <row r="1771" spans="1:31" x14ac:dyDescent="0.25">
      <c r="A1771">
        <v>13403</v>
      </c>
      <c r="C1771" t="s">
        <v>606</v>
      </c>
      <c r="D1771" t="s">
        <v>471</v>
      </c>
      <c r="E1771" t="s">
        <v>471</v>
      </c>
      <c r="F1771" t="s">
        <v>165</v>
      </c>
      <c r="G1771" t="s">
        <v>165</v>
      </c>
      <c r="H1771" t="s">
        <v>92</v>
      </c>
      <c r="I1771" t="s">
        <v>420</v>
      </c>
      <c r="J1771" t="s">
        <v>420</v>
      </c>
      <c r="K1771" s="4">
        <v>9285.29</v>
      </c>
      <c r="L1771" s="4">
        <v>9285.29</v>
      </c>
      <c r="M1771" t="s">
        <v>166</v>
      </c>
      <c r="N1771" t="s">
        <v>77</v>
      </c>
      <c r="O1771" t="s">
        <v>86</v>
      </c>
      <c r="P1771" t="s">
        <v>170</v>
      </c>
      <c r="Q1771" t="s">
        <v>86</v>
      </c>
      <c r="R1771" t="s">
        <v>86</v>
      </c>
      <c r="S1771" t="s">
        <v>167</v>
      </c>
      <c r="T1771" t="s">
        <v>167</v>
      </c>
      <c r="U1771" t="s">
        <v>168</v>
      </c>
      <c r="V1771" t="s">
        <v>169</v>
      </c>
      <c r="W1771" t="s">
        <v>77</v>
      </c>
      <c r="X1771" t="s">
        <v>166</v>
      </c>
      <c r="Y1771" t="s">
        <v>1354</v>
      </c>
      <c r="Z1771" t="s">
        <v>434</v>
      </c>
      <c r="AC1771" t="str">
        <f>IF(AA1771="",M1771,AA1771)</f>
        <v>não</v>
      </c>
      <c r="AD1771" t="str">
        <f>IF(AB1771="",X1771,AB1771)</f>
        <v>não</v>
      </c>
      <c r="AE1771" t="str">
        <f>IF(OR(Configuracao!B9="",Configuracao!B10=""),"aguardando limiar",IF(AND(K1771&gt;=Configuracao!B9,K1771/MAX(Reconciliacao!C2,1)&gt;=Configuracao!B10/100),"sim","não"))</f>
        <v>aguardando limiar</v>
      </c>
    </row>
    <row r="1772" spans="1:31" x14ac:dyDescent="0.25">
      <c r="A1772">
        <v>17217</v>
      </c>
      <c r="D1772" t="s">
        <v>471</v>
      </c>
      <c r="E1772" t="s">
        <v>471</v>
      </c>
      <c r="F1772" t="s">
        <v>165</v>
      </c>
      <c r="G1772" t="s">
        <v>165</v>
      </c>
      <c r="H1772" t="s">
        <v>92</v>
      </c>
      <c r="I1772" t="s">
        <v>32</v>
      </c>
      <c r="J1772" t="s">
        <v>32</v>
      </c>
      <c r="K1772" s="4">
        <v>9285.29</v>
      </c>
      <c r="L1772" s="4">
        <v>9285.29</v>
      </c>
      <c r="M1772" t="s">
        <v>166</v>
      </c>
      <c r="N1772" t="s">
        <v>77</v>
      </c>
      <c r="O1772" t="s">
        <v>86</v>
      </c>
      <c r="P1772" t="s">
        <v>170</v>
      </c>
      <c r="Q1772" t="s">
        <v>86</v>
      </c>
      <c r="R1772" t="s">
        <v>86</v>
      </c>
      <c r="S1772" t="s">
        <v>167</v>
      </c>
      <c r="T1772" t="s">
        <v>167</v>
      </c>
      <c r="U1772" t="s">
        <v>168</v>
      </c>
      <c r="V1772" t="s">
        <v>169</v>
      </c>
      <c r="W1772" t="s">
        <v>77</v>
      </c>
      <c r="X1772" t="s">
        <v>166</v>
      </c>
      <c r="Y1772" t="s">
        <v>1354</v>
      </c>
      <c r="Z1772" t="s">
        <v>434</v>
      </c>
      <c r="AC1772" t="str">
        <f>IF(AA1772="",M1772,AA1772)</f>
        <v>não</v>
      </c>
      <c r="AD1772" t="str">
        <f>IF(AB1772="",X1772,AB1772)</f>
        <v>não</v>
      </c>
      <c r="AE1772" t="str">
        <f>IF(OR(Configuracao!B9="",Configuracao!B10=""),"aguardando limiar",IF(AND(K1772&gt;=Configuracao!B9,K1772/MAX(Reconciliacao!C2,1)&gt;=Configuracao!B10/100),"sim","não"))</f>
        <v>aguardando limiar</v>
      </c>
    </row>
    <row r="1773" spans="1:31" x14ac:dyDescent="0.25">
      <c r="A1773">
        <v>7161</v>
      </c>
      <c r="C1773" t="s">
        <v>1307</v>
      </c>
      <c r="D1773" t="s">
        <v>1298</v>
      </c>
      <c r="E1773" t="s">
        <v>474</v>
      </c>
      <c r="F1773" t="s">
        <v>165</v>
      </c>
      <c r="G1773" t="s">
        <v>165</v>
      </c>
      <c r="H1773" t="s">
        <v>92</v>
      </c>
      <c r="I1773" t="s">
        <v>32</v>
      </c>
      <c r="J1773" t="s">
        <v>32</v>
      </c>
      <c r="K1773" s="4">
        <v>9658.55</v>
      </c>
      <c r="L1773" s="4">
        <v>9658.55</v>
      </c>
      <c r="M1773" t="s">
        <v>166</v>
      </c>
      <c r="N1773" t="s">
        <v>77</v>
      </c>
      <c r="O1773" t="s">
        <v>86</v>
      </c>
      <c r="P1773" t="s">
        <v>170</v>
      </c>
      <c r="Q1773" t="s">
        <v>86</v>
      </c>
      <c r="R1773" t="s">
        <v>86</v>
      </c>
      <c r="S1773" t="s">
        <v>167</v>
      </c>
      <c r="T1773" t="s">
        <v>167</v>
      </c>
      <c r="U1773" t="s">
        <v>168</v>
      </c>
      <c r="V1773" t="s">
        <v>169</v>
      </c>
      <c r="W1773" t="s">
        <v>77</v>
      </c>
      <c r="X1773" t="s">
        <v>166</v>
      </c>
      <c r="Y1773" t="s">
        <v>1354</v>
      </c>
      <c r="Z1773" t="s">
        <v>434</v>
      </c>
      <c r="AC1773" t="str">
        <f>IF(AA1773="",M1773,AA1773)</f>
        <v>não</v>
      </c>
      <c r="AD1773" t="str">
        <f>IF(AB1773="",X1773,AB1773)</f>
        <v>não</v>
      </c>
      <c r="AE1773" t="str">
        <f>IF(OR(Configuracao!B9="",Configuracao!B10=""),"aguardando limiar",IF(AND(K1773&gt;=Configuracao!B9,K1773/MAX(Reconciliacao!C2,1)&gt;=Configuracao!B10/100),"sim","não"))</f>
        <v>aguardando limiar</v>
      </c>
    </row>
    <row r="1774" spans="1:31" x14ac:dyDescent="0.25">
      <c r="A1774">
        <v>7162</v>
      </c>
      <c r="C1774" t="s">
        <v>1307</v>
      </c>
      <c r="D1774" t="s">
        <v>1298</v>
      </c>
      <c r="E1774" t="s">
        <v>474</v>
      </c>
      <c r="F1774" t="s">
        <v>165</v>
      </c>
      <c r="G1774" t="s">
        <v>165</v>
      </c>
      <c r="H1774" t="s">
        <v>92</v>
      </c>
      <c r="I1774" t="s">
        <v>424</v>
      </c>
      <c r="J1774" t="s">
        <v>424</v>
      </c>
      <c r="K1774" s="4">
        <v>9808.56</v>
      </c>
      <c r="L1774" s="4">
        <v>9808.56</v>
      </c>
      <c r="M1774" t="s">
        <v>166</v>
      </c>
      <c r="N1774" t="s">
        <v>77</v>
      </c>
      <c r="O1774" t="s">
        <v>86</v>
      </c>
      <c r="P1774" t="s">
        <v>170</v>
      </c>
      <c r="Q1774" t="s">
        <v>86</v>
      </c>
      <c r="R1774" t="s">
        <v>86</v>
      </c>
      <c r="S1774" t="s">
        <v>167</v>
      </c>
      <c r="T1774" t="s">
        <v>167</v>
      </c>
      <c r="U1774" t="s">
        <v>168</v>
      </c>
      <c r="V1774" t="s">
        <v>169</v>
      </c>
      <c r="W1774" t="s">
        <v>77</v>
      </c>
      <c r="X1774" t="s">
        <v>166</v>
      </c>
      <c r="Y1774" t="s">
        <v>1354</v>
      </c>
      <c r="Z1774" t="s">
        <v>434</v>
      </c>
      <c r="AC1774" t="str">
        <f>IF(AA1774="",M1774,AA1774)</f>
        <v>não</v>
      </c>
      <c r="AD1774" t="str">
        <f>IF(AB1774="",X1774,AB1774)</f>
        <v>não</v>
      </c>
      <c r="AE1774" t="str">
        <f>IF(OR(Configuracao!B9="",Configuracao!B10=""),"aguardando limiar",IF(AND(K1774&gt;=Configuracao!B9,K1774/MAX(Reconciliacao!C2,1)&gt;=Configuracao!B10/100),"sim","não"))</f>
        <v>aguardando limiar</v>
      </c>
    </row>
    <row r="1775" spans="1:31" x14ac:dyDescent="0.25">
      <c r="A1775">
        <v>7145</v>
      </c>
      <c r="C1775" t="s">
        <v>1283</v>
      </c>
      <c r="D1775" t="s">
        <v>1284</v>
      </c>
      <c r="E1775" t="s">
        <v>471</v>
      </c>
      <c r="F1775" t="s">
        <v>165</v>
      </c>
      <c r="G1775" t="s">
        <v>165</v>
      </c>
      <c r="H1775" t="s">
        <v>92</v>
      </c>
      <c r="I1775" t="s">
        <v>32</v>
      </c>
      <c r="J1775" t="s">
        <v>32</v>
      </c>
      <c r="K1775" s="4">
        <v>9862.54</v>
      </c>
      <c r="L1775" s="4">
        <v>9862.54</v>
      </c>
      <c r="M1775" t="s">
        <v>166</v>
      </c>
      <c r="N1775" t="s">
        <v>77</v>
      </c>
      <c r="O1775" t="s">
        <v>86</v>
      </c>
      <c r="P1775" t="s">
        <v>170</v>
      </c>
      <c r="Q1775" t="s">
        <v>86</v>
      </c>
      <c r="R1775" t="s">
        <v>86</v>
      </c>
      <c r="S1775" t="s">
        <v>167</v>
      </c>
      <c r="T1775" t="s">
        <v>167</v>
      </c>
      <c r="U1775" t="s">
        <v>168</v>
      </c>
      <c r="V1775" t="s">
        <v>169</v>
      </c>
      <c r="W1775" t="s">
        <v>77</v>
      </c>
      <c r="X1775" t="s">
        <v>166</v>
      </c>
      <c r="Y1775" t="s">
        <v>1354</v>
      </c>
      <c r="Z1775" t="s">
        <v>434</v>
      </c>
      <c r="AC1775" t="str">
        <f>IF(AA1775="",M1775,AA1775)</f>
        <v>não</v>
      </c>
      <c r="AD1775" t="str">
        <f>IF(AB1775="",X1775,AB1775)</f>
        <v>não</v>
      </c>
      <c r="AE1775" t="str">
        <f>IF(OR(Configuracao!B9="",Configuracao!B10=""),"aguardando limiar",IF(AND(K1775&gt;=Configuracao!B9,K1775/MAX(Reconciliacao!C2,1)&gt;=Configuracao!B10/100),"sim","não"))</f>
        <v>aguardando limiar</v>
      </c>
    </row>
    <row r="1776" spans="1:31" x14ac:dyDescent="0.25">
      <c r="A1776">
        <v>12714</v>
      </c>
      <c r="D1776" t="s">
        <v>474</v>
      </c>
      <c r="E1776" t="s">
        <v>474</v>
      </c>
      <c r="F1776" t="s">
        <v>165</v>
      </c>
      <c r="G1776" t="s">
        <v>165</v>
      </c>
      <c r="H1776" t="s">
        <v>92</v>
      </c>
      <c r="I1776" t="s">
        <v>420</v>
      </c>
      <c r="J1776" t="s">
        <v>420</v>
      </c>
      <c r="K1776" s="4">
        <v>10000</v>
      </c>
      <c r="L1776" s="4">
        <v>10000</v>
      </c>
      <c r="M1776" t="s">
        <v>166</v>
      </c>
      <c r="N1776" t="s">
        <v>77</v>
      </c>
      <c r="O1776" t="s">
        <v>86</v>
      </c>
      <c r="P1776" t="s">
        <v>170</v>
      </c>
      <c r="Q1776" t="s">
        <v>86</v>
      </c>
      <c r="R1776" t="s">
        <v>86</v>
      </c>
      <c r="S1776" t="s">
        <v>167</v>
      </c>
      <c r="T1776" t="s">
        <v>167</v>
      </c>
      <c r="U1776" t="s">
        <v>168</v>
      </c>
      <c r="V1776" t="s">
        <v>169</v>
      </c>
      <c r="W1776" t="s">
        <v>77</v>
      </c>
      <c r="X1776" t="s">
        <v>166</v>
      </c>
      <c r="Y1776" t="s">
        <v>1354</v>
      </c>
      <c r="Z1776" t="s">
        <v>434</v>
      </c>
      <c r="AC1776" t="str">
        <f>IF(AA1776="",M1776,AA1776)</f>
        <v>não</v>
      </c>
      <c r="AD1776" t="str">
        <f>IF(AB1776="",X1776,AB1776)</f>
        <v>não</v>
      </c>
      <c r="AE1776" t="str">
        <f>IF(OR(Configuracao!B9="",Configuracao!B10=""),"aguardando limiar",IF(AND(K1776&gt;=Configuracao!B9,K1776/MAX(Reconciliacao!C2,1)&gt;=Configuracao!B10/100),"sim","não"))</f>
        <v>aguardando limiar</v>
      </c>
    </row>
    <row r="1777" spans="1:31" x14ac:dyDescent="0.25">
      <c r="A1777">
        <v>16665</v>
      </c>
      <c r="C1777" t="s">
        <v>1315</v>
      </c>
      <c r="D1777" t="s">
        <v>1358</v>
      </c>
      <c r="E1777" t="s">
        <v>471</v>
      </c>
      <c r="F1777" t="s">
        <v>165</v>
      </c>
      <c r="G1777" t="s">
        <v>165</v>
      </c>
      <c r="H1777" t="s">
        <v>92</v>
      </c>
      <c r="I1777" t="s">
        <v>461</v>
      </c>
      <c r="J1777" t="s">
        <v>461</v>
      </c>
      <c r="K1777" s="4">
        <v>10000</v>
      </c>
      <c r="L1777" s="4">
        <v>10000</v>
      </c>
      <c r="M1777" t="s">
        <v>166</v>
      </c>
      <c r="N1777" t="s">
        <v>77</v>
      </c>
      <c r="O1777" t="s">
        <v>86</v>
      </c>
      <c r="P1777" t="s">
        <v>170</v>
      </c>
      <c r="Q1777" t="s">
        <v>86</v>
      </c>
      <c r="R1777" t="s">
        <v>86</v>
      </c>
      <c r="S1777" t="s">
        <v>167</v>
      </c>
      <c r="T1777" t="s">
        <v>167</v>
      </c>
      <c r="U1777" t="s">
        <v>168</v>
      </c>
      <c r="V1777" t="s">
        <v>169</v>
      </c>
      <c r="W1777" t="s">
        <v>77</v>
      </c>
      <c r="X1777" t="s">
        <v>166</v>
      </c>
      <c r="Y1777" t="s">
        <v>1357</v>
      </c>
      <c r="Z1777" t="s">
        <v>434</v>
      </c>
      <c r="AC1777" t="str">
        <f>IF(AA1777="",M1777,AA1777)</f>
        <v>não</v>
      </c>
      <c r="AD1777" t="str">
        <f>IF(AB1777="",X1777,AB1777)</f>
        <v>não</v>
      </c>
      <c r="AE1777" t="str">
        <f>IF(OR(Configuracao!B9="",Configuracao!B10=""),"aguardando limiar",IF(AND(K1777&gt;=Configuracao!B9,K1777/MAX(Reconciliacao!C2,1)&gt;=Configuracao!B10/100),"sim","não"))</f>
        <v>aguardando limiar</v>
      </c>
    </row>
    <row r="1778" spans="1:31" x14ac:dyDescent="0.25">
      <c r="A1778">
        <v>17063</v>
      </c>
      <c r="D1778" t="s">
        <v>471</v>
      </c>
      <c r="E1778" t="s">
        <v>471</v>
      </c>
      <c r="F1778" t="s">
        <v>165</v>
      </c>
      <c r="G1778" t="s">
        <v>165</v>
      </c>
      <c r="H1778" t="s">
        <v>92</v>
      </c>
      <c r="I1778" t="s">
        <v>461</v>
      </c>
      <c r="J1778" t="s">
        <v>461</v>
      </c>
      <c r="K1778" s="4">
        <v>10000</v>
      </c>
      <c r="L1778" s="4">
        <v>10000</v>
      </c>
      <c r="M1778" t="s">
        <v>166</v>
      </c>
      <c r="N1778" t="s">
        <v>77</v>
      </c>
      <c r="O1778" t="s">
        <v>86</v>
      </c>
      <c r="P1778" t="s">
        <v>170</v>
      </c>
      <c r="Q1778" t="s">
        <v>86</v>
      </c>
      <c r="R1778" t="s">
        <v>86</v>
      </c>
      <c r="S1778" t="s">
        <v>167</v>
      </c>
      <c r="T1778" t="s">
        <v>167</v>
      </c>
      <c r="U1778" t="s">
        <v>168</v>
      </c>
      <c r="V1778" t="s">
        <v>169</v>
      </c>
      <c r="W1778" t="s">
        <v>77</v>
      </c>
      <c r="X1778" t="s">
        <v>166</v>
      </c>
      <c r="Y1778" t="s">
        <v>1354</v>
      </c>
      <c r="Z1778" t="s">
        <v>434</v>
      </c>
      <c r="AC1778" t="str">
        <f>IF(AA1778="",M1778,AA1778)</f>
        <v>não</v>
      </c>
      <c r="AD1778" t="str">
        <f>IF(AB1778="",X1778,AB1778)</f>
        <v>não</v>
      </c>
      <c r="AE1778" t="str">
        <f>IF(OR(Configuracao!B9="",Configuracao!B10=""),"aguardando limiar",IF(AND(K1778&gt;=Configuracao!B9,K1778/MAX(Reconciliacao!C2,1)&gt;=Configuracao!B10/100),"sim","não"))</f>
        <v>aguardando limiar</v>
      </c>
    </row>
    <row r="1779" spans="1:31" x14ac:dyDescent="0.25">
      <c r="A1779">
        <v>7165</v>
      </c>
      <c r="C1779" t="s">
        <v>1307</v>
      </c>
      <c r="D1779" t="s">
        <v>1298</v>
      </c>
      <c r="E1779" t="s">
        <v>474</v>
      </c>
      <c r="F1779" t="s">
        <v>165</v>
      </c>
      <c r="G1779" t="s">
        <v>165</v>
      </c>
      <c r="H1779" t="s">
        <v>92</v>
      </c>
      <c r="I1779" t="s">
        <v>461</v>
      </c>
      <c r="J1779" t="s">
        <v>461</v>
      </c>
      <c r="K1779" s="4">
        <v>10109.9</v>
      </c>
      <c r="L1779" s="4">
        <v>10109.9</v>
      </c>
      <c r="M1779" t="s">
        <v>166</v>
      </c>
      <c r="N1779" t="s">
        <v>77</v>
      </c>
      <c r="O1779" t="s">
        <v>86</v>
      </c>
      <c r="P1779" t="s">
        <v>170</v>
      </c>
      <c r="Q1779" t="s">
        <v>86</v>
      </c>
      <c r="R1779" t="s">
        <v>86</v>
      </c>
      <c r="S1779" t="s">
        <v>167</v>
      </c>
      <c r="T1779" t="s">
        <v>167</v>
      </c>
      <c r="U1779" t="s">
        <v>168</v>
      </c>
      <c r="V1779" t="s">
        <v>169</v>
      </c>
      <c r="W1779" t="s">
        <v>77</v>
      </c>
      <c r="X1779" t="s">
        <v>166</v>
      </c>
      <c r="Y1779" t="s">
        <v>1354</v>
      </c>
      <c r="Z1779" t="s">
        <v>434</v>
      </c>
      <c r="AC1779" t="str">
        <f>IF(AA1779="",M1779,AA1779)</f>
        <v>não</v>
      </c>
      <c r="AD1779" t="str">
        <f>IF(AB1779="",X1779,AB1779)</f>
        <v>não</v>
      </c>
      <c r="AE1779" t="str">
        <f>IF(OR(Configuracao!B9="",Configuracao!B10=""),"aguardando limiar",IF(AND(K1779&gt;=Configuracao!B9,K1779/MAX(Reconciliacao!C2,1)&gt;=Configuracao!B10/100),"sim","não"))</f>
        <v>aguardando limiar</v>
      </c>
    </row>
    <row r="1780" spans="1:31" x14ac:dyDescent="0.25">
      <c r="A1780">
        <v>7166</v>
      </c>
      <c r="C1780" t="s">
        <v>1307</v>
      </c>
      <c r="D1780" t="s">
        <v>1298</v>
      </c>
      <c r="E1780" t="s">
        <v>474</v>
      </c>
      <c r="F1780" t="s">
        <v>165</v>
      </c>
      <c r="G1780" t="s">
        <v>165</v>
      </c>
      <c r="H1780" t="s">
        <v>92</v>
      </c>
      <c r="I1780" t="s">
        <v>442</v>
      </c>
      <c r="J1780" t="s">
        <v>442</v>
      </c>
      <c r="K1780" s="4">
        <v>10298.24</v>
      </c>
      <c r="L1780" s="4">
        <v>10298.24</v>
      </c>
      <c r="M1780" t="s">
        <v>166</v>
      </c>
      <c r="N1780" t="s">
        <v>77</v>
      </c>
      <c r="O1780" t="s">
        <v>86</v>
      </c>
      <c r="P1780" t="s">
        <v>170</v>
      </c>
      <c r="Q1780" t="s">
        <v>86</v>
      </c>
      <c r="R1780" t="s">
        <v>86</v>
      </c>
      <c r="S1780" t="s">
        <v>167</v>
      </c>
      <c r="T1780" t="s">
        <v>167</v>
      </c>
      <c r="U1780" t="s">
        <v>168</v>
      </c>
      <c r="V1780" t="s">
        <v>169</v>
      </c>
      <c r="W1780" t="s">
        <v>77</v>
      </c>
      <c r="X1780" t="s">
        <v>166</v>
      </c>
      <c r="Y1780" t="s">
        <v>1354</v>
      </c>
      <c r="Z1780" t="s">
        <v>434</v>
      </c>
      <c r="AC1780" t="str">
        <f>IF(AA1780="",M1780,AA1780)</f>
        <v>não</v>
      </c>
      <c r="AD1780" t="str">
        <f>IF(AB1780="",X1780,AB1780)</f>
        <v>não</v>
      </c>
      <c r="AE1780" t="str">
        <f>IF(OR(Configuracao!B9="",Configuracao!B10=""),"aguardando limiar",IF(AND(K1780&gt;=Configuracao!B9,K1780/MAX(Reconciliacao!C2,1)&gt;=Configuracao!B10/100),"sim","não"))</f>
        <v>aguardando limiar</v>
      </c>
    </row>
    <row r="1781" spans="1:31" x14ac:dyDescent="0.25">
      <c r="A1781">
        <v>7167</v>
      </c>
      <c r="C1781" t="s">
        <v>1307</v>
      </c>
      <c r="D1781" t="s">
        <v>1298</v>
      </c>
      <c r="E1781" t="s">
        <v>474</v>
      </c>
      <c r="F1781" t="s">
        <v>165</v>
      </c>
      <c r="G1781" t="s">
        <v>165</v>
      </c>
      <c r="H1781" t="s">
        <v>92</v>
      </c>
      <c r="I1781" t="s">
        <v>439</v>
      </c>
      <c r="J1781" t="s">
        <v>439</v>
      </c>
      <c r="K1781" s="4">
        <v>10298.24</v>
      </c>
      <c r="L1781" s="4">
        <v>10298.24</v>
      </c>
      <c r="M1781" t="s">
        <v>166</v>
      </c>
      <c r="N1781" t="s">
        <v>77</v>
      </c>
      <c r="O1781" t="s">
        <v>86</v>
      </c>
      <c r="P1781" t="s">
        <v>170</v>
      </c>
      <c r="Q1781" t="s">
        <v>86</v>
      </c>
      <c r="R1781" t="s">
        <v>86</v>
      </c>
      <c r="S1781" t="s">
        <v>167</v>
      </c>
      <c r="T1781" t="s">
        <v>167</v>
      </c>
      <c r="U1781" t="s">
        <v>168</v>
      </c>
      <c r="V1781" t="s">
        <v>169</v>
      </c>
      <c r="W1781" t="s">
        <v>77</v>
      </c>
      <c r="X1781" t="s">
        <v>166</v>
      </c>
      <c r="Y1781" t="s">
        <v>1354</v>
      </c>
      <c r="Z1781" t="s">
        <v>434</v>
      </c>
      <c r="AC1781" t="str">
        <f>IF(AA1781="",M1781,AA1781)</f>
        <v>não</v>
      </c>
      <c r="AD1781" t="str">
        <f>IF(AB1781="",X1781,AB1781)</f>
        <v>não</v>
      </c>
      <c r="AE1781" t="str">
        <f>IF(OR(Configuracao!B9="",Configuracao!B10=""),"aguardando limiar",IF(AND(K1781&gt;=Configuracao!B9,K1781/MAX(Reconciliacao!C2,1)&gt;=Configuracao!B10/100),"sim","não"))</f>
        <v>aguardando limiar</v>
      </c>
    </row>
    <row r="1782" spans="1:31" x14ac:dyDescent="0.25">
      <c r="A1782">
        <v>7168</v>
      </c>
      <c r="C1782" t="s">
        <v>1307</v>
      </c>
      <c r="D1782" t="s">
        <v>1298</v>
      </c>
      <c r="E1782" t="s">
        <v>474</v>
      </c>
      <c r="F1782" t="s">
        <v>165</v>
      </c>
      <c r="G1782" t="s">
        <v>165</v>
      </c>
      <c r="H1782" t="s">
        <v>92</v>
      </c>
      <c r="I1782" t="s">
        <v>35</v>
      </c>
      <c r="J1782" t="s">
        <v>35</v>
      </c>
      <c r="K1782" s="4">
        <v>10298.24</v>
      </c>
      <c r="L1782" s="4">
        <v>10298.24</v>
      </c>
      <c r="M1782" t="s">
        <v>166</v>
      </c>
      <c r="N1782" t="s">
        <v>77</v>
      </c>
      <c r="O1782" t="s">
        <v>86</v>
      </c>
      <c r="P1782" t="s">
        <v>170</v>
      </c>
      <c r="Q1782" t="s">
        <v>86</v>
      </c>
      <c r="R1782" t="s">
        <v>86</v>
      </c>
      <c r="S1782" t="s">
        <v>167</v>
      </c>
      <c r="T1782" t="s">
        <v>167</v>
      </c>
      <c r="U1782" t="s">
        <v>168</v>
      </c>
      <c r="V1782" t="s">
        <v>169</v>
      </c>
      <c r="W1782" t="s">
        <v>77</v>
      </c>
      <c r="X1782" t="s">
        <v>166</v>
      </c>
      <c r="Y1782" t="s">
        <v>1354</v>
      </c>
      <c r="Z1782" t="s">
        <v>434</v>
      </c>
      <c r="AC1782" t="str">
        <f>IF(AA1782="",M1782,AA1782)</f>
        <v>não</v>
      </c>
      <c r="AD1782" t="str">
        <f>IF(AB1782="",X1782,AB1782)</f>
        <v>não</v>
      </c>
      <c r="AE1782" t="str">
        <f>IF(OR(Configuracao!B9="",Configuracao!B10=""),"aguardando limiar",IF(AND(K1782&gt;=Configuracao!B9,K1782/MAX(Reconciliacao!C2,1)&gt;=Configuracao!B10/100),"sim","não"))</f>
        <v>aguardando limiar</v>
      </c>
    </row>
    <row r="1783" spans="1:31" x14ac:dyDescent="0.25">
      <c r="A1783">
        <v>7146</v>
      </c>
      <c r="C1783" t="s">
        <v>1283</v>
      </c>
      <c r="D1783" t="s">
        <v>1284</v>
      </c>
      <c r="E1783" t="s">
        <v>471</v>
      </c>
      <c r="F1783" t="s">
        <v>165</v>
      </c>
      <c r="G1783" t="s">
        <v>165</v>
      </c>
      <c r="H1783" t="s">
        <v>92</v>
      </c>
      <c r="I1783" t="s">
        <v>424</v>
      </c>
      <c r="J1783" t="s">
        <v>424</v>
      </c>
      <c r="K1783" s="4">
        <v>10449.82</v>
      </c>
      <c r="L1783" s="4">
        <v>10449.82</v>
      </c>
      <c r="M1783" t="s">
        <v>166</v>
      </c>
      <c r="N1783" t="s">
        <v>77</v>
      </c>
      <c r="O1783" t="s">
        <v>86</v>
      </c>
      <c r="P1783" t="s">
        <v>170</v>
      </c>
      <c r="Q1783" t="s">
        <v>86</v>
      </c>
      <c r="R1783" t="s">
        <v>86</v>
      </c>
      <c r="S1783" t="s">
        <v>167</v>
      </c>
      <c r="T1783" t="s">
        <v>167</v>
      </c>
      <c r="U1783" t="s">
        <v>168</v>
      </c>
      <c r="V1783" t="s">
        <v>169</v>
      </c>
      <c r="W1783" t="s">
        <v>77</v>
      </c>
      <c r="X1783" t="s">
        <v>166</v>
      </c>
      <c r="Y1783" t="s">
        <v>1354</v>
      </c>
      <c r="Z1783" t="s">
        <v>434</v>
      </c>
      <c r="AC1783" t="str">
        <f>IF(AA1783="",M1783,AA1783)</f>
        <v>não</v>
      </c>
      <c r="AD1783" t="str">
        <f>IF(AB1783="",X1783,AB1783)</f>
        <v>não</v>
      </c>
      <c r="AE1783" t="str">
        <f>IF(OR(Configuracao!B9="",Configuracao!B10=""),"aguardando limiar",IF(AND(K1783&gt;=Configuracao!B9,K1783/MAX(Reconciliacao!C2,1)&gt;=Configuracao!B10/100),"sim","não"))</f>
        <v>aguardando limiar</v>
      </c>
    </row>
    <row r="1784" spans="1:31" x14ac:dyDescent="0.25">
      <c r="A1784">
        <v>7163</v>
      </c>
      <c r="C1784" t="s">
        <v>1307</v>
      </c>
      <c r="D1784" t="s">
        <v>1298</v>
      </c>
      <c r="E1784" t="s">
        <v>474</v>
      </c>
      <c r="F1784" t="s">
        <v>165</v>
      </c>
      <c r="G1784" t="s">
        <v>165</v>
      </c>
      <c r="H1784" t="s">
        <v>92</v>
      </c>
      <c r="I1784" t="s">
        <v>420</v>
      </c>
      <c r="J1784" t="s">
        <v>420</v>
      </c>
      <c r="K1784" s="4">
        <v>10512.17</v>
      </c>
      <c r="L1784" s="4">
        <v>10512.17</v>
      </c>
      <c r="M1784" t="s">
        <v>166</v>
      </c>
      <c r="N1784" t="s">
        <v>77</v>
      </c>
      <c r="O1784" t="s">
        <v>86</v>
      </c>
      <c r="P1784" t="s">
        <v>170</v>
      </c>
      <c r="Q1784" t="s">
        <v>86</v>
      </c>
      <c r="R1784" t="s">
        <v>86</v>
      </c>
      <c r="S1784" t="s">
        <v>167</v>
      </c>
      <c r="T1784" t="s">
        <v>167</v>
      </c>
      <c r="U1784" t="s">
        <v>168</v>
      </c>
      <c r="V1784" t="s">
        <v>169</v>
      </c>
      <c r="W1784" t="s">
        <v>77</v>
      </c>
      <c r="X1784" t="s">
        <v>166</v>
      </c>
      <c r="Y1784" t="s">
        <v>1354</v>
      </c>
      <c r="Z1784" t="s">
        <v>434</v>
      </c>
      <c r="AC1784" t="str">
        <f>IF(AA1784="",M1784,AA1784)</f>
        <v>não</v>
      </c>
      <c r="AD1784" t="str">
        <f>IF(AB1784="",X1784,AB1784)</f>
        <v>não</v>
      </c>
      <c r="AE1784" t="str">
        <f>IF(OR(Configuracao!B9="",Configuracao!B10=""),"aguardando limiar",IF(AND(K1784&gt;=Configuracao!B9,K1784/MAX(Reconciliacao!C2,1)&gt;=Configuracao!B10/100),"sim","não"))</f>
        <v>aguardando limiar</v>
      </c>
    </row>
    <row r="1785" spans="1:31" x14ac:dyDescent="0.25">
      <c r="A1785">
        <v>7147</v>
      </c>
      <c r="C1785" t="s">
        <v>1283</v>
      </c>
      <c r="D1785" t="s">
        <v>1284</v>
      </c>
      <c r="E1785" t="s">
        <v>471</v>
      </c>
      <c r="F1785" t="s">
        <v>165</v>
      </c>
      <c r="G1785" t="s">
        <v>165</v>
      </c>
      <c r="H1785" t="s">
        <v>92</v>
      </c>
      <c r="I1785" t="s">
        <v>420</v>
      </c>
      <c r="J1785" t="s">
        <v>420</v>
      </c>
      <c r="K1785" s="4">
        <v>10725.71</v>
      </c>
      <c r="L1785" s="4">
        <v>10725.71</v>
      </c>
      <c r="M1785" t="s">
        <v>166</v>
      </c>
      <c r="N1785" t="s">
        <v>77</v>
      </c>
      <c r="O1785" t="s">
        <v>86</v>
      </c>
      <c r="P1785" t="s">
        <v>170</v>
      </c>
      <c r="Q1785" t="s">
        <v>86</v>
      </c>
      <c r="R1785" t="s">
        <v>86</v>
      </c>
      <c r="S1785" t="s">
        <v>167</v>
      </c>
      <c r="T1785" t="s">
        <v>167</v>
      </c>
      <c r="U1785" t="s">
        <v>168</v>
      </c>
      <c r="V1785" t="s">
        <v>169</v>
      </c>
      <c r="W1785" t="s">
        <v>77</v>
      </c>
      <c r="X1785" t="s">
        <v>166</v>
      </c>
      <c r="Y1785" t="s">
        <v>1354</v>
      </c>
      <c r="Z1785" t="s">
        <v>434</v>
      </c>
      <c r="AC1785" t="str">
        <f>IF(AA1785="",M1785,AA1785)</f>
        <v>não</v>
      </c>
      <c r="AD1785" t="str">
        <f>IF(AB1785="",X1785,AB1785)</f>
        <v>não</v>
      </c>
      <c r="AE1785" t="str">
        <f>IF(OR(Configuracao!B9="",Configuracao!B10=""),"aguardando limiar",IF(AND(K1785&gt;=Configuracao!B9,K1785/MAX(Reconciliacao!C2,1)&gt;=Configuracao!B10/100),"sim","não"))</f>
        <v>aguardando limiar</v>
      </c>
    </row>
    <row r="1786" spans="1:31" x14ac:dyDescent="0.25">
      <c r="A1786">
        <v>16951</v>
      </c>
      <c r="C1786" t="s">
        <v>1315</v>
      </c>
      <c r="D1786" t="s">
        <v>1359</v>
      </c>
      <c r="E1786" t="s">
        <v>471</v>
      </c>
      <c r="F1786" t="s">
        <v>165</v>
      </c>
      <c r="G1786" t="s">
        <v>165</v>
      </c>
      <c r="H1786" t="s">
        <v>92</v>
      </c>
      <c r="I1786" t="s">
        <v>442</v>
      </c>
      <c r="J1786" t="s">
        <v>442</v>
      </c>
      <c r="K1786" s="4">
        <v>11361.1</v>
      </c>
      <c r="L1786" s="4">
        <v>11361.1</v>
      </c>
      <c r="M1786" t="s">
        <v>166</v>
      </c>
      <c r="N1786" t="s">
        <v>77</v>
      </c>
      <c r="O1786" t="s">
        <v>86</v>
      </c>
      <c r="P1786" t="s">
        <v>170</v>
      </c>
      <c r="Q1786" t="s">
        <v>86</v>
      </c>
      <c r="R1786" t="s">
        <v>86</v>
      </c>
      <c r="S1786" t="s">
        <v>167</v>
      </c>
      <c r="T1786" t="s">
        <v>167</v>
      </c>
      <c r="U1786" t="s">
        <v>168</v>
      </c>
      <c r="V1786" t="s">
        <v>169</v>
      </c>
      <c r="W1786" t="s">
        <v>77</v>
      </c>
      <c r="X1786" t="s">
        <v>166</v>
      </c>
      <c r="Y1786" t="s">
        <v>1354</v>
      </c>
      <c r="Z1786" t="s">
        <v>434</v>
      </c>
      <c r="AC1786" t="str">
        <f>IF(AA1786="",M1786,AA1786)</f>
        <v>não</v>
      </c>
      <c r="AD1786" t="str">
        <f>IF(AB1786="",X1786,AB1786)</f>
        <v>não</v>
      </c>
      <c r="AE1786" t="str">
        <f>IF(OR(Configuracao!B9="",Configuracao!B10=""),"aguardando limiar",IF(AND(K1786&gt;=Configuracao!B9,K1786/MAX(Reconciliacao!C2,1)&gt;=Configuracao!B10/100),"sim","não"))</f>
        <v>aguardando limiar</v>
      </c>
    </row>
    <row r="1787" spans="1:31" x14ac:dyDescent="0.25">
      <c r="A1787">
        <v>16952</v>
      </c>
      <c r="C1787" t="s">
        <v>1315</v>
      </c>
      <c r="D1787" t="s">
        <v>1359</v>
      </c>
      <c r="E1787" t="s">
        <v>471</v>
      </c>
      <c r="F1787" t="s">
        <v>165</v>
      </c>
      <c r="G1787" t="s">
        <v>165</v>
      </c>
      <c r="H1787" t="s">
        <v>92</v>
      </c>
      <c r="I1787" t="s">
        <v>439</v>
      </c>
      <c r="J1787" t="s">
        <v>439</v>
      </c>
      <c r="K1787" s="4">
        <v>11361.1</v>
      </c>
      <c r="L1787" s="4">
        <v>11361.1</v>
      </c>
      <c r="M1787" t="s">
        <v>166</v>
      </c>
      <c r="N1787" t="s">
        <v>77</v>
      </c>
      <c r="O1787" t="s">
        <v>86</v>
      </c>
      <c r="P1787" t="s">
        <v>170</v>
      </c>
      <c r="Q1787" t="s">
        <v>86</v>
      </c>
      <c r="R1787" t="s">
        <v>86</v>
      </c>
      <c r="S1787" t="s">
        <v>167</v>
      </c>
      <c r="T1787" t="s">
        <v>167</v>
      </c>
      <c r="U1787" t="s">
        <v>168</v>
      </c>
      <c r="V1787" t="s">
        <v>169</v>
      </c>
      <c r="W1787" t="s">
        <v>77</v>
      </c>
      <c r="X1787" t="s">
        <v>166</v>
      </c>
      <c r="Y1787" t="s">
        <v>1354</v>
      </c>
      <c r="Z1787" t="s">
        <v>434</v>
      </c>
      <c r="AC1787" t="str">
        <f>IF(AA1787="",M1787,AA1787)</f>
        <v>não</v>
      </c>
      <c r="AD1787" t="str">
        <f>IF(AB1787="",X1787,AB1787)</f>
        <v>não</v>
      </c>
      <c r="AE1787" t="str">
        <f>IF(OR(Configuracao!B9="",Configuracao!B10=""),"aguardando limiar",IF(AND(K1787&gt;=Configuracao!B9,K1787/MAX(Reconciliacao!C2,1)&gt;=Configuracao!B10/100),"sim","não"))</f>
        <v>aguardando limiar</v>
      </c>
    </row>
    <row r="1788" spans="1:31" x14ac:dyDescent="0.25">
      <c r="A1788">
        <v>16953</v>
      </c>
      <c r="C1788" t="s">
        <v>1315</v>
      </c>
      <c r="D1788" t="s">
        <v>1359</v>
      </c>
      <c r="E1788" t="s">
        <v>471</v>
      </c>
      <c r="F1788" t="s">
        <v>165</v>
      </c>
      <c r="G1788" t="s">
        <v>165</v>
      </c>
      <c r="H1788" t="s">
        <v>92</v>
      </c>
      <c r="I1788" t="s">
        <v>35</v>
      </c>
      <c r="J1788" t="s">
        <v>35</v>
      </c>
      <c r="K1788" s="4">
        <v>11361.1</v>
      </c>
      <c r="L1788" s="4">
        <v>11361.1</v>
      </c>
      <c r="M1788" t="s">
        <v>166</v>
      </c>
      <c r="N1788" t="s">
        <v>77</v>
      </c>
      <c r="O1788" t="s">
        <v>86</v>
      </c>
      <c r="P1788" t="s">
        <v>170</v>
      </c>
      <c r="Q1788" t="s">
        <v>86</v>
      </c>
      <c r="R1788" t="s">
        <v>86</v>
      </c>
      <c r="S1788" t="s">
        <v>167</v>
      </c>
      <c r="T1788" t="s">
        <v>167</v>
      </c>
      <c r="U1788" t="s">
        <v>168</v>
      </c>
      <c r="V1788" t="s">
        <v>169</v>
      </c>
      <c r="W1788" t="s">
        <v>77</v>
      </c>
      <c r="X1788" t="s">
        <v>166</v>
      </c>
      <c r="Y1788" t="s">
        <v>1354</v>
      </c>
      <c r="Z1788" t="s">
        <v>434</v>
      </c>
      <c r="AC1788" t="str">
        <f>IF(AA1788="",M1788,AA1788)</f>
        <v>não</v>
      </c>
      <c r="AD1788" t="str">
        <f>IF(AB1788="",X1788,AB1788)</f>
        <v>não</v>
      </c>
      <c r="AE1788" t="str">
        <f>IF(OR(Configuracao!B9="",Configuracao!B10=""),"aguardando limiar",IF(AND(K1788&gt;=Configuracao!B9,K1788/MAX(Reconciliacao!C2,1)&gt;=Configuracao!B10/100),"sim","não"))</f>
        <v>aguardando limiar</v>
      </c>
    </row>
    <row r="1789" spans="1:31" x14ac:dyDescent="0.25">
      <c r="A1789">
        <v>17169</v>
      </c>
      <c r="C1789" t="s">
        <v>1318</v>
      </c>
      <c r="D1789" t="s">
        <v>436</v>
      </c>
      <c r="E1789" t="s">
        <v>474</v>
      </c>
      <c r="F1789" t="s">
        <v>165</v>
      </c>
      <c r="G1789" t="s">
        <v>165</v>
      </c>
      <c r="H1789" t="s">
        <v>92</v>
      </c>
      <c r="I1789" t="s">
        <v>442</v>
      </c>
      <c r="J1789" t="s">
        <v>442</v>
      </c>
      <c r="K1789" s="4">
        <v>11613.12</v>
      </c>
      <c r="L1789" s="4">
        <v>11613.12</v>
      </c>
      <c r="M1789" t="s">
        <v>166</v>
      </c>
      <c r="N1789" t="s">
        <v>77</v>
      </c>
      <c r="O1789" t="s">
        <v>86</v>
      </c>
      <c r="P1789" t="s">
        <v>170</v>
      </c>
      <c r="Q1789" t="s">
        <v>86</v>
      </c>
      <c r="R1789" t="s">
        <v>86</v>
      </c>
      <c r="S1789" t="s">
        <v>167</v>
      </c>
      <c r="T1789" t="s">
        <v>167</v>
      </c>
      <c r="U1789" t="s">
        <v>168</v>
      </c>
      <c r="V1789" t="s">
        <v>169</v>
      </c>
      <c r="W1789" t="s">
        <v>77</v>
      </c>
      <c r="X1789" t="s">
        <v>166</v>
      </c>
      <c r="Y1789" t="s">
        <v>1354</v>
      </c>
      <c r="Z1789" t="s">
        <v>434</v>
      </c>
      <c r="AC1789" t="str">
        <f>IF(AA1789="",M1789,AA1789)</f>
        <v>não</v>
      </c>
      <c r="AD1789" t="str">
        <f>IF(AB1789="",X1789,AB1789)</f>
        <v>não</v>
      </c>
      <c r="AE1789" t="str">
        <f>IF(OR(Configuracao!B9="",Configuracao!B10=""),"aguardando limiar",IF(AND(K1789&gt;=Configuracao!B9,K1789/MAX(Reconciliacao!C2,1)&gt;=Configuracao!B10/100),"sim","não"))</f>
        <v>aguardando limiar</v>
      </c>
    </row>
    <row r="1790" spans="1:31" x14ac:dyDescent="0.25">
      <c r="A1790">
        <v>12611</v>
      </c>
      <c r="C1790" t="s">
        <v>1360</v>
      </c>
      <c r="D1790" t="s">
        <v>471</v>
      </c>
      <c r="E1790" t="s">
        <v>471</v>
      </c>
      <c r="F1790" t="s">
        <v>165</v>
      </c>
      <c r="G1790" t="s">
        <v>165</v>
      </c>
      <c r="H1790" t="s">
        <v>92</v>
      </c>
      <c r="I1790" t="s">
        <v>420</v>
      </c>
      <c r="J1790" t="s">
        <v>420</v>
      </c>
      <c r="K1790" s="4">
        <v>14235.29</v>
      </c>
      <c r="L1790" s="4">
        <v>14235.29</v>
      </c>
      <c r="M1790" t="s">
        <v>166</v>
      </c>
      <c r="N1790" t="s">
        <v>77</v>
      </c>
      <c r="O1790" t="s">
        <v>86</v>
      </c>
      <c r="P1790" t="s">
        <v>170</v>
      </c>
      <c r="Q1790" t="s">
        <v>86</v>
      </c>
      <c r="R1790" t="s">
        <v>86</v>
      </c>
      <c r="S1790" t="s">
        <v>167</v>
      </c>
      <c r="T1790" t="s">
        <v>167</v>
      </c>
      <c r="U1790" t="s">
        <v>168</v>
      </c>
      <c r="V1790" t="s">
        <v>169</v>
      </c>
      <c r="W1790" t="s">
        <v>77</v>
      </c>
      <c r="X1790" t="s">
        <v>166</v>
      </c>
      <c r="Y1790" t="s">
        <v>1354</v>
      </c>
      <c r="Z1790" t="s">
        <v>434</v>
      </c>
      <c r="AC1790" t="str">
        <f>IF(AA1790="",M1790,AA1790)</f>
        <v>não</v>
      </c>
      <c r="AD1790" t="str">
        <f>IF(AB1790="",X1790,AB1790)</f>
        <v>não</v>
      </c>
      <c r="AE1790" t="str">
        <f>IF(OR(Configuracao!B9="",Configuracao!B10=""),"aguardando limiar",IF(AND(K1790&gt;=Configuracao!B9,K1790/MAX(Reconciliacao!C2,1)&gt;=Configuracao!B10/100),"sim","não"))</f>
        <v>aguardando limiar</v>
      </c>
    </row>
    <row r="1791" spans="1:31" x14ac:dyDescent="0.25">
      <c r="A1791">
        <v>16666</v>
      </c>
      <c r="D1791" t="s">
        <v>471</v>
      </c>
      <c r="E1791" t="s">
        <v>471</v>
      </c>
      <c r="F1791" t="s">
        <v>165</v>
      </c>
      <c r="G1791" t="s">
        <v>165</v>
      </c>
      <c r="H1791" t="s">
        <v>92</v>
      </c>
      <c r="I1791" t="s">
        <v>461</v>
      </c>
      <c r="J1791" t="s">
        <v>461</v>
      </c>
      <c r="K1791" s="4">
        <v>15000</v>
      </c>
      <c r="L1791" s="4">
        <v>15000</v>
      </c>
      <c r="M1791" t="s">
        <v>166</v>
      </c>
      <c r="N1791" t="s">
        <v>77</v>
      </c>
      <c r="O1791" t="s">
        <v>86</v>
      </c>
      <c r="P1791" t="s">
        <v>170</v>
      </c>
      <c r="Q1791" t="s">
        <v>86</v>
      </c>
      <c r="R1791" t="s">
        <v>86</v>
      </c>
      <c r="S1791" t="s">
        <v>167</v>
      </c>
      <c r="T1791" t="s">
        <v>167</v>
      </c>
      <c r="U1791" t="s">
        <v>168</v>
      </c>
      <c r="V1791" t="s">
        <v>169</v>
      </c>
      <c r="W1791" t="s">
        <v>77</v>
      </c>
      <c r="X1791" t="s">
        <v>166</v>
      </c>
      <c r="Y1791" t="s">
        <v>1354</v>
      </c>
      <c r="Z1791" t="s">
        <v>434</v>
      </c>
      <c r="AC1791" t="str">
        <f>IF(AA1791="",M1791,AA1791)</f>
        <v>não</v>
      </c>
      <c r="AD1791" t="str">
        <f>IF(AB1791="",X1791,AB1791)</f>
        <v>não</v>
      </c>
      <c r="AE1791" t="str">
        <f>IF(OR(Configuracao!B9="",Configuracao!B10=""),"aguardando limiar",IF(AND(K1791&gt;=Configuracao!B9,K1791/MAX(Reconciliacao!C2,1)&gt;=Configuracao!B10/100),"sim","não"))</f>
        <v>aguardando limiar</v>
      </c>
    </row>
    <row r="1792" spans="1:31" x14ac:dyDescent="0.25">
      <c r="A1792">
        <v>17360</v>
      </c>
      <c r="D1792" t="s">
        <v>474</v>
      </c>
      <c r="E1792" t="s">
        <v>474</v>
      </c>
      <c r="F1792" t="s">
        <v>165</v>
      </c>
      <c r="G1792" t="s">
        <v>165</v>
      </c>
      <c r="H1792" t="s">
        <v>92</v>
      </c>
      <c r="I1792" t="s">
        <v>442</v>
      </c>
      <c r="J1792" t="s">
        <v>442</v>
      </c>
      <c r="K1792" s="4">
        <v>15000</v>
      </c>
      <c r="L1792" s="4">
        <v>15000</v>
      </c>
      <c r="M1792" t="s">
        <v>166</v>
      </c>
      <c r="N1792" t="s">
        <v>77</v>
      </c>
      <c r="O1792" t="s">
        <v>86</v>
      </c>
      <c r="P1792" t="s">
        <v>170</v>
      </c>
      <c r="Q1792" t="s">
        <v>86</v>
      </c>
      <c r="R1792" t="s">
        <v>86</v>
      </c>
      <c r="S1792" t="s">
        <v>167</v>
      </c>
      <c r="T1792" t="s">
        <v>167</v>
      </c>
      <c r="U1792" t="s">
        <v>168</v>
      </c>
      <c r="V1792" t="s">
        <v>169</v>
      </c>
      <c r="W1792" t="s">
        <v>77</v>
      </c>
      <c r="X1792" t="s">
        <v>166</v>
      </c>
      <c r="Y1792" t="s">
        <v>1354</v>
      </c>
      <c r="Z1792" t="s">
        <v>434</v>
      </c>
      <c r="AC1792" t="str">
        <f>IF(AA1792="",M1792,AA1792)</f>
        <v>não</v>
      </c>
      <c r="AD1792" t="str">
        <f>IF(AB1792="",X1792,AB1792)</f>
        <v>não</v>
      </c>
      <c r="AE1792" t="str">
        <f>IF(OR(Configuracao!B9="",Configuracao!B10=""),"aguardando limiar",IF(AND(K1792&gt;=Configuracao!B9,K1792/MAX(Reconciliacao!C2,1)&gt;=Configuracao!B10/100),"sim","não"))</f>
        <v>aguardando limiar</v>
      </c>
    </row>
    <row r="1793" spans="1:31" x14ac:dyDescent="0.25">
      <c r="A1793">
        <v>17304</v>
      </c>
      <c r="D1793" t="s">
        <v>474</v>
      </c>
      <c r="E1793" t="s">
        <v>474</v>
      </c>
      <c r="F1793" t="s">
        <v>165</v>
      </c>
      <c r="G1793" t="s">
        <v>165</v>
      </c>
      <c r="H1793" t="s">
        <v>92</v>
      </c>
      <c r="I1793" t="s">
        <v>424</v>
      </c>
      <c r="J1793" t="s">
        <v>424</v>
      </c>
      <c r="K1793" s="4">
        <v>15713.6</v>
      </c>
      <c r="L1793" s="4">
        <v>15713.6</v>
      </c>
      <c r="M1793" t="s">
        <v>166</v>
      </c>
      <c r="N1793" t="s">
        <v>77</v>
      </c>
      <c r="O1793" t="s">
        <v>86</v>
      </c>
      <c r="P1793" t="s">
        <v>170</v>
      </c>
      <c r="Q1793" t="s">
        <v>86</v>
      </c>
      <c r="R1793" t="s">
        <v>86</v>
      </c>
      <c r="S1793" t="s">
        <v>167</v>
      </c>
      <c r="T1793" t="s">
        <v>167</v>
      </c>
      <c r="U1793" t="s">
        <v>168</v>
      </c>
      <c r="V1793" t="s">
        <v>169</v>
      </c>
      <c r="W1793" t="s">
        <v>77</v>
      </c>
      <c r="X1793" t="s">
        <v>166</v>
      </c>
      <c r="Y1793" t="s">
        <v>1354</v>
      </c>
      <c r="Z1793" t="s">
        <v>434</v>
      </c>
      <c r="AC1793" t="str">
        <f>IF(AA1793="",M1793,AA1793)</f>
        <v>não</v>
      </c>
      <c r="AD1793" t="str">
        <f>IF(AB1793="",X1793,AB1793)</f>
        <v>não</v>
      </c>
      <c r="AE1793" t="str">
        <f>IF(OR(Configuracao!B9="",Configuracao!B10=""),"aguardando limiar",IF(AND(K1793&gt;=Configuracao!B9,K1793/MAX(Reconciliacao!C2,1)&gt;=Configuracao!B10/100),"sim","não"))</f>
        <v>aguardando limiar</v>
      </c>
    </row>
    <row r="1794" spans="1:31" x14ac:dyDescent="0.25">
      <c r="A1794">
        <v>14085</v>
      </c>
      <c r="C1794" t="s">
        <v>1361</v>
      </c>
      <c r="D1794" t="s">
        <v>1290</v>
      </c>
      <c r="E1794" t="s">
        <v>471</v>
      </c>
      <c r="F1794" t="s">
        <v>165</v>
      </c>
      <c r="G1794" t="s">
        <v>165</v>
      </c>
      <c r="H1794" t="s">
        <v>92</v>
      </c>
      <c r="I1794" t="s">
        <v>461</v>
      </c>
      <c r="J1794" t="s">
        <v>461</v>
      </c>
      <c r="K1794" s="4">
        <v>16128.68</v>
      </c>
      <c r="L1794" s="4">
        <v>16128.68</v>
      </c>
      <c r="M1794" t="s">
        <v>166</v>
      </c>
      <c r="N1794" t="s">
        <v>77</v>
      </c>
      <c r="O1794" t="s">
        <v>86</v>
      </c>
      <c r="P1794" t="s">
        <v>170</v>
      </c>
      <c r="Q1794" t="s">
        <v>86</v>
      </c>
      <c r="R1794" t="s">
        <v>86</v>
      </c>
      <c r="S1794" t="s">
        <v>167</v>
      </c>
      <c r="T1794" t="s">
        <v>167</v>
      </c>
      <c r="U1794" t="s">
        <v>168</v>
      </c>
      <c r="V1794" t="s">
        <v>169</v>
      </c>
      <c r="W1794" t="s">
        <v>77</v>
      </c>
      <c r="X1794" t="s">
        <v>166</v>
      </c>
      <c r="Y1794" t="s">
        <v>1354</v>
      </c>
      <c r="Z1794" t="s">
        <v>434</v>
      </c>
      <c r="AC1794" t="str">
        <f>IF(AA1794="",M1794,AA1794)</f>
        <v>não</v>
      </c>
      <c r="AD1794" t="str">
        <f>IF(AB1794="",X1794,AB1794)</f>
        <v>não</v>
      </c>
      <c r="AE1794" t="str">
        <f>IF(OR(Configuracao!B9="",Configuracao!B10=""),"aguardando limiar",IF(AND(K1794&gt;=Configuracao!B9,K1794/MAX(Reconciliacao!C2,1)&gt;=Configuracao!B10/100),"sim","não"))</f>
        <v>aguardando limiar</v>
      </c>
    </row>
    <row r="1795" spans="1:31" x14ac:dyDescent="0.25">
      <c r="A1795">
        <v>14086</v>
      </c>
      <c r="C1795" t="s">
        <v>1361</v>
      </c>
      <c r="D1795" t="s">
        <v>1290</v>
      </c>
      <c r="E1795" t="s">
        <v>471</v>
      </c>
      <c r="F1795" t="s">
        <v>165</v>
      </c>
      <c r="G1795" t="s">
        <v>165</v>
      </c>
      <c r="H1795" t="s">
        <v>92</v>
      </c>
      <c r="I1795" t="s">
        <v>442</v>
      </c>
      <c r="J1795" t="s">
        <v>442</v>
      </c>
      <c r="K1795" s="4">
        <v>16128.68</v>
      </c>
      <c r="L1795" s="4">
        <v>16128.68</v>
      </c>
      <c r="M1795" t="s">
        <v>166</v>
      </c>
      <c r="N1795" t="s">
        <v>77</v>
      </c>
      <c r="O1795" t="s">
        <v>86</v>
      </c>
      <c r="P1795" t="s">
        <v>170</v>
      </c>
      <c r="Q1795" t="s">
        <v>86</v>
      </c>
      <c r="R1795" t="s">
        <v>86</v>
      </c>
      <c r="S1795" t="s">
        <v>167</v>
      </c>
      <c r="T1795" t="s">
        <v>167</v>
      </c>
      <c r="U1795" t="s">
        <v>168</v>
      </c>
      <c r="V1795" t="s">
        <v>169</v>
      </c>
      <c r="W1795" t="s">
        <v>77</v>
      </c>
      <c r="X1795" t="s">
        <v>166</v>
      </c>
      <c r="Y1795" t="s">
        <v>1354</v>
      </c>
      <c r="Z1795" t="s">
        <v>434</v>
      </c>
      <c r="AC1795" t="str">
        <f>IF(AA1795="",M1795,AA1795)</f>
        <v>não</v>
      </c>
      <c r="AD1795" t="str">
        <f>IF(AB1795="",X1795,AB1795)</f>
        <v>não</v>
      </c>
      <c r="AE1795" t="str">
        <f>IF(OR(Configuracao!B9="",Configuracao!B10=""),"aguardando limiar",IF(AND(K1795&gt;=Configuracao!B9,K1795/MAX(Reconciliacao!C2,1)&gt;=Configuracao!B10/100),"sim","não"))</f>
        <v>aguardando limiar</v>
      </c>
    </row>
    <row r="1796" spans="1:31" x14ac:dyDescent="0.25">
      <c r="A1796">
        <v>14087</v>
      </c>
      <c r="C1796" t="s">
        <v>1361</v>
      </c>
      <c r="D1796" t="s">
        <v>1290</v>
      </c>
      <c r="E1796" t="s">
        <v>471</v>
      </c>
      <c r="F1796" t="s">
        <v>165</v>
      </c>
      <c r="G1796" t="s">
        <v>165</v>
      </c>
      <c r="H1796" t="s">
        <v>92</v>
      </c>
      <c r="I1796" t="s">
        <v>439</v>
      </c>
      <c r="J1796" t="s">
        <v>439</v>
      </c>
      <c r="K1796" s="4">
        <v>16128.68</v>
      </c>
      <c r="L1796" s="4">
        <v>16128.68</v>
      </c>
      <c r="M1796" t="s">
        <v>166</v>
      </c>
      <c r="N1796" t="s">
        <v>77</v>
      </c>
      <c r="O1796" t="s">
        <v>86</v>
      </c>
      <c r="P1796" t="s">
        <v>170</v>
      </c>
      <c r="Q1796" t="s">
        <v>86</v>
      </c>
      <c r="R1796" t="s">
        <v>86</v>
      </c>
      <c r="S1796" t="s">
        <v>167</v>
      </c>
      <c r="T1796" t="s">
        <v>167</v>
      </c>
      <c r="U1796" t="s">
        <v>168</v>
      </c>
      <c r="V1796" t="s">
        <v>169</v>
      </c>
      <c r="W1796" t="s">
        <v>77</v>
      </c>
      <c r="X1796" t="s">
        <v>166</v>
      </c>
      <c r="Y1796" t="s">
        <v>1354</v>
      </c>
      <c r="Z1796" t="s">
        <v>434</v>
      </c>
      <c r="AC1796" t="str">
        <f>IF(AA1796="",M1796,AA1796)</f>
        <v>não</v>
      </c>
      <c r="AD1796" t="str">
        <f>IF(AB1796="",X1796,AB1796)</f>
        <v>não</v>
      </c>
      <c r="AE1796" t="str">
        <f>IF(OR(Configuracao!B9="",Configuracao!B10=""),"aguardando limiar",IF(AND(K1796&gt;=Configuracao!B9,K1796/MAX(Reconciliacao!C2,1)&gt;=Configuracao!B10/100),"sim","não"))</f>
        <v>aguardando limiar</v>
      </c>
    </row>
    <row r="1797" spans="1:31" x14ac:dyDescent="0.25">
      <c r="A1797">
        <v>14088</v>
      </c>
      <c r="C1797" t="s">
        <v>1361</v>
      </c>
      <c r="D1797" t="s">
        <v>1290</v>
      </c>
      <c r="E1797" t="s">
        <v>471</v>
      </c>
      <c r="F1797" t="s">
        <v>165</v>
      </c>
      <c r="G1797" t="s">
        <v>165</v>
      </c>
      <c r="H1797" t="s">
        <v>92</v>
      </c>
      <c r="I1797" t="s">
        <v>35</v>
      </c>
      <c r="J1797" t="s">
        <v>35</v>
      </c>
      <c r="K1797" s="4">
        <v>16128.68</v>
      </c>
      <c r="L1797" s="4">
        <v>16128.68</v>
      </c>
      <c r="M1797" t="s">
        <v>166</v>
      </c>
      <c r="N1797" t="s">
        <v>77</v>
      </c>
      <c r="O1797" t="s">
        <v>86</v>
      </c>
      <c r="P1797" t="s">
        <v>170</v>
      </c>
      <c r="Q1797" t="s">
        <v>86</v>
      </c>
      <c r="R1797" t="s">
        <v>86</v>
      </c>
      <c r="S1797" t="s">
        <v>167</v>
      </c>
      <c r="T1797" t="s">
        <v>167</v>
      </c>
      <c r="U1797" t="s">
        <v>168</v>
      </c>
      <c r="V1797" t="s">
        <v>169</v>
      </c>
      <c r="W1797" t="s">
        <v>77</v>
      </c>
      <c r="X1797" t="s">
        <v>166</v>
      </c>
      <c r="Y1797" t="s">
        <v>1354</v>
      </c>
      <c r="Z1797" t="s">
        <v>434</v>
      </c>
      <c r="AC1797" t="str">
        <f>IF(AA1797="",M1797,AA1797)</f>
        <v>não</v>
      </c>
      <c r="AD1797" t="str">
        <f>IF(AB1797="",X1797,AB1797)</f>
        <v>não</v>
      </c>
      <c r="AE1797" t="str">
        <f>IF(OR(Configuracao!B9="",Configuracao!B10=""),"aguardando limiar",IF(AND(K1797&gt;=Configuracao!B9,K1797/MAX(Reconciliacao!C2,1)&gt;=Configuracao!B10/100),"sim","não"))</f>
        <v>aguardando limiar</v>
      </c>
    </row>
    <row r="1798" spans="1:31" x14ac:dyDescent="0.25">
      <c r="A1798">
        <v>14084</v>
      </c>
      <c r="C1798" t="s">
        <v>1361</v>
      </c>
      <c r="D1798" t="s">
        <v>1290</v>
      </c>
      <c r="E1798" t="s">
        <v>471</v>
      </c>
      <c r="F1798" t="s">
        <v>165</v>
      </c>
      <c r="G1798" t="s">
        <v>165</v>
      </c>
      <c r="H1798" t="s">
        <v>92</v>
      </c>
      <c r="I1798" t="s">
        <v>454</v>
      </c>
      <c r="J1798" t="s">
        <v>454</v>
      </c>
      <c r="K1798" s="4">
        <v>16757.36</v>
      </c>
      <c r="L1798" s="4">
        <v>16757.36</v>
      </c>
      <c r="M1798" t="s">
        <v>166</v>
      </c>
      <c r="N1798" t="s">
        <v>77</v>
      </c>
      <c r="O1798" t="s">
        <v>86</v>
      </c>
      <c r="P1798" t="s">
        <v>170</v>
      </c>
      <c r="Q1798" t="s">
        <v>86</v>
      </c>
      <c r="R1798" t="s">
        <v>86</v>
      </c>
      <c r="S1798" t="s">
        <v>167</v>
      </c>
      <c r="T1798" t="s">
        <v>167</v>
      </c>
      <c r="U1798" t="s">
        <v>168</v>
      </c>
      <c r="V1798" t="s">
        <v>169</v>
      </c>
      <c r="W1798" t="s">
        <v>77</v>
      </c>
      <c r="X1798" t="s">
        <v>166</v>
      </c>
      <c r="Y1798" t="s">
        <v>1354</v>
      </c>
      <c r="Z1798" t="s">
        <v>434</v>
      </c>
      <c r="AC1798" t="str">
        <f>IF(AA1798="",M1798,AA1798)</f>
        <v>não</v>
      </c>
      <c r="AD1798" t="str">
        <f>IF(AB1798="",X1798,AB1798)</f>
        <v>não</v>
      </c>
      <c r="AE1798" t="str">
        <f>IF(OR(Configuracao!B9="",Configuracao!B10=""),"aguardando limiar",IF(AND(K1798&gt;=Configuracao!B9,K1798/MAX(Reconciliacao!C2,1)&gt;=Configuracao!B10/100),"sim","não"))</f>
        <v>aguardando limiar</v>
      </c>
    </row>
    <row r="1799" spans="1:31" x14ac:dyDescent="0.25">
      <c r="A1799">
        <v>6016</v>
      </c>
      <c r="C1799" t="s">
        <v>1362</v>
      </c>
      <c r="D1799" t="s">
        <v>1363</v>
      </c>
      <c r="E1799" t="s">
        <v>474</v>
      </c>
      <c r="F1799" t="s">
        <v>165</v>
      </c>
      <c r="G1799" t="s">
        <v>165</v>
      </c>
      <c r="H1799" t="s">
        <v>92</v>
      </c>
      <c r="I1799" t="s">
        <v>32</v>
      </c>
      <c r="J1799" t="s">
        <v>32</v>
      </c>
      <c r="K1799" s="4">
        <v>20000</v>
      </c>
      <c r="L1799" s="4">
        <v>20000</v>
      </c>
      <c r="M1799" t="s">
        <v>166</v>
      </c>
      <c r="N1799" t="s">
        <v>77</v>
      </c>
      <c r="O1799" t="s">
        <v>86</v>
      </c>
      <c r="P1799" t="s">
        <v>170</v>
      </c>
      <c r="Q1799" t="s">
        <v>86</v>
      </c>
      <c r="R1799" t="s">
        <v>86</v>
      </c>
      <c r="S1799" t="s">
        <v>167</v>
      </c>
      <c r="T1799" t="s">
        <v>167</v>
      </c>
      <c r="U1799" t="s">
        <v>168</v>
      </c>
      <c r="V1799" t="s">
        <v>169</v>
      </c>
      <c r="W1799" t="s">
        <v>77</v>
      </c>
      <c r="X1799" t="s">
        <v>166</v>
      </c>
      <c r="Y1799" t="s">
        <v>1354</v>
      </c>
      <c r="Z1799" t="s">
        <v>434</v>
      </c>
      <c r="AC1799" t="str">
        <f>IF(AA1799="",M1799,AA1799)</f>
        <v>não</v>
      </c>
      <c r="AD1799" t="str">
        <f>IF(AB1799="",X1799,AB1799)</f>
        <v>não</v>
      </c>
      <c r="AE1799" t="str">
        <f>IF(OR(Configuracao!B9="",Configuracao!B10=""),"aguardando limiar",IF(AND(K1799&gt;=Configuracao!B9,K1799/MAX(Reconciliacao!C2,1)&gt;=Configuracao!B10/100),"sim","não"))</f>
        <v>aguardando limiar</v>
      </c>
    </row>
    <row r="1800" spans="1:31" x14ac:dyDescent="0.25">
      <c r="A1800">
        <v>6017</v>
      </c>
      <c r="C1800" t="s">
        <v>1364</v>
      </c>
      <c r="D1800" t="s">
        <v>1363</v>
      </c>
      <c r="E1800" t="s">
        <v>474</v>
      </c>
      <c r="F1800" t="s">
        <v>165</v>
      </c>
      <c r="G1800" t="s">
        <v>165</v>
      </c>
      <c r="H1800" t="s">
        <v>92</v>
      </c>
      <c r="I1800" t="s">
        <v>424</v>
      </c>
      <c r="J1800" t="s">
        <v>424</v>
      </c>
      <c r="K1800" s="4">
        <v>20000</v>
      </c>
      <c r="L1800" s="4">
        <v>20000</v>
      </c>
      <c r="M1800" t="s">
        <v>166</v>
      </c>
      <c r="N1800" t="s">
        <v>77</v>
      </c>
      <c r="O1800" t="s">
        <v>86</v>
      </c>
      <c r="P1800" t="s">
        <v>170</v>
      </c>
      <c r="Q1800" t="s">
        <v>86</v>
      </c>
      <c r="R1800" t="s">
        <v>86</v>
      </c>
      <c r="S1800" t="s">
        <v>167</v>
      </c>
      <c r="T1800" t="s">
        <v>167</v>
      </c>
      <c r="U1800" t="s">
        <v>168</v>
      </c>
      <c r="V1800" t="s">
        <v>169</v>
      </c>
      <c r="W1800" t="s">
        <v>77</v>
      </c>
      <c r="X1800" t="s">
        <v>166</v>
      </c>
      <c r="Y1800" t="s">
        <v>1354</v>
      </c>
      <c r="Z1800" t="s">
        <v>434</v>
      </c>
      <c r="AC1800" t="str">
        <f>IF(AA1800="",M1800,AA1800)</f>
        <v>não</v>
      </c>
      <c r="AD1800" t="str">
        <f>IF(AB1800="",X1800,AB1800)</f>
        <v>não</v>
      </c>
      <c r="AE1800" t="str">
        <f>IF(OR(Configuracao!B9="",Configuracao!B10=""),"aguardando limiar",IF(AND(K1800&gt;=Configuracao!B9,K1800/MAX(Reconciliacao!C2,1)&gt;=Configuracao!B10/100),"sim","não"))</f>
        <v>aguardando limiar</v>
      </c>
    </row>
    <row r="1801" spans="1:31" x14ac:dyDescent="0.25">
      <c r="A1801">
        <v>13033</v>
      </c>
      <c r="D1801" t="s">
        <v>474</v>
      </c>
      <c r="E1801" t="s">
        <v>474</v>
      </c>
      <c r="F1801" t="s">
        <v>165</v>
      </c>
      <c r="G1801" t="s">
        <v>165</v>
      </c>
      <c r="H1801" t="s">
        <v>92</v>
      </c>
      <c r="I1801" t="s">
        <v>424</v>
      </c>
      <c r="J1801" t="s">
        <v>424</v>
      </c>
      <c r="K1801" s="4">
        <v>20000</v>
      </c>
      <c r="L1801" s="4">
        <v>20000</v>
      </c>
      <c r="M1801" t="s">
        <v>166</v>
      </c>
      <c r="N1801" t="s">
        <v>77</v>
      </c>
      <c r="O1801" t="s">
        <v>86</v>
      </c>
      <c r="P1801" t="s">
        <v>170</v>
      </c>
      <c r="Q1801" t="s">
        <v>86</v>
      </c>
      <c r="R1801" t="s">
        <v>86</v>
      </c>
      <c r="S1801" t="s">
        <v>167</v>
      </c>
      <c r="T1801" t="s">
        <v>167</v>
      </c>
      <c r="U1801" t="s">
        <v>168</v>
      </c>
      <c r="V1801" t="s">
        <v>169</v>
      </c>
      <c r="W1801" t="s">
        <v>77</v>
      </c>
      <c r="X1801" t="s">
        <v>166</v>
      </c>
      <c r="Y1801" t="s">
        <v>1354</v>
      </c>
      <c r="Z1801" t="s">
        <v>434</v>
      </c>
      <c r="AC1801" t="str">
        <f>IF(AA1801="",M1801,AA1801)</f>
        <v>não</v>
      </c>
      <c r="AD1801" t="str">
        <f>IF(AB1801="",X1801,AB1801)</f>
        <v>não</v>
      </c>
      <c r="AE1801" t="str">
        <f>IF(OR(Configuracao!B9="",Configuracao!B10=""),"aguardando limiar",IF(AND(K1801&gt;=Configuracao!B9,K1801/MAX(Reconciliacao!C2,1)&gt;=Configuracao!B10/100),"sim","não"))</f>
        <v>aguardando limiar</v>
      </c>
    </row>
    <row r="1802" spans="1:31" x14ac:dyDescent="0.25">
      <c r="A1802">
        <v>14575</v>
      </c>
      <c r="D1802" t="s">
        <v>474</v>
      </c>
      <c r="E1802" t="s">
        <v>474</v>
      </c>
      <c r="F1802" t="s">
        <v>165</v>
      </c>
      <c r="G1802" t="s">
        <v>165</v>
      </c>
      <c r="H1802" t="s">
        <v>92</v>
      </c>
      <c r="I1802" t="s">
        <v>454</v>
      </c>
      <c r="J1802" t="s">
        <v>454</v>
      </c>
      <c r="K1802" s="4">
        <v>20000</v>
      </c>
      <c r="L1802" s="4">
        <v>20000</v>
      </c>
      <c r="M1802" t="s">
        <v>166</v>
      </c>
      <c r="N1802" t="s">
        <v>77</v>
      </c>
      <c r="O1802" t="s">
        <v>86</v>
      </c>
      <c r="P1802" t="s">
        <v>170</v>
      </c>
      <c r="Q1802" t="s">
        <v>86</v>
      </c>
      <c r="R1802" t="s">
        <v>86</v>
      </c>
      <c r="S1802" t="s">
        <v>167</v>
      </c>
      <c r="T1802" t="s">
        <v>167</v>
      </c>
      <c r="U1802" t="s">
        <v>168</v>
      </c>
      <c r="V1802" t="s">
        <v>169</v>
      </c>
      <c r="W1802" t="s">
        <v>77</v>
      </c>
      <c r="X1802" t="s">
        <v>166</v>
      </c>
      <c r="Y1802" t="s">
        <v>1354</v>
      </c>
      <c r="Z1802" t="s">
        <v>434</v>
      </c>
      <c r="AC1802" t="str">
        <f>IF(AA1802="",M1802,AA1802)</f>
        <v>não</v>
      </c>
      <c r="AD1802" t="str">
        <f>IF(AB1802="",X1802,AB1802)</f>
        <v>não</v>
      </c>
      <c r="AE1802" t="str">
        <f>IF(OR(Configuracao!B9="",Configuracao!B10=""),"aguardando limiar",IF(AND(K1802&gt;=Configuracao!B9,K1802/MAX(Reconciliacao!C2,1)&gt;=Configuracao!B10/100),"sim","não"))</f>
        <v>aguardando limiar</v>
      </c>
    </row>
    <row r="1803" spans="1:31" x14ac:dyDescent="0.25">
      <c r="A1803">
        <v>16139</v>
      </c>
      <c r="D1803" t="s">
        <v>474</v>
      </c>
      <c r="E1803" t="s">
        <v>474</v>
      </c>
      <c r="F1803" t="s">
        <v>165</v>
      </c>
      <c r="G1803" t="s">
        <v>165</v>
      </c>
      <c r="H1803" t="s">
        <v>92</v>
      </c>
      <c r="I1803" t="s">
        <v>461</v>
      </c>
      <c r="J1803" t="s">
        <v>461</v>
      </c>
      <c r="K1803" s="4">
        <v>20000</v>
      </c>
      <c r="L1803" s="4">
        <v>20000</v>
      </c>
      <c r="M1803" t="s">
        <v>166</v>
      </c>
      <c r="N1803" t="s">
        <v>77</v>
      </c>
      <c r="O1803" t="s">
        <v>86</v>
      </c>
      <c r="P1803" t="s">
        <v>170</v>
      </c>
      <c r="Q1803" t="s">
        <v>86</v>
      </c>
      <c r="R1803" t="s">
        <v>86</v>
      </c>
      <c r="S1803" t="s">
        <v>167</v>
      </c>
      <c r="T1803" t="s">
        <v>167</v>
      </c>
      <c r="U1803" t="s">
        <v>168</v>
      </c>
      <c r="V1803" t="s">
        <v>169</v>
      </c>
      <c r="W1803" t="s">
        <v>77</v>
      </c>
      <c r="X1803" t="s">
        <v>166</v>
      </c>
      <c r="Y1803" t="s">
        <v>1354</v>
      </c>
      <c r="Z1803" t="s">
        <v>434</v>
      </c>
      <c r="AC1803" t="str">
        <f>IF(AA1803="",M1803,AA1803)</f>
        <v>não</v>
      </c>
      <c r="AD1803" t="str">
        <f>IF(AB1803="",X1803,AB1803)</f>
        <v>não</v>
      </c>
      <c r="AE1803" t="str">
        <f>IF(OR(Configuracao!B9="",Configuracao!B10=""),"aguardando limiar",IF(AND(K1803&gt;=Configuracao!B9,K1803/MAX(Reconciliacao!C2,1)&gt;=Configuracao!B10/100),"sim","não"))</f>
        <v>aguardando limiar</v>
      </c>
    </row>
    <row r="1804" spans="1:31" x14ac:dyDescent="0.25">
      <c r="A1804">
        <v>17718</v>
      </c>
      <c r="D1804" t="s">
        <v>474</v>
      </c>
      <c r="E1804" t="s">
        <v>474</v>
      </c>
      <c r="F1804" t="s">
        <v>165</v>
      </c>
      <c r="G1804" t="s">
        <v>165</v>
      </c>
      <c r="H1804" t="s">
        <v>92</v>
      </c>
      <c r="I1804" t="s">
        <v>442</v>
      </c>
      <c r="J1804" t="s">
        <v>442</v>
      </c>
      <c r="K1804" s="4">
        <v>20000</v>
      </c>
      <c r="L1804" s="4">
        <v>20000</v>
      </c>
      <c r="M1804" t="s">
        <v>166</v>
      </c>
      <c r="N1804" t="s">
        <v>77</v>
      </c>
      <c r="O1804" t="s">
        <v>86</v>
      </c>
      <c r="P1804" t="s">
        <v>170</v>
      </c>
      <c r="Q1804" t="s">
        <v>86</v>
      </c>
      <c r="R1804" t="s">
        <v>86</v>
      </c>
      <c r="S1804" t="s">
        <v>167</v>
      </c>
      <c r="T1804" t="s">
        <v>167</v>
      </c>
      <c r="U1804" t="s">
        <v>168</v>
      </c>
      <c r="V1804" t="s">
        <v>169</v>
      </c>
      <c r="W1804" t="s">
        <v>77</v>
      </c>
      <c r="X1804" t="s">
        <v>166</v>
      </c>
      <c r="Y1804" t="s">
        <v>1354</v>
      </c>
      <c r="Z1804" t="s">
        <v>434</v>
      </c>
      <c r="AC1804" t="str">
        <f>IF(AA1804="",M1804,AA1804)</f>
        <v>não</v>
      </c>
      <c r="AD1804" t="str">
        <f>IF(AB1804="",X1804,AB1804)</f>
        <v>não</v>
      </c>
      <c r="AE1804" t="str">
        <f>IF(OR(Configuracao!B9="",Configuracao!B10=""),"aguardando limiar",IF(AND(K1804&gt;=Configuracao!B9,K1804/MAX(Reconciliacao!C2,1)&gt;=Configuracao!B10/100),"sim","não"))</f>
        <v>aguardando limiar</v>
      </c>
    </row>
    <row r="1805" spans="1:31" x14ac:dyDescent="0.25">
      <c r="A1805">
        <v>14574</v>
      </c>
      <c r="D1805" t="s">
        <v>471</v>
      </c>
      <c r="E1805" t="s">
        <v>471</v>
      </c>
      <c r="F1805" t="s">
        <v>165</v>
      </c>
      <c r="G1805" t="s">
        <v>165</v>
      </c>
      <c r="H1805" t="s">
        <v>92</v>
      </c>
      <c r="I1805" t="s">
        <v>454</v>
      </c>
      <c r="J1805" t="s">
        <v>454</v>
      </c>
      <c r="K1805" s="4">
        <v>21000</v>
      </c>
      <c r="L1805" s="4">
        <v>21000</v>
      </c>
      <c r="M1805" t="s">
        <v>166</v>
      </c>
      <c r="N1805" t="s">
        <v>77</v>
      </c>
      <c r="O1805" t="s">
        <v>86</v>
      </c>
      <c r="P1805" t="s">
        <v>170</v>
      </c>
      <c r="Q1805" t="s">
        <v>86</v>
      </c>
      <c r="R1805" t="s">
        <v>86</v>
      </c>
      <c r="S1805" t="s">
        <v>167</v>
      </c>
      <c r="T1805" t="s">
        <v>167</v>
      </c>
      <c r="U1805" t="s">
        <v>168</v>
      </c>
      <c r="V1805" t="s">
        <v>169</v>
      </c>
      <c r="W1805" t="s">
        <v>77</v>
      </c>
      <c r="X1805" t="s">
        <v>166</v>
      </c>
      <c r="Y1805" t="s">
        <v>1354</v>
      </c>
      <c r="Z1805" t="s">
        <v>434</v>
      </c>
      <c r="AC1805" t="str">
        <f>IF(AA1805="",M1805,AA1805)</f>
        <v>não</v>
      </c>
      <c r="AD1805" t="str">
        <f>IF(AB1805="",X1805,AB1805)</f>
        <v>não</v>
      </c>
      <c r="AE1805" t="str">
        <f>IF(OR(Configuracao!B9="",Configuracao!B10=""),"aguardando limiar",IF(AND(K1805&gt;=Configuracao!B9,K1805/MAX(Reconciliacao!C2,1)&gt;=Configuracao!B10/100),"sim","não"))</f>
        <v>aguardando limiar</v>
      </c>
    </row>
    <row r="1806" spans="1:31" x14ac:dyDescent="0.25">
      <c r="A1806">
        <v>16658</v>
      </c>
      <c r="C1806" t="s">
        <v>1247</v>
      </c>
      <c r="D1806" t="s">
        <v>1365</v>
      </c>
      <c r="E1806" t="s">
        <v>474</v>
      </c>
      <c r="F1806" t="s">
        <v>165</v>
      </c>
      <c r="G1806" t="s">
        <v>165</v>
      </c>
      <c r="H1806" t="s">
        <v>92</v>
      </c>
      <c r="I1806" t="s">
        <v>461</v>
      </c>
      <c r="J1806" t="s">
        <v>461</v>
      </c>
      <c r="K1806" s="4">
        <v>22500</v>
      </c>
      <c r="L1806" s="4">
        <v>22500</v>
      </c>
      <c r="M1806" t="s">
        <v>166</v>
      </c>
      <c r="N1806" t="s">
        <v>77</v>
      </c>
      <c r="O1806" t="s">
        <v>86</v>
      </c>
      <c r="P1806" t="s">
        <v>170</v>
      </c>
      <c r="Q1806" t="s">
        <v>86</v>
      </c>
      <c r="R1806" t="s">
        <v>86</v>
      </c>
      <c r="S1806" t="s">
        <v>167</v>
      </c>
      <c r="T1806" t="s">
        <v>167</v>
      </c>
      <c r="U1806" t="s">
        <v>168</v>
      </c>
      <c r="V1806" t="s">
        <v>169</v>
      </c>
      <c r="W1806" t="s">
        <v>77</v>
      </c>
      <c r="X1806" t="s">
        <v>166</v>
      </c>
      <c r="Y1806" t="s">
        <v>1357</v>
      </c>
      <c r="Z1806" t="s">
        <v>434</v>
      </c>
      <c r="AC1806" t="str">
        <f>IF(AA1806="",M1806,AA1806)</f>
        <v>não</v>
      </c>
      <c r="AD1806" t="str">
        <f>IF(AB1806="",X1806,AB1806)</f>
        <v>não</v>
      </c>
      <c r="AE1806" t="str">
        <f>IF(OR(Configuracao!B9="",Configuracao!B10=""),"aguardando limiar",IF(AND(K1806&gt;=Configuracao!B9,K1806/MAX(Reconciliacao!C2,1)&gt;=Configuracao!B10/100),"sim","não"))</f>
        <v>aguardando limiar</v>
      </c>
    </row>
    <row r="1807" spans="1:31" x14ac:dyDescent="0.25">
      <c r="A1807">
        <v>13404</v>
      </c>
      <c r="C1807" t="s">
        <v>1366</v>
      </c>
      <c r="D1807" t="s">
        <v>474</v>
      </c>
      <c r="E1807" t="s">
        <v>474</v>
      </c>
      <c r="F1807" t="s">
        <v>165</v>
      </c>
      <c r="G1807" t="s">
        <v>165</v>
      </c>
      <c r="H1807" t="s">
        <v>92</v>
      </c>
      <c r="I1807" t="s">
        <v>420</v>
      </c>
      <c r="J1807" t="s">
        <v>420</v>
      </c>
      <c r="K1807" s="4">
        <v>23000</v>
      </c>
      <c r="L1807" s="4">
        <v>23000</v>
      </c>
      <c r="M1807" t="s">
        <v>166</v>
      </c>
      <c r="N1807" t="s">
        <v>77</v>
      </c>
      <c r="O1807" t="s">
        <v>86</v>
      </c>
      <c r="P1807" t="s">
        <v>170</v>
      </c>
      <c r="Q1807" t="s">
        <v>86</v>
      </c>
      <c r="R1807" t="s">
        <v>86</v>
      </c>
      <c r="S1807" t="s">
        <v>167</v>
      </c>
      <c r="T1807" t="s">
        <v>167</v>
      </c>
      <c r="U1807" t="s">
        <v>168</v>
      </c>
      <c r="V1807" t="s">
        <v>169</v>
      </c>
      <c r="W1807" t="s">
        <v>77</v>
      </c>
      <c r="X1807" t="s">
        <v>166</v>
      </c>
      <c r="Y1807" t="s">
        <v>1354</v>
      </c>
      <c r="Z1807" t="s">
        <v>434</v>
      </c>
      <c r="AC1807" t="str">
        <f>IF(AA1807="",M1807,AA1807)</f>
        <v>não</v>
      </c>
      <c r="AD1807" t="str">
        <f>IF(AB1807="",X1807,AB1807)</f>
        <v>não</v>
      </c>
      <c r="AE1807" t="str">
        <f>IF(OR(Configuracao!B9="",Configuracao!B10=""),"aguardando limiar",IF(AND(K1807&gt;=Configuracao!B9,K1807/MAX(Reconciliacao!C2,1)&gt;=Configuracao!B10/100),"sim","não"))</f>
        <v>aguardando limiar</v>
      </c>
    </row>
    <row r="1808" spans="1:31" x14ac:dyDescent="0.25">
      <c r="A1808">
        <v>12608</v>
      </c>
      <c r="C1808" t="s">
        <v>1367</v>
      </c>
      <c r="D1808" t="s">
        <v>474</v>
      </c>
      <c r="E1808" t="s">
        <v>474</v>
      </c>
      <c r="F1808" t="s">
        <v>165</v>
      </c>
      <c r="G1808" t="s">
        <v>165</v>
      </c>
      <c r="H1808" t="s">
        <v>92</v>
      </c>
      <c r="I1808" t="s">
        <v>420</v>
      </c>
      <c r="J1808" t="s">
        <v>420</v>
      </c>
      <c r="K1808" s="4">
        <v>23910</v>
      </c>
      <c r="L1808" s="4">
        <v>23910</v>
      </c>
      <c r="M1808" t="s">
        <v>166</v>
      </c>
      <c r="N1808" t="s">
        <v>77</v>
      </c>
      <c r="O1808" t="s">
        <v>86</v>
      </c>
      <c r="P1808" t="s">
        <v>170</v>
      </c>
      <c r="Q1808" t="s">
        <v>86</v>
      </c>
      <c r="R1808" t="s">
        <v>86</v>
      </c>
      <c r="S1808" t="s">
        <v>167</v>
      </c>
      <c r="T1808" t="s">
        <v>167</v>
      </c>
      <c r="U1808" t="s">
        <v>168</v>
      </c>
      <c r="V1808" t="s">
        <v>169</v>
      </c>
      <c r="W1808" t="s">
        <v>77</v>
      </c>
      <c r="X1808" t="s">
        <v>166</v>
      </c>
      <c r="Y1808" t="s">
        <v>1354</v>
      </c>
      <c r="Z1808" t="s">
        <v>434</v>
      </c>
      <c r="AC1808" t="str">
        <f>IF(AA1808="",M1808,AA1808)</f>
        <v>não</v>
      </c>
      <c r="AD1808" t="str">
        <f>IF(AB1808="",X1808,AB1808)</f>
        <v>não</v>
      </c>
      <c r="AE1808" t="str">
        <f>IF(OR(Configuracao!B9="",Configuracao!B10=""),"aguardando limiar",IF(AND(K1808&gt;=Configuracao!B9,K1808/MAX(Reconciliacao!C2,1)&gt;=Configuracao!B10/100),"sim","não"))</f>
        <v>aguardando limiar</v>
      </c>
    </row>
    <row r="1809" spans="1:31" x14ac:dyDescent="0.25">
      <c r="A1809">
        <v>13361</v>
      </c>
      <c r="D1809" t="s">
        <v>474</v>
      </c>
      <c r="E1809" t="s">
        <v>474</v>
      </c>
      <c r="F1809" t="s">
        <v>165</v>
      </c>
      <c r="G1809" t="s">
        <v>165</v>
      </c>
      <c r="H1809" t="s">
        <v>92</v>
      </c>
      <c r="I1809" t="s">
        <v>420</v>
      </c>
      <c r="J1809" t="s">
        <v>420</v>
      </c>
      <c r="K1809" s="4">
        <v>25000</v>
      </c>
      <c r="L1809" s="4">
        <v>25000</v>
      </c>
      <c r="M1809" t="s">
        <v>166</v>
      </c>
      <c r="N1809" t="s">
        <v>77</v>
      </c>
      <c r="O1809" t="s">
        <v>86</v>
      </c>
      <c r="P1809" t="s">
        <v>170</v>
      </c>
      <c r="Q1809" t="s">
        <v>86</v>
      </c>
      <c r="R1809" t="s">
        <v>86</v>
      </c>
      <c r="S1809" t="s">
        <v>167</v>
      </c>
      <c r="T1809" t="s">
        <v>167</v>
      </c>
      <c r="U1809" t="s">
        <v>168</v>
      </c>
      <c r="V1809" t="s">
        <v>169</v>
      </c>
      <c r="W1809" t="s">
        <v>77</v>
      </c>
      <c r="X1809" t="s">
        <v>166</v>
      </c>
      <c r="Y1809" t="s">
        <v>1354</v>
      </c>
      <c r="Z1809" t="s">
        <v>434</v>
      </c>
      <c r="AC1809" t="str">
        <f>IF(AA1809="",M1809,AA1809)</f>
        <v>não</v>
      </c>
      <c r="AD1809" t="str">
        <f>IF(AB1809="",X1809,AB1809)</f>
        <v>não</v>
      </c>
      <c r="AE1809" t="str">
        <f>IF(OR(Configuracao!B9="",Configuracao!B10=""),"aguardando limiar",IF(AND(K1809&gt;=Configuracao!B9,K1809/MAX(Reconciliacao!C2,1)&gt;=Configuracao!B10/100),"sim","não"))</f>
        <v>aguardando limiar</v>
      </c>
    </row>
    <row r="1810" spans="1:31" x14ac:dyDescent="0.25">
      <c r="A1810">
        <v>18224</v>
      </c>
      <c r="D1810" t="s">
        <v>474</v>
      </c>
      <c r="E1810" t="s">
        <v>474</v>
      </c>
      <c r="F1810" t="s">
        <v>165</v>
      </c>
      <c r="G1810" t="s">
        <v>165</v>
      </c>
      <c r="H1810" t="s">
        <v>92</v>
      </c>
      <c r="I1810" t="s">
        <v>439</v>
      </c>
      <c r="J1810" t="s">
        <v>439</v>
      </c>
      <c r="K1810" s="4">
        <v>25000</v>
      </c>
      <c r="L1810" s="4">
        <v>25000</v>
      </c>
      <c r="M1810" t="s">
        <v>166</v>
      </c>
      <c r="N1810" t="s">
        <v>77</v>
      </c>
      <c r="O1810" t="s">
        <v>86</v>
      </c>
      <c r="P1810" t="s">
        <v>170</v>
      </c>
      <c r="Q1810" t="s">
        <v>86</v>
      </c>
      <c r="R1810" t="s">
        <v>86</v>
      </c>
      <c r="S1810" t="s">
        <v>167</v>
      </c>
      <c r="T1810" t="s">
        <v>167</v>
      </c>
      <c r="U1810" t="s">
        <v>168</v>
      </c>
      <c r="V1810" t="s">
        <v>169</v>
      </c>
      <c r="W1810" t="s">
        <v>77</v>
      </c>
      <c r="X1810" t="s">
        <v>166</v>
      </c>
      <c r="Y1810" t="s">
        <v>1354</v>
      </c>
      <c r="Z1810" t="s">
        <v>434</v>
      </c>
      <c r="AC1810" t="str">
        <f>IF(AA1810="",M1810,AA1810)</f>
        <v>não</v>
      </c>
      <c r="AD1810" t="str">
        <f>IF(AB1810="",X1810,AB1810)</f>
        <v>não</v>
      </c>
      <c r="AE1810" t="str">
        <f>IF(OR(Configuracao!B9="",Configuracao!B10=""),"aguardando limiar",IF(AND(K1810&gt;=Configuracao!B9,K1810/MAX(Reconciliacao!C2,1)&gt;=Configuracao!B10/100),"sim","não"))</f>
        <v>aguardando limiar</v>
      </c>
    </row>
    <row r="1811" spans="1:31" x14ac:dyDescent="0.25">
      <c r="A1811">
        <v>18894</v>
      </c>
      <c r="D1811" t="s">
        <v>474</v>
      </c>
      <c r="E1811" t="s">
        <v>474</v>
      </c>
      <c r="F1811" t="s">
        <v>165</v>
      </c>
      <c r="G1811" t="s">
        <v>165</v>
      </c>
      <c r="H1811" t="s">
        <v>92</v>
      </c>
      <c r="I1811" t="s">
        <v>35</v>
      </c>
      <c r="J1811" t="s">
        <v>35</v>
      </c>
      <c r="K1811" s="4">
        <v>25000</v>
      </c>
      <c r="L1811" s="4">
        <v>25000</v>
      </c>
      <c r="M1811" t="s">
        <v>166</v>
      </c>
      <c r="N1811" t="s">
        <v>77</v>
      </c>
      <c r="O1811" t="s">
        <v>86</v>
      </c>
      <c r="P1811" t="s">
        <v>170</v>
      </c>
      <c r="Q1811" t="s">
        <v>86</v>
      </c>
      <c r="R1811" t="s">
        <v>86</v>
      </c>
      <c r="S1811" t="s">
        <v>167</v>
      </c>
      <c r="T1811" t="s">
        <v>167</v>
      </c>
      <c r="U1811" t="s">
        <v>168</v>
      </c>
      <c r="V1811" t="s">
        <v>169</v>
      </c>
      <c r="W1811" t="s">
        <v>77</v>
      </c>
      <c r="X1811" t="s">
        <v>166</v>
      </c>
      <c r="Y1811" t="s">
        <v>1354</v>
      </c>
      <c r="Z1811" t="s">
        <v>434</v>
      </c>
      <c r="AC1811" t="str">
        <f>IF(AA1811="",M1811,AA1811)</f>
        <v>não</v>
      </c>
      <c r="AD1811" t="str">
        <f>IF(AB1811="",X1811,AB1811)</f>
        <v>não</v>
      </c>
      <c r="AE1811" t="str">
        <f>IF(OR(Configuracao!B9="",Configuracao!B10=""),"aguardando limiar",IF(AND(K1811&gt;=Configuracao!B9,K1811/MAX(Reconciliacao!C2,1)&gt;=Configuracao!B10/100),"sim","não"))</f>
        <v>aguardando limiar</v>
      </c>
    </row>
    <row r="1812" spans="1:31" x14ac:dyDescent="0.25">
      <c r="A1812">
        <v>19133</v>
      </c>
      <c r="D1812" t="s">
        <v>471</v>
      </c>
      <c r="E1812" t="s">
        <v>471</v>
      </c>
      <c r="F1812" t="s">
        <v>165</v>
      </c>
      <c r="G1812" t="s">
        <v>165</v>
      </c>
      <c r="H1812" t="s">
        <v>92</v>
      </c>
      <c r="I1812" t="s">
        <v>35</v>
      </c>
      <c r="J1812" t="s">
        <v>35</v>
      </c>
      <c r="K1812" s="4">
        <v>25000</v>
      </c>
      <c r="L1812" s="4">
        <v>25000</v>
      </c>
      <c r="M1812" t="s">
        <v>166</v>
      </c>
      <c r="N1812" t="s">
        <v>77</v>
      </c>
      <c r="O1812" t="s">
        <v>86</v>
      </c>
      <c r="P1812" t="s">
        <v>170</v>
      </c>
      <c r="Q1812" t="s">
        <v>86</v>
      </c>
      <c r="R1812" t="s">
        <v>86</v>
      </c>
      <c r="S1812" t="s">
        <v>167</v>
      </c>
      <c r="T1812" t="s">
        <v>167</v>
      </c>
      <c r="U1812" t="s">
        <v>168</v>
      </c>
      <c r="V1812" t="s">
        <v>169</v>
      </c>
      <c r="W1812" t="s">
        <v>77</v>
      </c>
      <c r="X1812" t="s">
        <v>166</v>
      </c>
      <c r="Y1812" t="s">
        <v>1354</v>
      </c>
      <c r="Z1812" t="s">
        <v>434</v>
      </c>
      <c r="AC1812" t="str">
        <f>IF(AA1812="",M1812,AA1812)</f>
        <v>não</v>
      </c>
      <c r="AD1812" t="str">
        <f>IF(AB1812="",X1812,AB1812)</f>
        <v>não</v>
      </c>
      <c r="AE1812" t="str">
        <f>IF(OR(Configuracao!B9="",Configuracao!B10=""),"aguardando limiar",IF(AND(K1812&gt;=Configuracao!B9,K1812/MAX(Reconciliacao!C2,1)&gt;=Configuracao!B10/100),"sim","não"))</f>
        <v>aguardando limiar</v>
      </c>
    </row>
    <row r="1813" spans="1:31" x14ac:dyDescent="0.25">
      <c r="A1813">
        <v>6018</v>
      </c>
      <c r="C1813" t="s">
        <v>1368</v>
      </c>
      <c r="D1813" t="s">
        <v>1363</v>
      </c>
      <c r="E1813" t="s">
        <v>474</v>
      </c>
      <c r="F1813" t="s">
        <v>165</v>
      </c>
      <c r="G1813" t="s">
        <v>165</v>
      </c>
      <c r="H1813" t="s">
        <v>92</v>
      </c>
      <c r="I1813" t="s">
        <v>420</v>
      </c>
      <c r="J1813" t="s">
        <v>420</v>
      </c>
      <c r="K1813" s="4">
        <v>26639.39</v>
      </c>
      <c r="L1813" s="4">
        <v>26639.39</v>
      </c>
      <c r="M1813" t="s">
        <v>166</v>
      </c>
      <c r="N1813" t="s">
        <v>77</v>
      </c>
      <c r="O1813" t="s">
        <v>86</v>
      </c>
      <c r="P1813" t="s">
        <v>170</v>
      </c>
      <c r="Q1813" t="s">
        <v>86</v>
      </c>
      <c r="R1813" t="s">
        <v>86</v>
      </c>
      <c r="S1813" t="s">
        <v>167</v>
      </c>
      <c r="T1813" t="s">
        <v>167</v>
      </c>
      <c r="U1813" t="s">
        <v>168</v>
      </c>
      <c r="V1813" t="s">
        <v>169</v>
      </c>
      <c r="W1813" t="s">
        <v>77</v>
      </c>
      <c r="X1813" t="s">
        <v>166</v>
      </c>
      <c r="Y1813" t="s">
        <v>1354</v>
      </c>
      <c r="Z1813" t="s">
        <v>434</v>
      </c>
      <c r="AC1813" t="str">
        <f>IF(AA1813="",M1813,AA1813)</f>
        <v>não</v>
      </c>
      <c r="AD1813" t="str">
        <f>IF(AB1813="",X1813,AB1813)</f>
        <v>não</v>
      </c>
      <c r="AE1813" t="str">
        <f>IF(OR(Configuracao!B9="",Configuracao!B10=""),"aguardando limiar",IF(AND(K1813&gt;=Configuracao!B9,K1813/MAX(Reconciliacao!C2,1)&gt;=Configuracao!B10/100),"sim","não"))</f>
        <v>aguardando limiar</v>
      </c>
    </row>
    <row r="1814" spans="1:31" x14ac:dyDescent="0.25">
      <c r="A1814">
        <v>12668</v>
      </c>
      <c r="C1814" t="s">
        <v>1369</v>
      </c>
      <c r="D1814" t="s">
        <v>1363</v>
      </c>
      <c r="E1814" t="s">
        <v>474</v>
      </c>
      <c r="F1814" t="s">
        <v>165</v>
      </c>
      <c r="G1814" t="s">
        <v>165</v>
      </c>
      <c r="H1814" t="s">
        <v>92</v>
      </c>
      <c r="I1814" t="s">
        <v>454</v>
      </c>
      <c r="J1814" t="s">
        <v>454</v>
      </c>
      <c r="K1814" s="4">
        <v>26639.39</v>
      </c>
      <c r="L1814" s="4">
        <v>26639.39</v>
      </c>
      <c r="M1814" t="s">
        <v>166</v>
      </c>
      <c r="N1814" t="s">
        <v>77</v>
      </c>
      <c r="O1814" t="s">
        <v>86</v>
      </c>
      <c r="P1814" t="s">
        <v>170</v>
      </c>
      <c r="Q1814" t="s">
        <v>86</v>
      </c>
      <c r="R1814" t="s">
        <v>86</v>
      </c>
      <c r="S1814" t="s">
        <v>167</v>
      </c>
      <c r="T1814" t="s">
        <v>167</v>
      </c>
      <c r="U1814" t="s">
        <v>168</v>
      </c>
      <c r="V1814" t="s">
        <v>169</v>
      </c>
      <c r="W1814" t="s">
        <v>77</v>
      </c>
      <c r="X1814" t="s">
        <v>166</v>
      </c>
      <c r="Y1814" t="s">
        <v>1354</v>
      </c>
      <c r="Z1814" t="s">
        <v>434</v>
      </c>
      <c r="AC1814" t="str">
        <f>IF(AA1814="",M1814,AA1814)</f>
        <v>não</v>
      </c>
      <c r="AD1814" t="str">
        <f>IF(AB1814="",X1814,AB1814)</f>
        <v>não</v>
      </c>
      <c r="AE1814" t="str">
        <f>IF(OR(Configuracao!B9="",Configuracao!B10=""),"aguardando limiar",IF(AND(K1814&gt;=Configuracao!B9,K1814/MAX(Reconciliacao!C2,1)&gt;=Configuracao!B10/100),"sim","não"))</f>
        <v>aguardando limiar</v>
      </c>
    </row>
    <row r="1815" spans="1:31" x14ac:dyDescent="0.25">
      <c r="A1815">
        <v>12669</v>
      </c>
      <c r="C1815" t="s">
        <v>1370</v>
      </c>
      <c r="D1815" t="s">
        <v>1363</v>
      </c>
      <c r="E1815" t="s">
        <v>474</v>
      </c>
      <c r="F1815" t="s">
        <v>165</v>
      </c>
      <c r="G1815" t="s">
        <v>165</v>
      </c>
      <c r="H1815" t="s">
        <v>92</v>
      </c>
      <c r="I1815" t="s">
        <v>461</v>
      </c>
      <c r="J1815" t="s">
        <v>461</v>
      </c>
      <c r="K1815" s="4">
        <v>26639.39</v>
      </c>
      <c r="L1815" s="4">
        <v>26639.39</v>
      </c>
      <c r="M1815" t="s">
        <v>166</v>
      </c>
      <c r="N1815" t="s">
        <v>77</v>
      </c>
      <c r="O1815" t="s">
        <v>86</v>
      </c>
      <c r="P1815" t="s">
        <v>170</v>
      </c>
      <c r="Q1815" t="s">
        <v>86</v>
      </c>
      <c r="R1815" t="s">
        <v>86</v>
      </c>
      <c r="S1815" t="s">
        <v>167</v>
      </c>
      <c r="T1815" t="s">
        <v>167</v>
      </c>
      <c r="U1815" t="s">
        <v>168</v>
      </c>
      <c r="V1815" t="s">
        <v>169</v>
      </c>
      <c r="W1815" t="s">
        <v>77</v>
      </c>
      <c r="X1815" t="s">
        <v>166</v>
      </c>
      <c r="Y1815" t="s">
        <v>1354</v>
      </c>
      <c r="Z1815" t="s">
        <v>434</v>
      </c>
      <c r="AC1815" t="str">
        <f>IF(AA1815="",M1815,AA1815)</f>
        <v>não</v>
      </c>
      <c r="AD1815" t="str">
        <f>IF(AB1815="",X1815,AB1815)</f>
        <v>não</v>
      </c>
      <c r="AE1815" t="str">
        <f>IF(OR(Configuracao!B9="",Configuracao!B10=""),"aguardando limiar",IF(AND(K1815&gt;=Configuracao!B9,K1815/MAX(Reconciliacao!C2,1)&gt;=Configuracao!B10/100),"sim","não"))</f>
        <v>aguardando limiar</v>
      </c>
    </row>
    <row r="1816" spans="1:31" x14ac:dyDescent="0.25">
      <c r="A1816">
        <v>12892</v>
      </c>
      <c r="D1816" t="s">
        <v>474</v>
      </c>
      <c r="E1816" t="s">
        <v>474</v>
      </c>
      <c r="F1816" t="s">
        <v>165</v>
      </c>
      <c r="G1816" t="s">
        <v>165</v>
      </c>
      <c r="H1816" t="s">
        <v>92</v>
      </c>
      <c r="I1816" t="s">
        <v>420</v>
      </c>
      <c r="J1816" t="s">
        <v>420</v>
      </c>
      <c r="K1816" s="4">
        <v>30000</v>
      </c>
      <c r="L1816" s="4">
        <v>30000</v>
      </c>
      <c r="M1816" t="s">
        <v>166</v>
      </c>
      <c r="N1816" t="s">
        <v>77</v>
      </c>
      <c r="O1816" t="s">
        <v>86</v>
      </c>
      <c r="P1816" t="s">
        <v>170</v>
      </c>
      <c r="Q1816" t="s">
        <v>86</v>
      </c>
      <c r="R1816" t="s">
        <v>86</v>
      </c>
      <c r="S1816" t="s">
        <v>167</v>
      </c>
      <c r="T1816" t="s">
        <v>167</v>
      </c>
      <c r="U1816" t="s">
        <v>168</v>
      </c>
      <c r="V1816" t="s">
        <v>169</v>
      </c>
      <c r="W1816" t="s">
        <v>77</v>
      </c>
      <c r="X1816" t="s">
        <v>166</v>
      </c>
      <c r="Y1816" t="s">
        <v>1354</v>
      </c>
      <c r="Z1816" t="s">
        <v>434</v>
      </c>
      <c r="AC1816" t="str">
        <f>IF(AA1816="",M1816,AA1816)</f>
        <v>não</v>
      </c>
      <c r="AD1816" t="str">
        <f>IF(AB1816="",X1816,AB1816)</f>
        <v>não</v>
      </c>
      <c r="AE1816" t="str">
        <f>IF(OR(Configuracao!B9="",Configuracao!B10=""),"aguardando limiar",IF(AND(K1816&gt;=Configuracao!B9,K1816/MAX(Reconciliacao!C2,1)&gt;=Configuracao!B10/100),"sim","não"))</f>
        <v>aguardando limiar</v>
      </c>
    </row>
    <row r="1817" spans="1:31" x14ac:dyDescent="0.25">
      <c r="A1817">
        <v>17544</v>
      </c>
      <c r="D1817" t="s">
        <v>471</v>
      </c>
      <c r="E1817" t="s">
        <v>471</v>
      </c>
      <c r="F1817" t="s">
        <v>165</v>
      </c>
      <c r="G1817" t="s">
        <v>165</v>
      </c>
      <c r="H1817" t="s">
        <v>92</v>
      </c>
      <c r="I1817" t="s">
        <v>442</v>
      </c>
      <c r="J1817" t="s">
        <v>442</v>
      </c>
      <c r="K1817" s="4">
        <v>30000</v>
      </c>
      <c r="L1817" s="4">
        <v>30000</v>
      </c>
      <c r="M1817" t="s">
        <v>166</v>
      </c>
      <c r="N1817" t="s">
        <v>77</v>
      </c>
      <c r="O1817" t="s">
        <v>86</v>
      </c>
      <c r="P1817" t="s">
        <v>170</v>
      </c>
      <c r="Q1817" t="s">
        <v>86</v>
      </c>
      <c r="R1817" t="s">
        <v>86</v>
      </c>
      <c r="S1817" t="s">
        <v>167</v>
      </c>
      <c r="T1817" t="s">
        <v>167</v>
      </c>
      <c r="U1817" t="s">
        <v>168</v>
      </c>
      <c r="V1817" t="s">
        <v>169</v>
      </c>
      <c r="W1817" t="s">
        <v>77</v>
      </c>
      <c r="X1817" t="s">
        <v>166</v>
      </c>
      <c r="Y1817" t="s">
        <v>1354</v>
      </c>
      <c r="Z1817" t="s">
        <v>434</v>
      </c>
      <c r="AC1817" t="str">
        <f>IF(AA1817="",M1817,AA1817)</f>
        <v>não</v>
      </c>
      <c r="AD1817" t="str">
        <f>IF(AB1817="",X1817,AB1817)</f>
        <v>não</v>
      </c>
      <c r="AE1817" t="str">
        <f>IF(OR(Configuracao!B9="",Configuracao!B10=""),"aguardando limiar",IF(AND(K1817&gt;=Configuracao!B9,K1817/MAX(Reconciliacao!C2,1)&gt;=Configuracao!B10/100),"sim","não"))</f>
        <v>aguardando limiar</v>
      </c>
    </row>
    <row r="1818" spans="1:31" x14ac:dyDescent="0.25">
      <c r="A1818">
        <v>17545</v>
      </c>
      <c r="D1818" t="s">
        <v>474</v>
      </c>
      <c r="E1818" t="s">
        <v>474</v>
      </c>
      <c r="F1818" t="s">
        <v>165</v>
      </c>
      <c r="G1818" t="s">
        <v>165</v>
      </c>
      <c r="H1818" t="s">
        <v>92</v>
      </c>
      <c r="I1818" t="s">
        <v>442</v>
      </c>
      <c r="J1818" t="s">
        <v>442</v>
      </c>
      <c r="K1818" s="4">
        <v>30000</v>
      </c>
      <c r="L1818" s="4">
        <v>30000</v>
      </c>
      <c r="M1818" t="s">
        <v>166</v>
      </c>
      <c r="N1818" t="s">
        <v>77</v>
      </c>
      <c r="O1818" t="s">
        <v>86</v>
      </c>
      <c r="P1818" t="s">
        <v>170</v>
      </c>
      <c r="Q1818" t="s">
        <v>86</v>
      </c>
      <c r="R1818" t="s">
        <v>86</v>
      </c>
      <c r="S1818" t="s">
        <v>167</v>
      </c>
      <c r="T1818" t="s">
        <v>167</v>
      </c>
      <c r="U1818" t="s">
        <v>168</v>
      </c>
      <c r="V1818" t="s">
        <v>169</v>
      </c>
      <c r="W1818" t="s">
        <v>77</v>
      </c>
      <c r="X1818" t="s">
        <v>166</v>
      </c>
      <c r="Y1818" t="s">
        <v>1354</v>
      </c>
      <c r="Z1818" t="s">
        <v>434</v>
      </c>
      <c r="AC1818" t="str">
        <f>IF(AA1818="",M1818,AA1818)</f>
        <v>não</v>
      </c>
      <c r="AD1818" t="str">
        <f>IF(AB1818="",X1818,AB1818)</f>
        <v>não</v>
      </c>
      <c r="AE1818" t="str">
        <f>IF(OR(Configuracao!B9="",Configuracao!B10=""),"aguardando limiar",IF(AND(K1818&gt;=Configuracao!B9,K1818/MAX(Reconciliacao!C2,1)&gt;=Configuracao!B10/100),"sim","não"))</f>
        <v>aguardando limiar</v>
      </c>
    </row>
    <row r="1819" spans="1:31" x14ac:dyDescent="0.25">
      <c r="A1819">
        <v>17929</v>
      </c>
      <c r="D1819" t="s">
        <v>474</v>
      </c>
      <c r="E1819" t="s">
        <v>474</v>
      </c>
      <c r="F1819" t="s">
        <v>165</v>
      </c>
      <c r="G1819" t="s">
        <v>165</v>
      </c>
      <c r="H1819" t="s">
        <v>92</v>
      </c>
      <c r="I1819" t="s">
        <v>439</v>
      </c>
      <c r="J1819" t="s">
        <v>439</v>
      </c>
      <c r="K1819" s="4">
        <v>30000</v>
      </c>
      <c r="L1819" s="4">
        <v>30000</v>
      </c>
      <c r="M1819" t="s">
        <v>166</v>
      </c>
      <c r="N1819" t="s">
        <v>77</v>
      </c>
      <c r="O1819" t="s">
        <v>86</v>
      </c>
      <c r="P1819" t="s">
        <v>170</v>
      </c>
      <c r="Q1819" t="s">
        <v>86</v>
      </c>
      <c r="R1819" t="s">
        <v>86</v>
      </c>
      <c r="S1819" t="s">
        <v>167</v>
      </c>
      <c r="T1819" t="s">
        <v>167</v>
      </c>
      <c r="U1819" t="s">
        <v>168</v>
      </c>
      <c r="V1819" t="s">
        <v>169</v>
      </c>
      <c r="W1819" t="s">
        <v>77</v>
      </c>
      <c r="X1819" t="s">
        <v>166</v>
      </c>
      <c r="Y1819" t="s">
        <v>1354</v>
      </c>
      <c r="Z1819" t="s">
        <v>434</v>
      </c>
      <c r="AC1819" t="str">
        <f>IF(AA1819="",M1819,AA1819)</f>
        <v>não</v>
      </c>
      <c r="AD1819" t="str">
        <f>IF(AB1819="",X1819,AB1819)</f>
        <v>não</v>
      </c>
      <c r="AE1819" t="str">
        <f>IF(OR(Configuracao!B9="",Configuracao!B10=""),"aguardando limiar",IF(AND(K1819&gt;=Configuracao!B9,K1819/MAX(Reconciliacao!C2,1)&gt;=Configuracao!B10/100),"sim","não"))</f>
        <v>aguardando limiar</v>
      </c>
    </row>
    <row r="1820" spans="1:31" x14ac:dyDescent="0.25">
      <c r="A1820">
        <v>18002</v>
      </c>
      <c r="D1820" t="s">
        <v>471</v>
      </c>
      <c r="E1820" t="s">
        <v>471</v>
      </c>
      <c r="F1820" t="s">
        <v>165</v>
      </c>
      <c r="G1820" t="s">
        <v>165</v>
      </c>
      <c r="H1820" t="s">
        <v>92</v>
      </c>
      <c r="I1820" t="s">
        <v>439</v>
      </c>
      <c r="J1820" t="s">
        <v>439</v>
      </c>
      <c r="K1820" s="4">
        <v>30000</v>
      </c>
      <c r="L1820" s="4">
        <v>30000</v>
      </c>
      <c r="M1820" t="s">
        <v>166</v>
      </c>
      <c r="N1820" t="s">
        <v>77</v>
      </c>
      <c r="O1820" t="s">
        <v>86</v>
      </c>
      <c r="P1820" t="s">
        <v>170</v>
      </c>
      <c r="Q1820" t="s">
        <v>86</v>
      </c>
      <c r="R1820" t="s">
        <v>86</v>
      </c>
      <c r="S1820" t="s">
        <v>167</v>
      </c>
      <c r="T1820" t="s">
        <v>167</v>
      </c>
      <c r="U1820" t="s">
        <v>168</v>
      </c>
      <c r="V1820" t="s">
        <v>169</v>
      </c>
      <c r="W1820" t="s">
        <v>77</v>
      </c>
      <c r="X1820" t="s">
        <v>166</v>
      </c>
      <c r="Y1820" t="s">
        <v>1354</v>
      </c>
      <c r="Z1820" t="s">
        <v>434</v>
      </c>
      <c r="AC1820" t="str">
        <f>IF(AA1820="",M1820,AA1820)</f>
        <v>não</v>
      </c>
      <c r="AD1820" t="str">
        <f>IF(AB1820="",X1820,AB1820)</f>
        <v>não</v>
      </c>
      <c r="AE1820" t="str">
        <f>IF(OR(Configuracao!B9="",Configuracao!B10=""),"aguardando limiar",IF(AND(K1820&gt;=Configuracao!B9,K1820/MAX(Reconciliacao!C2,1)&gt;=Configuracao!B10/100),"sim","não"))</f>
        <v>aguardando limiar</v>
      </c>
    </row>
    <row r="1821" spans="1:31" x14ac:dyDescent="0.25">
      <c r="A1821">
        <v>18889</v>
      </c>
      <c r="D1821" t="s">
        <v>471</v>
      </c>
      <c r="E1821" t="s">
        <v>471</v>
      </c>
      <c r="F1821" t="s">
        <v>165</v>
      </c>
      <c r="G1821" t="s">
        <v>165</v>
      </c>
      <c r="H1821" t="s">
        <v>92</v>
      </c>
      <c r="I1821" t="s">
        <v>35</v>
      </c>
      <c r="J1821" t="s">
        <v>35</v>
      </c>
      <c r="K1821" s="4">
        <v>30000</v>
      </c>
      <c r="L1821" s="4">
        <v>30000</v>
      </c>
      <c r="M1821" t="s">
        <v>166</v>
      </c>
      <c r="N1821" t="s">
        <v>77</v>
      </c>
      <c r="O1821" t="s">
        <v>86</v>
      </c>
      <c r="P1821" t="s">
        <v>170</v>
      </c>
      <c r="Q1821" t="s">
        <v>86</v>
      </c>
      <c r="R1821" t="s">
        <v>86</v>
      </c>
      <c r="S1821" t="s">
        <v>167</v>
      </c>
      <c r="T1821" t="s">
        <v>167</v>
      </c>
      <c r="U1821" t="s">
        <v>168</v>
      </c>
      <c r="V1821" t="s">
        <v>169</v>
      </c>
      <c r="W1821" t="s">
        <v>77</v>
      </c>
      <c r="X1821" t="s">
        <v>166</v>
      </c>
      <c r="Y1821" t="s">
        <v>1354</v>
      </c>
      <c r="Z1821" t="s">
        <v>434</v>
      </c>
      <c r="AC1821" t="str">
        <f>IF(AA1821="",M1821,AA1821)</f>
        <v>não</v>
      </c>
      <c r="AD1821" t="str">
        <f>IF(AB1821="",X1821,AB1821)</f>
        <v>não</v>
      </c>
      <c r="AE1821" t="str">
        <f>IF(OR(Configuracao!B9="",Configuracao!B10=""),"aguardando limiar",IF(AND(K1821&gt;=Configuracao!B9,K1821/MAX(Reconciliacao!C2,1)&gt;=Configuracao!B10/100),"sim","não"))</f>
        <v>aguardando limiar</v>
      </c>
    </row>
    <row r="1822" spans="1:31" x14ac:dyDescent="0.25">
      <c r="A1822">
        <v>15786</v>
      </c>
      <c r="D1822" t="s">
        <v>474</v>
      </c>
      <c r="E1822" t="s">
        <v>474</v>
      </c>
      <c r="F1822" t="s">
        <v>165</v>
      </c>
      <c r="G1822" t="s">
        <v>165</v>
      </c>
      <c r="H1822" t="s">
        <v>92</v>
      </c>
      <c r="I1822" t="s">
        <v>454</v>
      </c>
      <c r="J1822" t="s">
        <v>454</v>
      </c>
      <c r="K1822" s="4">
        <v>40000</v>
      </c>
      <c r="L1822" s="4">
        <v>40000</v>
      </c>
      <c r="M1822" t="s">
        <v>166</v>
      </c>
      <c r="N1822" t="s">
        <v>77</v>
      </c>
      <c r="O1822" t="s">
        <v>86</v>
      </c>
      <c r="P1822" t="s">
        <v>170</v>
      </c>
      <c r="Q1822" t="s">
        <v>86</v>
      </c>
      <c r="R1822" t="s">
        <v>86</v>
      </c>
      <c r="S1822" t="s">
        <v>167</v>
      </c>
      <c r="T1822" t="s">
        <v>167</v>
      </c>
      <c r="U1822" t="s">
        <v>168</v>
      </c>
      <c r="V1822" t="s">
        <v>169</v>
      </c>
      <c r="W1822" t="s">
        <v>77</v>
      </c>
      <c r="X1822" t="s">
        <v>166</v>
      </c>
      <c r="Y1822" t="s">
        <v>1354</v>
      </c>
      <c r="Z1822" t="s">
        <v>434</v>
      </c>
      <c r="AC1822" t="str">
        <f>IF(AA1822="",M1822,AA1822)</f>
        <v>não</v>
      </c>
      <c r="AD1822" t="str">
        <f>IF(AB1822="",X1822,AB1822)</f>
        <v>não</v>
      </c>
      <c r="AE1822" t="str">
        <f>IF(OR(Configuracao!B9="",Configuracao!B10=""),"aguardando limiar",IF(AND(K1822&gt;=Configuracao!B9,K1822/MAX(Reconciliacao!C2,1)&gt;=Configuracao!B10/100),"sim","não"))</f>
        <v>aguardando limiar</v>
      </c>
    </row>
    <row r="1823" spans="1:31" x14ac:dyDescent="0.25">
      <c r="A1823">
        <v>17518</v>
      </c>
      <c r="D1823" t="s">
        <v>474</v>
      </c>
      <c r="E1823" t="s">
        <v>474</v>
      </c>
      <c r="F1823" t="s">
        <v>165</v>
      </c>
      <c r="G1823" t="s">
        <v>165</v>
      </c>
      <c r="H1823" t="s">
        <v>92</v>
      </c>
      <c r="I1823" t="s">
        <v>442</v>
      </c>
      <c r="J1823" t="s">
        <v>442</v>
      </c>
      <c r="K1823" s="4">
        <v>40000</v>
      </c>
      <c r="L1823" s="4">
        <v>40000</v>
      </c>
      <c r="M1823" t="s">
        <v>166</v>
      </c>
      <c r="N1823" t="s">
        <v>77</v>
      </c>
      <c r="O1823" t="s">
        <v>86</v>
      </c>
      <c r="P1823" t="s">
        <v>170</v>
      </c>
      <c r="Q1823" t="s">
        <v>86</v>
      </c>
      <c r="R1823" t="s">
        <v>86</v>
      </c>
      <c r="S1823" t="s">
        <v>167</v>
      </c>
      <c r="T1823" t="s">
        <v>167</v>
      </c>
      <c r="U1823" t="s">
        <v>168</v>
      </c>
      <c r="V1823" t="s">
        <v>169</v>
      </c>
      <c r="W1823" t="s">
        <v>77</v>
      </c>
      <c r="X1823" t="s">
        <v>166</v>
      </c>
      <c r="Y1823" t="s">
        <v>1354</v>
      </c>
      <c r="Z1823" t="s">
        <v>434</v>
      </c>
      <c r="AC1823" t="str">
        <f>IF(AA1823="",M1823,AA1823)</f>
        <v>não</v>
      </c>
      <c r="AD1823" t="str">
        <f>IF(AB1823="",X1823,AB1823)</f>
        <v>não</v>
      </c>
      <c r="AE1823" t="str">
        <f>IF(OR(Configuracao!B9="",Configuracao!B10=""),"aguardando limiar",IF(AND(K1823&gt;=Configuracao!B9,K1823/MAX(Reconciliacao!C2,1)&gt;=Configuracao!B10/100),"sim","não"))</f>
        <v>aguardando limiar</v>
      </c>
    </row>
    <row r="1824" spans="1:31" x14ac:dyDescent="0.25">
      <c r="A1824">
        <v>18873</v>
      </c>
      <c r="D1824" t="s">
        <v>474</v>
      </c>
      <c r="E1824" t="s">
        <v>474</v>
      </c>
      <c r="F1824" t="s">
        <v>165</v>
      </c>
      <c r="G1824" t="s">
        <v>165</v>
      </c>
      <c r="H1824" t="s">
        <v>92</v>
      </c>
      <c r="I1824" t="s">
        <v>35</v>
      </c>
      <c r="J1824" t="s">
        <v>35</v>
      </c>
      <c r="K1824" s="4">
        <v>40000</v>
      </c>
      <c r="L1824" s="4">
        <v>40000</v>
      </c>
      <c r="M1824" t="s">
        <v>166</v>
      </c>
      <c r="N1824" t="s">
        <v>77</v>
      </c>
      <c r="O1824" t="s">
        <v>86</v>
      </c>
      <c r="P1824" t="s">
        <v>170</v>
      </c>
      <c r="Q1824" t="s">
        <v>86</v>
      </c>
      <c r="R1824" t="s">
        <v>86</v>
      </c>
      <c r="S1824" t="s">
        <v>167</v>
      </c>
      <c r="T1824" t="s">
        <v>167</v>
      </c>
      <c r="U1824" t="s">
        <v>168</v>
      </c>
      <c r="V1824" t="s">
        <v>169</v>
      </c>
      <c r="W1824" t="s">
        <v>77</v>
      </c>
      <c r="X1824" t="s">
        <v>166</v>
      </c>
      <c r="Y1824" t="s">
        <v>1354</v>
      </c>
      <c r="Z1824" t="s">
        <v>434</v>
      </c>
      <c r="AC1824" t="str">
        <f>IF(AA1824="",M1824,AA1824)</f>
        <v>não</v>
      </c>
      <c r="AD1824" t="str">
        <f>IF(AB1824="",X1824,AB1824)</f>
        <v>não</v>
      </c>
      <c r="AE1824" t="str">
        <f>IF(OR(Configuracao!B9="",Configuracao!B10=""),"aguardando limiar",IF(AND(K1824&gt;=Configuracao!B9,K1824/MAX(Reconciliacao!C2,1)&gt;=Configuracao!B10/100),"sim","não"))</f>
        <v>aguardando limiar</v>
      </c>
    </row>
    <row r="1825" spans="1:31" x14ac:dyDescent="0.25">
      <c r="A1825">
        <v>14897</v>
      </c>
      <c r="D1825" t="s">
        <v>474</v>
      </c>
      <c r="E1825" t="s">
        <v>474</v>
      </c>
      <c r="F1825" t="s">
        <v>165</v>
      </c>
      <c r="G1825" t="s">
        <v>165</v>
      </c>
      <c r="H1825" t="s">
        <v>92</v>
      </c>
      <c r="I1825" t="s">
        <v>454</v>
      </c>
      <c r="J1825" t="s">
        <v>454</v>
      </c>
      <c r="K1825" s="4">
        <v>50000</v>
      </c>
      <c r="L1825" s="4">
        <v>50000</v>
      </c>
      <c r="M1825" t="s">
        <v>166</v>
      </c>
      <c r="N1825" t="s">
        <v>77</v>
      </c>
      <c r="O1825" t="s">
        <v>86</v>
      </c>
      <c r="P1825" t="s">
        <v>170</v>
      </c>
      <c r="Q1825" t="s">
        <v>86</v>
      </c>
      <c r="R1825" t="s">
        <v>86</v>
      </c>
      <c r="S1825" t="s">
        <v>167</v>
      </c>
      <c r="T1825" t="s">
        <v>167</v>
      </c>
      <c r="U1825" t="s">
        <v>168</v>
      </c>
      <c r="V1825" t="s">
        <v>169</v>
      </c>
      <c r="W1825" t="s">
        <v>77</v>
      </c>
      <c r="X1825" t="s">
        <v>166</v>
      </c>
      <c r="Y1825" t="s">
        <v>1354</v>
      </c>
      <c r="Z1825" t="s">
        <v>434</v>
      </c>
      <c r="AC1825" t="str">
        <f>IF(AA1825="",M1825,AA1825)</f>
        <v>não</v>
      </c>
      <c r="AD1825" t="str">
        <f>IF(AB1825="",X1825,AB1825)</f>
        <v>não</v>
      </c>
      <c r="AE1825" t="str">
        <f>IF(OR(Configuracao!B9="",Configuracao!B10=""),"aguardando limiar",IF(AND(K1825&gt;=Configuracao!B9,K1825/MAX(Reconciliacao!C2,1)&gt;=Configuracao!B10/100),"sim","não"))</f>
        <v>aguardando limiar</v>
      </c>
    </row>
    <row r="1826" spans="1:31" x14ac:dyDescent="0.25">
      <c r="A1826">
        <v>16669</v>
      </c>
      <c r="D1826" t="s">
        <v>474</v>
      </c>
      <c r="E1826" t="s">
        <v>474</v>
      </c>
      <c r="F1826" t="s">
        <v>165</v>
      </c>
      <c r="G1826" t="s">
        <v>165</v>
      </c>
      <c r="H1826" t="s">
        <v>92</v>
      </c>
      <c r="I1826" t="s">
        <v>461</v>
      </c>
      <c r="J1826" t="s">
        <v>461</v>
      </c>
      <c r="K1826" s="4">
        <v>50000</v>
      </c>
      <c r="L1826" s="4">
        <v>50000</v>
      </c>
      <c r="M1826" t="s">
        <v>166</v>
      </c>
      <c r="N1826" t="s">
        <v>77</v>
      </c>
      <c r="O1826" t="s">
        <v>86</v>
      </c>
      <c r="P1826" t="s">
        <v>170</v>
      </c>
      <c r="Q1826" t="s">
        <v>86</v>
      </c>
      <c r="R1826" t="s">
        <v>86</v>
      </c>
      <c r="S1826" t="s">
        <v>167</v>
      </c>
      <c r="T1826" t="s">
        <v>167</v>
      </c>
      <c r="U1826" t="s">
        <v>168</v>
      </c>
      <c r="V1826" t="s">
        <v>169</v>
      </c>
      <c r="W1826" t="s">
        <v>77</v>
      </c>
      <c r="X1826" t="s">
        <v>166</v>
      </c>
      <c r="Y1826" t="s">
        <v>1354</v>
      </c>
      <c r="Z1826" t="s">
        <v>434</v>
      </c>
      <c r="AC1826" t="str">
        <f>IF(AA1826="",M1826,AA1826)</f>
        <v>não</v>
      </c>
      <c r="AD1826" t="str">
        <f>IF(AB1826="",X1826,AB1826)</f>
        <v>não</v>
      </c>
      <c r="AE1826" t="str">
        <f>IF(OR(Configuracao!B9="",Configuracao!B10=""),"aguardando limiar",IF(AND(K1826&gt;=Configuracao!B9,K1826/MAX(Reconciliacao!C2,1)&gt;=Configuracao!B10/100),"sim","não"))</f>
        <v>aguardando limiar</v>
      </c>
    </row>
    <row r="1827" spans="1:31" x14ac:dyDescent="0.25">
      <c r="A1827">
        <v>17028</v>
      </c>
      <c r="D1827" t="s">
        <v>474</v>
      </c>
      <c r="E1827" t="s">
        <v>474</v>
      </c>
      <c r="F1827" t="s">
        <v>165</v>
      </c>
      <c r="G1827" t="s">
        <v>165</v>
      </c>
      <c r="H1827" t="s">
        <v>92</v>
      </c>
      <c r="I1827" t="s">
        <v>461</v>
      </c>
      <c r="J1827" t="s">
        <v>461</v>
      </c>
      <c r="K1827" s="4">
        <v>50000</v>
      </c>
      <c r="L1827" s="4">
        <v>50000</v>
      </c>
      <c r="M1827" t="s">
        <v>166</v>
      </c>
      <c r="N1827" t="s">
        <v>77</v>
      </c>
      <c r="O1827" t="s">
        <v>86</v>
      </c>
      <c r="P1827" t="s">
        <v>170</v>
      </c>
      <c r="Q1827" t="s">
        <v>86</v>
      </c>
      <c r="R1827" t="s">
        <v>86</v>
      </c>
      <c r="S1827" t="s">
        <v>167</v>
      </c>
      <c r="T1827" t="s">
        <v>167</v>
      </c>
      <c r="U1827" t="s">
        <v>168</v>
      </c>
      <c r="V1827" t="s">
        <v>169</v>
      </c>
      <c r="W1827" t="s">
        <v>77</v>
      </c>
      <c r="X1827" t="s">
        <v>166</v>
      </c>
      <c r="Y1827" t="s">
        <v>1354</v>
      </c>
      <c r="Z1827" t="s">
        <v>434</v>
      </c>
      <c r="AC1827" t="str">
        <f>IF(AA1827="",M1827,AA1827)</f>
        <v>não</v>
      </c>
      <c r="AD1827" t="str">
        <f>IF(AB1827="",X1827,AB1827)</f>
        <v>não</v>
      </c>
      <c r="AE1827" t="str">
        <f>IF(OR(Configuracao!B9="",Configuracao!B10=""),"aguardando limiar",IF(AND(K1827&gt;=Configuracao!B9,K1827/MAX(Reconciliacao!C2,1)&gt;=Configuracao!B10/100),"sim","não"))</f>
        <v>aguardando limiar</v>
      </c>
    </row>
    <row r="1828" spans="1:31" x14ac:dyDescent="0.25">
      <c r="A1828">
        <v>18479</v>
      </c>
      <c r="D1828" t="s">
        <v>474</v>
      </c>
      <c r="E1828" t="s">
        <v>474</v>
      </c>
      <c r="F1828" t="s">
        <v>165</v>
      </c>
      <c r="G1828" t="s">
        <v>165</v>
      </c>
      <c r="H1828" t="s">
        <v>92</v>
      </c>
      <c r="I1828" t="s">
        <v>439</v>
      </c>
      <c r="J1828" t="s">
        <v>439</v>
      </c>
      <c r="K1828" s="4">
        <v>50000</v>
      </c>
      <c r="L1828" s="4">
        <v>50000</v>
      </c>
      <c r="M1828" t="s">
        <v>166</v>
      </c>
      <c r="N1828" t="s">
        <v>77</v>
      </c>
      <c r="O1828" t="s">
        <v>86</v>
      </c>
      <c r="P1828" t="s">
        <v>170</v>
      </c>
      <c r="Q1828" t="s">
        <v>86</v>
      </c>
      <c r="R1828" t="s">
        <v>86</v>
      </c>
      <c r="S1828" t="s">
        <v>167</v>
      </c>
      <c r="T1828" t="s">
        <v>167</v>
      </c>
      <c r="U1828" t="s">
        <v>168</v>
      </c>
      <c r="V1828" t="s">
        <v>169</v>
      </c>
      <c r="W1828" t="s">
        <v>77</v>
      </c>
      <c r="X1828" t="s">
        <v>166</v>
      </c>
      <c r="Y1828" t="s">
        <v>1354</v>
      </c>
      <c r="Z1828" t="s">
        <v>434</v>
      </c>
      <c r="AC1828" t="str">
        <f>IF(AA1828="",M1828,AA1828)</f>
        <v>não</v>
      </c>
      <c r="AD1828" t="str">
        <f>IF(AB1828="",X1828,AB1828)</f>
        <v>não</v>
      </c>
      <c r="AE1828" t="str">
        <f>IF(OR(Configuracao!B9="",Configuracao!B10=""),"aguardando limiar",IF(AND(K1828&gt;=Configuracao!B9,K1828/MAX(Reconciliacao!C2,1)&gt;=Configuracao!B10/100),"sim","não"))</f>
        <v>aguardando limiar</v>
      </c>
    </row>
    <row r="1829" spans="1:31" x14ac:dyDescent="0.25">
      <c r="A1829">
        <v>19042</v>
      </c>
      <c r="D1829" t="s">
        <v>474</v>
      </c>
      <c r="E1829" t="s">
        <v>474</v>
      </c>
      <c r="F1829" t="s">
        <v>165</v>
      </c>
      <c r="G1829" t="s">
        <v>165</v>
      </c>
      <c r="H1829" t="s">
        <v>92</v>
      </c>
      <c r="I1829" t="s">
        <v>35</v>
      </c>
      <c r="J1829" t="s">
        <v>35</v>
      </c>
      <c r="K1829" s="4">
        <v>50000</v>
      </c>
      <c r="L1829" s="4">
        <v>50000</v>
      </c>
      <c r="M1829" t="s">
        <v>166</v>
      </c>
      <c r="N1829" t="s">
        <v>77</v>
      </c>
      <c r="O1829" t="s">
        <v>86</v>
      </c>
      <c r="P1829" t="s">
        <v>170</v>
      </c>
      <c r="Q1829" t="s">
        <v>86</v>
      </c>
      <c r="R1829" t="s">
        <v>86</v>
      </c>
      <c r="S1829" t="s">
        <v>167</v>
      </c>
      <c r="T1829" t="s">
        <v>167</v>
      </c>
      <c r="U1829" t="s">
        <v>168</v>
      </c>
      <c r="V1829" t="s">
        <v>169</v>
      </c>
      <c r="W1829" t="s">
        <v>77</v>
      </c>
      <c r="X1829" t="s">
        <v>166</v>
      </c>
      <c r="Y1829" t="s">
        <v>1354</v>
      </c>
      <c r="Z1829" t="s">
        <v>434</v>
      </c>
      <c r="AC1829" t="str">
        <f>IF(AA1829="",M1829,AA1829)</f>
        <v>não</v>
      </c>
      <c r="AD1829" t="str">
        <f>IF(AB1829="",X1829,AB1829)</f>
        <v>não</v>
      </c>
      <c r="AE1829" t="str">
        <f>IF(OR(Configuracao!B9="",Configuracao!B10=""),"aguardando limiar",IF(AND(K1829&gt;=Configuracao!B9,K1829/MAX(Reconciliacao!C2,1)&gt;=Configuracao!B10/100),"sim","não"))</f>
        <v>aguardando limiar</v>
      </c>
    </row>
    <row r="1830" spans="1:31" x14ac:dyDescent="0.25">
      <c r="A1830">
        <v>11689</v>
      </c>
      <c r="D1830" t="s">
        <v>592</v>
      </c>
      <c r="E1830" t="s">
        <v>445</v>
      </c>
      <c r="F1830" t="s">
        <v>165</v>
      </c>
      <c r="G1830" t="s">
        <v>229</v>
      </c>
      <c r="H1830" t="s">
        <v>94</v>
      </c>
      <c r="I1830" t="s">
        <v>32</v>
      </c>
      <c r="J1830" t="s">
        <v>32</v>
      </c>
      <c r="K1830" s="4">
        <v>2000</v>
      </c>
      <c r="L1830" s="4">
        <v>2000</v>
      </c>
      <c r="M1830" t="s">
        <v>166</v>
      </c>
      <c r="N1830" t="s">
        <v>77</v>
      </c>
      <c r="O1830" t="s">
        <v>86</v>
      </c>
      <c r="P1830" t="s">
        <v>170</v>
      </c>
      <c r="Q1830" t="s">
        <v>86</v>
      </c>
      <c r="R1830" t="s">
        <v>86</v>
      </c>
      <c r="S1830" t="s">
        <v>167</v>
      </c>
      <c r="T1830" t="s">
        <v>167</v>
      </c>
      <c r="U1830" t="s">
        <v>168</v>
      </c>
      <c r="V1830" t="s">
        <v>169</v>
      </c>
      <c r="W1830" t="s">
        <v>77</v>
      </c>
      <c r="X1830" t="s">
        <v>44</v>
      </c>
      <c r="Y1830" t="s">
        <v>99</v>
      </c>
      <c r="Z1830" t="s">
        <v>421</v>
      </c>
      <c r="AC1830" t="str">
        <f>IF(AA1830="",M1830,AA1830)</f>
        <v>não</v>
      </c>
      <c r="AD1830" t="str">
        <f>IF(AB1830="",X1830,AB1830)</f>
        <v>sim</v>
      </c>
      <c r="AE1830" t="str">
        <f>IF(OR(Configuracao!B9="",Configuracao!B10=""),"aguardando limiar",IF(AND(K1830&gt;=Configuracao!B9,K1830/MAX(Reconciliacao!C2,1)&gt;=Configuracao!B10/100),"sim","não"))</f>
        <v>aguardando limiar</v>
      </c>
    </row>
    <row r="1831" spans="1:31" x14ac:dyDescent="0.25">
      <c r="A1831">
        <v>11690</v>
      </c>
      <c r="D1831" t="s">
        <v>592</v>
      </c>
      <c r="E1831" t="s">
        <v>445</v>
      </c>
      <c r="F1831" t="s">
        <v>165</v>
      </c>
      <c r="G1831" t="s">
        <v>229</v>
      </c>
      <c r="H1831" t="s">
        <v>94</v>
      </c>
      <c r="I1831" t="s">
        <v>424</v>
      </c>
      <c r="J1831" t="s">
        <v>424</v>
      </c>
      <c r="K1831" s="4">
        <v>2000</v>
      </c>
      <c r="L1831" s="4">
        <v>2000</v>
      </c>
      <c r="M1831" t="s">
        <v>166</v>
      </c>
      <c r="N1831" t="s">
        <v>77</v>
      </c>
      <c r="O1831" t="s">
        <v>86</v>
      </c>
      <c r="P1831" t="s">
        <v>170</v>
      </c>
      <c r="Q1831" t="s">
        <v>86</v>
      </c>
      <c r="R1831" t="s">
        <v>86</v>
      </c>
      <c r="S1831" t="s">
        <v>167</v>
      </c>
      <c r="T1831" t="s">
        <v>167</v>
      </c>
      <c r="U1831" t="s">
        <v>168</v>
      </c>
      <c r="V1831" t="s">
        <v>169</v>
      </c>
      <c r="W1831" t="s">
        <v>77</v>
      </c>
      <c r="X1831" t="s">
        <v>44</v>
      </c>
      <c r="Y1831" t="s">
        <v>99</v>
      </c>
      <c r="Z1831" t="s">
        <v>421</v>
      </c>
      <c r="AC1831" t="str">
        <f>IF(AA1831="",M1831,AA1831)</f>
        <v>não</v>
      </c>
      <c r="AD1831" t="str">
        <f>IF(AB1831="",X1831,AB1831)</f>
        <v>sim</v>
      </c>
      <c r="AE1831" t="str">
        <f>IF(OR(Configuracao!B9="",Configuracao!B10=""),"aguardando limiar",IF(AND(K1831&gt;=Configuracao!B9,K1831/MAX(Reconciliacao!C2,1)&gt;=Configuracao!B10/100),"sim","não"))</f>
        <v>aguardando limiar</v>
      </c>
    </row>
    <row r="1832" spans="1:31" x14ac:dyDescent="0.25">
      <c r="A1832">
        <v>11691</v>
      </c>
      <c r="D1832" t="s">
        <v>592</v>
      </c>
      <c r="E1832" t="s">
        <v>445</v>
      </c>
      <c r="F1832" t="s">
        <v>165</v>
      </c>
      <c r="G1832" t="s">
        <v>229</v>
      </c>
      <c r="H1832" t="s">
        <v>94</v>
      </c>
      <c r="I1832" t="s">
        <v>420</v>
      </c>
      <c r="J1832" t="s">
        <v>420</v>
      </c>
      <c r="K1832" s="4">
        <v>2000</v>
      </c>
      <c r="L1832" s="4">
        <v>2000</v>
      </c>
      <c r="M1832" t="s">
        <v>166</v>
      </c>
      <c r="N1832" t="s">
        <v>77</v>
      </c>
      <c r="O1832" t="s">
        <v>86</v>
      </c>
      <c r="P1832" t="s">
        <v>170</v>
      </c>
      <c r="Q1832" t="s">
        <v>86</v>
      </c>
      <c r="R1832" t="s">
        <v>86</v>
      </c>
      <c r="S1832" t="s">
        <v>167</v>
      </c>
      <c r="T1832" t="s">
        <v>167</v>
      </c>
      <c r="U1832" t="s">
        <v>168</v>
      </c>
      <c r="V1832" t="s">
        <v>169</v>
      </c>
      <c r="W1832" t="s">
        <v>77</v>
      </c>
      <c r="X1832" t="s">
        <v>44</v>
      </c>
      <c r="Y1832" t="s">
        <v>99</v>
      </c>
      <c r="Z1832" t="s">
        <v>421</v>
      </c>
      <c r="AC1832" t="str">
        <f>IF(AA1832="",M1832,AA1832)</f>
        <v>não</v>
      </c>
      <c r="AD1832" t="str">
        <f>IF(AB1832="",X1832,AB1832)</f>
        <v>sim</v>
      </c>
      <c r="AE1832" t="str">
        <f>IF(OR(Configuracao!B9="",Configuracao!B10=""),"aguardando limiar",IF(AND(K1832&gt;=Configuracao!B9,K1832/MAX(Reconciliacao!C2,1)&gt;=Configuracao!B10/100),"sim","não"))</f>
        <v>aguardando limiar</v>
      </c>
    </row>
    <row r="1833" spans="1:31" x14ac:dyDescent="0.25">
      <c r="A1833">
        <v>11692</v>
      </c>
      <c r="D1833" t="s">
        <v>592</v>
      </c>
      <c r="E1833" t="s">
        <v>445</v>
      </c>
      <c r="F1833" t="s">
        <v>165</v>
      </c>
      <c r="G1833" t="s">
        <v>229</v>
      </c>
      <c r="H1833" t="s">
        <v>94</v>
      </c>
      <c r="I1833" t="s">
        <v>454</v>
      </c>
      <c r="J1833" t="s">
        <v>454</v>
      </c>
      <c r="K1833" s="4">
        <v>2000</v>
      </c>
      <c r="L1833" s="4">
        <v>2000</v>
      </c>
      <c r="M1833" t="s">
        <v>166</v>
      </c>
      <c r="N1833" t="s">
        <v>77</v>
      </c>
      <c r="O1833" t="s">
        <v>86</v>
      </c>
      <c r="P1833" t="s">
        <v>170</v>
      </c>
      <c r="Q1833" t="s">
        <v>86</v>
      </c>
      <c r="R1833" t="s">
        <v>86</v>
      </c>
      <c r="S1833" t="s">
        <v>167</v>
      </c>
      <c r="T1833" t="s">
        <v>167</v>
      </c>
      <c r="U1833" t="s">
        <v>168</v>
      </c>
      <c r="V1833" t="s">
        <v>169</v>
      </c>
      <c r="W1833" t="s">
        <v>77</v>
      </c>
      <c r="X1833" t="s">
        <v>44</v>
      </c>
      <c r="Y1833" t="s">
        <v>99</v>
      </c>
      <c r="Z1833" t="s">
        <v>421</v>
      </c>
      <c r="AC1833" t="str">
        <f>IF(AA1833="",M1833,AA1833)</f>
        <v>não</v>
      </c>
      <c r="AD1833" t="str">
        <f>IF(AB1833="",X1833,AB1833)</f>
        <v>sim</v>
      </c>
      <c r="AE1833" t="str">
        <f>IF(OR(Configuracao!B9="",Configuracao!B10=""),"aguardando limiar",IF(AND(K1833&gt;=Configuracao!B9,K1833/MAX(Reconciliacao!C2,1)&gt;=Configuracao!B10/100),"sim","não"))</f>
        <v>aguardando limiar</v>
      </c>
    </row>
    <row r="1834" spans="1:31" x14ac:dyDescent="0.25">
      <c r="A1834">
        <v>11693</v>
      </c>
      <c r="D1834" t="s">
        <v>592</v>
      </c>
      <c r="E1834" t="s">
        <v>445</v>
      </c>
      <c r="F1834" t="s">
        <v>165</v>
      </c>
      <c r="G1834" t="s">
        <v>229</v>
      </c>
      <c r="H1834" t="s">
        <v>94</v>
      </c>
      <c r="I1834" t="s">
        <v>461</v>
      </c>
      <c r="J1834" t="s">
        <v>461</v>
      </c>
      <c r="K1834" s="4">
        <v>2000</v>
      </c>
      <c r="L1834" s="4">
        <v>2000</v>
      </c>
      <c r="M1834" t="s">
        <v>166</v>
      </c>
      <c r="N1834" t="s">
        <v>77</v>
      </c>
      <c r="O1834" t="s">
        <v>86</v>
      </c>
      <c r="P1834" t="s">
        <v>170</v>
      </c>
      <c r="Q1834" t="s">
        <v>86</v>
      </c>
      <c r="R1834" t="s">
        <v>86</v>
      </c>
      <c r="S1834" t="s">
        <v>167</v>
      </c>
      <c r="T1834" t="s">
        <v>167</v>
      </c>
      <c r="U1834" t="s">
        <v>168</v>
      </c>
      <c r="V1834" t="s">
        <v>169</v>
      </c>
      <c r="W1834" t="s">
        <v>77</v>
      </c>
      <c r="X1834" t="s">
        <v>44</v>
      </c>
      <c r="Y1834" t="s">
        <v>99</v>
      </c>
      <c r="Z1834" t="s">
        <v>421</v>
      </c>
      <c r="AC1834" t="str">
        <f>IF(AA1834="",M1834,AA1834)</f>
        <v>não</v>
      </c>
      <c r="AD1834" t="str">
        <f>IF(AB1834="",X1834,AB1834)</f>
        <v>sim</v>
      </c>
      <c r="AE1834" t="str">
        <f>IF(OR(Configuracao!B9="",Configuracao!B10=""),"aguardando limiar",IF(AND(K1834&gt;=Configuracao!B9,K1834/MAX(Reconciliacao!C2,1)&gt;=Configuracao!B10/100),"sim","não"))</f>
        <v>aguardando limiar</v>
      </c>
    </row>
    <row r="1835" spans="1:31" x14ac:dyDescent="0.25">
      <c r="A1835">
        <v>11694</v>
      </c>
      <c r="D1835" t="s">
        <v>592</v>
      </c>
      <c r="E1835" t="s">
        <v>445</v>
      </c>
      <c r="F1835" t="s">
        <v>165</v>
      </c>
      <c r="G1835" t="s">
        <v>229</v>
      </c>
      <c r="H1835" t="s">
        <v>94</v>
      </c>
      <c r="I1835" t="s">
        <v>442</v>
      </c>
      <c r="J1835" t="s">
        <v>442</v>
      </c>
      <c r="K1835" s="4">
        <v>2000</v>
      </c>
      <c r="L1835" s="4">
        <v>2000</v>
      </c>
      <c r="M1835" t="s">
        <v>166</v>
      </c>
      <c r="N1835" t="s">
        <v>77</v>
      </c>
      <c r="O1835" t="s">
        <v>86</v>
      </c>
      <c r="P1835" t="s">
        <v>170</v>
      </c>
      <c r="Q1835" t="s">
        <v>86</v>
      </c>
      <c r="R1835" t="s">
        <v>86</v>
      </c>
      <c r="S1835" t="s">
        <v>167</v>
      </c>
      <c r="T1835" t="s">
        <v>167</v>
      </c>
      <c r="U1835" t="s">
        <v>168</v>
      </c>
      <c r="V1835" t="s">
        <v>169</v>
      </c>
      <c r="W1835" t="s">
        <v>77</v>
      </c>
      <c r="X1835" t="s">
        <v>44</v>
      </c>
      <c r="Y1835" t="s">
        <v>99</v>
      </c>
      <c r="Z1835" t="s">
        <v>421</v>
      </c>
      <c r="AC1835" t="str">
        <f>IF(AA1835="",M1835,AA1835)</f>
        <v>não</v>
      </c>
      <c r="AD1835" t="str">
        <f>IF(AB1835="",X1835,AB1835)</f>
        <v>sim</v>
      </c>
      <c r="AE1835" t="str">
        <f>IF(OR(Configuracao!B9="",Configuracao!B10=""),"aguardando limiar",IF(AND(K1835&gt;=Configuracao!B9,K1835/MAX(Reconciliacao!C2,1)&gt;=Configuracao!B10/100),"sim","não"))</f>
        <v>aguardando limiar</v>
      </c>
    </row>
    <row r="1836" spans="1:31" x14ac:dyDescent="0.25">
      <c r="A1836">
        <v>11695</v>
      </c>
      <c r="D1836" t="s">
        <v>592</v>
      </c>
      <c r="E1836" t="s">
        <v>445</v>
      </c>
      <c r="F1836" t="s">
        <v>165</v>
      </c>
      <c r="G1836" t="s">
        <v>229</v>
      </c>
      <c r="H1836" t="s">
        <v>94</v>
      </c>
      <c r="I1836" t="s">
        <v>439</v>
      </c>
      <c r="J1836" t="s">
        <v>439</v>
      </c>
      <c r="K1836" s="4">
        <v>2000</v>
      </c>
      <c r="L1836" s="4">
        <v>2000</v>
      </c>
      <c r="M1836" t="s">
        <v>166</v>
      </c>
      <c r="N1836" t="s">
        <v>77</v>
      </c>
      <c r="O1836" t="s">
        <v>86</v>
      </c>
      <c r="P1836" t="s">
        <v>170</v>
      </c>
      <c r="Q1836" t="s">
        <v>86</v>
      </c>
      <c r="R1836" t="s">
        <v>86</v>
      </c>
      <c r="S1836" t="s">
        <v>167</v>
      </c>
      <c r="T1836" t="s">
        <v>167</v>
      </c>
      <c r="U1836" t="s">
        <v>168</v>
      </c>
      <c r="V1836" t="s">
        <v>169</v>
      </c>
      <c r="W1836" t="s">
        <v>77</v>
      </c>
      <c r="X1836" t="s">
        <v>44</v>
      </c>
      <c r="Y1836" t="s">
        <v>99</v>
      </c>
      <c r="Z1836" t="s">
        <v>421</v>
      </c>
      <c r="AC1836" t="str">
        <f>IF(AA1836="",M1836,AA1836)</f>
        <v>não</v>
      </c>
      <c r="AD1836" t="str">
        <f>IF(AB1836="",X1836,AB1836)</f>
        <v>sim</v>
      </c>
      <c r="AE1836" t="str">
        <f>IF(OR(Configuracao!B9="",Configuracao!B10=""),"aguardando limiar",IF(AND(K1836&gt;=Configuracao!B9,K1836/MAX(Reconciliacao!C2,1)&gt;=Configuracao!B10/100),"sim","não"))</f>
        <v>aguardando limiar</v>
      </c>
    </row>
    <row r="1837" spans="1:31" x14ac:dyDescent="0.25">
      <c r="A1837">
        <v>11696</v>
      </c>
      <c r="D1837" t="s">
        <v>592</v>
      </c>
      <c r="E1837" t="s">
        <v>445</v>
      </c>
      <c r="F1837" t="s">
        <v>165</v>
      </c>
      <c r="G1837" t="s">
        <v>229</v>
      </c>
      <c r="H1837" t="s">
        <v>94</v>
      </c>
      <c r="I1837" t="s">
        <v>35</v>
      </c>
      <c r="J1837" t="s">
        <v>35</v>
      </c>
      <c r="K1837" s="4">
        <v>2000</v>
      </c>
      <c r="L1837" s="4">
        <v>2000</v>
      </c>
      <c r="M1837" t="s">
        <v>166</v>
      </c>
      <c r="N1837" t="s">
        <v>77</v>
      </c>
      <c r="O1837" t="s">
        <v>86</v>
      </c>
      <c r="P1837" t="s">
        <v>170</v>
      </c>
      <c r="Q1837" t="s">
        <v>86</v>
      </c>
      <c r="R1837" t="s">
        <v>86</v>
      </c>
      <c r="S1837" t="s">
        <v>167</v>
      </c>
      <c r="T1837" t="s">
        <v>167</v>
      </c>
      <c r="U1837" t="s">
        <v>168</v>
      </c>
      <c r="V1837" t="s">
        <v>169</v>
      </c>
      <c r="W1837" t="s">
        <v>77</v>
      </c>
      <c r="X1837" t="s">
        <v>44</v>
      </c>
      <c r="Y1837" t="s">
        <v>99</v>
      </c>
      <c r="Z1837" t="s">
        <v>421</v>
      </c>
      <c r="AC1837" t="str">
        <f>IF(AA1837="",M1837,AA1837)</f>
        <v>não</v>
      </c>
      <c r="AD1837" t="str">
        <f>IF(AB1837="",X1837,AB1837)</f>
        <v>sim</v>
      </c>
      <c r="AE1837" t="str">
        <f>IF(OR(Configuracao!B9="",Configuracao!B10=""),"aguardando limiar",IF(AND(K1837&gt;=Configuracao!B9,K1837/MAX(Reconciliacao!C2,1)&gt;=Configuracao!B10/100),"sim","não"))</f>
        <v>aguardando limiar</v>
      </c>
    </row>
    <row r="1838" spans="1:31" x14ac:dyDescent="0.25">
      <c r="A1838">
        <v>11677</v>
      </c>
      <c r="D1838" t="s">
        <v>599</v>
      </c>
      <c r="E1838" t="s">
        <v>445</v>
      </c>
      <c r="F1838" t="s">
        <v>165</v>
      </c>
      <c r="G1838" t="s">
        <v>229</v>
      </c>
      <c r="H1838" t="s">
        <v>94</v>
      </c>
      <c r="I1838" t="s">
        <v>32</v>
      </c>
      <c r="J1838" t="s">
        <v>32</v>
      </c>
      <c r="K1838" s="4">
        <v>4000</v>
      </c>
      <c r="L1838" s="4">
        <v>4000</v>
      </c>
      <c r="M1838" t="s">
        <v>166</v>
      </c>
      <c r="N1838" t="s">
        <v>77</v>
      </c>
      <c r="O1838" t="s">
        <v>86</v>
      </c>
      <c r="P1838" t="s">
        <v>170</v>
      </c>
      <c r="Q1838" t="s">
        <v>86</v>
      </c>
      <c r="R1838" t="s">
        <v>86</v>
      </c>
      <c r="S1838" t="s">
        <v>167</v>
      </c>
      <c r="T1838" t="s">
        <v>167</v>
      </c>
      <c r="U1838" t="s">
        <v>168</v>
      </c>
      <c r="V1838" t="s">
        <v>169</v>
      </c>
      <c r="W1838" t="s">
        <v>77</v>
      </c>
      <c r="X1838" t="s">
        <v>44</v>
      </c>
      <c r="Y1838" t="s">
        <v>99</v>
      </c>
      <c r="Z1838" t="s">
        <v>421</v>
      </c>
      <c r="AC1838" t="str">
        <f>IF(AA1838="",M1838,AA1838)</f>
        <v>não</v>
      </c>
      <c r="AD1838" t="str">
        <f>IF(AB1838="",X1838,AB1838)</f>
        <v>sim</v>
      </c>
      <c r="AE1838" t="str">
        <f>IF(OR(Configuracao!B9="",Configuracao!B10=""),"aguardando limiar",IF(AND(K1838&gt;=Configuracao!B9,K1838/MAX(Reconciliacao!C2,1)&gt;=Configuracao!B10/100),"sim","não"))</f>
        <v>aguardando limiar</v>
      </c>
    </row>
    <row r="1839" spans="1:31" x14ac:dyDescent="0.25">
      <c r="A1839">
        <v>11678</v>
      </c>
      <c r="D1839" t="s">
        <v>599</v>
      </c>
      <c r="E1839" t="s">
        <v>445</v>
      </c>
      <c r="F1839" t="s">
        <v>165</v>
      </c>
      <c r="G1839" t="s">
        <v>229</v>
      </c>
      <c r="H1839" t="s">
        <v>94</v>
      </c>
      <c r="I1839" t="s">
        <v>424</v>
      </c>
      <c r="J1839" t="s">
        <v>424</v>
      </c>
      <c r="K1839" s="4">
        <v>4000</v>
      </c>
      <c r="L1839" s="4">
        <v>4000</v>
      </c>
      <c r="M1839" t="s">
        <v>166</v>
      </c>
      <c r="N1839" t="s">
        <v>77</v>
      </c>
      <c r="O1839" t="s">
        <v>86</v>
      </c>
      <c r="P1839" t="s">
        <v>170</v>
      </c>
      <c r="Q1839" t="s">
        <v>86</v>
      </c>
      <c r="R1839" t="s">
        <v>86</v>
      </c>
      <c r="S1839" t="s">
        <v>167</v>
      </c>
      <c r="T1839" t="s">
        <v>167</v>
      </c>
      <c r="U1839" t="s">
        <v>168</v>
      </c>
      <c r="V1839" t="s">
        <v>169</v>
      </c>
      <c r="W1839" t="s">
        <v>77</v>
      </c>
      <c r="X1839" t="s">
        <v>44</v>
      </c>
      <c r="Y1839" t="s">
        <v>99</v>
      </c>
      <c r="Z1839" t="s">
        <v>421</v>
      </c>
      <c r="AC1839" t="str">
        <f>IF(AA1839="",M1839,AA1839)</f>
        <v>não</v>
      </c>
      <c r="AD1839" t="str">
        <f>IF(AB1839="",X1839,AB1839)</f>
        <v>sim</v>
      </c>
      <c r="AE1839" t="str">
        <f>IF(OR(Configuracao!B9="",Configuracao!B10=""),"aguardando limiar",IF(AND(K1839&gt;=Configuracao!B9,K1839/MAX(Reconciliacao!C2,1)&gt;=Configuracao!B10/100),"sim","não"))</f>
        <v>aguardando limiar</v>
      </c>
    </row>
    <row r="1840" spans="1:31" x14ac:dyDescent="0.25">
      <c r="A1840">
        <v>11679</v>
      </c>
      <c r="D1840" t="s">
        <v>599</v>
      </c>
      <c r="E1840" t="s">
        <v>445</v>
      </c>
      <c r="F1840" t="s">
        <v>165</v>
      </c>
      <c r="G1840" t="s">
        <v>229</v>
      </c>
      <c r="H1840" t="s">
        <v>94</v>
      </c>
      <c r="I1840" t="s">
        <v>420</v>
      </c>
      <c r="J1840" t="s">
        <v>420</v>
      </c>
      <c r="K1840" s="4">
        <v>4000</v>
      </c>
      <c r="L1840" s="4">
        <v>4000</v>
      </c>
      <c r="M1840" t="s">
        <v>166</v>
      </c>
      <c r="N1840" t="s">
        <v>77</v>
      </c>
      <c r="O1840" t="s">
        <v>86</v>
      </c>
      <c r="P1840" t="s">
        <v>170</v>
      </c>
      <c r="Q1840" t="s">
        <v>86</v>
      </c>
      <c r="R1840" t="s">
        <v>86</v>
      </c>
      <c r="S1840" t="s">
        <v>167</v>
      </c>
      <c r="T1840" t="s">
        <v>167</v>
      </c>
      <c r="U1840" t="s">
        <v>168</v>
      </c>
      <c r="V1840" t="s">
        <v>169</v>
      </c>
      <c r="W1840" t="s">
        <v>77</v>
      </c>
      <c r="X1840" t="s">
        <v>44</v>
      </c>
      <c r="Y1840" t="s">
        <v>99</v>
      </c>
      <c r="Z1840" t="s">
        <v>421</v>
      </c>
      <c r="AC1840" t="str">
        <f>IF(AA1840="",M1840,AA1840)</f>
        <v>não</v>
      </c>
      <c r="AD1840" t="str">
        <f>IF(AB1840="",X1840,AB1840)</f>
        <v>sim</v>
      </c>
      <c r="AE1840" t="str">
        <f>IF(OR(Configuracao!B9="",Configuracao!B10=""),"aguardando limiar",IF(AND(K1840&gt;=Configuracao!B9,K1840/MAX(Reconciliacao!C2,1)&gt;=Configuracao!B10/100),"sim","não"))</f>
        <v>aguardando limiar</v>
      </c>
    </row>
    <row r="1841" spans="1:31" x14ac:dyDescent="0.25">
      <c r="A1841">
        <v>11680</v>
      </c>
      <c r="D1841" t="s">
        <v>599</v>
      </c>
      <c r="E1841" t="s">
        <v>445</v>
      </c>
      <c r="F1841" t="s">
        <v>165</v>
      </c>
      <c r="G1841" t="s">
        <v>229</v>
      </c>
      <c r="H1841" t="s">
        <v>94</v>
      </c>
      <c r="I1841" t="s">
        <v>454</v>
      </c>
      <c r="J1841" t="s">
        <v>454</v>
      </c>
      <c r="K1841" s="4">
        <v>4000</v>
      </c>
      <c r="L1841" s="4">
        <v>4000</v>
      </c>
      <c r="M1841" t="s">
        <v>166</v>
      </c>
      <c r="N1841" t="s">
        <v>77</v>
      </c>
      <c r="O1841" t="s">
        <v>86</v>
      </c>
      <c r="P1841" t="s">
        <v>170</v>
      </c>
      <c r="Q1841" t="s">
        <v>86</v>
      </c>
      <c r="R1841" t="s">
        <v>86</v>
      </c>
      <c r="S1841" t="s">
        <v>167</v>
      </c>
      <c r="T1841" t="s">
        <v>167</v>
      </c>
      <c r="U1841" t="s">
        <v>168</v>
      </c>
      <c r="V1841" t="s">
        <v>169</v>
      </c>
      <c r="W1841" t="s">
        <v>77</v>
      </c>
      <c r="X1841" t="s">
        <v>44</v>
      </c>
      <c r="Y1841" t="s">
        <v>99</v>
      </c>
      <c r="Z1841" t="s">
        <v>421</v>
      </c>
      <c r="AC1841" t="str">
        <f>IF(AA1841="",M1841,AA1841)</f>
        <v>não</v>
      </c>
      <c r="AD1841" t="str">
        <f>IF(AB1841="",X1841,AB1841)</f>
        <v>sim</v>
      </c>
      <c r="AE1841" t="str">
        <f>IF(OR(Configuracao!B9="",Configuracao!B10=""),"aguardando limiar",IF(AND(K1841&gt;=Configuracao!B9,K1841/MAX(Reconciliacao!C2,1)&gt;=Configuracao!B10/100),"sim","não"))</f>
        <v>aguardando limiar</v>
      </c>
    </row>
    <row r="1842" spans="1:31" x14ac:dyDescent="0.25">
      <c r="A1842">
        <v>11681</v>
      </c>
      <c r="D1842" t="s">
        <v>599</v>
      </c>
      <c r="E1842" t="s">
        <v>445</v>
      </c>
      <c r="F1842" t="s">
        <v>165</v>
      </c>
      <c r="G1842" t="s">
        <v>229</v>
      </c>
      <c r="H1842" t="s">
        <v>94</v>
      </c>
      <c r="I1842" t="s">
        <v>461</v>
      </c>
      <c r="J1842" t="s">
        <v>461</v>
      </c>
      <c r="K1842" s="4">
        <v>4000</v>
      </c>
      <c r="L1842" s="4">
        <v>4000</v>
      </c>
      <c r="M1842" t="s">
        <v>166</v>
      </c>
      <c r="N1842" t="s">
        <v>77</v>
      </c>
      <c r="O1842" t="s">
        <v>86</v>
      </c>
      <c r="P1842" t="s">
        <v>170</v>
      </c>
      <c r="Q1842" t="s">
        <v>86</v>
      </c>
      <c r="R1842" t="s">
        <v>86</v>
      </c>
      <c r="S1842" t="s">
        <v>167</v>
      </c>
      <c r="T1842" t="s">
        <v>167</v>
      </c>
      <c r="U1842" t="s">
        <v>168</v>
      </c>
      <c r="V1842" t="s">
        <v>169</v>
      </c>
      <c r="W1842" t="s">
        <v>77</v>
      </c>
      <c r="X1842" t="s">
        <v>44</v>
      </c>
      <c r="Y1842" t="s">
        <v>99</v>
      </c>
      <c r="Z1842" t="s">
        <v>421</v>
      </c>
      <c r="AC1842" t="str">
        <f>IF(AA1842="",M1842,AA1842)</f>
        <v>não</v>
      </c>
      <c r="AD1842" t="str">
        <f>IF(AB1842="",X1842,AB1842)</f>
        <v>sim</v>
      </c>
      <c r="AE1842" t="str">
        <f>IF(OR(Configuracao!B9="",Configuracao!B10=""),"aguardando limiar",IF(AND(K1842&gt;=Configuracao!B9,K1842/MAX(Reconciliacao!C2,1)&gt;=Configuracao!B10/100),"sim","não"))</f>
        <v>aguardando limiar</v>
      </c>
    </row>
    <row r="1843" spans="1:31" x14ac:dyDescent="0.25">
      <c r="A1843">
        <v>11682</v>
      </c>
      <c r="D1843" t="s">
        <v>599</v>
      </c>
      <c r="E1843" t="s">
        <v>445</v>
      </c>
      <c r="F1843" t="s">
        <v>165</v>
      </c>
      <c r="G1843" t="s">
        <v>229</v>
      </c>
      <c r="H1843" t="s">
        <v>94</v>
      </c>
      <c r="I1843" t="s">
        <v>442</v>
      </c>
      <c r="J1843" t="s">
        <v>442</v>
      </c>
      <c r="K1843" s="4">
        <v>4000</v>
      </c>
      <c r="L1843" s="4">
        <v>4000</v>
      </c>
      <c r="M1843" t="s">
        <v>166</v>
      </c>
      <c r="N1843" t="s">
        <v>77</v>
      </c>
      <c r="O1843" t="s">
        <v>86</v>
      </c>
      <c r="P1843" t="s">
        <v>170</v>
      </c>
      <c r="Q1843" t="s">
        <v>86</v>
      </c>
      <c r="R1843" t="s">
        <v>86</v>
      </c>
      <c r="S1843" t="s">
        <v>167</v>
      </c>
      <c r="T1843" t="s">
        <v>167</v>
      </c>
      <c r="U1843" t="s">
        <v>168</v>
      </c>
      <c r="V1843" t="s">
        <v>169</v>
      </c>
      <c r="W1843" t="s">
        <v>77</v>
      </c>
      <c r="X1843" t="s">
        <v>44</v>
      </c>
      <c r="Y1843" t="s">
        <v>99</v>
      </c>
      <c r="Z1843" t="s">
        <v>421</v>
      </c>
      <c r="AC1843" t="str">
        <f>IF(AA1843="",M1843,AA1843)</f>
        <v>não</v>
      </c>
      <c r="AD1843" t="str">
        <f>IF(AB1843="",X1843,AB1843)</f>
        <v>sim</v>
      </c>
      <c r="AE1843" t="str">
        <f>IF(OR(Configuracao!B9="",Configuracao!B10=""),"aguardando limiar",IF(AND(K1843&gt;=Configuracao!B9,K1843/MAX(Reconciliacao!C2,1)&gt;=Configuracao!B10/100),"sim","não"))</f>
        <v>aguardando limiar</v>
      </c>
    </row>
    <row r="1844" spans="1:31" x14ac:dyDescent="0.25">
      <c r="A1844">
        <v>11683</v>
      </c>
      <c r="D1844" t="s">
        <v>599</v>
      </c>
      <c r="E1844" t="s">
        <v>445</v>
      </c>
      <c r="F1844" t="s">
        <v>165</v>
      </c>
      <c r="G1844" t="s">
        <v>229</v>
      </c>
      <c r="H1844" t="s">
        <v>94</v>
      </c>
      <c r="I1844" t="s">
        <v>439</v>
      </c>
      <c r="J1844" t="s">
        <v>439</v>
      </c>
      <c r="K1844" s="4">
        <v>4000</v>
      </c>
      <c r="L1844" s="4">
        <v>4000</v>
      </c>
      <c r="M1844" t="s">
        <v>166</v>
      </c>
      <c r="N1844" t="s">
        <v>77</v>
      </c>
      <c r="O1844" t="s">
        <v>86</v>
      </c>
      <c r="P1844" t="s">
        <v>170</v>
      </c>
      <c r="Q1844" t="s">
        <v>86</v>
      </c>
      <c r="R1844" t="s">
        <v>86</v>
      </c>
      <c r="S1844" t="s">
        <v>167</v>
      </c>
      <c r="T1844" t="s">
        <v>167</v>
      </c>
      <c r="U1844" t="s">
        <v>168</v>
      </c>
      <c r="V1844" t="s">
        <v>169</v>
      </c>
      <c r="W1844" t="s">
        <v>77</v>
      </c>
      <c r="X1844" t="s">
        <v>44</v>
      </c>
      <c r="Y1844" t="s">
        <v>99</v>
      </c>
      <c r="Z1844" t="s">
        <v>421</v>
      </c>
      <c r="AC1844" t="str">
        <f>IF(AA1844="",M1844,AA1844)</f>
        <v>não</v>
      </c>
      <c r="AD1844" t="str">
        <f>IF(AB1844="",X1844,AB1844)</f>
        <v>sim</v>
      </c>
      <c r="AE1844" t="str">
        <f>IF(OR(Configuracao!B9="",Configuracao!B10=""),"aguardando limiar",IF(AND(K1844&gt;=Configuracao!B9,K1844/MAX(Reconciliacao!C2,1)&gt;=Configuracao!B10/100),"sim","não"))</f>
        <v>aguardando limiar</v>
      </c>
    </row>
    <row r="1845" spans="1:31" x14ac:dyDescent="0.25">
      <c r="A1845">
        <v>11397</v>
      </c>
      <c r="C1845" t="s">
        <v>1371</v>
      </c>
      <c r="D1845" t="s">
        <v>1372</v>
      </c>
      <c r="E1845" t="s">
        <v>477</v>
      </c>
      <c r="F1845" t="s">
        <v>158</v>
      </c>
      <c r="G1845" t="s">
        <v>157</v>
      </c>
      <c r="H1845" t="s">
        <v>156</v>
      </c>
      <c r="I1845" t="s">
        <v>737</v>
      </c>
      <c r="J1845" t="s">
        <v>32</v>
      </c>
      <c r="K1845" s="4">
        <v>0</v>
      </c>
      <c r="L1845" s="4">
        <v>5500</v>
      </c>
      <c r="M1845" t="s">
        <v>44</v>
      </c>
      <c r="N1845" t="s">
        <v>77</v>
      </c>
      <c r="O1845" t="s">
        <v>99</v>
      </c>
      <c r="P1845" t="s">
        <v>99</v>
      </c>
      <c r="Q1845" t="s">
        <v>159</v>
      </c>
      <c r="R1845" t="s">
        <v>160</v>
      </c>
      <c r="S1845" t="s">
        <v>161</v>
      </c>
      <c r="T1845" t="s">
        <v>162</v>
      </c>
      <c r="U1845" t="s">
        <v>163</v>
      </c>
      <c r="V1845" t="s">
        <v>164</v>
      </c>
      <c r="W1845" t="s">
        <v>116</v>
      </c>
      <c r="X1845" t="s">
        <v>44</v>
      </c>
      <c r="Y1845" t="s">
        <v>99</v>
      </c>
      <c r="Z1845" t="s">
        <v>421</v>
      </c>
      <c r="AC1845" t="str">
        <f>IF(AA1845="",M1845,AA1845)</f>
        <v>sim</v>
      </c>
      <c r="AD1845" t="str">
        <f>IF(AB1845="",X1845,AB1845)</f>
        <v>sim</v>
      </c>
      <c r="AE1845" t="str">
        <f>IF(OR(Configuracao!B9="",Configuracao!B10=""),"aguardando limiar",IF(AND(K1845&gt;=Configuracao!B9,K1845/MAX(Reconciliacao!C2,1)&gt;=Configuracao!B10/100),"sim","não"))</f>
        <v>aguardando limiar</v>
      </c>
    </row>
    <row r="1846" spans="1:31" x14ac:dyDescent="0.25">
      <c r="A1846">
        <v>11398</v>
      </c>
      <c r="C1846" t="s">
        <v>1373</v>
      </c>
      <c r="D1846" t="s">
        <v>1374</v>
      </c>
      <c r="E1846" t="s">
        <v>467</v>
      </c>
      <c r="F1846" t="s">
        <v>158</v>
      </c>
      <c r="G1846" t="s">
        <v>157</v>
      </c>
      <c r="H1846" t="s">
        <v>156</v>
      </c>
      <c r="I1846" t="s">
        <v>737</v>
      </c>
      <c r="J1846" t="s">
        <v>32</v>
      </c>
      <c r="K1846" s="4">
        <v>0</v>
      </c>
      <c r="L1846" s="4">
        <v>8333.02</v>
      </c>
      <c r="M1846" t="s">
        <v>44</v>
      </c>
      <c r="N1846" t="s">
        <v>77</v>
      </c>
      <c r="O1846" t="s">
        <v>99</v>
      </c>
      <c r="P1846" t="s">
        <v>99</v>
      </c>
      <c r="Q1846" t="s">
        <v>159</v>
      </c>
      <c r="R1846" t="s">
        <v>160</v>
      </c>
      <c r="S1846" t="s">
        <v>161</v>
      </c>
      <c r="T1846" t="s">
        <v>162</v>
      </c>
      <c r="U1846" t="s">
        <v>163</v>
      </c>
      <c r="V1846" t="s">
        <v>164</v>
      </c>
      <c r="W1846" t="s">
        <v>116</v>
      </c>
      <c r="X1846" t="s">
        <v>44</v>
      </c>
      <c r="Y1846" t="s">
        <v>99</v>
      </c>
      <c r="Z1846" t="s">
        <v>421</v>
      </c>
      <c r="AC1846" t="str">
        <f>IF(AA1846="",M1846,AA1846)</f>
        <v>sim</v>
      </c>
      <c r="AD1846" t="str">
        <f>IF(AB1846="",X1846,AB1846)</f>
        <v>sim</v>
      </c>
      <c r="AE1846" t="str">
        <f>IF(OR(Configuracao!B9="",Configuracao!B10=""),"aguardando limiar",IF(AND(K1846&gt;=Configuracao!B9,K1846/MAX(Reconciliacao!C2,1)&gt;=Configuracao!B10/100),"sim","não"))</f>
        <v>aguardando limiar</v>
      </c>
    </row>
    <row r="1847" spans="1:31" x14ac:dyDescent="0.25">
      <c r="A1847">
        <v>11399</v>
      </c>
      <c r="C1847" t="s">
        <v>1375</v>
      </c>
      <c r="D1847" t="s">
        <v>1376</v>
      </c>
      <c r="E1847" t="s">
        <v>467</v>
      </c>
      <c r="F1847" t="s">
        <v>158</v>
      </c>
      <c r="G1847" t="s">
        <v>157</v>
      </c>
      <c r="H1847" t="s">
        <v>156</v>
      </c>
      <c r="I1847" t="s">
        <v>737</v>
      </c>
      <c r="J1847" t="s">
        <v>32</v>
      </c>
      <c r="K1847" s="4">
        <v>0</v>
      </c>
      <c r="L1847" s="4">
        <v>1200</v>
      </c>
      <c r="M1847" t="s">
        <v>44</v>
      </c>
      <c r="N1847" t="s">
        <v>77</v>
      </c>
      <c r="O1847" t="s">
        <v>99</v>
      </c>
      <c r="P1847" t="s">
        <v>99</v>
      </c>
      <c r="Q1847" t="s">
        <v>159</v>
      </c>
      <c r="R1847" t="s">
        <v>160</v>
      </c>
      <c r="S1847" t="s">
        <v>161</v>
      </c>
      <c r="T1847" t="s">
        <v>162</v>
      </c>
      <c r="U1847" t="s">
        <v>163</v>
      </c>
      <c r="V1847" t="s">
        <v>164</v>
      </c>
      <c r="W1847" t="s">
        <v>116</v>
      </c>
      <c r="X1847" t="s">
        <v>44</v>
      </c>
      <c r="Y1847" t="s">
        <v>99</v>
      </c>
      <c r="Z1847" t="s">
        <v>421</v>
      </c>
      <c r="AC1847" t="str">
        <f>IF(AA1847="",M1847,AA1847)</f>
        <v>sim</v>
      </c>
      <c r="AD1847" t="str">
        <f>IF(AB1847="",X1847,AB1847)</f>
        <v>sim</v>
      </c>
      <c r="AE1847" t="str">
        <f>IF(OR(Configuracao!B9="",Configuracao!B10=""),"aguardando limiar",IF(AND(K1847&gt;=Configuracao!B9,K1847/MAX(Reconciliacao!C2,1)&gt;=Configuracao!B10/100),"sim","não"))</f>
        <v>aguardando limiar</v>
      </c>
    </row>
    <row r="1848" spans="1:31" x14ac:dyDescent="0.25">
      <c r="A1848">
        <v>11400</v>
      </c>
      <c r="C1848" t="s">
        <v>1377</v>
      </c>
      <c r="D1848" t="s">
        <v>1378</v>
      </c>
      <c r="E1848" t="s">
        <v>477</v>
      </c>
      <c r="F1848" t="s">
        <v>158</v>
      </c>
      <c r="G1848" t="s">
        <v>157</v>
      </c>
      <c r="H1848" t="s">
        <v>156</v>
      </c>
      <c r="I1848" t="s">
        <v>737</v>
      </c>
      <c r="J1848" t="s">
        <v>32</v>
      </c>
      <c r="K1848" s="4">
        <v>0</v>
      </c>
      <c r="L1848" s="4">
        <v>7500</v>
      </c>
      <c r="M1848" t="s">
        <v>44</v>
      </c>
      <c r="N1848" t="s">
        <v>77</v>
      </c>
      <c r="O1848" t="s">
        <v>99</v>
      </c>
      <c r="P1848" t="s">
        <v>99</v>
      </c>
      <c r="Q1848" t="s">
        <v>159</v>
      </c>
      <c r="R1848" t="s">
        <v>160</v>
      </c>
      <c r="S1848" t="s">
        <v>161</v>
      </c>
      <c r="T1848" t="s">
        <v>162</v>
      </c>
      <c r="U1848" t="s">
        <v>163</v>
      </c>
      <c r="V1848" t="s">
        <v>164</v>
      </c>
      <c r="W1848" t="s">
        <v>116</v>
      </c>
      <c r="X1848" t="s">
        <v>44</v>
      </c>
      <c r="Y1848" t="s">
        <v>99</v>
      </c>
      <c r="Z1848" t="s">
        <v>421</v>
      </c>
      <c r="AC1848" t="str">
        <f>IF(AA1848="",M1848,AA1848)</f>
        <v>sim</v>
      </c>
      <c r="AD1848" t="str">
        <f>IF(AB1848="",X1848,AB1848)</f>
        <v>sim</v>
      </c>
      <c r="AE1848" t="str">
        <f>IF(OR(Configuracao!B9="",Configuracao!B10=""),"aguardando limiar",IF(AND(K1848&gt;=Configuracao!B9,K1848/MAX(Reconciliacao!C2,1)&gt;=Configuracao!B10/100),"sim","não"))</f>
        <v>aguardando limiar</v>
      </c>
    </row>
    <row r="1849" spans="1:31" x14ac:dyDescent="0.25">
      <c r="A1849">
        <v>11401</v>
      </c>
      <c r="C1849" t="s">
        <v>1379</v>
      </c>
      <c r="D1849" t="s">
        <v>423</v>
      </c>
      <c r="E1849" t="s">
        <v>525</v>
      </c>
      <c r="F1849" t="s">
        <v>158</v>
      </c>
      <c r="G1849" t="s">
        <v>157</v>
      </c>
      <c r="H1849" t="s">
        <v>156</v>
      </c>
      <c r="I1849" t="s">
        <v>737</v>
      </c>
      <c r="J1849" t="s">
        <v>32</v>
      </c>
      <c r="K1849" s="4">
        <v>0</v>
      </c>
      <c r="L1849" s="4">
        <v>1200</v>
      </c>
      <c r="M1849" t="s">
        <v>44</v>
      </c>
      <c r="N1849" t="s">
        <v>77</v>
      </c>
      <c r="O1849" t="s">
        <v>99</v>
      </c>
      <c r="P1849" t="s">
        <v>99</v>
      </c>
      <c r="Q1849" t="s">
        <v>159</v>
      </c>
      <c r="R1849" t="s">
        <v>160</v>
      </c>
      <c r="S1849" t="s">
        <v>161</v>
      </c>
      <c r="T1849" t="s">
        <v>162</v>
      </c>
      <c r="U1849" t="s">
        <v>163</v>
      </c>
      <c r="V1849" t="s">
        <v>164</v>
      </c>
      <c r="W1849" t="s">
        <v>116</v>
      </c>
      <c r="X1849" t="s">
        <v>44</v>
      </c>
      <c r="Y1849" t="s">
        <v>99</v>
      </c>
      <c r="Z1849" t="s">
        <v>421</v>
      </c>
      <c r="AC1849" t="str">
        <f>IF(AA1849="",M1849,AA1849)</f>
        <v>sim</v>
      </c>
      <c r="AD1849" t="str">
        <f>IF(AB1849="",X1849,AB1849)</f>
        <v>sim</v>
      </c>
      <c r="AE1849" t="str">
        <f>IF(OR(Configuracao!B9="",Configuracao!B10=""),"aguardando limiar",IF(AND(K1849&gt;=Configuracao!B9,K1849/MAX(Reconciliacao!C2,1)&gt;=Configuracao!B10/100),"sim","não"))</f>
        <v>aguardando limiar</v>
      </c>
    </row>
    <row r="1850" spans="1:31" x14ac:dyDescent="0.25">
      <c r="A1850">
        <v>11403</v>
      </c>
      <c r="C1850" t="s">
        <v>1380</v>
      </c>
      <c r="D1850" t="s">
        <v>599</v>
      </c>
      <c r="E1850" t="s">
        <v>445</v>
      </c>
      <c r="F1850" t="s">
        <v>158</v>
      </c>
      <c r="G1850" t="s">
        <v>157</v>
      </c>
      <c r="H1850" t="s">
        <v>156</v>
      </c>
      <c r="I1850" t="s">
        <v>737</v>
      </c>
      <c r="J1850" t="s">
        <v>32</v>
      </c>
      <c r="K1850" s="4">
        <v>0</v>
      </c>
      <c r="L1850" s="4">
        <v>9463.02</v>
      </c>
      <c r="M1850" t="s">
        <v>44</v>
      </c>
      <c r="N1850" t="s">
        <v>77</v>
      </c>
      <c r="O1850" t="s">
        <v>99</v>
      </c>
      <c r="P1850" t="s">
        <v>99</v>
      </c>
      <c r="Q1850" t="s">
        <v>159</v>
      </c>
      <c r="R1850" t="s">
        <v>160</v>
      </c>
      <c r="S1850" t="s">
        <v>161</v>
      </c>
      <c r="T1850" t="s">
        <v>162</v>
      </c>
      <c r="U1850" t="s">
        <v>163</v>
      </c>
      <c r="V1850" t="s">
        <v>164</v>
      </c>
      <c r="W1850" t="s">
        <v>116</v>
      </c>
      <c r="X1850" t="s">
        <v>44</v>
      </c>
      <c r="Y1850" t="s">
        <v>99</v>
      </c>
      <c r="Z1850" t="s">
        <v>421</v>
      </c>
      <c r="AC1850" t="str">
        <f>IF(AA1850="",M1850,AA1850)</f>
        <v>sim</v>
      </c>
      <c r="AD1850" t="str">
        <f>IF(AB1850="",X1850,AB1850)</f>
        <v>sim</v>
      </c>
      <c r="AE1850" t="str">
        <f>IF(OR(Configuracao!B9="",Configuracao!B10=""),"aguardando limiar",IF(AND(K1850&gt;=Configuracao!B9,K1850/MAX(Reconciliacao!C2,1)&gt;=Configuracao!B10/100),"sim","não"))</f>
        <v>aguardando limiar</v>
      </c>
    </row>
    <row r="1851" spans="1:31" x14ac:dyDescent="0.25">
      <c r="A1851">
        <v>11404</v>
      </c>
      <c r="C1851" t="s">
        <v>1381</v>
      </c>
      <c r="D1851" t="s">
        <v>1382</v>
      </c>
      <c r="E1851" t="s">
        <v>467</v>
      </c>
      <c r="F1851" t="s">
        <v>158</v>
      </c>
      <c r="G1851" t="s">
        <v>157</v>
      </c>
      <c r="H1851" t="s">
        <v>156</v>
      </c>
      <c r="I1851" t="s">
        <v>737</v>
      </c>
      <c r="J1851" t="s">
        <v>32</v>
      </c>
      <c r="K1851" s="4">
        <v>0</v>
      </c>
      <c r="L1851" s="4">
        <v>1100</v>
      </c>
      <c r="M1851" t="s">
        <v>44</v>
      </c>
      <c r="N1851" t="s">
        <v>77</v>
      </c>
      <c r="O1851" t="s">
        <v>99</v>
      </c>
      <c r="P1851" t="s">
        <v>99</v>
      </c>
      <c r="Q1851" t="s">
        <v>159</v>
      </c>
      <c r="R1851" t="s">
        <v>160</v>
      </c>
      <c r="S1851" t="s">
        <v>161</v>
      </c>
      <c r="T1851" t="s">
        <v>162</v>
      </c>
      <c r="U1851" t="s">
        <v>163</v>
      </c>
      <c r="V1851" t="s">
        <v>164</v>
      </c>
      <c r="W1851" t="s">
        <v>116</v>
      </c>
      <c r="X1851" t="s">
        <v>44</v>
      </c>
      <c r="Y1851" t="s">
        <v>99</v>
      </c>
      <c r="Z1851" t="s">
        <v>421</v>
      </c>
      <c r="AC1851" t="str">
        <f>IF(AA1851="",M1851,AA1851)</f>
        <v>sim</v>
      </c>
      <c r="AD1851" t="str">
        <f>IF(AB1851="",X1851,AB1851)</f>
        <v>sim</v>
      </c>
      <c r="AE1851" t="str">
        <f>IF(OR(Configuracao!B9="",Configuracao!B10=""),"aguardando limiar",IF(AND(K1851&gt;=Configuracao!B9,K1851/MAX(Reconciliacao!C2,1)&gt;=Configuracao!B10/100),"sim","não"))</f>
        <v>aguardando limiar</v>
      </c>
    </row>
    <row r="1852" spans="1:31" x14ac:dyDescent="0.25">
      <c r="A1852">
        <v>11405</v>
      </c>
      <c r="C1852" t="s">
        <v>1383</v>
      </c>
      <c r="D1852" t="s">
        <v>1384</v>
      </c>
      <c r="E1852" t="s">
        <v>477</v>
      </c>
      <c r="F1852" t="s">
        <v>158</v>
      </c>
      <c r="G1852" t="s">
        <v>157</v>
      </c>
      <c r="H1852" t="s">
        <v>156</v>
      </c>
      <c r="I1852" t="s">
        <v>737</v>
      </c>
      <c r="J1852" t="s">
        <v>32</v>
      </c>
      <c r="K1852" s="4">
        <v>0</v>
      </c>
      <c r="L1852" s="4">
        <v>8500</v>
      </c>
      <c r="M1852" t="s">
        <v>44</v>
      </c>
      <c r="N1852" t="s">
        <v>77</v>
      </c>
      <c r="O1852" t="s">
        <v>99</v>
      </c>
      <c r="P1852" t="s">
        <v>99</v>
      </c>
      <c r="Q1852" t="s">
        <v>159</v>
      </c>
      <c r="R1852" t="s">
        <v>160</v>
      </c>
      <c r="S1852" t="s">
        <v>161</v>
      </c>
      <c r="T1852" t="s">
        <v>162</v>
      </c>
      <c r="U1852" t="s">
        <v>163</v>
      </c>
      <c r="V1852" t="s">
        <v>164</v>
      </c>
      <c r="W1852" t="s">
        <v>116</v>
      </c>
      <c r="X1852" t="s">
        <v>44</v>
      </c>
      <c r="Y1852" t="s">
        <v>99</v>
      </c>
      <c r="Z1852" t="s">
        <v>421</v>
      </c>
      <c r="AC1852" t="str">
        <f>IF(AA1852="",M1852,AA1852)</f>
        <v>sim</v>
      </c>
      <c r="AD1852" t="str">
        <f>IF(AB1852="",X1852,AB1852)</f>
        <v>sim</v>
      </c>
      <c r="AE1852" t="str">
        <f>IF(OR(Configuracao!B9="",Configuracao!B10=""),"aguardando limiar",IF(AND(K1852&gt;=Configuracao!B9,K1852/MAX(Reconciliacao!C2,1)&gt;=Configuracao!B10/100),"sim","não"))</f>
        <v>aguardando limiar</v>
      </c>
    </row>
    <row r="1853" spans="1:31" x14ac:dyDescent="0.25">
      <c r="A1853">
        <v>11406</v>
      </c>
      <c r="C1853" t="s">
        <v>1385</v>
      </c>
      <c r="D1853" t="s">
        <v>1386</v>
      </c>
      <c r="E1853" t="s">
        <v>465</v>
      </c>
      <c r="F1853" t="s">
        <v>158</v>
      </c>
      <c r="G1853" t="s">
        <v>157</v>
      </c>
      <c r="H1853" t="s">
        <v>156</v>
      </c>
      <c r="I1853" t="s">
        <v>737</v>
      </c>
      <c r="J1853" t="s">
        <v>32</v>
      </c>
      <c r="K1853" s="4">
        <v>0</v>
      </c>
      <c r="L1853" s="4">
        <v>1100</v>
      </c>
      <c r="M1853" t="s">
        <v>44</v>
      </c>
      <c r="N1853" t="s">
        <v>77</v>
      </c>
      <c r="O1853" t="s">
        <v>99</v>
      </c>
      <c r="P1853" t="s">
        <v>99</v>
      </c>
      <c r="Q1853" t="s">
        <v>159</v>
      </c>
      <c r="R1853" t="s">
        <v>160</v>
      </c>
      <c r="S1853" t="s">
        <v>161</v>
      </c>
      <c r="T1853" t="s">
        <v>162</v>
      </c>
      <c r="U1853" t="s">
        <v>163</v>
      </c>
      <c r="V1853" t="s">
        <v>164</v>
      </c>
      <c r="W1853" t="s">
        <v>116</v>
      </c>
      <c r="X1853" t="s">
        <v>44</v>
      </c>
      <c r="Y1853" t="s">
        <v>99</v>
      </c>
      <c r="Z1853" t="s">
        <v>421</v>
      </c>
      <c r="AC1853" t="str">
        <f>IF(AA1853="",M1853,AA1853)</f>
        <v>sim</v>
      </c>
      <c r="AD1853" t="str">
        <f>IF(AB1853="",X1853,AB1853)</f>
        <v>sim</v>
      </c>
      <c r="AE1853" t="str">
        <f>IF(OR(Configuracao!B9="",Configuracao!B10=""),"aguardando limiar",IF(AND(K1853&gt;=Configuracao!B9,K1853/MAX(Reconciliacao!C2,1)&gt;=Configuracao!B10/100),"sim","não"))</f>
        <v>aguardando limiar</v>
      </c>
    </row>
    <row r="1854" spans="1:31" x14ac:dyDescent="0.25">
      <c r="A1854">
        <v>11407</v>
      </c>
      <c r="C1854" t="s">
        <v>1387</v>
      </c>
      <c r="D1854" t="s">
        <v>597</v>
      </c>
      <c r="E1854" t="s">
        <v>465</v>
      </c>
      <c r="F1854" t="s">
        <v>158</v>
      </c>
      <c r="G1854" t="s">
        <v>157</v>
      </c>
      <c r="H1854" t="s">
        <v>156</v>
      </c>
      <c r="I1854" t="s">
        <v>737</v>
      </c>
      <c r="J1854" t="s">
        <v>32</v>
      </c>
      <c r="K1854" s="4">
        <v>0</v>
      </c>
      <c r="L1854" s="4">
        <v>14632</v>
      </c>
      <c r="M1854" t="s">
        <v>44</v>
      </c>
      <c r="N1854" t="s">
        <v>77</v>
      </c>
      <c r="O1854" t="s">
        <v>99</v>
      </c>
      <c r="P1854" t="s">
        <v>99</v>
      </c>
      <c r="Q1854" t="s">
        <v>159</v>
      </c>
      <c r="R1854" t="s">
        <v>160</v>
      </c>
      <c r="S1854" t="s">
        <v>161</v>
      </c>
      <c r="T1854" t="s">
        <v>162</v>
      </c>
      <c r="U1854" t="s">
        <v>163</v>
      </c>
      <c r="V1854" t="s">
        <v>164</v>
      </c>
      <c r="W1854" t="s">
        <v>116</v>
      </c>
      <c r="X1854" t="s">
        <v>44</v>
      </c>
      <c r="Y1854" t="s">
        <v>99</v>
      </c>
      <c r="Z1854" t="s">
        <v>421</v>
      </c>
      <c r="AC1854" t="str">
        <f>IF(AA1854="",M1854,AA1854)</f>
        <v>sim</v>
      </c>
      <c r="AD1854" t="str">
        <f>IF(AB1854="",X1854,AB1854)</f>
        <v>sim</v>
      </c>
      <c r="AE1854" t="str">
        <f>IF(OR(Configuracao!B9="",Configuracao!B10=""),"aguardando limiar",IF(AND(K1854&gt;=Configuracao!B9,K1854/MAX(Reconciliacao!C2,1)&gt;=Configuracao!B10/100),"sim","não"))</f>
        <v>aguardando limiar</v>
      </c>
    </row>
    <row r="1855" spans="1:31" x14ac:dyDescent="0.25">
      <c r="A1855">
        <v>11408</v>
      </c>
      <c r="C1855" t="s">
        <v>1388</v>
      </c>
      <c r="D1855" t="s">
        <v>430</v>
      </c>
      <c r="E1855" t="s">
        <v>467</v>
      </c>
      <c r="F1855" t="s">
        <v>158</v>
      </c>
      <c r="G1855" t="s">
        <v>157</v>
      </c>
      <c r="H1855" t="s">
        <v>156</v>
      </c>
      <c r="I1855" t="s">
        <v>737</v>
      </c>
      <c r="J1855" t="s">
        <v>32</v>
      </c>
      <c r="K1855" s="4">
        <v>0</v>
      </c>
      <c r="L1855" s="4">
        <v>3800</v>
      </c>
      <c r="M1855" t="s">
        <v>44</v>
      </c>
      <c r="N1855" t="s">
        <v>77</v>
      </c>
      <c r="O1855" t="s">
        <v>99</v>
      </c>
      <c r="P1855" t="s">
        <v>99</v>
      </c>
      <c r="Q1855" t="s">
        <v>159</v>
      </c>
      <c r="R1855" t="s">
        <v>160</v>
      </c>
      <c r="S1855" t="s">
        <v>161</v>
      </c>
      <c r="T1855" t="s">
        <v>162</v>
      </c>
      <c r="U1855" t="s">
        <v>163</v>
      </c>
      <c r="V1855" t="s">
        <v>164</v>
      </c>
      <c r="W1855" t="s">
        <v>116</v>
      </c>
      <c r="X1855" t="s">
        <v>44</v>
      </c>
      <c r="Y1855" t="s">
        <v>99</v>
      </c>
      <c r="Z1855" t="s">
        <v>421</v>
      </c>
      <c r="AC1855" t="str">
        <f>IF(AA1855="",M1855,AA1855)</f>
        <v>sim</v>
      </c>
      <c r="AD1855" t="str">
        <f>IF(AB1855="",X1855,AB1855)</f>
        <v>sim</v>
      </c>
      <c r="AE1855" t="str">
        <f>IF(OR(Configuracao!B9="",Configuracao!B10=""),"aguardando limiar",IF(AND(K1855&gt;=Configuracao!B9,K1855/MAX(Reconciliacao!C2,1)&gt;=Configuracao!B10/100),"sim","não"))</f>
        <v>aguardando limiar</v>
      </c>
    </row>
    <row r="1856" spans="1:31" x14ac:dyDescent="0.25">
      <c r="A1856">
        <v>11409</v>
      </c>
      <c r="C1856" t="s">
        <v>1389</v>
      </c>
      <c r="D1856" t="s">
        <v>865</v>
      </c>
      <c r="E1856" t="s">
        <v>445</v>
      </c>
      <c r="F1856" t="s">
        <v>158</v>
      </c>
      <c r="G1856" t="s">
        <v>157</v>
      </c>
      <c r="H1856" t="s">
        <v>156</v>
      </c>
      <c r="I1856" t="s">
        <v>737</v>
      </c>
      <c r="J1856" t="s">
        <v>32</v>
      </c>
      <c r="K1856" s="4">
        <v>0</v>
      </c>
      <c r="L1856" s="4">
        <v>5933.02</v>
      </c>
      <c r="M1856" t="s">
        <v>44</v>
      </c>
      <c r="N1856" t="s">
        <v>77</v>
      </c>
      <c r="O1856" t="s">
        <v>99</v>
      </c>
      <c r="P1856" t="s">
        <v>99</v>
      </c>
      <c r="Q1856" t="s">
        <v>159</v>
      </c>
      <c r="R1856" t="s">
        <v>160</v>
      </c>
      <c r="S1856" t="s">
        <v>161</v>
      </c>
      <c r="T1856" t="s">
        <v>162</v>
      </c>
      <c r="U1856" t="s">
        <v>163</v>
      </c>
      <c r="V1856" t="s">
        <v>164</v>
      </c>
      <c r="W1856" t="s">
        <v>116</v>
      </c>
      <c r="X1856" t="s">
        <v>44</v>
      </c>
      <c r="Y1856" t="s">
        <v>99</v>
      </c>
      <c r="Z1856" t="s">
        <v>421</v>
      </c>
      <c r="AC1856" t="str">
        <f>IF(AA1856="",M1856,AA1856)</f>
        <v>sim</v>
      </c>
      <c r="AD1856" t="str">
        <f>IF(AB1856="",X1856,AB1856)</f>
        <v>sim</v>
      </c>
      <c r="AE1856" t="str">
        <f>IF(OR(Configuracao!B9="",Configuracao!B10=""),"aguardando limiar",IF(AND(K1856&gt;=Configuracao!B9,K1856/MAX(Reconciliacao!C2,1)&gt;=Configuracao!B10/100),"sim","não"))</f>
        <v>aguardando limiar</v>
      </c>
    </row>
    <row r="1857" spans="1:31" x14ac:dyDescent="0.25">
      <c r="A1857">
        <v>11410</v>
      </c>
      <c r="C1857" t="s">
        <v>1390</v>
      </c>
      <c r="D1857" t="s">
        <v>1391</v>
      </c>
      <c r="E1857" t="s">
        <v>467</v>
      </c>
      <c r="F1857" t="s">
        <v>158</v>
      </c>
      <c r="G1857" t="s">
        <v>157</v>
      </c>
      <c r="H1857" t="s">
        <v>156</v>
      </c>
      <c r="I1857" t="s">
        <v>737</v>
      </c>
      <c r="J1857" t="s">
        <v>32</v>
      </c>
      <c r="K1857" s="4">
        <v>0</v>
      </c>
      <c r="L1857" s="4">
        <v>4200</v>
      </c>
      <c r="M1857" t="s">
        <v>44</v>
      </c>
      <c r="N1857" t="s">
        <v>77</v>
      </c>
      <c r="O1857" t="s">
        <v>99</v>
      </c>
      <c r="P1857" t="s">
        <v>99</v>
      </c>
      <c r="Q1857" t="s">
        <v>159</v>
      </c>
      <c r="R1857" t="s">
        <v>160</v>
      </c>
      <c r="S1857" t="s">
        <v>161</v>
      </c>
      <c r="T1857" t="s">
        <v>162</v>
      </c>
      <c r="U1857" t="s">
        <v>163</v>
      </c>
      <c r="V1857" t="s">
        <v>164</v>
      </c>
      <c r="W1857" t="s">
        <v>116</v>
      </c>
      <c r="X1857" t="s">
        <v>44</v>
      </c>
      <c r="Y1857" t="s">
        <v>99</v>
      </c>
      <c r="Z1857" t="s">
        <v>421</v>
      </c>
      <c r="AC1857" t="str">
        <f>IF(AA1857="",M1857,AA1857)</f>
        <v>sim</v>
      </c>
      <c r="AD1857" t="str">
        <f>IF(AB1857="",X1857,AB1857)</f>
        <v>sim</v>
      </c>
      <c r="AE1857" t="str">
        <f>IF(OR(Configuracao!B9="",Configuracao!B10=""),"aguardando limiar",IF(AND(K1857&gt;=Configuracao!B9,K1857/MAX(Reconciliacao!C2,1)&gt;=Configuracao!B10/100),"sim","não"))</f>
        <v>aguardando limiar</v>
      </c>
    </row>
    <row r="1858" spans="1:31" x14ac:dyDescent="0.25">
      <c r="A1858">
        <v>11412</v>
      </c>
      <c r="C1858" t="s">
        <v>1392</v>
      </c>
      <c r="D1858" t="s">
        <v>510</v>
      </c>
      <c r="E1858" t="s">
        <v>511</v>
      </c>
      <c r="F1858" t="s">
        <v>158</v>
      </c>
      <c r="G1858" t="s">
        <v>157</v>
      </c>
      <c r="H1858" t="s">
        <v>156</v>
      </c>
      <c r="I1858" t="s">
        <v>737</v>
      </c>
      <c r="J1858" t="s">
        <v>32</v>
      </c>
      <c r="K1858" s="4">
        <v>0</v>
      </c>
      <c r="L1858" s="4">
        <v>11988.68</v>
      </c>
      <c r="M1858" t="s">
        <v>44</v>
      </c>
      <c r="N1858" t="s">
        <v>77</v>
      </c>
      <c r="O1858" t="s">
        <v>99</v>
      </c>
      <c r="P1858" t="s">
        <v>99</v>
      </c>
      <c r="Q1858" t="s">
        <v>159</v>
      </c>
      <c r="R1858" t="s">
        <v>160</v>
      </c>
      <c r="S1858" t="s">
        <v>161</v>
      </c>
      <c r="T1858" t="s">
        <v>162</v>
      </c>
      <c r="U1858" t="s">
        <v>163</v>
      </c>
      <c r="V1858" t="s">
        <v>164</v>
      </c>
      <c r="W1858" t="s">
        <v>116</v>
      </c>
      <c r="X1858" t="s">
        <v>44</v>
      </c>
      <c r="Y1858" t="s">
        <v>99</v>
      </c>
      <c r="Z1858" t="s">
        <v>421</v>
      </c>
      <c r="AC1858" t="str">
        <f>IF(AA1858="",M1858,AA1858)</f>
        <v>sim</v>
      </c>
      <c r="AD1858" t="str">
        <f>IF(AB1858="",X1858,AB1858)</f>
        <v>sim</v>
      </c>
      <c r="AE1858" t="str">
        <f>IF(OR(Configuracao!B9="",Configuracao!B10=""),"aguardando limiar",IF(AND(K1858&gt;=Configuracao!B9,K1858/MAX(Reconciliacao!C2,1)&gt;=Configuracao!B10/100),"sim","não"))</f>
        <v>aguardando limiar</v>
      </c>
    </row>
    <row r="1859" spans="1:31" x14ac:dyDescent="0.25">
      <c r="A1859">
        <v>11413</v>
      </c>
      <c r="C1859" t="s">
        <v>1393</v>
      </c>
      <c r="D1859" t="s">
        <v>917</v>
      </c>
      <c r="E1859" t="s">
        <v>511</v>
      </c>
      <c r="F1859" t="s">
        <v>158</v>
      </c>
      <c r="G1859" t="s">
        <v>157</v>
      </c>
      <c r="H1859" t="s">
        <v>156</v>
      </c>
      <c r="I1859" t="s">
        <v>737</v>
      </c>
      <c r="J1859" t="s">
        <v>32</v>
      </c>
      <c r="K1859" s="4">
        <v>0</v>
      </c>
      <c r="L1859" s="4">
        <v>5500</v>
      </c>
      <c r="M1859" t="s">
        <v>44</v>
      </c>
      <c r="N1859" t="s">
        <v>77</v>
      </c>
      <c r="O1859" t="s">
        <v>99</v>
      </c>
      <c r="P1859" t="s">
        <v>99</v>
      </c>
      <c r="Q1859" t="s">
        <v>159</v>
      </c>
      <c r="R1859" t="s">
        <v>160</v>
      </c>
      <c r="S1859" t="s">
        <v>161</v>
      </c>
      <c r="T1859" t="s">
        <v>162</v>
      </c>
      <c r="U1859" t="s">
        <v>163</v>
      </c>
      <c r="V1859" t="s">
        <v>164</v>
      </c>
      <c r="W1859" t="s">
        <v>116</v>
      </c>
      <c r="X1859" t="s">
        <v>44</v>
      </c>
      <c r="Y1859" t="s">
        <v>99</v>
      </c>
      <c r="Z1859" t="s">
        <v>421</v>
      </c>
      <c r="AC1859" t="str">
        <f>IF(AA1859="",M1859,AA1859)</f>
        <v>sim</v>
      </c>
      <c r="AD1859" t="str">
        <f>IF(AB1859="",X1859,AB1859)</f>
        <v>sim</v>
      </c>
      <c r="AE1859" t="str">
        <f>IF(OR(Configuracao!B9="",Configuracao!B10=""),"aguardando limiar",IF(AND(K1859&gt;=Configuracao!B9,K1859/MAX(Reconciliacao!C2,1)&gt;=Configuracao!B10/100),"sim","não"))</f>
        <v>aguardando limiar</v>
      </c>
    </row>
    <row r="1860" spans="1:31" x14ac:dyDescent="0.25">
      <c r="A1860">
        <v>11415</v>
      </c>
      <c r="C1860" t="s">
        <v>1394</v>
      </c>
      <c r="D1860" t="s">
        <v>578</v>
      </c>
      <c r="E1860" t="s">
        <v>525</v>
      </c>
      <c r="F1860" t="s">
        <v>158</v>
      </c>
      <c r="G1860" t="s">
        <v>157</v>
      </c>
      <c r="H1860" t="s">
        <v>156</v>
      </c>
      <c r="I1860" t="s">
        <v>737</v>
      </c>
      <c r="J1860" t="s">
        <v>32</v>
      </c>
      <c r="K1860" s="4">
        <v>0</v>
      </c>
      <c r="L1860" s="4">
        <v>8716.02</v>
      </c>
      <c r="M1860" t="s">
        <v>44</v>
      </c>
      <c r="N1860" t="s">
        <v>77</v>
      </c>
      <c r="O1860" t="s">
        <v>99</v>
      </c>
      <c r="P1860" t="s">
        <v>99</v>
      </c>
      <c r="Q1860" t="s">
        <v>159</v>
      </c>
      <c r="R1860" t="s">
        <v>160</v>
      </c>
      <c r="S1860" t="s">
        <v>161</v>
      </c>
      <c r="T1860" t="s">
        <v>162</v>
      </c>
      <c r="U1860" t="s">
        <v>163</v>
      </c>
      <c r="V1860" t="s">
        <v>164</v>
      </c>
      <c r="W1860" t="s">
        <v>116</v>
      </c>
      <c r="X1860" t="s">
        <v>44</v>
      </c>
      <c r="Y1860" t="s">
        <v>99</v>
      </c>
      <c r="Z1860" t="s">
        <v>421</v>
      </c>
      <c r="AC1860" t="str">
        <f>IF(AA1860="",M1860,AA1860)</f>
        <v>sim</v>
      </c>
      <c r="AD1860" t="str">
        <f>IF(AB1860="",X1860,AB1860)</f>
        <v>sim</v>
      </c>
      <c r="AE1860" t="str">
        <f>IF(OR(Configuracao!B9="",Configuracao!B10=""),"aguardando limiar",IF(AND(K1860&gt;=Configuracao!B9,K1860/MAX(Reconciliacao!C2,1)&gt;=Configuracao!B10/100),"sim","não"))</f>
        <v>aguardando limiar</v>
      </c>
    </row>
    <row r="1861" spans="1:31" x14ac:dyDescent="0.25">
      <c r="A1861">
        <v>11416</v>
      </c>
      <c r="C1861" t="s">
        <v>1395</v>
      </c>
      <c r="D1861" t="s">
        <v>583</v>
      </c>
      <c r="E1861" t="s">
        <v>467</v>
      </c>
      <c r="F1861" t="s">
        <v>158</v>
      </c>
      <c r="G1861" t="s">
        <v>157</v>
      </c>
      <c r="H1861" t="s">
        <v>156</v>
      </c>
      <c r="I1861" t="s">
        <v>737</v>
      </c>
      <c r="J1861" t="s">
        <v>32</v>
      </c>
      <c r="K1861" s="4">
        <v>0</v>
      </c>
      <c r="L1861" s="4">
        <v>24833.02</v>
      </c>
      <c r="M1861" t="s">
        <v>44</v>
      </c>
      <c r="N1861" t="s">
        <v>77</v>
      </c>
      <c r="O1861" t="s">
        <v>99</v>
      </c>
      <c r="P1861" t="s">
        <v>99</v>
      </c>
      <c r="Q1861" t="s">
        <v>159</v>
      </c>
      <c r="R1861" t="s">
        <v>160</v>
      </c>
      <c r="S1861" t="s">
        <v>161</v>
      </c>
      <c r="T1861" t="s">
        <v>162</v>
      </c>
      <c r="U1861" t="s">
        <v>163</v>
      </c>
      <c r="V1861" t="s">
        <v>164</v>
      </c>
      <c r="W1861" t="s">
        <v>116</v>
      </c>
      <c r="X1861" t="s">
        <v>44</v>
      </c>
      <c r="Y1861" t="s">
        <v>99</v>
      </c>
      <c r="Z1861" t="s">
        <v>421</v>
      </c>
      <c r="AC1861" t="str">
        <f>IF(AA1861="",M1861,AA1861)</f>
        <v>sim</v>
      </c>
      <c r="AD1861" t="str">
        <f>IF(AB1861="",X1861,AB1861)</f>
        <v>sim</v>
      </c>
      <c r="AE1861" t="str">
        <f>IF(OR(Configuracao!B9="",Configuracao!B10=""),"aguardando limiar",IF(AND(K1861&gt;=Configuracao!B9,K1861/MAX(Reconciliacao!C2,1)&gt;=Configuracao!B10/100),"sim","não"))</f>
        <v>aguardando limiar</v>
      </c>
    </row>
    <row r="1862" spans="1:31" x14ac:dyDescent="0.25">
      <c r="A1862">
        <v>11417</v>
      </c>
      <c r="C1862" t="s">
        <v>1396</v>
      </c>
      <c r="D1862" t="s">
        <v>1397</v>
      </c>
      <c r="E1862" t="s">
        <v>477</v>
      </c>
      <c r="F1862" t="s">
        <v>158</v>
      </c>
      <c r="G1862" t="s">
        <v>157</v>
      </c>
      <c r="H1862" t="s">
        <v>156</v>
      </c>
      <c r="I1862" t="s">
        <v>737</v>
      </c>
      <c r="J1862" t="s">
        <v>32</v>
      </c>
      <c r="K1862" s="4">
        <v>0</v>
      </c>
      <c r="L1862" s="4">
        <v>1100</v>
      </c>
      <c r="M1862" t="s">
        <v>44</v>
      </c>
      <c r="N1862" t="s">
        <v>77</v>
      </c>
      <c r="O1862" t="s">
        <v>99</v>
      </c>
      <c r="P1862" t="s">
        <v>99</v>
      </c>
      <c r="Q1862" t="s">
        <v>159</v>
      </c>
      <c r="R1862" t="s">
        <v>160</v>
      </c>
      <c r="S1862" t="s">
        <v>161</v>
      </c>
      <c r="T1862" t="s">
        <v>162</v>
      </c>
      <c r="U1862" t="s">
        <v>163</v>
      </c>
      <c r="V1862" t="s">
        <v>164</v>
      </c>
      <c r="W1862" t="s">
        <v>116</v>
      </c>
      <c r="X1862" t="s">
        <v>44</v>
      </c>
      <c r="Y1862" t="s">
        <v>99</v>
      </c>
      <c r="Z1862" t="s">
        <v>421</v>
      </c>
      <c r="AC1862" t="str">
        <f>IF(AA1862="",M1862,AA1862)</f>
        <v>sim</v>
      </c>
      <c r="AD1862" t="str">
        <f>IF(AB1862="",X1862,AB1862)</f>
        <v>sim</v>
      </c>
      <c r="AE1862" t="str">
        <f>IF(OR(Configuracao!B9="",Configuracao!B10=""),"aguardando limiar",IF(AND(K1862&gt;=Configuracao!B9,K1862/MAX(Reconciliacao!C2,1)&gt;=Configuracao!B10/100),"sim","não"))</f>
        <v>aguardando limiar</v>
      </c>
    </row>
    <row r="1863" spans="1:31" x14ac:dyDescent="0.25">
      <c r="A1863">
        <v>11418</v>
      </c>
      <c r="C1863" t="s">
        <v>1398</v>
      </c>
      <c r="D1863" t="s">
        <v>1399</v>
      </c>
      <c r="E1863" t="s">
        <v>467</v>
      </c>
      <c r="F1863" t="s">
        <v>158</v>
      </c>
      <c r="G1863" t="s">
        <v>157</v>
      </c>
      <c r="H1863" t="s">
        <v>156</v>
      </c>
      <c r="I1863" t="s">
        <v>737</v>
      </c>
      <c r="J1863" t="s">
        <v>32</v>
      </c>
      <c r="K1863" s="4">
        <v>0</v>
      </c>
      <c r="L1863" s="4">
        <v>5100</v>
      </c>
      <c r="M1863" t="s">
        <v>44</v>
      </c>
      <c r="N1863" t="s">
        <v>77</v>
      </c>
      <c r="O1863" t="s">
        <v>99</v>
      </c>
      <c r="P1863" t="s">
        <v>99</v>
      </c>
      <c r="Q1863" t="s">
        <v>159</v>
      </c>
      <c r="R1863" t="s">
        <v>160</v>
      </c>
      <c r="S1863" t="s">
        <v>161</v>
      </c>
      <c r="T1863" t="s">
        <v>162</v>
      </c>
      <c r="U1863" t="s">
        <v>163</v>
      </c>
      <c r="V1863" t="s">
        <v>164</v>
      </c>
      <c r="W1863" t="s">
        <v>116</v>
      </c>
      <c r="X1863" t="s">
        <v>44</v>
      </c>
      <c r="Y1863" t="s">
        <v>99</v>
      </c>
      <c r="Z1863" t="s">
        <v>421</v>
      </c>
      <c r="AC1863" t="str">
        <f>IF(AA1863="",M1863,AA1863)</f>
        <v>sim</v>
      </c>
      <c r="AD1863" t="str">
        <f>IF(AB1863="",X1863,AB1863)</f>
        <v>sim</v>
      </c>
      <c r="AE1863" t="str">
        <f>IF(OR(Configuracao!B9="",Configuracao!B10=""),"aguardando limiar",IF(AND(K1863&gt;=Configuracao!B9,K1863/MAX(Reconciliacao!C2,1)&gt;=Configuracao!B10/100),"sim","não"))</f>
        <v>aguardando limiar</v>
      </c>
    </row>
    <row r="1864" spans="1:31" x14ac:dyDescent="0.25">
      <c r="A1864">
        <v>11419</v>
      </c>
      <c r="C1864" t="s">
        <v>1400</v>
      </c>
      <c r="D1864" t="s">
        <v>575</v>
      </c>
      <c r="E1864" t="s">
        <v>467</v>
      </c>
      <c r="F1864" t="s">
        <v>158</v>
      </c>
      <c r="G1864" t="s">
        <v>157</v>
      </c>
      <c r="H1864" t="s">
        <v>156</v>
      </c>
      <c r="I1864" t="s">
        <v>737</v>
      </c>
      <c r="J1864" t="s">
        <v>32</v>
      </c>
      <c r="K1864" s="4">
        <v>0</v>
      </c>
      <c r="L1864" s="4">
        <v>11833.02</v>
      </c>
      <c r="M1864" t="s">
        <v>44</v>
      </c>
      <c r="N1864" t="s">
        <v>77</v>
      </c>
      <c r="O1864" t="s">
        <v>99</v>
      </c>
      <c r="P1864" t="s">
        <v>99</v>
      </c>
      <c r="Q1864" t="s">
        <v>159</v>
      </c>
      <c r="R1864" t="s">
        <v>160</v>
      </c>
      <c r="S1864" t="s">
        <v>161</v>
      </c>
      <c r="T1864" t="s">
        <v>162</v>
      </c>
      <c r="U1864" t="s">
        <v>163</v>
      </c>
      <c r="V1864" t="s">
        <v>164</v>
      </c>
      <c r="W1864" t="s">
        <v>116</v>
      </c>
      <c r="X1864" t="s">
        <v>44</v>
      </c>
      <c r="Y1864" t="s">
        <v>99</v>
      </c>
      <c r="Z1864" t="s">
        <v>421</v>
      </c>
      <c r="AC1864" t="str">
        <f>IF(AA1864="",M1864,AA1864)</f>
        <v>sim</v>
      </c>
      <c r="AD1864" t="str">
        <f>IF(AB1864="",X1864,AB1864)</f>
        <v>sim</v>
      </c>
      <c r="AE1864" t="str">
        <f>IF(OR(Configuracao!B9="",Configuracao!B10=""),"aguardando limiar",IF(AND(K1864&gt;=Configuracao!B9,K1864/MAX(Reconciliacao!C2,1)&gt;=Configuracao!B10/100),"sim","não"))</f>
        <v>aguardando limiar</v>
      </c>
    </row>
    <row r="1865" spans="1:31" x14ac:dyDescent="0.25">
      <c r="A1865">
        <v>11420</v>
      </c>
      <c r="C1865" t="s">
        <v>1401</v>
      </c>
      <c r="D1865" t="s">
        <v>1402</v>
      </c>
      <c r="E1865" t="s">
        <v>467</v>
      </c>
      <c r="F1865" t="s">
        <v>158</v>
      </c>
      <c r="G1865" t="s">
        <v>157</v>
      </c>
      <c r="H1865" t="s">
        <v>156</v>
      </c>
      <c r="I1865" t="s">
        <v>737</v>
      </c>
      <c r="J1865" t="s">
        <v>32</v>
      </c>
      <c r="K1865" s="4">
        <v>0</v>
      </c>
      <c r="L1865" s="4">
        <v>1100</v>
      </c>
      <c r="M1865" t="s">
        <v>44</v>
      </c>
      <c r="N1865" t="s">
        <v>77</v>
      </c>
      <c r="O1865" t="s">
        <v>99</v>
      </c>
      <c r="P1865" t="s">
        <v>99</v>
      </c>
      <c r="Q1865" t="s">
        <v>159</v>
      </c>
      <c r="R1865" t="s">
        <v>160</v>
      </c>
      <c r="S1865" t="s">
        <v>161</v>
      </c>
      <c r="T1865" t="s">
        <v>162</v>
      </c>
      <c r="U1865" t="s">
        <v>163</v>
      </c>
      <c r="V1865" t="s">
        <v>164</v>
      </c>
      <c r="W1865" t="s">
        <v>116</v>
      </c>
      <c r="X1865" t="s">
        <v>44</v>
      </c>
      <c r="Y1865" t="s">
        <v>99</v>
      </c>
      <c r="Z1865" t="s">
        <v>421</v>
      </c>
      <c r="AC1865" t="str">
        <f>IF(AA1865="",M1865,AA1865)</f>
        <v>sim</v>
      </c>
      <c r="AD1865" t="str">
        <f>IF(AB1865="",X1865,AB1865)</f>
        <v>sim</v>
      </c>
      <c r="AE1865" t="str">
        <f>IF(OR(Configuracao!B9="",Configuracao!B10=""),"aguardando limiar",IF(AND(K1865&gt;=Configuracao!B9,K1865/MAX(Reconciliacao!C2,1)&gt;=Configuracao!B10/100),"sim","não"))</f>
        <v>aguardando limiar</v>
      </c>
    </row>
    <row r="1866" spans="1:31" x14ac:dyDescent="0.25">
      <c r="A1866">
        <v>11421</v>
      </c>
      <c r="C1866" t="s">
        <v>1403</v>
      </c>
      <c r="D1866" t="s">
        <v>1404</v>
      </c>
      <c r="E1866" t="s">
        <v>525</v>
      </c>
      <c r="F1866" t="s">
        <v>158</v>
      </c>
      <c r="G1866" t="s">
        <v>157</v>
      </c>
      <c r="H1866" t="s">
        <v>156</v>
      </c>
      <c r="I1866" t="s">
        <v>737</v>
      </c>
      <c r="J1866" t="s">
        <v>32</v>
      </c>
      <c r="K1866" s="4">
        <v>0</v>
      </c>
      <c r="L1866" s="4">
        <v>4000</v>
      </c>
      <c r="M1866" t="s">
        <v>44</v>
      </c>
      <c r="N1866" t="s">
        <v>77</v>
      </c>
      <c r="O1866" t="s">
        <v>99</v>
      </c>
      <c r="P1866" t="s">
        <v>99</v>
      </c>
      <c r="Q1866" t="s">
        <v>159</v>
      </c>
      <c r="R1866" t="s">
        <v>160</v>
      </c>
      <c r="S1866" t="s">
        <v>161</v>
      </c>
      <c r="T1866" t="s">
        <v>162</v>
      </c>
      <c r="U1866" t="s">
        <v>163</v>
      </c>
      <c r="V1866" t="s">
        <v>164</v>
      </c>
      <c r="W1866" t="s">
        <v>116</v>
      </c>
      <c r="X1866" t="s">
        <v>44</v>
      </c>
      <c r="Y1866" t="s">
        <v>99</v>
      </c>
      <c r="Z1866" t="s">
        <v>421</v>
      </c>
      <c r="AC1866" t="str">
        <f>IF(AA1866="",M1866,AA1866)</f>
        <v>sim</v>
      </c>
      <c r="AD1866" t="str">
        <f>IF(AB1866="",X1866,AB1866)</f>
        <v>sim</v>
      </c>
      <c r="AE1866" t="str">
        <f>IF(OR(Configuracao!B9="",Configuracao!B10=""),"aguardando limiar",IF(AND(K1866&gt;=Configuracao!B9,K1866/MAX(Reconciliacao!C2,1)&gt;=Configuracao!B10/100),"sim","não"))</f>
        <v>aguardando limiar</v>
      </c>
    </row>
    <row r="1867" spans="1:31" x14ac:dyDescent="0.25">
      <c r="A1867">
        <v>11422</v>
      </c>
      <c r="C1867" t="s">
        <v>1405</v>
      </c>
      <c r="D1867" t="s">
        <v>870</v>
      </c>
      <c r="E1867" t="s">
        <v>445</v>
      </c>
      <c r="F1867" t="s">
        <v>158</v>
      </c>
      <c r="G1867" t="s">
        <v>157</v>
      </c>
      <c r="H1867" t="s">
        <v>156</v>
      </c>
      <c r="I1867" t="s">
        <v>737</v>
      </c>
      <c r="J1867" t="s">
        <v>32</v>
      </c>
      <c r="K1867" s="4">
        <v>0</v>
      </c>
      <c r="L1867" s="4">
        <v>4000</v>
      </c>
      <c r="M1867" t="s">
        <v>44</v>
      </c>
      <c r="N1867" t="s">
        <v>77</v>
      </c>
      <c r="O1867" t="s">
        <v>99</v>
      </c>
      <c r="P1867" t="s">
        <v>99</v>
      </c>
      <c r="Q1867" t="s">
        <v>159</v>
      </c>
      <c r="R1867" t="s">
        <v>160</v>
      </c>
      <c r="S1867" t="s">
        <v>161</v>
      </c>
      <c r="T1867" t="s">
        <v>162</v>
      </c>
      <c r="U1867" t="s">
        <v>163</v>
      </c>
      <c r="V1867" t="s">
        <v>164</v>
      </c>
      <c r="W1867" t="s">
        <v>116</v>
      </c>
      <c r="X1867" t="s">
        <v>44</v>
      </c>
      <c r="Y1867" t="s">
        <v>99</v>
      </c>
      <c r="Z1867" t="s">
        <v>421</v>
      </c>
      <c r="AC1867" t="str">
        <f>IF(AA1867="",M1867,AA1867)</f>
        <v>sim</v>
      </c>
      <c r="AD1867" t="str">
        <f>IF(AB1867="",X1867,AB1867)</f>
        <v>sim</v>
      </c>
      <c r="AE1867" t="str">
        <f>IF(OR(Configuracao!B9="",Configuracao!B10=""),"aguardando limiar",IF(AND(K1867&gt;=Configuracao!B9,K1867/MAX(Reconciliacao!C2,1)&gt;=Configuracao!B10/100),"sim","não"))</f>
        <v>aguardando limiar</v>
      </c>
    </row>
    <row r="1868" spans="1:31" x14ac:dyDescent="0.25">
      <c r="A1868">
        <v>11423</v>
      </c>
      <c r="C1868" t="s">
        <v>1406</v>
      </c>
      <c r="D1868" t="s">
        <v>1407</v>
      </c>
      <c r="E1868" t="s">
        <v>467</v>
      </c>
      <c r="F1868" t="s">
        <v>158</v>
      </c>
      <c r="G1868" t="s">
        <v>157</v>
      </c>
      <c r="H1868" t="s">
        <v>156</v>
      </c>
      <c r="I1868" t="s">
        <v>737</v>
      </c>
      <c r="J1868" t="s">
        <v>32</v>
      </c>
      <c r="K1868" s="4">
        <v>0</v>
      </c>
      <c r="L1868" s="4">
        <v>7833.02</v>
      </c>
      <c r="M1868" t="s">
        <v>44</v>
      </c>
      <c r="N1868" t="s">
        <v>77</v>
      </c>
      <c r="O1868" t="s">
        <v>99</v>
      </c>
      <c r="P1868" t="s">
        <v>99</v>
      </c>
      <c r="Q1868" t="s">
        <v>159</v>
      </c>
      <c r="R1868" t="s">
        <v>160</v>
      </c>
      <c r="S1868" t="s">
        <v>161</v>
      </c>
      <c r="T1868" t="s">
        <v>162</v>
      </c>
      <c r="U1868" t="s">
        <v>163</v>
      </c>
      <c r="V1868" t="s">
        <v>164</v>
      </c>
      <c r="W1868" t="s">
        <v>116</v>
      </c>
      <c r="X1868" t="s">
        <v>44</v>
      </c>
      <c r="Y1868" t="s">
        <v>99</v>
      </c>
      <c r="Z1868" t="s">
        <v>421</v>
      </c>
      <c r="AC1868" t="str">
        <f>IF(AA1868="",M1868,AA1868)</f>
        <v>sim</v>
      </c>
      <c r="AD1868" t="str">
        <f>IF(AB1868="",X1868,AB1868)</f>
        <v>sim</v>
      </c>
      <c r="AE1868" t="str">
        <f>IF(OR(Configuracao!B9="",Configuracao!B10=""),"aguardando limiar",IF(AND(K1868&gt;=Configuracao!B9,K1868/MAX(Reconciliacao!C2,1)&gt;=Configuracao!B10/100),"sim","não"))</f>
        <v>aguardando limiar</v>
      </c>
    </row>
    <row r="1869" spans="1:31" x14ac:dyDescent="0.25">
      <c r="A1869">
        <v>11425</v>
      </c>
      <c r="C1869" t="s">
        <v>1408</v>
      </c>
      <c r="D1869" t="s">
        <v>1409</v>
      </c>
      <c r="E1869" t="s">
        <v>467</v>
      </c>
      <c r="F1869" t="s">
        <v>158</v>
      </c>
      <c r="G1869" t="s">
        <v>157</v>
      </c>
      <c r="H1869" t="s">
        <v>156</v>
      </c>
      <c r="I1869" t="s">
        <v>737</v>
      </c>
      <c r="J1869" t="s">
        <v>32</v>
      </c>
      <c r="K1869" s="4">
        <v>0</v>
      </c>
      <c r="L1869" s="4">
        <v>1400</v>
      </c>
      <c r="M1869" t="s">
        <v>44</v>
      </c>
      <c r="N1869" t="s">
        <v>77</v>
      </c>
      <c r="O1869" t="s">
        <v>99</v>
      </c>
      <c r="P1869" t="s">
        <v>99</v>
      </c>
      <c r="Q1869" t="s">
        <v>159</v>
      </c>
      <c r="R1869" t="s">
        <v>160</v>
      </c>
      <c r="S1869" t="s">
        <v>161</v>
      </c>
      <c r="T1869" t="s">
        <v>162</v>
      </c>
      <c r="U1869" t="s">
        <v>163</v>
      </c>
      <c r="V1869" t="s">
        <v>164</v>
      </c>
      <c r="W1869" t="s">
        <v>116</v>
      </c>
      <c r="X1869" t="s">
        <v>44</v>
      </c>
      <c r="Y1869" t="s">
        <v>99</v>
      </c>
      <c r="Z1869" t="s">
        <v>421</v>
      </c>
      <c r="AC1869" t="str">
        <f>IF(AA1869="",M1869,AA1869)</f>
        <v>sim</v>
      </c>
      <c r="AD1869" t="str">
        <f>IF(AB1869="",X1869,AB1869)</f>
        <v>sim</v>
      </c>
      <c r="AE1869" t="str">
        <f>IF(OR(Configuracao!B9="",Configuracao!B10=""),"aguardando limiar",IF(AND(K1869&gt;=Configuracao!B9,K1869/MAX(Reconciliacao!C2,1)&gt;=Configuracao!B10/100),"sim","não"))</f>
        <v>aguardando limiar</v>
      </c>
    </row>
    <row r="1870" spans="1:31" x14ac:dyDescent="0.25">
      <c r="A1870">
        <v>11426</v>
      </c>
      <c r="C1870" t="s">
        <v>1410</v>
      </c>
      <c r="D1870" t="s">
        <v>1411</v>
      </c>
      <c r="E1870" t="s">
        <v>467</v>
      </c>
      <c r="F1870" t="s">
        <v>158</v>
      </c>
      <c r="G1870" t="s">
        <v>157</v>
      </c>
      <c r="H1870" t="s">
        <v>156</v>
      </c>
      <c r="I1870" t="s">
        <v>737</v>
      </c>
      <c r="J1870" t="s">
        <v>32</v>
      </c>
      <c r="K1870" s="4">
        <v>0</v>
      </c>
      <c r="L1870" s="4">
        <v>5833.02</v>
      </c>
      <c r="M1870" t="s">
        <v>44</v>
      </c>
      <c r="N1870" t="s">
        <v>77</v>
      </c>
      <c r="O1870" t="s">
        <v>99</v>
      </c>
      <c r="P1870" t="s">
        <v>99</v>
      </c>
      <c r="Q1870" t="s">
        <v>159</v>
      </c>
      <c r="R1870" t="s">
        <v>160</v>
      </c>
      <c r="S1870" t="s">
        <v>161</v>
      </c>
      <c r="T1870" t="s">
        <v>162</v>
      </c>
      <c r="U1870" t="s">
        <v>163</v>
      </c>
      <c r="V1870" t="s">
        <v>164</v>
      </c>
      <c r="W1870" t="s">
        <v>116</v>
      </c>
      <c r="X1870" t="s">
        <v>44</v>
      </c>
      <c r="Y1870" t="s">
        <v>99</v>
      </c>
      <c r="Z1870" t="s">
        <v>421</v>
      </c>
      <c r="AC1870" t="str">
        <f>IF(AA1870="",M1870,AA1870)</f>
        <v>sim</v>
      </c>
      <c r="AD1870" t="str">
        <f>IF(AB1870="",X1870,AB1870)</f>
        <v>sim</v>
      </c>
      <c r="AE1870" t="str">
        <f>IF(OR(Configuracao!B9="",Configuracao!B10=""),"aguardando limiar",IF(AND(K1870&gt;=Configuracao!B9,K1870/MAX(Reconciliacao!C2,1)&gt;=Configuracao!B10/100),"sim","não"))</f>
        <v>aguardando limiar</v>
      </c>
    </row>
    <row r="1871" spans="1:31" x14ac:dyDescent="0.25">
      <c r="A1871">
        <v>11427</v>
      </c>
      <c r="C1871" t="s">
        <v>1412</v>
      </c>
      <c r="D1871" t="s">
        <v>1413</v>
      </c>
      <c r="E1871" t="s">
        <v>445</v>
      </c>
      <c r="F1871" t="s">
        <v>158</v>
      </c>
      <c r="G1871" t="s">
        <v>157</v>
      </c>
      <c r="H1871" t="s">
        <v>156</v>
      </c>
      <c r="I1871" t="s">
        <v>737</v>
      </c>
      <c r="J1871" t="s">
        <v>32</v>
      </c>
      <c r="K1871" s="4">
        <v>0</v>
      </c>
      <c r="L1871" s="4">
        <v>1300</v>
      </c>
      <c r="M1871" t="s">
        <v>44</v>
      </c>
      <c r="N1871" t="s">
        <v>77</v>
      </c>
      <c r="O1871" t="s">
        <v>99</v>
      </c>
      <c r="P1871" t="s">
        <v>99</v>
      </c>
      <c r="Q1871" t="s">
        <v>159</v>
      </c>
      <c r="R1871" t="s">
        <v>160</v>
      </c>
      <c r="S1871" t="s">
        <v>161</v>
      </c>
      <c r="T1871" t="s">
        <v>162</v>
      </c>
      <c r="U1871" t="s">
        <v>163</v>
      </c>
      <c r="V1871" t="s">
        <v>164</v>
      </c>
      <c r="W1871" t="s">
        <v>116</v>
      </c>
      <c r="X1871" t="s">
        <v>44</v>
      </c>
      <c r="Y1871" t="s">
        <v>99</v>
      </c>
      <c r="Z1871" t="s">
        <v>421</v>
      </c>
      <c r="AC1871" t="str">
        <f>IF(AA1871="",M1871,AA1871)</f>
        <v>sim</v>
      </c>
      <c r="AD1871" t="str">
        <f>IF(AB1871="",X1871,AB1871)</f>
        <v>sim</v>
      </c>
      <c r="AE1871" t="str">
        <f>IF(OR(Configuracao!B9="",Configuracao!B10=""),"aguardando limiar",IF(AND(K1871&gt;=Configuracao!B9,K1871/MAX(Reconciliacao!C2,1)&gt;=Configuracao!B10/100),"sim","não"))</f>
        <v>aguardando limiar</v>
      </c>
    </row>
    <row r="1872" spans="1:31" x14ac:dyDescent="0.25">
      <c r="A1872">
        <v>11428</v>
      </c>
      <c r="C1872" t="s">
        <v>1414</v>
      </c>
      <c r="D1872" t="s">
        <v>1415</v>
      </c>
      <c r="E1872" t="s">
        <v>467</v>
      </c>
      <c r="F1872" t="s">
        <v>158</v>
      </c>
      <c r="G1872" t="s">
        <v>157</v>
      </c>
      <c r="H1872" t="s">
        <v>156</v>
      </c>
      <c r="I1872" t="s">
        <v>737</v>
      </c>
      <c r="J1872" t="s">
        <v>32</v>
      </c>
      <c r="K1872" s="4">
        <v>0</v>
      </c>
      <c r="L1872" s="4">
        <v>3200</v>
      </c>
      <c r="M1872" t="s">
        <v>44</v>
      </c>
      <c r="N1872" t="s">
        <v>77</v>
      </c>
      <c r="O1872" t="s">
        <v>99</v>
      </c>
      <c r="P1872" t="s">
        <v>99</v>
      </c>
      <c r="Q1872" t="s">
        <v>159</v>
      </c>
      <c r="R1872" t="s">
        <v>160</v>
      </c>
      <c r="S1872" t="s">
        <v>161</v>
      </c>
      <c r="T1872" t="s">
        <v>162</v>
      </c>
      <c r="U1872" t="s">
        <v>163</v>
      </c>
      <c r="V1872" t="s">
        <v>164</v>
      </c>
      <c r="W1872" t="s">
        <v>116</v>
      </c>
      <c r="X1872" t="s">
        <v>44</v>
      </c>
      <c r="Y1872" t="s">
        <v>99</v>
      </c>
      <c r="Z1872" t="s">
        <v>421</v>
      </c>
      <c r="AC1872" t="str">
        <f>IF(AA1872="",M1872,AA1872)</f>
        <v>sim</v>
      </c>
      <c r="AD1872" t="str">
        <f>IF(AB1872="",X1872,AB1872)</f>
        <v>sim</v>
      </c>
      <c r="AE1872" t="str">
        <f>IF(OR(Configuracao!B9="",Configuracao!B10=""),"aguardando limiar",IF(AND(K1872&gt;=Configuracao!B9,K1872/MAX(Reconciliacao!C2,1)&gt;=Configuracao!B10/100),"sim","não"))</f>
        <v>aguardando limiar</v>
      </c>
    </row>
    <row r="1873" spans="1:31" x14ac:dyDescent="0.25">
      <c r="A1873">
        <v>11429</v>
      </c>
      <c r="C1873" t="s">
        <v>1416</v>
      </c>
      <c r="D1873" t="s">
        <v>1417</v>
      </c>
      <c r="E1873" t="s">
        <v>511</v>
      </c>
      <c r="F1873" t="s">
        <v>158</v>
      </c>
      <c r="G1873" t="s">
        <v>157</v>
      </c>
      <c r="H1873" t="s">
        <v>156</v>
      </c>
      <c r="I1873" t="s">
        <v>737</v>
      </c>
      <c r="J1873" t="s">
        <v>32</v>
      </c>
      <c r="K1873" s="4">
        <v>0</v>
      </c>
      <c r="L1873" s="4">
        <v>5833.02</v>
      </c>
      <c r="M1873" t="s">
        <v>44</v>
      </c>
      <c r="N1873" t="s">
        <v>77</v>
      </c>
      <c r="O1873" t="s">
        <v>99</v>
      </c>
      <c r="P1873" t="s">
        <v>99</v>
      </c>
      <c r="Q1873" t="s">
        <v>159</v>
      </c>
      <c r="R1873" t="s">
        <v>160</v>
      </c>
      <c r="S1873" t="s">
        <v>161</v>
      </c>
      <c r="T1873" t="s">
        <v>162</v>
      </c>
      <c r="U1873" t="s">
        <v>163</v>
      </c>
      <c r="V1873" t="s">
        <v>164</v>
      </c>
      <c r="W1873" t="s">
        <v>116</v>
      </c>
      <c r="X1873" t="s">
        <v>44</v>
      </c>
      <c r="Y1873" t="s">
        <v>99</v>
      </c>
      <c r="Z1873" t="s">
        <v>421</v>
      </c>
      <c r="AC1873" t="str">
        <f>IF(AA1873="",M1873,AA1873)</f>
        <v>sim</v>
      </c>
      <c r="AD1873" t="str">
        <f>IF(AB1873="",X1873,AB1873)</f>
        <v>sim</v>
      </c>
      <c r="AE1873" t="str">
        <f>IF(OR(Configuracao!B9="",Configuracao!B10=""),"aguardando limiar",IF(AND(K1873&gt;=Configuracao!B9,K1873/MAX(Reconciliacao!C2,1)&gt;=Configuracao!B10/100),"sim","não"))</f>
        <v>aguardando limiar</v>
      </c>
    </row>
    <row r="1874" spans="1:31" x14ac:dyDescent="0.25">
      <c r="A1874">
        <v>11430</v>
      </c>
      <c r="C1874" t="s">
        <v>1418</v>
      </c>
      <c r="D1874" t="s">
        <v>1419</v>
      </c>
      <c r="E1874" t="s">
        <v>477</v>
      </c>
      <c r="F1874" t="s">
        <v>158</v>
      </c>
      <c r="G1874" t="s">
        <v>157</v>
      </c>
      <c r="H1874" t="s">
        <v>156</v>
      </c>
      <c r="I1874" t="s">
        <v>737</v>
      </c>
      <c r="J1874" t="s">
        <v>32</v>
      </c>
      <c r="K1874" s="4">
        <v>0</v>
      </c>
      <c r="L1874" s="4">
        <v>586.67</v>
      </c>
      <c r="M1874" t="s">
        <v>44</v>
      </c>
      <c r="N1874" t="s">
        <v>77</v>
      </c>
      <c r="O1874" t="s">
        <v>99</v>
      </c>
      <c r="P1874" t="s">
        <v>99</v>
      </c>
      <c r="Q1874" t="s">
        <v>159</v>
      </c>
      <c r="R1874" t="s">
        <v>160</v>
      </c>
      <c r="S1874" t="s">
        <v>161</v>
      </c>
      <c r="T1874" t="s">
        <v>162</v>
      </c>
      <c r="U1874" t="s">
        <v>163</v>
      </c>
      <c r="V1874" t="s">
        <v>164</v>
      </c>
      <c r="W1874" t="s">
        <v>116</v>
      </c>
      <c r="X1874" t="s">
        <v>44</v>
      </c>
      <c r="Y1874" t="s">
        <v>99</v>
      </c>
      <c r="Z1874" t="s">
        <v>421</v>
      </c>
      <c r="AC1874" t="str">
        <f>IF(AA1874="",M1874,AA1874)</f>
        <v>sim</v>
      </c>
      <c r="AD1874" t="str">
        <f>IF(AB1874="",X1874,AB1874)</f>
        <v>sim</v>
      </c>
      <c r="AE1874" t="str">
        <f>IF(OR(Configuracao!B9="",Configuracao!B10=""),"aguardando limiar",IF(AND(K1874&gt;=Configuracao!B9,K1874/MAX(Reconciliacao!C2,1)&gt;=Configuracao!B10/100),"sim","não"))</f>
        <v>aguardando limiar</v>
      </c>
    </row>
    <row r="1875" spans="1:31" x14ac:dyDescent="0.25">
      <c r="A1875">
        <v>11431</v>
      </c>
      <c r="C1875" t="s">
        <v>1420</v>
      </c>
      <c r="D1875" t="s">
        <v>1421</v>
      </c>
      <c r="E1875" t="s">
        <v>465</v>
      </c>
      <c r="F1875" t="s">
        <v>158</v>
      </c>
      <c r="G1875" t="s">
        <v>157</v>
      </c>
      <c r="H1875" t="s">
        <v>156</v>
      </c>
      <c r="I1875" t="s">
        <v>737</v>
      </c>
      <c r="J1875" t="s">
        <v>32</v>
      </c>
      <c r="K1875" s="4">
        <v>0</v>
      </c>
      <c r="L1875" s="4">
        <v>5500</v>
      </c>
      <c r="M1875" t="s">
        <v>44</v>
      </c>
      <c r="N1875" t="s">
        <v>77</v>
      </c>
      <c r="O1875" t="s">
        <v>99</v>
      </c>
      <c r="P1875" t="s">
        <v>99</v>
      </c>
      <c r="Q1875" t="s">
        <v>159</v>
      </c>
      <c r="R1875" t="s">
        <v>160</v>
      </c>
      <c r="S1875" t="s">
        <v>161</v>
      </c>
      <c r="T1875" t="s">
        <v>162</v>
      </c>
      <c r="U1875" t="s">
        <v>163</v>
      </c>
      <c r="V1875" t="s">
        <v>164</v>
      </c>
      <c r="W1875" t="s">
        <v>116</v>
      </c>
      <c r="X1875" t="s">
        <v>44</v>
      </c>
      <c r="Y1875" t="s">
        <v>99</v>
      </c>
      <c r="Z1875" t="s">
        <v>421</v>
      </c>
      <c r="AC1875" t="str">
        <f>IF(AA1875="",M1875,AA1875)</f>
        <v>sim</v>
      </c>
      <c r="AD1875" t="str">
        <f>IF(AB1875="",X1875,AB1875)</f>
        <v>sim</v>
      </c>
      <c r="AE1875" t="str">
        <f>IF(OR(Configuracao!B9="",Configuracao!B10=""),"aguardando limiar",IF(AND(K1875&gt;=Configuracao!B9,K1875/MAX(Reconciliacao!C2,1)&gt;=Configuracao!B10/100),"sim","não"))</f>
        <v>aguardando limiar</v>
      </c>
    </row>
    <row r="1876" spans="1:31" x14ac:dyDescent="0.25">
      <c r="A1876">
        <v>11432</v>
      </c>
      <c r="C1876" t="s">
        <v>1422</v>
      </c>
      <c r="D1876" t="s">
        <v>1423</v>
      </c>
      <c r="E1876" t="s">
        <v>465</v>
      </c>
      <c r="F1876" t="s">
        <v>158</v>
      </c>
      <c r="G1876" t="s">
        <v>157</v>
      </c>
      <c r="H1876" t="s">
        <v>156</v>
      </c>
      <c r="I1876" t="s">
        <v>737</v>
      </c>
      <c r="J1876" t="s">
        <v>32</v>
      </c>
      <c r="K1876" s="4">
        <v>0</v>
      </c>
      <c r="L1876" s="4">
        <v>1100</v>
      </c>
      <c r="M1876" t="s">
        <v>44</v>
      </c>
      <c r="N1876" t="s">
        <v>77</v>
      </c>
      <c r="O1876" t="s">
        <v>99</v>
      </c>
      <c r="P1876" t="s">
        <v>99</v>
      </c>
      <c r="Q1876" t="s">
        <v>159</v>
      </c>
      <c r="R1876" t="s">
        <v>160</v>
      </c>
      <c r="S1876" t="s">
        <v>161</v>
      </c>
      <c r="T1876" t="s">
        <v>162</v>
      </c>
      <c r="U1876" t="s">
        <v>163</v>
      </c>
      <c r="V1876" t="s">
        <v>164</v>
      </c>
      <c r="W1876" t="s">
        <v>116</v>
      </c>
      <c r="X1876" t="s">
        <v>44</v>
      </c>
      <c r="Y1876" t="s">
        <v>99</v>
      </c>
      <c r="Z1876" t="s">
        <v>421</v>
      </c>
      <c r="AC1876" t="str">
        <f>IF(AA1876="",M1876,AA1876)</f>
        <v>sim</v>
      </c>
      <c r="AD1876" t="str">
        <f>IF(AB1876="",X1876,AB1876)</f>
        <v>sim</v>
      </c>
      <c r="AE1876" t="str">
        <f>IF(OR(Configuracao!B9="",Configuracao!B10=""),"aguardando limiar",IF(AND(K1876&gt;=Configuracao!B9,K1876/MAX(Reconciliacao!C2,1)&gt;=Configuracao!B10/100),"sim","não"))</f>
        <v>aguardando limiar</v>
      </c>
    </row>
    <row r="1877" spans="1:31" x14ac:dyDescent="0.25">
      <c r="A1877">
        <v>11433</v>
      </c>
      <c r="C1877" t="s">
        <v>1424</v>
      </c>
      <c r="D1877" t="s">
        <v>923</v>
      </c>
      <c r="E1877" t="s">
        <v>467</v>
      </c>
      <c r="F1877" t="s">
        <v>158</v>
      </c>
      <c r="G1877" t="s">
        <v>157</v>
      </c>
      <c r="H1877" t="s">
        <v>156</v>
      </c>
      <c r="I1877" t="s">
        <v>737</v>
      </c>
      <c r="J1877" t="s">
        <v>32</v>
      </c>
      <c r="K1877" s="4">
        <v>0</v>
      </c>
      <c r="L1877" s="4">
        <v>6220</v>
      </c>
      <c r="M1877" t="s">
        <v>44</v>
      </c>
      <c r="N1877" t="s">
        <v>77</v>
      </c>
      <c r="O1877" t="s">
        <v>99</v>
      </c>
      <c r="P1877" t="s">
        <v>99</v>
      </c>
      <c r="Q1877" t="s">
        <v>159</v>
      </c>
      <c r="R1877" t="s">
        <v>160</v>
      </c>
      <c r="S1877" t="s">
        <v>161</v>
      </c>
      <c r="T1877" t="s">
        <v>162</v>
      </c>
      <c r="U1877" t="s">
        <v>163</v>
      </c>
      <c r="V1877" t="s">
        <v>164</v>
      </c>
      <c r="W1877" t="s">
        <v>116</v>
      </c>
      <c r="X1877" t="s">
        <v>44</v>
      </c>
      <c r="Y1877" t="s">
        <v>99</v>
      </c>
      <c r="Z1877" t="s">
        <v>421</v>
      </c>
      <c r="AC1877" t="str">
        <f>IF(AA1877="",M1877,AA1877)</f>
        <v>sim</v>
      </c>
      <c r="AD1877" t="str">
        <f>IF(AB1877="",X1877,AB1877)</f>
        <v>sim</v>
      </c>
      <c r="AE1877" t="str">
        <f>IF(OR(Configuracao!B9="",Configuracao!B10=""),"aguardando limiar",IF(AND(K1877&gt;=Configuracao!B9,K1877/MAX(Reconciliacao!C2,1)&gt;=Configuracao!B10/100),"sim","não"))</f>
        <v>aguardando limiar</v>
      </c>
    </row>
    <row r="1878" spans="1:31" x14ac:dyDescent="0.25">
      <c r="A1878">
        <v>11434</v>
      </c>
      <c r="C1878" t="s">
        <v>1425</v>
      </c>
      <c r="D1878" t="s">
        <v>1426</v>
      </c>
      <c r="E1878" t="s">
        <v>465</v>
      </c>
      <c r="F1878" t="s">
        <v>158</v>
      </c>
      <c r="G1878" t="s">
        <v>157</v>
      </c>
      <c r="H1878" t="s">
        <v>156</v>
      </c>
      <c r="I1878" t="s">
        <v>737</v>
      </c>
      <c r="J1878" t="s">
        <v>32</v>
      </c>
      <c r="K1878" s="4">
        <v>0</v>
      </c>
      <c r="L1878" s="4">
        <v>806.67</v>
      </c>
      <c r="M1878" t="s">
        <v>44</v>
      </c>
      <c r="N1878" t="s">
        <v>77</v>
      </c>
      <c r="O1878" t="s">
        <v>99</v>
      </c>
      <c r="P1878" t="s">
        <v>99</v>
      </c>
      <c r="Q1878" t="s">
        <v>159</v>
      </c>
      <c r="R1878" t="s">
        <v>160</v>
      </c>
      <c r="S1878" t="s">
        <v>161</v>
      </c>
      <c r="T1878" t="s">
        <v>162</v>
      </c>
      <c r="U1878" t="s">
        <v>163</v>
      </c>
      <c r="V1878" t="s">
        <v>164</v>
      </c>
      <c r="W1878" t="s">
        <v>116</v>
      </c>
      <c r="X1878" t="s">
        <v>44</v>
      </c>
      <c r="Y1878" t="s">
        <v>99</v>
      </c>
      <c r="Z1878" t="s">
        <v>421</v>
      </c>
      <c r="AC1878" t="str">
        <f>IF(AA1878="",M1878,AA1878)</f>
        <v>sim</v>
      </c>
      <c r="AD1878" t="str">
        <f>IF(AB1878="",X1878,AB1878)</f>
        <v>sim</v>
      </c>
      <c r="AE1878" t="str">
        <f>IF(OR(Configuracao!B9="",Configuracao!B10=""),"aguardando limiar",IF(AND(K1878&gt;=Configuracao!B9,K1878/MAX(Reconciliacao!C2,1)&gt;=Configuracao!B10/100),"sim","não"))</f>
        <v>aguardando limiar</v>
      </c>
    </row>
    <row r="1879" spans="1:31" x14ac:dyDescent="0.25">
      <c r="A1879">
        <v>11435</v>
      </c>
      <c r="C1879" t="s">
        <v>1427</v>
      </c>
      <c r="D1879" t="s">
        <v>1428</v>
      </c>
      <c r="E1879" t="s">
        <v>477</v>
      </c>
      <c r="F1879" t="s">
        <v>158</v>
      </c>
      <c r="G1879" t="s">
        <v>157</v>
      </c>
      <c r="H1879" t="s">
        <v>156</v>
      </c>
      <c r="I1879" t="s">
        <v>737</v>
      </c>
      <c r="J1879" t="s">
        <v>32</v>
      </c>
      <c r="K1879" s="4">
        <v>0</v>
      </c>
      <c r="L1879" s="4">
        <v>19833.02</v>
      </c>
      <c r="M1879" t="s">
        <v>44</v>
      </c>
      <c r="N1879" t="s">
        <v>77</v>
      </c>
      <c r="O1879" t="s">
        <v>99</v>
      </c>
      <c r="P1879" t="s">
        <v>99</v>
      </c>
      <c r="Q1879" t="s">
        <v>159</v>
      </c>
      <c r="R1879" t="s">
        <v>160</v>
      </c>
      <c r="S1879" t="s">
        <v>161</v>
      </c>
      <c r="T1879" t="s">
        <v>162</v>
      </c>
      <c r="U1879" t="s">
        <v>163</v>
      </c>
      <c r="V1879" t="s">
        <v>164</v>
      </c>
      <c r="W1879" t="s">
        <v>116</v>
      </c>
      <c r="X1879" t="s">
        <v>44</v>
      </c>
      <c r="Y1879" t="s">
        <v>99</v>
      </c>
      <c r="Z1879" t="s">
        <v>421</v>
      </c>
      <c r="AC1879" t="str">
        <f>IF(AA1879="",M1879,AA1879)</f>
        <v>sim</v>
      </c>
      <c r="AD1879" t="str">
        <f>IF(AB1879="",X1879,AB1879)</f>
        <v>sim</v>
      </c>
      <c r="AE1879" t="str">
        <f>IF(OR(Configuracao!B9="",Configuracao!B10=""),"aguardando limiar",IF(AND(K1879&gt;=Configuracao!B9,K1879/MAX(Reconciliacao!C2,1)&gt;=Configuracao!B10/100),"sim","não"))</f>
        <v>aguardando limiar</v>
      </c>
    </row>
    <row r="1880" spans="1:31" x14ac:dyDescent="0.25">
      <c r="A1880">
        <v>11436</v>
      </c>
      <c r="C1880" t="s">
        <v>1429</v>
      </c>
      <c r="D1880" t="s">
        <v>914</v>
      </c>
      <c r="E1880" t="s">
        <v>511</v>
      </c>
      <c r="F1880" t="s">
        <v>158</v>
      </c>
      <c r="G1880" t="s">
        <v>157</v>
      </c>
      <c r="H1880" t="s">
        <v>156</v>
      </c>
      <c r="I1880" t="s">
        <v>737</v>
      </c>
      <c r="J1880" t="s">
        <v>32</v>
      </c>
      <c r="K1880" s="4">
        <v>0</v>
      </c>
      <c r="L1880" s="4">
        <v>4271.31</v>
      </c>
      <c r="M1880" t="s">
        <v>44</v>
      </c>
      <c r="N1880" t="s">
        <v>77</v>
      </c>
      <c r="O1880" t="s">
        <v>99</v>
      </c>
      <c r="P1880" t="s">
        <v>99</v>
      </c>
      <c r="Q1880" t="s">
        <v>159</v>
      </c>
      <c r="R1880" t="s">
        <v>160</v>
      </c>
      <c r="S1880" t="s">
        <v>161</v>
      </c>
      <c r="T1880" t="s">
        <v>162</v>
      </c>
      <c r="U1880" t="s">
        <v>163</v>
      </c>
      <c r="V1880" t="s">
        <v>164</v>
      </c>
      <c r="W1880" t="s">
        <v>116</v>
      </c>
      <c r="X1880" t="s">
        <v>44</v>
      </c>
      <c r="Y1880" t="s">
        <v>99</v>
      </c>
      <c r="Z1880" t="s">
        <v>421</v>
      </c>
      <c r="AC1880" t="str">
        <f>IF(AA1880="",M1880,AA1880)</f>
        <v>sim</v>
      </c>
      <c r="AD1880" t="str">
        <f>IF(AB1880="",X1880,AB1880)</f>
        <v>sim</v>
      </c>
      <c r="AE1880" t="str">
        <f>IF(OR(Configuracao!B9="",Configuracao!B10=""),"aguardando limiar",IF(AND(K1880&gt;=Configuracao!B9,K1880/MAX(Reconciliacao!C2,1)&gt;=Configuracao!B10/100),"sim","não"))</f>
        <v>aguardando limiar</v>
      </c>
    </row>
    <row r="1881" spans="1:31" x14ac:dyDescent="0.25">
      <c r="A1881">
        <v>11437</v>
      </c>
      <c r="C1881" t="s">
        <v>1430</v>
      </c>
      <c r="D1881" t="s">
        <v>1104</v>
      </c>
      <c r="E1881" t="s">
        <v>465</v>
      </c>
      <c r="F1881" t="s">
        <v>158</v>
      </c>
      <c r="G1881" t="s">
        <v>157</v>
      </c>
      <c r="H1881" t="s">
        <v>156</v>
      </c>
      <c r="I1881" t="s">
        <v>737</v>
      </c>
      <c r="J1881" t="s">
        <v>32</v>
      </c>
      <c r="K1881" s="4">
        <v>0</v>
      </c>
      <c r="L1881" s="4">
        <v>1100</v>
      </c>
      <c r="M1881" t="s">
        <v>44</v>
      </c>
      <c r="N1881" t="s">
        <v>77</v>
      </c>
      <c r="O1881" t="s">
        <v>99</v>
      </c>
      <c r="P1881" t="s">
        <v>99</v>
      </c>
      <c r="Q1881" t="s">
        <v>159</v>
      </c>
      <c r="R1881" t="s">
        <v>160</v>
      </c>
      <c r="S1881" t="s">
        <v>161</v>
      </c>
      <c r="T1881" t="s">
        <v>162</v>
      </c>
      <c r="U1881" t="s">
        <v>163</v>
      </c>
      <c r="V1881" t="s">
        <v>164</v>
      </c>
      <c r="W1881" t="s">
        <v>116</v>
      </c>
      <c r="X1881" t="s">
        <v>44</v>
      </c>
      <c r="Y1881" t="s">
        <v>99</v>
      </c>
      <c r="Z1881" t="s">
        <v>421</v>
      </c>
      <c r="AC1881" t="str">
        <f>IF(AA1881="",M1881,AA1881)</f>
        <v>sim</v>
      </c>
      <c r="AD1881" t="str">
        <f>IF(AB1881="",X1881,AB1881)</f>
        <v>sim</v>
      </c>
      <c r="AE1881" t="str">
        <f>IF(OR(Configuracao!B9="",Configuracao!B10=""),"aguardando limiar",IF(AND(K1881&gt;=Configuracao!B9,K1881/MAX(Reconciliacao!C2,1)&gt;=Configuracao!B10/100),"sim","não"))</f>
        <v>aguardando limiar</v>
      </c>
    </row>
    <row r="1882" spans="1:31" x14ac:dyDescent="0.25">
      <c r="A1882">
        <v>11438</v>
      </c>
      <c r="C1882" t="s">
        <v>1431</v>
      </c>
      <c r="D1882" t="s">
        <v>885</v>
      </c>
      <c r="E1882" t="s">
        <v>445</v>
      </c>
      <c r="F1882" t="s">
        <v>158</v>
      </c>
      <c r="G1882" t="s">
        <v>157</v>
      </c>
      <c r="H1882" t="s">
        <v>156</v>
      </c>
      <c r="I1882" t="s">
        <v>737</v>
      </c>
      <c r="J1882" t="s">
        <v>32</v>
      </c>
      <c r="K1882" s="4">
        <v>0</v>
      </c>
      <c r="L1882" s="4">
        <v>5933.02</v>
      </c>
      <c r="M1882" t="s">
        <v>44</v>
      </c>
      <c r="N1882" t="s">
        <v>77</v>
      </c>
      <c r="O1882" t="s">
        <v>99</v>
      </c>
      <c r="P1882" t="s">
        <v>99</v>
      </c>
      <c r="Q1882" t="s">
        <v>159</v>
      </c>
      <c r="R1882" t="s">
        <v>160</v>
      </c>
      <c r="S1882" t="s">
        <v>161</v>
      </c>
      <c r="T1882" t="s">
        <v>162</v>
      </c>
      <c r="U1882" t="s">
        <v>163</v>
      </c>
      <c r="V1882" t="s">
        <v>164</v>
      </c>
      <c r="W1882" t="s">
        <v>116</v>
      </c>
      <c r="X1882" t="s">
        <v>44</v>
      </c>
      <c r="Y1882" t="s">
        <v>99</v>
      </c>
      <c r="Z1882" t="s">
        <v>421</v>
      </c>
      <c r="AC1882" t="str">
        <f>IF(AA1882="",M1882,AA1882)</f>
        <v>sim</v>
      </c>
      <c r="AD1882" t="str">
        <f>IF(AB1882="",X1882,AB1882)</f>
        <v>sim</v>
      </c>
      <c r="AE1882" t="str">
        <f>IF(OR(Configuracao!B9="",Configuracao!B10=""),"aguardando limiar",IF(AND(K1882&gt;=Configuracao!B9,K1882/MAX(Reconciliacao!C2,1)&gt;=Configuracao!B10/100),"sim","não"))</f>
        <v>aguardando limiar</v>
      </c>
    </row>
    <row r="1883" spans="1:31" x14ac:dyDescent="0.25">
      <c r="A1883">
        <v>11439</v>
      </c>
      <c r="C1883" t="s">
        <v>1432</v>
      </c>
      <c r="D1883" t="s">
        <v>1433</v>
      </c>
      <c r="E1883" t="s">
        <v>467</v>
      </c>
      <c r="F1883" t="s">
        <v>158</v>
      </c>
      <c r="G1883" t="s">
        <v>157</v>
      </c>
      <c r="H1883" t="s">
        <v>156</v>
      </c>
      <c r="I1883" t="s">
        <v>737</v>
      </c>
      <c r="J1883" t="s">
        <v>32</v>
      </c>
      <c r="K1883" s="4">
        <v>0</v>
      </c>
      <c r="L1883" s="4">
        <v>1706.67</v>
      </c>
      <c r="M1883" t="s">
        <v>44</v>
      </c>
      <c r="N1883" t="s">
        <v>77</v>
      </c>
      <c r="O1883" t="s">
        <v>99</v>
      </c>
      <c r="P1883" t="s">
        <v>99</v>
      </c>
      <c r="Q1883" t="s">
        <v>159</v>
      </c>
      <c r="R1883" t="s">
        <v>160</v>
      </c>
      <c r="S1883" t="s">
        <v>161</v>
      </c>
      <c r="T1883" t="s">
        <v>162</v>
      </c>
      <c r="U1883" t="s">
        <v>163</v>
      </c>
      <c r="V1883" t="s">
        <v>164</v>
      </c>
      <c r="W1883" t="s">
        <v>116</v>
      </c>
      <c r="X1883" t="s">
        <v>44</v>
      </c>
      <c r="Y1883" t="s">
        <v>99</v>
      </c>
      <c r="Z1883" t="s">
        <v>421</v>
      </c>
      <c r="AC1883" t="str">
        <f>IF(AA1883="",M1883,AA1883)</f>
        <v>sim</v>
      </c>
      <c r="AD1883" t="str">
        <f>IF(AB1883="",X1883,AB1883)</f>
        <v>sim</v>
      </c>
      <c r="AE1883" t="str">
        <f>IF(OR(Configuracao!B9="",Configuracao!B10=""),"aguardando limiar",IF(AND(K1883&gt;=Configuracao!B9,K1883/MAX(Reconciliacao!C2,1)&gt;=Configuracao!B10/100),"sim","não"))</f>
        <v>aguardando limiar</v>
      </c>
    </row>
    <row r="1884" spans="1:31" x14ac:dyDescent="0.25">
      <c r="A1884">
        <v>11440</v>
      </c>
      <c r="C1884" t="s">
        <v>1434</v>
      </c>
      <c r="D1884" t="s">
        <v>1435</v>
      </c>
      <c r="E1884" t="s">
        <v>467</v>
      </c>
      <c r="F1884" t="s">
        <v>158</v>
      </c>
      <c r="G1884" t="s">
        <v>157</v>
      </c>
      <c r="H1884" t="s">
        <v>156</v>
      </c>
      <c r="I1884" t="s">
        <v>737</v>
      </c>
      <c r="J1884" t="s">
        <v>32</v>
      </c>
      <c r="K1884" s="4">
        <v>0</v>
      </c>
      <c r="L1884" s="4">
        <v>4200</v>
      </c>
      <c r="M1884" t="s">
        <v>44</v>
      </c>
      <c r="N1884" t="s">
        <v>77</v>
      </c>
      <c r="O1884" t="s">
        <v>99</v>
      </c>
      <c r="P1884" t="s">
        <v>99</v>
      </c>
      <c r="Q1884" t="s">
        <v>159</v>
      </c>
      <c r="R1884" t="s">
        <v>160</v>
      </c>
      <c r="S1884" t="s">
        <v>161</v>
      </c>
      <c r="T1884" t="s">
        <v>162</v>
      </c>
      <c r="U1884" t="s">
        <v>163</v>
      </c>
      <c r="V1884" t="s">
        <v>164</v>
      </c>
      <c r="W1884" t="s">
        <v>116</v>
      </c>
      <c r="X1884" t="s">
        <v>44</v>
      </c>
      <c r="Y1884" t="s">
        <v>99</v>
      </c>
      <c r="Z1884" t="s">
        <v>421</v>
      </c>
      <c r="AC1884" t="str">
        <f>IF(AA1884="",M1884,AA1884)</f>
        <v>sim</v>
      </c>
      <c r="AD1884" t="str">
        <f>IF(AB1884="",X1884,AB1884)</f>
        <v>sim</v>
      </c>
      <c r="AE1884" t="str">
        <f>IF(OR(Configuracao!B9="",Configuracao!B10=""),"aguardando limiar",IF(AND(K1884&gt;=Configuracao!B9,K1884/MAX(Reconciliacao!C2,1)&gt;=Configuracao!B10/100),"sim","não"))</f>
        <v>aguardando limiar</v>
      </c>
    </row>
    <row r="1885" spans="1:31" x14ac:dyDescent="0.25">
      <c r="A1885">
        <v>11441</v>
      </c>
      <c r="C1885" t="s">
        <v>1436</v>
      </c>
      <c r="D1885" t="s">
        <v>592</v>
      </c>
      <c r="E1885" t="s">
        <v>445</v>
      </c>
      <c r="F1885" t="s">
        <v>158</v>
      </c>
      <c r="G1885" t="s">
        <v>157</v>
      </c>
      <c r="H1885" t="s">
        <v>156</v>
      </c>
      <c r="I1885" t="s">
        <v>737</v>
      </c>
      <c r="J1885" t="s">
        <v>32</v>
      </c>
      <c r="K1885" s="4">
        <v>0</v>
      </c>
      <c r="L1885" s="4">
        <v>8333.02</v>
      </c>
      <c r="M1885" t="s">
        <v>44</v>
      </c>
      <c r="N1885" t="s">
        <v>77</v>
      </c>
      <c r="O1885" t="s">
        <v>99</v>
      </c>
      <c r="P1885" t="s">
        <v>99</v>
      </c>
      <c r="Q1885" t="s">
        <v>159</v>
      </c>
      <c r="R1885" t="s">
        <v>160</v>
      </c>
      <c r="S1885" t="s">
        <v>161</v>
      </c>
      <c r="T1885" t="s">
        <v>162</v>
      </c>
      <c r="U1885" t="s">
        <v>163</v>
      </c>
      <c r="V1885" t="s">
        <v>164</v>
      </c>
      <c r="W1885" t="s">
        <v>116</v>
      </c>
      <c r="X1885" t="s">
        <v>44</v>
      </c>
      <c r="Y1885" t="s">
        <v>99</v>
      </c>
      <c r="Z1885" t="s">
        <v>421</v>
      </c>
      <c r="AC1885" t="str">
        <f>IF(AA1885="",M1885,AA1885)</f>
        <v>sim</v>
      </c>
      <c r="AD1885" t="str">
        <f>IF(AB1885="",X1885,AB1885)</f>
        <v>sim</v>
      </c>
      <c r="AE1885" t="str">
        <f>IF(OR(Configuracao!B9="",Configuracao!B10=""),"aguardando limiar",IF(AND(K1885&gt;=Configuracao!B9,K1885/MAX(Reconciliacao!C2,1)&gt;=Configuracao!B10/100),"sim","não"))</f>
        <v>aguardando limiar</v>
      </c>
    </row>
    <row r="1886" spans="1:31" x14ac:dyDescent="0.25">
      <c r="A1886">
        <v>11442</v>
      </c>
      <c r="C1886" t="s">
        <v>1437</v>
      </c>
      <c r="D1886" t="s">
        <v>856</v>
      </c>
      <c r="E1886" t="s">
        <v>465</v>
      </c>
      <c r="F1886" t="s">
        <v>158</v>
      </c>
      <c r="G1886" t="s">
        <v>157</v>
      </c>
      <c r="H1886" t="s">
        <v>156</v>
      </c>
      <c r="I1886" t="s">
        <v>737</v>
      </c>
      <c r="J1886" t="s">
        <v>32</v>
      </c>
      <c r="K1886" s="4">
        <v>0</v>
      </c>
      <c r="L1886" s="4">
        <v>9833.02</v>
      </c>
      <c r="M1886" t="s">
        <v>44</v>
      </c>
      <c r="N1886" t="s">
        <v>77</v>
      </c>
      <c r="O1886" t="s">
        <v>99</v>
      </c>
      <c r="P1886" t="s">
        <v>99</v>
      </c>
      <c r="Q1886" t="s">
        <v>159</v>
      </c>
      <c r="R1886" t="s">
        <v>160</v>
      </c>
      <c r="S1886" t="s">
        <v>161</v>
      </c>
      <c r="T1886" t="s">
        <v>162</v>
      </c>
      <c r="U1886" t="s">
        <v>163</v>
      </c>
      <c r="V1886" t="s">
        <v>164</v>
      </c>
      <c r="W1886" t="s">
        <v>116</v>
      </c>
      <c r="X1886" t="s">
        <v>44</v>
      </c>
      <c r="Y1886" t="s">
        <v>99</v>
      </c>
      <c r="Z1886" t="s">
        <v>421</v>
      </c>
      <c r="AC1886" t="str">
        <f>IF(AA1886="",M1886,AA1886)</f>
        <v>sim</v>
      </c>
      <c r="AD1886" t="str">
        <f>IF(AB1886="",X1886,AB1886)</f>
        <v>sim</v>
      </c>
      <c r="AE1886" t="str">
        <f>IF(OR(Configuracao!B9="",Configuracao!B10=""),"aguardando limiar",IF(AND(K1886&gt;=Configuracao!B9,K1886/MAX(Reconciliacao!C2,1)&gt;=Configuracao!B10/100),"sim","não"))</f>
        <v>aguardando limiar</v>
      </c>
    </row>
    <row r="1887" spans="1:31" x14ac:dyDescent="0.25">
      <c r="A1887">
        <v>11443</v>
      </c>
      <c r="C1887" t="s">
        <v>1438</v>
      </c>
      <c r="D1887" t="s">
        <v>979</v>
      </c>
      <c r="E1887" t="s">
        <v>467</v>
      </c>
      <c r="F1887" t="s">
        <v>158</v>
      </c>
      <c r="G1887" t="s">
        <v>157</v>
      </c>
      <c r="H1887" t="s">
        <v>156</v>
      </c>
      <c r="I1887" t="s">
        <v>737</v>
      </c>
      <c r="J1887" t="s">
        <v>32</v>
      </c>
      <c r="K1887" s="4">
        <v>0</v>
      </c>
      <c r="L1887" s="4">
        <v>5300</v>
      </c>
      <c r="M1887" t="s">
        <v>44</v>
      </c>
      <c r="N1887" t="s">
        <v>77</v>
      </c>
      <c r="O1887" t="s">
        <v>99</v>
      </c>
      <c r="P1887" t="s">
        <v>99</v>
      </c>
      <c r="Q1887" t="s">
        <v>159</v>
      </c>
      <c r="R1887" t="s">
        <v>160</v>
      </c>
      <c r="S1887" t="s">
        <v>161</v>
      </c>
      <c r="T1887" t="s">
        <v>162</v>
      </c>
      <c r="U1887" t="s">
        <v>163</v>
      </c>
      <c r="V1887" t="s">
        <v>164</v>
      </c>
      <c r="W1887" t="s">
        <v>116</v>
      </c>
      <c r="X1887" t="s">
        <v>44</v>
      </c>
      <c r="Y1887" t="s">
        <v>99</v>
      </c>
      <c r="Z1887" t="s">
        <v>421</v>
      </c>
      <c r="AC1887" t="str">
        <f>IF(AA1887="",M1887,AA1887)</f>
        <v>sim</v>
      </c>
      <c r="AD1887" t="str">
        <f>IF(AB1887="",X1887,AB1887)</f>
        <v>sim</v>
      </c>
      <c r="AE1887" t="str">
        <f>IF(OR(Configuracao!B9="",Configuracao!B10=""),"aguardando limiar",IF(AND(K1887&gt;=Configuracao!B9,K1887/MAX(Reconciliacao!C2,1)&gt;=Configuracao!B10/100),"sim","não"))</f>
        <v>aguardando limiar</v>
      </c>
    </row>
    <row r="1888" spans="1:31" x14ac:dyDescent="0.25">
      <c r="A1888">
        <v>11444</v>
      </c>
      <c r="C1888" t="s">
        <v>1439</v>
      </c>
      <c r="D1888" t="s">
        <v>1440</v>
      </c>
      <c r="E1888" t="s">
        <v>224</v>
      </c>
      <c r="F1888" t="s">
        <v>158</v>
      </c>
      <c r="G1888" t="s">
        <v>157</v>
      </c>
      <c r="H1888" t="s">
        <v>156</v>
      </c>
      <c r="I1888" t="s">
        <v>737</v>
      </c>
      <c r="J1888" t="s">
        <v>32</v>
      </c>
      <c r="K1888" s="4">
        <v>0</v>
      </c>
      <c r="L1888" s="4">
        <v>1200</v>
      </c>
      <c r="M1888" t="s">
        <v>44</v>
      </c>
      <c r="N1888" t="s">
        <v>77</v>
      </c>
      <c r="O1888" t="s">
        <v>99</v>
      </c>
      <c r="P1888" t="s">
        <v>99</v>
      </c>
      <c r="Q1888" t="s">
        <v>159</v>
      </c>
      <c r="R1888" t="s">
        <v>160</v>
      </c>
      <c r="S1888" t="s">
        <v>161</v>
      </c>
      <c r="T1888" t="s">
        <v>162</v>
      </c>
      <c r="U1888" t="s">
        <v>163</v>
      </c>
      <c r="V1888" t="s">
        <v>164</v>
      </c>
      <c r="W1888" t="s">
        <v>116</v>
      </c>
      <c r="X1888" t="s">
        <v>44</v>
      </c>
      <c r="Y1888" t="s">
        <v>99</v>
      </c>
      <c r="Z1888" t="s">
        <v>421</v>
      </c>
      <c r="AC1888" t="str">
        <f>IF(AA1888="",M1888,AA1888)</f>
        <v>sim</v>
      </c>
      <c r="AD1888" t="str">
        <f>IF(AB1888="",X1888,AB1888)</f>
        <v>sim</v>
      </c>
      <c r="AE1888" t="str">
        <f>IF(OR(Configuracao!B9="",Configuracao!B10=""),"aguardando limiar",IF(AND(K1888&gt;=Configuracao!B9,K1888/MAX(Reconciliacao!C2,1)&gt;=Configuracao!B10/100),"sim","não"))</f>
        <v>aguardando limiar</v>
      </c>
    </row>
    <row r="1889" spans="1:31" x14ac:dyDescent="0.25">
      <c r="A1889">
        <v>11445</v>
      </c>
      <c r="C1889" t="s">
        <v>1441</v>
      </c>
      <c r="D1889" t="s">
        <v>1442</v>
      </c>
      <c r="E1889" t="s">
        <v>465</v>
      </c>
      <c r="F1889" t="s">
        <v>158</v>
      </c>
      <c r="G1889" t="s">
        <v>157</v>
      </c>
      <c r="H1889" t="s">
        <v>156</v>
      </c>
      <c r="I1889" t="s">
        <v>737</v>
      </c>
      <c r="J1889" t="s">
        <v>32</v>
      </c>
      <c r="K1889" s="4">
        <v>0</v>
      </c>
      <c r="L1889" s="4">
        <v>7000</v>
      </c>
      <c r="M1889" t="s">
        <v>44</v>
      </c>
      <c r="N1889" t="s">
        <v>77</v>
      </c>
      <c r="O1889" t="s">
        <v>99</v>
      </c>
      <c r="P1889" t="s">
        <v>99</v>
      </c>
      <c r="Q1889" t="s">
        <v>159</v>
      </c>
      <c r="R1889" t="s">
        <v>160</v>
      </c>
      <c r="S1889" t="s">
        <v>161</v>
      </c>
      <c r="T1889" t="s">
        <v>162</v>
      </c>
      <c r="U1889" t="s">
        <v>163</v>
      </c>
      <c r="V1889" t="s">
        <v>164</v>
      </c>
      <c r="W1889" t="s">
        <v>116</v>
      </c>
      <c r="X1889" t="s">
        <v>44</v>
      </c>
      <c r="Y1889" t="s">
        <v>99</v>
      </c>
      <c r="Z1889" t="s">
        <v>421</v>
      </c>
      <c r="AC1889" t="str">
        <f>IF(AA1889="",M1889,AA1889)</f>
        <v>sim</v>
      </c>
      <c r="AD1889" t="str">
        <f>IF(AB1889="",X1889,AB1889)</f>
        <v>sim</v>
      </c>
      <c r="AE1889" t="str">
        <f>IF(OR(Configuracao!B9="",Configuracao!B10=""),"aguardando limiar",IF(AND(K1889&gt;=Configuracao!B9,K1889/MAX(Reconciliacao!C2,1)&gt;=Configuracao!B10/100),"sim","não"))</f>
        <v>aguardando limiar</v>
      </c>
    </row>
    <row r="1890" spans="1:31" x14ac:dyDescent="0.25">
      <c r="A1890">
        <v>12935</v>
      </c>
      <c r="C1890" t="s">
        <v>1371</v>
      </c>
      <c r="D1890" t="s">
        <v>1372</v>
      </c>
      <c r="E1890" t="s">
        <v>477</v>
      </c>
      <c r="F1890" t="s">
        <v>158</v>
      </c>
      <c r="G1890" t="s">
        <v>157</v>
      </c>
      <c r="H1890" t="s">
        <v>156</v>
      </c>
      <c r="I1890" t="s">
        <v>737</v>
      </c>
      <c r="J1890" t="s">
        <v>424</v>
      </c>
      <c r="K1890" s="4">
        <v>0</v>
      </c>
      <c r="L1890" s="4">
        <v>5500</v>
      </c>
      <c r="M1890" t="s">
        <v>44</v>
      </c>
      <c r="N1890" t="s">
        <v>77</v>
      </c>
      <c r="O1890" t="s">
        <v>99</v>
      </c>
      <c r="P1890" t="s">
        <v>99</v>
      </c>
      <c r="Q1890" t="s">
        <v>159</v>
      </c>
      <c r="R1890" t="s">
        <v>160</v>
      </c>
      <c r="S1890" t="s">
        <v>161</v>
      </c>
      <c r="T1890" t="s">
        <v>162</v>
      </c>
      <c r="U1890" t="s">
        <v>163</v>
      </c>
      <c r="V1890" t="s">
        <v>164</v>
      </c>
      <c r="W1890" t="s">
        <v>116</v>
      </c>
      <c r="X1890" t="s">
        <v>44</v>
      </c>
      <c r="Y1890" t="s">
        <v>99</v>
      </c>
      <c r="Z1890" t="s">
        <v>421</v>
      </c>
      <c r="AC1890" t="str">
        <f>IF(AA1890="",M1890,AA1890)</f>
        <v>sim</v>
      </c>
      <c r="AD1890" t="str">
        <f>IF(AB1890="",X1890,AB1890)</f>
        <v>sim</v>
      </c>
      <c r="AE1890" t="str">
        <f>IF(OR(Configuracao!B9="",Configuracao!B10=""),"aguardando limiar",IF(AND(K1890&gt;=Configuracao!B9,K1890/MAX(Reconciliacao!C2,1)&gt;=Configuracao!B10/100),"sim","não"))</f>
        <v>aguardando limiar</v>
      </c>
    </row>
    <row r="1891" spans="1:31" x14ac:dyDescent="0.25">
      <c r="A1891">
        <v>12703</v>
      </c>
      <c r="C1891" t="s">
        <v>1443</v>
      </c>
      <c r="D1891" t="s">
        <v>1444</v>
      </c>
      <c r="E1891" t="s">
        <v>465</v>
      </c>
      <c r="F1891" t="s">
        <v>158</v>
      </c>
      <c r="G1891" t="s">
        <v>157</v>
      </c>
      <c r="H1891" t="s">
        <v>156</v>
      </c>
      <c r="I1891" t="s">
        <v>32</v>
      </c>
      <c r="J1891" t="s">
        <v>32</v>
      </c>
      <c r="K1891" s="4">
        <v>114.15</v>
      </c>
      <c r="L1891" s="4">
        <v>114.15</v>
      </c>
      <c r="M1891" t="s">
        <v>44</v>
      </c>
      <c r="N1891" t="s">
        <v>77</v>
      </c>
      <c r="O1891" t="s">
        <v>99</v>
      </c>
      <c r="P1891" t="s">
        <v>99</v>
      </c>
      <c r="Q1891" t="s">
        <v>159</v>
      </c>
      <c r="R1891" t="s">
        <v>160</v>
      </c>
      <c r="S1891" t="s">
        <v>161</v>
      </c>
      <c r="T1891" t="s">
        <v>162</v>
      </c>
      <c r="U1891" t="s">
        <v>163</v>
      </c>
      <c r="V1891" t="s">
        <v>164</v>
      </c>
      <c r="W1891" t="s">
        <v>116</v>
      </c>
      <c r="X1891" t="s">
        <v>44</v>
      </c>
      <c r="Y1891" t="s">
        <v>99</v>
      </c>
      <c r="Z1891" t="s">
        <v>421</v>
      </c>
      <c r="AC1891" t="str">
        <f>IF(AA1891="",M1891,AA1891)</f>
        <v>sim</v>
      </c>
      <c r="AD1891" t="str">
        <f>IF(AB1891="",X1891,AB1891)</f>
        <v>sim</v>
      </c>
      <c r="AE1891" t="str">
        <f>IF(OR(Configuracao!B9="",Configuracao!B10=""),"aguardando limiar",IF(AND(K1891&gt;=Configuracao!B9,K1891/MAX(Reconciliacao!C2,1)&gt;=Configuracao!B10/100),"sim","não"))</f>
        <v>aguardando limiar</v>
      </c>
    </row>
    <row r="1892" spans="1:31" x14ac:dyDescent="0.25">
      <c r="A1892">
        <v>13805</v>
      </c>
      <c r="C1892" t="s">
        <v>1443</v>
      </c>
      <c r="D1892" t="s">
        <v>1444</v>
      </c>
      <c r="E1892" t="s">
        <v>465</v>
      </c>
      <c r="F1892" t="s">
        <v>158</v>
      </c>
      <c r="G1892" t="s">
        <v>157</v>
      </c>
      <c r="H1892" t="s">
        <v>156</v>
      </c>
      <c r="I1892" t="s">
        <v>454</v>
      </c>
      <c r="J1892" t="s">
        <v>454</v>
      </c>
      <c r="K1892" s="4">
        <v>142.31</v>
      </c>
      <c r="L1892" s="4">
        <v>142.31</v>
      </c>
      <c r="M1892" t="s">
        <v>44</v>
      </c>
      <c r="N1892" t="s">
        <v>77</v>
      </c>
      <c r="O1892" t="s">
        <v>99</v>
      </c>
      <c r="P1892" t="s">
        <v>99</v>
      </c>
      <c r="Q1892" t="s">
        <v>159</v>
      </c>
      <c r="R1892" t="s">
        <v>160</v>
      </c>
      <c r="S1892" t="s">
        <v>161</v>
      </c>
      <c r="T1892" t="s">
        <v>162</v>
      </c>
      <c r="U1892" t="s">
        <v>163</v>
      </c>
      <c r="V1892" t="s">
        <v>164</v>
      </c>
      <c r="W1892" t="s">
        <v>116</v>
      </c>
      <c r="X1892" t="s">
        <v>44</v>
      </c>
      <c r="Y1892" t="s">
        <v>99</v>
      </c>
      <c r="Z1892" t="s">
        <v>421</v>
      </c>
      <c r="AC1892" t="str">
        <f>IF(AA1892="",M1892,AA1892)</f>
        <v>sim</v>
      </c>
      <c r="AD1892" t="str">
        <f>IF(AB1892="",X1892,AB1892)</f>
        <v>sim</v>
      </c>
      <c r="AE1892" t="str">
        <f>IF(OR(Configuracao!B9="",Configuracao!B10=""),"aguardando limiar",IF(AND(K1892&gt;=Configuracao!B9,K1892/MAX(Reconciliacao!C2,1)&gt;=Configuracao!B10/100),"sim","não"))</f>
        <v>aguardando limiar</v>
      </c>
    </row>
    <row r="1893" spans="1:31" x14ac:dyDescent="0.25">
      <c r="A1893">
        <v>12704</v>
      </c>
      <c r="C1893" t="s">
        <v>1443</v>
      </c>
      <c r="D1893" t="s">
        <v>1444</v>
      </c>
      <c r="E1893" t="s">
        <v>465</v>
      </c>
      <c r="F1893" t="s">
        <v>158</v>
      </c>
      <c r="G1893" t="s">
        <v>157</v>
      </c>
      <c r="H1893" t="s">
        <v>156</v>
      </c>
      <c r="I1893" t="s">
        <v>424</v>
      </c>
      <c r="J1893" t="s">
        <v>424</v>
      </c>
      <c r="K1893" s="4">
        <v>149.31</v>
      </c>
      <c r="L1893" s="4">
        <v>149.31</v>
      </c>
      <c r="M1893" t="s">
        <v>44</v>
      </c>
      <c r="N1893" t="s">
        <v>77</v>
      </c>
      <c r="O1893" t="s">
        <v>99</v>
      </c>
      <c r="P1893" t="s">
        <v>99</v>
      </c>
      <c r="Q1893" t="s">
        <v>159</v>
      </c>
      <c r="R1893" t="s">
        <v>160</v>
      </c>
      <c r="S1893" t="s">
        <v>161</v>
      </c>
      <c r="T1893" t="s">
        <v>162</v>
      </c>
      <c r="U1893" t="s">
        <v>163</v>
      </c>
      <c r="V1893" t="s">
        <v>164</v>
      </c>
      <c r="W1893" t="s">
        <v>116</v>
      </c>
      <c r="X1893" t="s">
        <v>44</v>
      </c>
      <c r="Y1893" t="s">
        <v>99</v>
      </c>
      <c r="Z1893" t="s">
        <v>421</v>
      </c>
      <c r="AC1893" t="str">
        <f>IF(AA1893="",M1893,AA1893)</f>
        <v>sim</v>
      </c>
      <c r="AD1893" t="str">
        <f>IF(AB1893="",X1893,AB1893)</f>
        <v>sim</v>
      </c>
      <c r="AE1893" t="str">
        <f>IF(OR(Configuracao!B9="",Configuracao!B10=""),"aguardando limiar",IF(AND(K1893&gt;=Configuracao!B9,K1893/MAX(Reconciliacao!C2,1)&gt;=Configuracao!B10/100),"sim","não"))</f>
        <v>aguardando limiar</v>
      </c>
    </row>
    <row r="1894" spans="1:31" x14ac:dyDescent="0.25">
      <c r="A1894">
        <v>11394</v>
      </c>
      <c r="D1894" t="s">
        <v>1445</v>
      </c>
      <c r="E1894" t="s">
        <v>477</v>
      </c>
      <c r="F1894" t="s">
        <v>158</v>
      </c>
      <c r="G1894" t="s">
        <v>157</v>
      </c>
      <c r="H1894" t="s">
        <v>156</v>
      </c>
      <c r="I1894" t="s">
        <v>32</v>
      </c>
      <c r="J1894" t="s">
        <v>32</v>
      </c>
      <c r="K1894" s="4">
        <v>160</v>
      </c>
      <c r="L1894" s="4">
        <v>160</v>
      </c>
      <c r="M1894" t="s">
        <v>44</v>
      </c>
      <c r="N1894" t="s">
        <v>77</v>
      </c>
      <c r="O1894" t="s">
        <v>99</v>
      </c>
      <c r="P1894" t="s">
        <v>99</v>
      </c>
      <c r="Q1894" t="s">
        <v>159</v>
      </c>
      <c r="R1894" t="s">
        <v>160</v>
      </c>
      <c r="S1894" t="s">
        <v>161</v>
      </c>
      <c r="T1894" t="s">
        <v>162</v>
      </c>
      <c r="U1894" t="s">
        <v>163</v>
      </c>
      <c r="V1894" t="s">
        <v>164</v>
      </c>
      <c r="W1894" t="s">
        <v>116</v>
      </c>
      <c r="X1894" t="s">
        <v>44</v>
      </c>
      <c r="Y1894" t="s">
        <v>99</v>
      </c>
      <c r="Z1894" t="s">
        <v>421</v>
      </c>
      <c r="AC1894" t="str">
        <f>IF(AA1894="",M1894,AA1894)</f>
        <v>sim</v>
      </c>
      <c r="AD1894" t="str">
        <f>IF(AB1894="",X1894,AB1894)</f>
        <v>sim</v>
      </c>
      <c r="AE1894" t="str">
        <f>IF(OR(Configuracao!B9="",Configuracao!B10=""),"aguardando limiar",IF(AND(K1894&gt;=Configuracao!B9,K1894/MAX(Reconciliacao!C2,1)&gt;=Configuracao!B10/100),"sim","não"))</f>
        <v>aguardando limiar</v>
      </c>
    </row>
    <row r="1895" spans="1:31" x14ac:dyDescent="0.25">
      <c r="A1895">
        <v>13032</v>
      </c>
      <c r="C1895" t="s">
        <v>1446</v>
      </c>
      <c r="D1895" t="s">
        <v>1440</v>
      </c>
      <c r="E1895" t="s">
        <v>224</v>
      </c>
      <c r="F1895" t="s">
        <v>158</v>
      </c>
      <c r="G1895" t="s">
        <v>157</v>
      </c>
      <c r="H1895" t="s">
        <v>156</v>
      </c>
      <c r="I1895" t="s">
        <v>424</v>
      </c>
      <c r="J1895" t="s">
        <v>424</v>
      </c>
      <c r="K1895" s="4">
        <v>200</v>
      </c>
      <c r="L1895" s="4">
        <v>200</v>
      </c>
      <c r="M1895" t="s">
        <v>44</v>
      </c>
      <c r="N1895" t="s">
        <v>77</v>
      </c>
      <c r="O1895" t="s">
        <v>99</v>
      </c>
      <c r="P1895" t="s">
        <v>99</v>
      </c>
      <c r="Q1895" t="s">
        <v>159</v>
      </c>
      <c r="R1895" t="s">
        <v>160</v>
      </c>
      <c r="S1895" t="s">
        <v>161</v>
      </c>
      <c r="T1895" t="s">
        <v>162</v>
      </c>
      <c r="U1895" t="s">
        <v>163</v>
      </c>
      <c r="V1895" t="s">
        <v>164</v>
      </c>
      <c r="W1895" t="s">
        <v>116</v>
      </c>
      <c r="X1895" t="s">
        <v>44</v>
      </c>
      <c r="Y1895" t="s">
        <v>99</v>
      </c>
      <c r="Z1895" t="s">
        <v>421</v>
      </c>
      <c r="AC1895" t="str">
        <f>IF(AA1895="",M1895,AA1895)</f>
        <v>sim</v>
      </c>
      <c r="AD1895" t="str">
        <f>IF(AB1895="",X1895,AB1895)</f>
        <v>sim</v>
      </c>
      <c r="AE1895" t="str">
        <f>IF(OR(Configuracao!B9="",Configuracao!B10=""),"aguardando limiar",IF(AND(K1895&gt;=Configuracao!B9,K1895/MAX(Reconciliacao!C2,1)&gt;=Configuracao!B10/100),"sim","não"))</f>
        <v>aguardando limiar</v>
      </c>
    </row>
    <row r="1896" spans="1:31" x14ac:dyDescent="0.25">
      <c r="A1896">
        <v>16169</v>
      </c>
      <c r="C1896" t="s">
        <v>1447</v>
      </c>
      <c r="D1896" t="s">
        <v>1448</v>
      </c>
      <c r="E1896" t="s">
        <v>467</v>
      </c>
      <c r="F1896" t="s">
        <v>158</v>
      </c>
      <c r="G1896" t="s">
        <v>157</v>
      </c>
      <c r="H1896" t="s">
        <v>156</v>
      </c>
      <c r="I1896" t="s">
        <v>454</v>
      </c>
      <c r="J1896" t="s">
        <v>461</v>
      </c>
      <c r="K1896" s="4">
        <v>213.33</v>
      </c>
      <c r="L1896" s="4">
        <v>213.33</v>
      </c>
      <c r="M1896" t="s">
        <v>44</v>
      </c>
      <c r="N1896" t="s">
        <v>77</v>
      </c>
      <c r="O1896" t="s">
        <v>99</v>
      </c>
      <c r="P1896" t="s">
        <v>99</v>
      </c>
      <c r="Q1896" t="s">
        <v>159</v>
      </c>
      <c r="R1896" t="s">
        <v>160</v>
      </c>
      <c r="S1896" t="s">
        <v>161</v>
      </c>
      <c r="T1896" t="s">
        <v>162</v>
      </c>
      <c r="U1896" t="s">
        <v>163</v>
      </c>
      <c r="V1896" t="s">
        <v>164</v>
      </c>
      <c r="W1896" t="s">
        <v>116</v>
      </c>
      <c r="X1896" t="s">
        <v>44</v>
      </c>
      <c r="Y1896" t="s">
        <v>99</v>
      </c>
      <c r="Z1896" t="s">
        <v>421</v>
      </c>
      <c r="AC1896" t="str">
        <f>IF(AA1896="",M1896,AA1896)</f>
        <v>sim</v>
      </c>
      <c r="AD1896" t="str">
        <f>IF(AB1896="",X1896,AB1896)</f>
        <v>sim</v>
      </c>
      <c r="AE1896" t="str">
        <f>IF(OR(Configuracao!B9="",Configuracao!B10=""),"aguardando limiar",IF(AND(K1896&gt;=Configuracao!B9,K1896/MAX(Reconciliacao!C2,1)&gt;=Configuracao!B10/100),"sim","não"))</f>
        <v>aguardando limiar</v>
      </c>
    </row>
    <row r="1897" spans="1:31" x14ac:dyDescent="0.25">
      <c r="A1897">
        <v>16165</v>
      </c>
      <c r="C1897" t="s">
        <v>1449</v>
      </c>
      <c r="D1897" t="s">
        <v>1450</v>
      </c>
      <c r="E1897" t="s">
        <v>465</v>
      </c>
      <c r="F1897" t="s">
        <v>158</v>
      </c>
      <c r="G1897" t="s">
        <v>157</v>
      </c>
      <c r="H1897" t="s">
        <v>156</v>
      </c>
      <c r="I1897" t="s">
        <v>454</v>
      </c>
      <c r="J1897" t="s">
        <v>461</v>
      </c>
      <c r="K1897" s="4">
        <v>226.67</v>
      </c>
      <c r="L1897" s="4">
        <v>226.67</v>
      </c>
      <c r="M1897" t="s">
        <v>44</v>
      </c>
      <c r="N1897" t="s">
        <v>77</v>
      </c>
      <c r="O1897" t="s">
        <v>99</v>
      </c>
      <c r="P1897" t="s">
        <v>99</v>
      </c>
      <c r="Q1897" t="s">
        <v>159</v>
      </c>
      <c r="R1897" t="s">
        <v>160</v>
      </c>
      <c r="S1897" t="s">
        <v>161</v>
      </c>
      <c r="T1897" t="s">
        <v>162</v>
      </c>
      <c r="U1897" t="s">
        <v>163</v>
      </c>
      <c r="V1897" t="s">
        <v>164</v>
      </c>
      <c r="W1897" t="s">
        <v>116</v>
      </c>
      <c r="X1897" t="s">
        <v>44</v>
      </c>
      <c r="Y1897" t="s">
        <v>99</v>
      </c>
      <c r="Z1897" t="s">
        <v>421</v>
      </c>
      <c r="AC1897" t="str">
        <f>IF(AA1897="",M1897,AA1897)</f>
        <v>sim</v>
      </c>
      <c r="AD1897" t="str">
        <f>IF(AB1897="",X1897,AB1897)</f>
        <v>sim</v>
      </c>
      <c r="AE1897" t="str">
        <f>IF(OR(Configuracao!B9="",Configuracao!B10=""),"aguardando limiar",IF(AND(K1897&gt;=Configuracao!B9,K1897/MAX(Reconciliacao!C2,1)&gt;=Configuracao!B10/100),"sim","não"))</f>
        <v>aguardando limiar</v>
      </c>
    </row>
    <row r="1898" spans="1:31" x14ac:dyDescent="0.25">
      <c r="A1898">
        <v>16222</v>
      </c>
      <c r="C1898" t="s">
        <v>1446</v>
      </c>
      <c r="D1898" t="s">
        <v>1415</v>
      </c>
      <c r="E1898" t="s">
        <v>467</v>
      </c>
      <c r="F1898" t="s">
        <v>158</v>
      </c>
      <c r="G1898" t="s">
        <v>157</v>
      </c>
      <c r="H1898" t="s">
        <v>156</v>
      </c>
      <c r="I1898" t="s">
        <v>454</v>
      </c>
      <c r="J1898" t="s">
        <v>461</v>
      </c>
      <c r="K1898" s="4">
        <v>300</v>
      </c>
      <c r="L1898" s="4">
        <v>300</v>
      </c>
      <c r="M1898" t="s">
        <v>44</v>
      </c>
      <c r="N1898" t="s">
        <v>77</v>
      </c>
      <c r="O1898" t="s">
        <v>99</v>
      </c>
      <c r="P1898" t="s">
        <v>99</v>
      </c>
      <c r="Q1898" t="s">
        <v>159</v>
      </c>
      <c r="R1898" t="s">
        <v>160</v>
      </c>
      <c r="S1898" t="s">
        <v>161</v>
      </c>
      <c r="T1898" t="s">
        <v>162</v>
      </c>
      <c r="U1898" t="s">
        <v>163</v>
      </c>
      <c r="V1898" t="s">
        <v>164</v>
      </c>
      <c r="W1898" t="s">
        <v>116</v>
      </c>
      <c r="X1898" t="s">
        <v>44</v>
      </c>
      <c r="Y1898" t="s">
        <v>99</v>
      </c>
      <c r="Z1898" t="s">
        <v>421</v>
      </c>
      <c r="AC1898" t="str">
        <f>IF(AA1898="",M1898,AA1898)</f>
        <v>sim</v>
      </c>
      <c r="AD1898" t="str">
        <f>IF(AB1898="",X1898,AB1898)</f>
        <v>sim</v>
      </c>
      <c r="AE1898" t="str">
        <f>IF(OR(Configuracao!B9="",Configuracao!B10=""),"aguardando limiar",IF(AND(K1898&gt;=Configuracao!B9,K1898/MAX(Reconciliacao!C2,1)&gt;=Configuracao!B10/100),"sim","não"))</f>
        <v>aguardando limiar</v>
      </c>
    </row>
    <row r="1899" spans="1:31" x14ac:dyDescent="0.25">
      <c r="A1899">
        <v>17225</v>
      </c>
      <c r="C1899" t="s">
        <v>1446</v>
      </c>
      <c r="D1899" t="s">
        <v>1415</v>
      </c>
      <c r="E1899" t="s">
        <v>467</v>
      </c>
      <c r="F1899" t="s">
        <v>158</v>
      </c>
      <c r="G1899" t="s">
        <v>157</v>
      </c>
      <c r="H1899" t="s">
        <v>156</v>
      </c>
      <c r="I1899" t="s">
        <v>442</v>
      </c>
      <c r="J1899" t="s">
        <v>442</v>
      </c>
      <c r="K1899" s="4">
        <v>300</v>
      </c>
      <c r="L1899" s="4">
        <v>300</v>
      </c>
      <c r="M1899" t="s">
        <v>44</v>
      </c>
      <c r="N1899" t="s">
        <v>77</v>
      </c>
      <c r="O1899" t="s">
        <v>99</v>
      </c>
      <c r="P1899" t="s">
        <v>99</v>
      </c>
      <c r="Q1899" t="s">
        <v>159</v>
      </c>
      <c r="R1899" t="s">
        <v>160</v>
      </c>
      <c r="S1899" t="s">
        <v>161</v>
      </c>
      <c r="T1899" t="s">
        <v>162</v>
      </c>
      <c r="U1899" t="s">
        <v>163</v>
      </c>
      <c r="V1899" t="s">
        <v>164</v>
      </c>
      <c r="W1899" t="s">
        <v>116</v>
      </c>
      <c r="X1899" t="s">
        <v>44</v>
      </c>
      <c r="Y1899" t="s">
        <v>99</v>
      </c>
      <c r="Z1899" t="s">
        <v>421</v>
      </c>
      <c r="AC1899" t="str">
        <f>IF(AA1899="",M1899,AA1899)</f>
        <v>sim</v>
      </c>
      <c r="AD1899" t="str">
        <f>IF(AB1899="",X1899,AB1899)</f>
        <v>sim</v>
      </c>
      <c r="AE1899" t="str">
        <f>IF(OR(Configuracao!B9="",Configuracao!B10=""),"aguardando limiar",IF(AND(K1899&gt;=Configuracao!B9,K1899/MAX(Reconciliacao!C2,1)&gt;=Configuracao!B10/100),"sim","não"))</f>
        <v>aguardando limiar</v>
      </c>
    </row>
    <row r="1900" spans="1:31" x14ac:dyDescent="0.25">
      <c r="A1900">
        <v>18829</v>
      </c>
      <c r="C1900" t="s">
        <v>1443</v>
      </c>
      <c r="D1900" t="s">
        <v>1444</v>
      </c>
      <c r="E1900" t="s">
        <v>465</v>
      </c>
      <c r="F1900" t="s">
        <v>158</v>
      </c>
      <c r="G1900" t="s">
        <v>157</v>
      </c>
      <c r="H1900" t="s">
        <v>156</v>
      </c>
      <c r="I1900" t="s">
        <v>35</v>
      </c>
      <c r="J1900" t="s">
        <v>35</v>
      </c>
      <c r="K1900" s="4">
        <v>360.32</v>
      </c>
      <c r="L1900" s="4">
        <v>360.32</v>
      </c>
      <c r="M1900" t="s">
        <v>44</v>
      </c>
      <c r="N1900" t="s">
        <v>77</v>
      </c>
      <c r="O1900" t="s">
        <v>99</v>
      </c>
      <c r="P1900" t="s">
        <v>99</v>
      </c>
      <c r="Q1900" t="s">
        <v>159</v>
      </c>
      <c r="R1900" t="s">
        <v>160</v>
      </c>
      <c r="S1900" t="s">
        <v>161</v>
      </c>
      <c r="T1900" t="s">
        <v>162</v>
      </c>
      <c r="U1900" t="s">
        <v>163</v>
      </c>
      <c r="V1900" t="s">
        <v>164</v>
      </c>
      <c r="W1900" t="s">
        <v>116</v>
      </c>
      <c r="X1900" t="s">
        <v>44</v>
      </c>
      <c r="Y1900" t="s">
        <v>99</v>
      </c>
      <c r="Z1900" t="s">
        <v>421</v>
      </c>
      <c r="AC1900" t="str">
        <f>IF(AA1900="",M1900,AA1900)</f>
        <v>sim</v>
      </c>
      <c r="AD1900" t="str">
        <f>IF(AB1900="",X1900,AB1900)</f>
        <v>sim</v>
      </c>
      <c r="AE1900" t="str">
        <f>IF(OR(Configuracao!B9="",Configuracao!B10=""),"aguardando limiar",IF(AND(K1900&gt;=Configuracao!B9,K1900/MAX(Reconciliacao!C2,1)&gt;=Configuracao!B10/100),"sim","não"))</f>
        <v>aguardando limiar</v>
      </c>
    </row>
    <row r="1901" spans="1:31" x14ac:dyDescent="0.25">
      <c r="A1901">
        <v>16198</v>
      </c>
      <c r="C1901" t="s">
        <v>1451</v>
      </c>
      <c r="D1901" t="s">
        <v>1452</v>
      </c>
      <c r="E1901" t="s">
        <v>467</v>
      </c>
      <c r="F1901" t="s">
        <v>158</v>
      </c>
      <c r="G1901" t="s">
        <v>157</v>
      </c>
      <c r="H1901" t="s">
        <v>156</v>
      </c>
      <c r="I1901" t="s">
        <v>454</v>
      </c>
      <c r="J1901" t="s">
        <v>461</v>
      </c>
      <c r="K1901" s="4">
        <v>373.33</v>
      </c>
      <c r="L1901" s="4">
        <v>373.33</v>
      </c>
      <c r="M1901" t="s">
        <v>44</v>
      </c>
      <c r="N1901" t="s">
        <v>77</v>
      </c>
      <c r="O1901" t="s">
        <v>99</v>
      </c>
      <c r="P1901" t="s">
        <v>99</v>
      </c>
      <c r="Q1901" t="s">
        <v>159</v>
      </c>
      <c r="R1901" t="s">
        <v>160</v>
      </c>
      <c r="S1901" t="s">
        <v>161</v>
      </c>
      <c r="T1901" t="s">
        <v>162</v>
      </c>
      <c r="U1901" t="s">
        <v>163</v>
      </c>
      <c r="V1901" t="s">
        <v>164</v>
      </c>
      <c r="W1901" t="s">
        <v>116</v>
      </c>
      <c r="X1901" t="s">
        <v>44</v>
      </c>
      <c r="Y1901" t="s">
        <v>99</v>
      </c>
      <c r="Z1901" t="s">
        <v>421</v>
      </c>
      <c r="AC1901" t="str">
        <f>IF(AA1901="",M1901,AA1901)</f>
        <v>sim</v>
      </c>
      <c r="AD1901" t="str">
        <f>IF(AB1901="",X1901,AB1901)</f>
        <v>sim</v>
      </c>
      <c r="AE1901" t="str">
        <f>IF(OR(Configuracao!B9="",Configuracao!B10=""),"aguardando limiar",IF(AND(K1901&gt;=Configuracao!B9,K1901/MAX(Reconciliacao!C2,1)&gt;=Configuracao!B10/100),"sim","não"))</f>
        <v>aguardando limiar</v>
      </c>
    </row>
    <row r="1902" spans="1:31" x14ac:dyDescent="0.25">
      <c r="A1902">
        <v>11395</v>
      </c>
      <c r="D1902" t="s">
        <v>1453</v>
      </c>
      <c r="E1902" t="s">
        <v>467</v>
      </c>
      <c r="F1902" t="s">
        <v>158</v>
      </c>
      <c r="G1902" t="s">
        <v>157</v>
      </c>
      <c r="H1902" t="s">
        <v>156</v>
      </c>
      <c r="I1902" t="s">
        <v>32</v>
      </c>
      <c r="J1902" t="s">
        <v>32</v>
      </c>
      <c r="K1902" s="4">
        <v>380</v>
      </c>
      <c r="L1902" s="4">
        <v>380</v>
      </c>
      <c r="M1902" t="s">
        <v>44</v>
      </c>
      <c r="N1902" t="s">
        <v>77</v>
      </c>
      <c r="O1902" t="s">
        <v>99</v>
      </c>
      <c r="P1902" t="s">
        <v>99</v>
      </c>
      <c r="Q1902" t="s">
        <v>159</v>
      </c>
      <c r="R1902" t="s">
        <v>160</v>
      </c>
      <c r="S1902" t="s">
        <v>161</v>
      </c>
      <c r="T1902" t="s">
        <v>162</v>
      </c>
      <c r="U1902" t="s">
        <v>163</v>
      </c>
      <c r="V1902" t="s">
        <v>164</v>
      </c>
      <c r="W1902" t="s">
        <v>116</v>
      </c>
      <c r="X1902" t="s">
        <v>44</v>
      </c>
      <c r="Y1902" t="s">
        <v>99</v>
      </c>
      <c r="Z1902" t="s">
        <v>421</v>
      </c>
      <c r="AC1902" t="str">
        <f>IF(AA1902="",M1902,AA1902)</f>
        <v>sim</v>
      </c>
      <c r="AD1902" t="str">
        <f>IF(AB1902="",X1902,AB1902)</f>
        <v>sim</v>
      </c>
      <c r="AE1902" t="str">
        <f>IF(OR(Configuracao!B9="",Configuracao!B10=""),"aguardando limiar",IF(AND(K1902&gt;=Configuracao!B9,K1902/MAX(Reconciliacao!C2,1)&gt;=Configuracao!B10/100),"sim","não"))</f>
        <v>aguardando limiar</v>
      </c>
    </row>
    <row r="1903" spans="1:31" x14ac:dyDescent="0.25">
      <c r="A1903">
        <v>16221</v>
      </c>
      <c r="C1903" t="s">
        <v>1446</v>
      </c>
      <c r="D1903" t="s">
        <v>430</v>
      </c>
      <c r="E1903" t="s">
        <v>467</v>
      </c>
      <c r="F1903" t="s">
        <v>158</v>
      </c>
      <c r="G1903" t="s">
        <v>157</v>
      </c>
      <c r="H1903" t="s">
        <v>156</v>
      </c>
      <c r="I1903" t="s">
        <v>454</v>
      </c>
      <c r="J1903" t="s">
        <v>461</v>
      </c>
      <c r="K1903" s="4">
        <v>400</v>
      </c>
      <c r="L1903" s="4">
        <v>400</v>
      </c>
      <c r="M1903" t="s">
        <v>44</v>
      </c>
      <c r="N1903" t="s">
        <v>77</v>
      </c>
      <c r="O1903" t="s">
        <v>99</v>
      </c>
      <c r="P1903" t="s">
        <v>99</v>
      </c>
      <c r="Q1903" t="s">
        <v>159</v>
      </c>
      <c r="R1903" t="s">
        <v>160</v>
      </c>
      <c r="S1903" t="s">
        <v>161</v>
      </c>
      <c r="T1903" t="s">
        <v>162</v>
      </c>
      <c r="U1903" t="s">
        <v>163</v>
      </c>
      <c r="V1903" t="s">
        <v>164</v>
      </c>
      <c r="W1903" t="s">
        <v>116</v>
      </c>
      <c r="X1903" t="s">
        <v>44</v>
      </c>
      <c r="Y1903" t="s">
        <v>99</v>
      </c>
      <c r="Z1903" t="s">
        <v>421</v>
      </c>
      <c r="AC1903" t="str">
        <f>IF(AA1903="",M1903,AA1903)</f>
        <v>sim</v>
      </c>
      <c r="AD1903" t="str">
        <f>IF(AB1903="",X1903,AB1903)</f>
        <v>sim</v>
      </c>
      <c r="AE1903" t="str">
        <f>IF(OR(Configuracao!B9="",Configuracao!B10=""),"aguardando limiar",IF(AND(K1903&gt;=Configuracao!B9,K1903/MAX(Reconciliacao!C2,1)&gt;=Configuracao!B10/100),"sim","não"))</f>
        <v>aguardando limiar</v>
      </c>
    </row>
    <row r="1904" spans="1:31" x14ac:dyDescent="0.25">
      <c r="A1904">
        <v>17224</v>
      </c>
      <c r="C1904" t="s">
        <v>1446</v>
      </c>
      <c r="D1904" t="s">
        <v>430</v>
      </c>
      <c r="E1904" t="s">
        <v>467</v>
      </c>
      <c r="F1904" t="s">
        <v>158</v>
      </c>
      <c r="G1904" t="s">
        <v>157</v>
      </c>
      <c r="H1904" t="s">
        <v>156</v>
      </c>
      <c r="I1904" t="s">
        <v>442</v>
      </c>
      <c r="J1904" t="s">
        <v>442</v>
      </c>
      <c r="K1904" s="4">
        <v>400</v>
      </c>
      <c r="L1904" s="4">
        <v>400</v>
      </c>
      <c r="M1904" t="s">
        <v>44</v>
      </c>
      <c r="N1904" t="s">
        <v>77</v>
      </c>
      <c r="O1904" t="s">
        <v>99</v>
      </c>
      <c r="P1904" t="s">
        <v>99</v>
      </c>
      <c r="Q1904" t="s">
        <v>159</v>
      </c>
      <c r="R1904" t="s">
        <v>160</v>
      </c>
      <c r="S1904" t="s">
        <v>161</v>
      </c>
      <c r="T1904" t="s">
        <v>162</v>
      </c>
      <c r="U1904" t="s">
        <v>163</v>
      </c>
      <c r="V1904" t="s">
        <v>164</v>
      </c>
      <c r="W1904" t="s">
        <v>116</v>
      </c>
      <c r="X1904" t="s">
        <v>44</v>
      </c>
      <c r="Y1904" t="s">
        <v>99</v>
      </c>
      <c r="Z1904" t="s">
        <v>421</v>
      </c>
      <c r="AC1904" t="str">
        <f>IF(AA1904="",M1904,AA1904)</f>
        <v>sim</v>
      </c>
      <c r="AD1904" t="str">
        <f>IF(AB1904="",X1904,AB1904)</f>
        <v>sim</v>
      </c>
      <c r="AE1904" t="str">
        <f>IF(OR(Configuracao!B9="",Configuracao!B10=""),"aguardando limiar",IF(AND(K1904&gt;=Configuracao!B9,K1904/MAX(Reconciliacao!C2,1)&gt;=Configuracao!B10/100),"sim","não"))</f>
        <v>aguardando limiar</v>
      </c>
    </row>
    <row r="1905" spans="1:31" x14ac:dyDescent="0.25">
      <c r="A1905">
        <v>12963</v>
      </c>
      <c r="C1905" t="s">
        <v>1454</v>
      </c>
      <c r="D1905" t="s">
        <v>432</v>
      </c>
      <c r="E1905" t="s">
        <v>467</v>
      </c>
      <c r="F1905" t="s">
        <v>158</v>
      </c>
      <c r="G1905" t="s">
        <v>157</v>
      </c>
      <c r="H1905" t="s">
        <v>156</v>
      </c>
      <c r="I1905" t="s">
        <v>32</v>
      </c>
      <c r="J1905" t="s">
        <v>424</v>
      </c>
      <c r="K1905" s="4">
        <v>466.67</v>
      </c>
      <c r="L1905" s="4">
        <v>466.67</v>
      </c>
      <c r="M1905" t="s">
        <v>44</v>
      </c>
      <c r="N1905" t="s">
        <v>77</v>
      </c>
      <c r="O1905" t="s">
        <v>99</v>
      </c>
      <c r="P1905" t="s">
        <v>99</v>
      </c>
      <c r="Q1905" t="s">
        <v>159</v>
      </c>
      <c r="R1905" t="s">
        <v>160</v>
      </c>
      <c r="S1905" t="s">
        <v>161</v>
      </c>
      <c r="T1905" t="s">
        <v>162</v>
      </c>
      <c r="U1905" t="s">
        <v>163</v>
      </c>
      <c r="V1905" t="s">
        <v>164</v>
      </c>
      <c r="W1905" t="s">
        <v>116</v>
      </c>
      <c r="X1905" t="s">
        <v>44</v>
      </c>
      <c r="Y1905" t="s">
        <v>99</v>
      </c>
      <c r="Z1905" t="s">
        <v>421</v>
      </c>
      <c r="AC1905" t="str">
        <f>IF(AA1905="",M1905,AA1905)</f>
        <v>sim</v>
      </c>
      <c r="AD1905" t="str">
        <f>IF(AB1905="",X1905,AB1905)</f>
        <v>sim</v>
      </c>
      <c r="AE1905" t="str">
        <f>IF(OR(Configuracao!B9="",Configuracao!B10=""),"aguardando limiar",IF(AND(K1905&gt;=Configuracao!B9,K1905/MAX(Reconciliacao!C2,1)&gt;=Configuracao!B10/100),"sim","não"))</f>
        <v>aguardando limiar</v>
      </c>
    </row>
    <row r="1906" spans="1:31" x14ac:dyDescent="0.25">
      <c r="A1906">
        <v>17283</v>
      </c>
      <c r="C1906" t="s">
        <v>1432</v>
      </c>
      <c r="D1906" t="s">
        <v>1433</v>
      </c>
      <c r="E1906" t="s">
        <v>467</v>
      </c>
      <c r="F1906" t="s">
        <v>158</v>
      </c>
      <c r="G1906" t="s">
        <v>157</v>
      </c>
      <c r="H1906" t="s">
        <v>156</v>
      </c>
      <c r="I1906" t="s">
        <v>461</v>
      </c>
      <c r="J1906" t="s">
        <v>442</v>
      </c>
      <c r="K1906" s="4">
        <v>640</v>
      </c>
      <c r="L1906" s="4">
        <v>640</v>
      </c>
      <c r="M1906" t="s">
        <v>44</v>
      </c>
      <c r="N1906" t="s">
        <v>77</v>
      </c>
      <c r="O1906" t="s">
        <v>99</v>
      </c>
      <c r="P1906" t="s">
        <v>99</v>
      </c>
      <c r="Q1906" t="s">
        <v>159</v>
      </c>
      <c r="R1906" t="s">
        <v>160</v>
      </c>
      <c r="S1906" t="s">
        <v>161</v>
      </c>
      <c r="T1906" t="s">
        <v>162</v>
      </c>
      <c r="U1906" t="s">
        <v>163</v>
      </c>
      <c r="V1906" t="s">
        <v>164</v>
      </c>
      <c r="W1906" t="s">
        <v>116</v>
      </c>
      <c r="X1906" t="s">
        <v>44</v>
      </c>
      <c r="Y1906" t="s">
        <v>99</v>
      </c>
      <c r="Z1906" t="s">
        <v>421</v>
      </c>
      <c r="AC1906" t="str">
        <f>IF(AA1906="",M1906,AA1906)</f>
        <v>sim</v>
      </c>
      <c r="AD1906" t="str">
        <f>IF(AB1906="",X1906,AB1906)</f>
        <v>sim</v>
      </c>
      <c r="AE1906" t="str">
        <f>IF(OR(Configuracao!B9="",Configuracao!B10=""),"aguardando limiar",IF(AND(K1906&gt;=Configuracao!B9,K1906/MAX(Reconciliacao!C2,1)&gt;=Configuracao!B10/100),"sim","não"))</f>
        <v>aguardando limiar</v>
      </c>
    </row>
    <row r="1907" spans="1:31" x14ac:dyDescent="0.25">
      <c r="A1907">
        <v>18779</v>
      </c>
      <c r="C1907" t="s">
        <v>1455</v>
      </c>
      <c r="D1907" t="s">
        <v>1456</v>
      </c>
      <c r="E1907" t="s">
        <v>467</v>
      </c>
      <c r="F1907" t="s">
        <v>158</v>
      </c>
      <c r="G1907" t="s">
        <v>157</v>
      </c>
      <c r="H1907" t="s">
        <v>156</v>
      </c>
      <c r="I1907" t="s">
        <v>439</v>
      </c>
      <c r="J1907" t="s">
        <v>35</v>
      </c>
      <c r="K1907" s="4">
        <v>666.67</v>
      </c>
      <c r="L1907" s="4">
        <v>666.67</v>
      </c>
      <c r="M1907" t="s">
        <v>44</v>
      </c>
      <c r="N1907" t="s">
        <v>77</v>
      </c>
      <c r="O1907" t="s">
        <v>99</v>
      </c>
      <c r="P1907" t="s">
        <v>99</v>
      </c>
      <c r="Q1907" t="s">
        <v>159</v>
      </c>
      <c r="R1907" t="s">
        <v>160</v>
      </c>
      <c r="S1907" t="s">
        <v>161</v>
      </c>
      <c r="T1907" t="s">
        <v>162</v>
      </c>
      <c r="U1907" t="s">
        <v>163</v>
      </c>
      <c r="V1907" t="s">
        <v>164</v>
      </c>
      <c r="W1907" t="s">
        <v>116</v>
      </c>
      <c r="X1907" t="s">
        <v>44</v>
      </c>
      <c r="Y1907" t="s">
        <v>99</v>
      </c>
      <c r="Z1907" t="s">
        <v>421</v>
      </c>
      <c r="AC1907" t="str">
        <f>IF(AA1907="",M1907,AA1907)</f>
        <v>sim</v>
      </c>
      <c r="AD1907" t="str">
        <f>IF(AB1907="",X1907,AB1907)</f>
        <v>sim</v>
      </c>
      <c r="AE1907" t="str">
        <f>IF(OR(Configuracao!B9="",Configuracao!B10=""),"aguardando limiar",IF(AND(K1907&gt;=Configuracao!B9,K1907/MAX(Reconciliacao!C2,1)&gt;=Configuracao!B10/100),"sim","não"))</f>
        <v>aguardando limiar</v>
      </c>
    </row>
    <row r="1908" spans="1:31" x14ac:dyDescent="0.25">
      <c r="A1908">
        <v>17241</v>
      </c>
      <c r="D1908" t="s">
        <v>1457</v>
      </c>
      <c r="E1908" t="s">
        <v>477</v>
      </c>
      <c r="F1908" t="s">
        <v>158</v>
      </c>
      <c r="G1908" t="s">
        <v>157</v>
      </c>
      <c r="H1908" t="s">
        <v>156</v>
      </c>
      <c r="I1908" t="s">
        <v>461</v>
      </c>
      <c r="J1908" t="s">
        <v>442</v>
      </c>
      <c r="K1908" s="4">
        <v>840</v>
      </c>
      <c r="L1908" s="4">
        <v>840</v>
      </c>
      <c r="M1908" t="s">
        <v>44</v>
      </c>
      <c r="N1908" t="s">
        <v>77</v>
      </c>
      <c r="O1908" t="s">
        <v>99</v>
      </c>
      <c r="P1908" t="s">
        <v>99</v>
      </c>
      <c r="Q1908" t="s">
        <v>159</v>
      </c>
      <c r="R1908" t="s">
        <v>160</v>
      </c>
      <c r="S1908" t="s">
        <v>161</v>
      </c>
      <c r="T1908" t="s">
        <v>162</v>
      </c>
      <c r="U1908" t="s">
        <v>163</v>
      </c>
      <c r="V1908" t="s">
        <v>164</v>
      </c>
      <c r="W1908" t="s">
        <v>116</v>
      </c>
      <c r="X1908" t="s">
        <v>44</v>
      </c>
      <c r="Y1908" t="s">
        <v>99</v>
      </c>
      <c r="Z1908" t="s">
        <v>421</v>
      </c>
      <c r="AC1908" t="str">
        <f>IF(AA1908="",M1908,AA1908)</f>
        <v>sim</v>
      </c>
      <c r="AD1908" t="str">
        <f>IF(AB1908="",X1908,AB1908)</f>
        <v>sim</v>
      </c>
      <c r="AE1908" t="str">
        <f>IF(OR(Configuracao!B9="",Configuracao!B10=""),"aguardando limiar",IF(AND(K1908&gt;=Configuracao!B9,K1908/MAX(Reconciliacao!C2,1)&gt;=Configuracao!B10/100),"sim","não"))</f>
        <v>aguardando limiar</v>
      </c>
    </row>
    <row r="1909" spans="1:31" x14ac:dyDescent="0.25">
      <c r="A1909">
        <v>16006</v>
      </c>
      <c r="C1909" t="s">
        <v>1458</v>
      </c>
      <c r="D1909" t="s">
        <v>1457</v>
      </c>
      <c r="E1909" t="s">
        <v>477</v>
      </c>
      <c r="F1909" t="s">
        <v>158</v>
      </c>
      <c r="G1909" t="s">
        <v>157</v>
      </c>
      <c r="H1909" t="s">
        <v>156</v>
      </c>
      <c r="I1909" t="s">
        <v>424</v>
      </c>
      <c r="J1909" t="s">
        <v>420</v>
      </c>
      <c r="K1909" s="4">
        <v>886.67</v>
      </c>
      <c r="L1909" s="4">
        <v>886.67</v>
      </c>
      <c r="M1909" t="s">
        <v>44</v>
      </c>
      <c r="N1909" t="s">
        <v>77</v>
      </c>
      <c r="O1909" t="s">
        <v>99</v>
      </c>
      <c r="P1909" t="s">
        <v>99</v>
      </c>
      <c r="Q1909" t="s">
        <v>159</v>
      </c>
      <c r="R1909" t="s">
        <v>160</v>
      </c>
      <c r="S1909" t="s">
        <v>161</v>
      </c>
      <c r="T1909" t="s">
        <v>162</v>
      </c>
      <c r="U1909" t="s">
        <v>163</v>
      </c>
      <c r="V1909" t="s">
        <v>164</v>
      </c>
      <c r="W1909" t="s">
        <v>116</v>
      </c>
      <c r="X1909" t="s">
        <v>44</v>
      </c>
      <c r="Y1909" t="s">
        <v>99</v>
      </c>
      <c r="Z1909" t="s">
        <v>421</v>
      </c>
      <c r="AC1909" t="str">
        <f>IF(AA1909="",M1909,AA1909)</f>
        <v>sim</v>
      </c>
      <c r="AD1909" t="str">
        <f>IF(AB1909="",X1909,AB1909)</f>
        <v>sim</v>
      </c>
      <c r="AE1909" t="str">
        <f>IF(OR(Configuracao!B9="",Configuracao!B10=""),"aguardando limiar",IF(AND(K1909&gt;=Configuracao!B9,K1909/MAX(Reconciliacao!C2,1)&gt;=Configuracao!B10/100),"sim","não"))</f>
        <v>aguardando limiar</v>
      </c>
    </row>
    <row r="1910" spans="1:31" x14ac:dyDescent="0.25">
      <c r="A1910">
        <v>11396</v>
      </c>
      <c r="D1910" t="s">
        <v>1459</v>
      </c>
      <c r="E1910" t="s">
        <v>465</v>
      </c>
      <c r="F1910" t="s">
        <v>158</v>
      </c>
      <c r="G1910" t="s">
        <v>157</v>
      </c>
      <c r="H1910" t="s">
        <v>156</v>
      </c>
      <c r="I1910" t="s">
        <v>32</v>
      </c>
      <c r="J1910" t="s">
        <v>32</v>
      </c>
      <c r="K1910" s="4">
        <v>1000</v>
      </c>
      <c r="L1910" s="4">
        <v>1000</v>
      </c>
      <c r="M1910" t="s">
        <v>44</v>
      </c>
      <c r="N1910" t="s">
        <v>77</v>
      </c>
      <c r="O1910" t="s">
        <v>99</v>
      </c>
      <c r="P1910" t="s">
        <v>99</v>
      </c>
      <c r="Q1910" t="s">
        <v>159</v>
      </c>
      <c r="R1910" t="s">
        <v>160</v>
      </c>
      <c r="S1910" t="s">
        <v>161</v>
      </c>
      <c r="T1910" t="s">
        <v>162</v>
      </c>
      <c r="U1910" t="s">
        <v>163</v>
      </c>
      <c r="V1910" t="s">
        <v>164</v>
      </c>
      <c r="W1910" t="s">
        <v>116</v>
      </c>
      <c r="X1910" t="s">
        <v>44</v>
      </c>
      <c r="Y1910" t="s">
        <v>99</v>
      </c>
      <c r="Z1910" t="s">
        <v>421</v>
      </c>
      <c r="AC1910" t="str">
        <f>IF(AA1910="",M1910,AA1910)</f>
        <v>sim</v>
      </c>
      <c r="AD1910" t="str">
        <f>IF(AB1910="",X1910,AB1910)</f>
        <v>sim</v>
      </c>
      <c r="AE1910" t="str">
        <f>IF(OR(Configuracao!B9="",Configuracao!B10=""),"aguardando limiar",IF(AND(K1910&gt;=Configuracao!B9,K1910/MAX(Reconciliacao!C2,1)&gt;=Configuracao!B10/100),"sim","não"))</f>
        <v>aguardando limiar</v>
      </c>
    </row>
    <row r="1911" spans="1:31" x14ac:dyDescent="0.25">
      <c r="A1911">
        <v>12702</v>
      </c>
      <c r="C1911" t="s">
        <v>1443</v>
      </c>
      <c r="D1911" t="s">
        <v>1444</v>
      </c>
      <c r="E1911" t="s">
        <v>465</v>
      </c>
      <c r="F1911" t="s">
        <v>158</v>
      </c>
      <c r="G1911" t="s">
        <v>157</v>
      </c>
      <c r="H1911" t="s">
        <v>156</v>
      </c>
      <c r="I1911" t="s">
        <v>420</v>
      </c>
      <c r="J1911" t="s">
        <v>420</v>
      </c>
      <c r="K1911" s="4">
        <v>1044.05</v>
      </c>
      <c r="L1911" s="4">
        <v>1044.05</v>
      </c>
      <c r="M1911" t="s">
        <v>44</v>
      </c>
      <c r="N1911" t="s">
        <v>77</v>
      </c>
      <c r="O1911" t="s">
        <v>99</v>
      </c>
      <c r="P1911" t="s">
        <v>99</v>
      </c>
      <c r="Q1911" t="s">
        <v>159</v>
      </c>
      <c r="R1911" t="s">
        <v>160</v>
      </c>
      <c r="S1911" t="s">
        <v>161</v>
      </c>
      <c r="T1911" t="s">
        <v>162</v>
      </c>
      <c r="U1911" t="s">
        <v>163</v>
      </c>
      <c r="V1911" t="s">
        <v>164</v>
      </c>
      <c r="W1911" t="s">
        <v>116</v>
      </c>
      <c r="X1911" t="s">
        <v>44</v>
      </c>
      <c r="Y1911" t="s">
        <v>99</v>
      </c>
      <c r="Z1911" t="s">
        <v>421</v>
      </c>
      <c r="AC1911" t="str">
        <f>IF(AA1911="",M1911,AA1911)</f>
        <v>sim</v>
      </c>
      <c r="AD1911" t="str">
        <f>IF(AB1911="",X1911,AB1911)</f>
        <v>sim</v>
      </c>
      <c r="AE1911" t="str">
        <f>IF(OR(Configuracao!B9="",Configuracao!B10=""),"aguardando limiar",IF(AND(K1911&gt;=Configuracao!B9,K1911/MAX(Reconciliacao!C2,1)&gt;=Configuracao!B10/100),"sim","não"))</f>
        <v>aguardando limiar</v>
      </c>
    </row>
    <row r="1912" spans="1:31" x14ac:dyDescent="0.25">
      <c r="A1912">
        <v>16193</v>
      </c>
      <c r="C1912" t="s">
        <v>1460</v>
      </c>
      <c r="D1912" t="s">
        <v>1461</v>
      </c>
      <c r="E1912" t="s">
        <v>486</v>
      </c>
      <c r="F1912" t="s">
        <v>158</v>
      </c>
      <c r="G1912" t="s">
        <v>157</v>
      </c>
      <c r="H1912" t="s">
        <v>156</v>
      </c>
      <c r="I1912" t="s">
        <v>454</v>
      </c>
      <c r="J1912" t="s">
        <v>461</v>
      </c>
      <c r="K1912" s="4">
        <v>1125</v>
      </c>
      <c r="L1912" s="4">
        <v>1125</v>
      </c>
      <c r="M1912" t="s">
        <v>44</v>
      </c>
      <c r="N1912" t="s">
        <v>77</v>
      </c>
      <c r="O1912" t="s">
        <v>99</v>
      </c>
      <c r="P1912" t="s">
        <v>99</v>
      </c>
      <c r="Q1912" t="s">
        <v>159</v>
      </c>
      <c r="R1912" t="s">
        <v>160</v>
      </c>
      <c r="S1912" t="s">
        <v>161</v>
      </c>
      <c r="T1912" t="s">
        <v>162</v>
      </c>
      <c r="U1912" t="s">
        <v>163</v>
      </c>
      <c r="V1912" t="s">
        <v>164</v>
      </c>
      <c r="W1912" t="s">
        <v>116</v>
      </c>
      <c r="X1912" t="s">
        <v>44</v>
      </c>
      <c r="Y1912" t="s">
        <v>99</v>
      </c>
      <c r="Z1912" t="s">
        <v>421</v>
      </c>
      <c r="AC1912" t="str">
        <f>IF(AA1912="",M1912,AA1912)</f>
        <v>sim</v>
      </c>
      <c r="AD1912" t="str">
        <f>IF(AB1912="",X1912,AB1912)</f>
        <v>sim</v>
      </c>
      <c r="AE1912" t="str">
        <f>IF(OR(Configuracao!B9="",Configuracao!B10=""),"aguardando limiar",IF(AND(K1912&gt;=Configuracao!B9,K1912/MAX(Reconciliacao!C2,1)&gt;=Configuracao!B10/100),"sim","não"))</f>
        <v>aguardando limiar</v>
      </c>
    </row>
    <row r="1913" spans="1:31" x14ac:dyDescent="0.25">
      <c r="A1913">
        <v>12942</v>
      </c>
      <c r="C1913" t="s">
        <v>1381</v>
      </c>
      <c r="D1913" t="s">
        <v>1382</v>
      </c>
      <c r="E1913" t="s">
        <v>467</v>
      </c>
      <c r="F1913" t="s">
        <v>158</v>
      </c>
      <c r="G1913" t="s">
        <v>157</v>
      </c>
      <c r="H1913" t="s">
        <v>156</v>
      </c>
      <c r="I1913" t="s">
        <v>424</v>
      </c>
      <c r="J1913" t="s">
        <v>424</v>
      </c>
      <c r="K1913" s="4">
        <v>1400</v>
      </c>
      <c r="L1913" s="4">
        <v>1400</v>
      </c>
      <c r="M1913" t="s">
        <v>44</v>
      </c>
      <c r="N1913" t="s">
        <v>77</v>
      </c>
      <c r="O1913" t="s">
        <v>99</v>
      </c>
      <c r="P1913" t="s">
        <v>99</v>
      </c>
      <c r="Q1913" t="s">
        <v>159</v>
      </c>
      <c r="R1913" t="s">
        <v>160</v>
      </c>
      <c r="S1913" t="s">
        <v>161</v>
      </c>
      <c r="T1913" t="s">
        <v>162</v>
      </c>
      <c r="U1913" t="s">
        <v>163</v>
      </c>
      <c r="V1913" t="s">
        <v>164</v>
      </c>
      <c r="W1913" t="s">
        <v>116</v>
      </c>
      <c r="X1913" t="s">
        <v>44</v>
      </c>
      <c r="Y1913" t="s">
        <v>99</v>
      </c>
      <c r="Z1913" t="s">
        <v>421</v>
      </c>
      <c r="AC1913" t="str">
        <f>IF(AA1913="",M1913,AA1913)</f>
        <v>sim</v>
      </c>
      <c r="AD1913" t="str">
        <f>IF(AB1913="",X1913,AB1913)</f>
        <v>sim</v>
      </c>
      <c r="AE1913" t="str">
        <f>IF(OR(Configuracao!B9="",Configuracao!B10=""),"aguardando limiar",IF(AND(K1913&gt;=Configuracao!B9,K1913/MAX(Reconciliacao!C2,1)&gt;=Configuracao!B10/100),"sim","não"))</f>
        <v>aguardando limiar</v>
      </c>
    </row>
    <row r="1914" spans="1:31" x14ac:dyDescent="0.25">
      <c r="A1914">
        <v>12955</v>
      </c>
      <c r="C1914" t="s">
        <v>1396</v>
      </c>
      <c r="D1914" t="s">
        <v>1397</v>
      </c>
      <c r="E1914" t="s">
        <v>477</v>
      </c>
      <c r="F1914" t="s">
        <v>158</v>
      </c>
      <c r="G1914" t="s">
        <v>157</v>
      </c>
      <c r="H1914" t="s">
        <v>156</v>
      </c>
      <c r="I1914" t="s">
        <v>424</v>
      </c>
      <c r="J1914" t="s">
        <v>424</v>
      </c>
      <c r="K1914" s="4">
        <v>1400</v>
      </c>
      <c r="L1914" s="4">
        <v>1400</v>
      </c>
      <c r="M1914" t="s">
        <v>44</v>
      </c>
      <c r="N1914" t="s">
        <v>77</v>
      </c>
      <c r="O1914" t="s">
        <v>99</v>
      </c>
      <c r="P1914" t="s">
        <v>99</v>
      </c>
      <c r="Q1914" t="s">
        <v>159</v>
      </c>
      <c r="R1914" t="s">
        <v>160</v>
      </c>
      <c r="S1914" t="s">
        <v>161</v>
      </c>
      <c r="T1914" t="s">
        <v>162</v>
      </c>
      <c r="U1914" t="s">
        <v>163</v>
      </c>
      <c r="V1914" t="s">
        <v>164</v>
      </c>
      <c r="W1914" t="s">
        <v>116</v>
      </c>
      <c r="X1914" t="s">
        <v>44</v>
      </c>
      <c r="Y1914" t="s">
        <v>99</v>
      </c>
      <c r="Z1914" t="s">
        <v>421</v>
      </c>
      <c r="AC1914" t="str">
        <f>IF(AA1914="",M1914,AA1914)</f>
        <v>sim</v>
      </c>
      <c r="AD1914" t="str">
        <f>IF(AB1914="",X1914,AB1914)</f>
        <v>sim</v>
      </c>
      <c r="AE1914" t="str">
        <f>IF(OR(Configuracao!B9="",Configuracao!B10=""),"aguardando limiar",IF(AND(K1914&gt;=Configuracao!B9,K1914/MAX(Reconciliacao!C2,1)&gt;=Configuracao!B10/100),"sim","não"))</f>
        <v>aguardando limiar</v>
      </c>
    </row>
    <row r="1915" spans="1:31" x14ac:dyDescent="0.25">
      <c r="A1915">
        <v>12958</v>
      </c>
      <c r="C1915" t="s">
        <v>1401</v>
      </c>
      <c r="D1915" t="s">
        <v>1402</v>
      </c>
      <c r="E1915" t="s">
        <v>467</v>
      </c>
      <c r="F1915" t="s">
        <v>158</v>
      </c>
      <c r="G1915" t="s">
        <v>157</v>
      </c>
      <c r="H1915" t="s">
        <v>156</v>
      </c>
      <c r="I1915" t="s">
        <v>424</v>
      </c>
      <c r="J1915" t="s">
        <v>424</v>
      </c>
      <c r="K1915" s="4">
        <v>1400</v>
      </c>
      <c r="L1915" s="4">
        <v>1400</v>
      </c>
      <c r="M1915" t="s">
        <v>44</v>
      </c>
      <c r="N1915" t="s">
        <v>77</v>
      </c>
      <c r="O1915" t="s">
        <v>99</v>
      </c>
      <c r="P1915" t="s">
        <v>99</v>
      </c>
      <c r="Q1915" t="s">
        <v>159</v>
      </c>
      <c r="R1915" t="s">
        <v>160</v>
      </c>
      <c r="S1915" t="s">
        <v>161</v>
      </c>
      <c r="T1915" t="s">
        <v>162</v>
      </c>
      <c r="U1915" t="s">
        <v>163</v>
      </c>
      <c r="V1915" t="s">
        <v>164</v>
      </c>
      <c r="W1915" t="s">
        <v>116</v>
      </c>
      <c r="X1915" t="s">
        <v>44</v>
      </c>
      <c r="Y1915" t="s">
        <v>99</v>
      </c>
      <c r="Z1915" t="s">
        <v>421</v>
      </c>
      <c r="AC1915" t="str">
        <f>IF(AA1915="",M1915,AA1915)</f>
        <v>sim</v>
      </c>
      <c r="AD1915" t="str">
        <f>IF(AB1915="",X1915,AB1915)</f>
        <v>sim</v>
      </c>
      <c r="AE1915" t="str">
        <f>IF(OR(Configuracao!B9="",Configuracao!B10=""),"aguardando limiar",IF(AND(K1915&gt;=Configuracao!B9,K1915/MAX(Reconciliacao!C2,1)&gt;=Configuracao!B10/100),"sim","não"))</f>
        <v>aguardando limiar</v>
      </c>
    </row>
    <row r="1916" spans="1:31" x14ac:dyDescent="0.25">
      <c r="A1916">
        <v>12972</v>
      </c>
      <c r="C1916" t="s">
        <v>1418</v>
      </c>
      <c r="D1916" t="s">
        <v>1419</v>
      </c>
      <c r="E1916" t="s">
        <v>477</v>
      </c>
      <c r="F1916" t="s">
        <v>158</v>
      </c>
      <c r="G1916" t="s">
        <v>157</v>
      </c>
      <c r="H1916" t="s">
        <v>156</v>
      </c>
      <c r="I1916" t="s">
        <v>424</v>
      </c>
      <c r="J1916" t="s">
        <v>424</v>
      </c>
      <c r="K1916" s="4">
        <v>1400</v>
      </c>
      <c r="L1916" s="4">
        <v>1400</v>
      </c>
      <c r="M1916" t="s">
        <v>44</v>
      </c>
      <c r="N1916" t="s">
        <v>77</v>
      </c>
      <c r="O1916" t="s">
        <v>99</v>
      </c>
      <c r="P1916" t="s">
        <v>99</v>
      </c>
      <c r="Q1916" t="s">
        <v>159</v>
      </c>
      <c r="R1916" t="s">
        <v>160</v>
      </c>
      <c r="S1916" t="s">
        <v>161</v>
      </c>
      <c r="T1916" t="s">
        <v>162</v>
      </c>
      <c r="U1916" t="s">
        <v>163</v>
      </c>
      <c r="V1916" t="s">
        <v>164</v>
      </c>
      <c r="W1916" t="s">
        <v>116</v>
      </c>
      <c r="X1916" t="s">
        <v>44</v>
      </c>
      <c r="Y1916" t="s">
        <v>99</v>
      </c>
      <c r="Z1916" t="s">
        <v>421</v>
      </c>
      <c r="AC1916" t="str">
        <f>IF(AA1916="",M1916,AA1916)</f>
        <v>sim</v>
      </c>
      <c r="AD1916" t="str">
        <f>IF(AB1916="",X1916,AB1916)</f>
        <v>sim</v>
      </c>
      <c r="AE1916" t="str">
        <f>IF(OR(Configuracao!B9="",Configuracao!B10=""),"aguardando limiar",IF(AND(K1916&gt;=Configuracao!B9,K1916/MAX(Reconciliacao!C2,1)&gt;=Configuracao!B10/100),"sim","não"))</f>
        <v>aguardando limiar</v>
      </c>
    </row>
    <row r="1917" spans="1:31" x14ac:dyDescent="0.25">
      <c r="A1917">
        <v>12975</v>
      </c>
      <c r="C1917" t="s">
        <v>1422</v>
      </c>
      <c r="D1917" t="s">
        <v>1423</v>
      </c>
      <c r="E1917" t="s">
        <v>465</v>
      </c>
      <c r="F1917" t="s">
        <v>158</v>
      </c>
      <c r="G1917" t="s">
        <v>157</v>
      </c>
      <c r="H1917" t="s">
        <v>156</v>
      </c>
      <c r="I1917" t="s">
        <v>424</v>
      </c>
      <c r="J1917" t="s">
        <v>424</v>
      </c>
      <c r="K1917" s="4">
        <v>1400</v>
      </c>
      <c r="L1917" s="4">
        <v>1400</v>
      </c>
      <c r="M1917" t="s">
        <v>44</v>
      </c>
      <c r="N1917" t="s">
        <v>77</v>
      </c>
      <c r="O1917" t="s">
        <v>99</v>
      </c>
      <c r="P1917" t="s">
        <v>99</v>
      </c>
      <c r="Q1917" t="s">
        <v>159</v>
      </c>
      <c r="R1917" t="s">
        <v>160</v>
      </c>
      <c r="S1917" t="s">
        <v>161</v>
      </c>
      <c r="T1917" t="s">
        <v>162</v>
      </c>
      <c r="U1917" t="s">
        <v>163</v>
      </c>
      <c r="V1917" t="s">
        <v>164</v>
      </c>
      <c r="W1917" t="s">
        <v>116</v>
      </c>
      <c r="X1917" t="s">
        <v>44</v>
      </c>
      <c r="Y1917" t="s">
        <v>99</v>
      </c>
      <c r="Z1917" t="s">
        <v>421</v>
      </c>
      <c r="AC1917" t="str">
        <f>IF(AA1917="",M1917,AA1917)</f>
        <v>sim</v>
      </c>
      <c r="AD1917" t="str">
        <f>IF(AB1917="",X1917,AB1917)</f>
        <v>sim</v>
      </c>
      <c r="AE1917" t="str">
        <f>IF(OR(Configuracao!B9="",Configuracao!B10=""),"aguardando limiar",IF(AND(K1917&gt;=Configuracao!B9,K1917/MAX(Reconciliacao!C2,1)&gt;=Configuracao!B10/100),"sim","não"))</f>
        <v>aguardando limiar</v>
      </c>
    </row>
    <row r="1918" spans="1:31" x14ac:dyDescent="0.25">
      <c r="A1918">
        <v>12977</v>
      </c>
      <c r="C1918" t="s">
        <v>1425</v>
      </c>
      <c r="D1918" t="s">
        <v>1426</v>
      </c>
      <c r="E1918" t="s">
        <v>465</v>
      </c>
      <c r="F1918" t="s">
        <v>158</v>
      </c>
      <c r="G1918" t="s">
        <v>157</v>
      </c>
      <c r="H1918" t="s">
        <v>156</v>
      </c>
      <c r="I1918" t="s">
        <v>424</v>
      </c>
      <c r="J1918" t="s">
        <v>424</v>
      </c>
      <c r="K1918" s="4">
        <v>1400</v>
      </c>
      <c r="L1918" s="4">
        <v>1400</v>
      </c>
      <c r="M1918" t="s">
        <v>44</v>
      </c>
      <c r="N1918" t="s">
        <v>77</v>
      </c>
      <c r="O1918" t="s">
        <v>99</v>
      </c>
      <c r="P1918" t="s">
        <v>99</v>
      </c>
      <c r="Q1918" t="s">
        <v>159</v>
      </c>
      <c r="R1918" t="s">
        <v>160</v>
      </c>
      <c r="S1918" t="s">
        <v>161</v>
      </c>
      <c r="T1918" t="s">
        <v>162</v>
      </c>
      <c r="U1918" t="s">
        <v>163</v>
      </c>
      <c r="V1918" t="s">
        <v>164</v>
      </c>
      <c r="W1918" t="s">
        <v>116</v>
      </c>
      <c r="X1918" t="s">
        <v>44</v>
      </c>
      <c r="Y1918" t="s">
        <v>99</v>
      </c>
      <c r="Z1918" t="s">
        <v>421</v>
      </c>
      <c r="AC1918" t="str">
        <f>IF(AA1918="",M1918,AA1918)</f>
        <v>sim</v>
      </c>
      <c r="AD1918" t="str">
        <f>IF(AB1918="",X1918,AB1918)</f>
        <v>sim</v>
      </c>
      <c r="AE1918" t="str">
        <f>IF(OR(Configuracao!B9="",Configuracao!B10=""),"aguardando limiar",IF(AND(K1918&gt;=Configuracao!B9,K1918/MAX(Reconciliacao!C2,1)&gt;=Configuracao!B10/100),"sim","não"))</f>
        <v>aguardando limiar</v>
      </c>
    </row>
    <row r="1919" spans="1:31" x14ac:dyDescent="0.25">
      <c r="A1919">
        <v>12980</v>
      </c>
      <c r="C1919" t="s">
        <v>1430</v>
      </c>
      <c r="D1919" t="s">
        <v>1104</v>
      </c>
      <c r="E1919" t="s">
        <v>465</v>
      </c>
      <c r="F1919" t="s">
        <v>158</v>
      </c>
      <c r="G1919" t="s">
        <v>157</v>
      </c>
      <c r="H1919" t="s">
        <v>156</v>
      </c>
      <c r="I1919" t="s">
        <v>424</v>
      </c>
      <c r="J1919" t="s">
        <v>424</v>
      </c>
      <c r="K1919" s="4">
        <v>1400</v>
      </c>
      <c r="L1919" s="4">
        <v>1400</v>
      </c>
      <c r="M1919" t="s">
        <v>44</v>
      </c>
      <c r="N1919" t="s">
        <v>77</v>
      </c>
      <c r="O1919" t="s">
        <v>99</v>
      </c>
      <c r="P1919" t="s">
        <v>99</v>
      </c>
      <c r="Q1919" t="s">
        <v>159</v>
      </c>
      <c r="R1919" t="s">
        <v>160</v>
      </c>
      <c r="S1919" t="s">
        <v>161</v>
      </c>
      <c r="T1919" t="s">
        <v>162</v>
      </c>
      <c r="U1919" t="s">
        <v>163</v>
      </c>
      <c r="V1919" t="s">
        <v>164</v>
      </c>
      <c r="W1919" t="s">
        <v>116</v>
      </c>
      <c r="X1919" t="s">
        <v>44</v>
      </c>
      <c r="Y1919" t="s">
        <v>99</v>
      </c>
      <c r="Z1919" t="s">
        <v>421</v>
      </c>
      <c r="AC1919" t="str">
        <f>IF(AA1919="",M1919,AA1919)</f>
        <v>sim</v>
      </c>
      <c r="AD1919" t="str">
        <f>IF(AB1919="",X1919,AB1919)</f>
        <v>sim</v>
      </c>
      <c r="AE1919" t="str">
        <f>IF(OR(Configuracao!B9="",Configuracao!B10=""),"aguardando limiar",IF(AND(K1919&gt;=Configuracao!B9,K1919/MAX(Reconciliacao!C2,1)&gt;=Configuracao!B10/100),"sim","não"))</f>
        <v>aguardando limiar</v>
      </c>
    </row>
    <row r="1920" spans="1:31" x14ac:dyDescent="0.25">
      <c r="A1920">
        <v>12985</v>
      </c>
      <c r="C1920" t="s">
        <v>1439</v>
      </c>
      <c r="D1920" t="s">
        <v>1440</v>
      </c>
      <c r="E1920" t="s">
        <v>224</v>
      </c>
      <c r="F1920" t="s">
        <v>158</v>
      </c>
      <c r="G1920" t="s">
        <v>157</v>
      </c>
      <c r="H1920" t="s">
        <v>156</v>
      </c>
      <c r="I1920" t="s">
        <v>424</v>
      </c>
      <c r="J1920" t="s">
        <v>424</v>
      </c>
      <c r="K1920" s="4">
        <v>1400</v>
      </c>
      <c r="L1920" s="4">
        <v>1400</v>
      </c>
      <c r="M1920" t="s">
        <v>44</v>
      </c>
      <c r="N1920" t="s">
        <v>77</v>
      </c>
      <c r="O1920" t="s">
        <v>99</v>
      </c>
      <c r="P1920" t="s">
        <v>99</v>
      </c>
      <c r="Q1920" t="s">
        <v>159</v>
      </c>
      <c r="R1920" t="s">
        <v>160</v>
      </c>
      <c r="S1920" t="s">
        <v>161</v>
      </c>
      <c r="T1920" t="s">
        <v>162</v>
      </c>
      <c r="U1920" t="s">
        <v>163</v>
      </c>
      <c r="V1920" t="s">
        <v>164</v>
      </c>
      <c r="W1920" t="s">
        <v>116</v>
      </c>
      <c r="X1920" t="s">
        <v>44</v>
      </c>
      <c r="Y1920" t="s">
        <v>99</v>
      </c>
      <c r="Z1920" t="s">
        <v>421</v>
      </c>
      <c r="AC1920" t="str">
        <f>IF(AA1920="",M1920,AA1920)</f>
        <v>sim</v>
      </c>
      <c r="AD1920" t="str">
        <f>IF(AB1920="",X1920,AB1920)</f>
        <v>sim</v>
      </c>
      <c r="AE1920" t="str">
        <f>IF(OR(Configuracao!B9="",Configuracao!B10=""),"aguardando limiar",IF(AND(K1920&gt;=Configuracao!B9,K1920/MAX(Reconciliacao!C2,1)&gt;=Configuracao!B10/100),"sim","não"))</f>
        <v>aguardando limiar</v>
      </c>
    </row>
    <row r="1921" spans="1:31" x14ac:dyDescent="0.25">
      <c r="A1921">
        <v>14210</v>
      </c>
      <c r="C1921" t="s">
        <v>1454</v>
      </c>
      <c r="D1921" t="s">
        <v>432</v>
      </c>
      <c r="E1921" t="s">
        <v>467</v>
      </c>
      <c r="F1921" t="s">
        <v>158</v>
      </c>
      <c r="G1921" t="s">
        <v>157</v>
      </c>
      <c r="H1921" t="s">
        <v>156</v>
      </c>
      <c r="I1921" t="s">
        <v>420</v>
      </c>
      <c r="J1921" t="s">
        <v>454</v>
      </c>
      <c r="K1921" s="4">
        <v>1400</v>
      </c>
      <c r="L1921" s="4">
        <v>1400</v>
      </c>
      <c r="M1921" t="s">
        <v>44</v>
      </c>
      <c r="N1921" t="s">
        <v>77</v>
      </c>
      <c r="O1921" t="s">
        <v>99</v>
      </c>
      <c r="P1921" t="s">
        <v>99</v>
      </c>
      <c r="Q1921" t="s">
        <v>159</v>
      </c>
      <c r="R1921" t="s">
        <v>160</v>
      </c>
      <c r="S1921" t="s">
        <v>161</v>
      </c>
      <c r="T1921" t="s">
        <v>162</v>
      </c>
      <c r="U1921" t="s">
        <v>163</v>
      </c>
      <c r="V1921" t="s">
        <v>164</v>
      </c>
      <c r="W1921" t="s">
        <v>116</v>
      </c>
      <c r="X1921" t="s">
        <v>44</v>
      </c>
      <c r="Y1921" t="s">
        <v>99</v>
      </c>
      <c r="Z1921" t="s">
        <v>421</v>
      </c>
      <c r="AC1921" t="str">
        <f>IF(AA1921="",M1921,AA1921)</f>
        <v>sim</v>
      </c>
      <c r="AD1921" t="str">
        <f>IF(AB1921="",X1921,AB1921)</f>
        <v>sim</v>
      </c>
      <c r="AE1921" t="str">
        <f>IF(OR(Configuracao!B9="",Configuracao!B10=""),"aguardando limiar",IF(AND(K1921&gt;=Configuracao!B9,K1921/MAX(Reconciliacao!C2,1)&gt;=Configuracao!B10/100),"sim","não"))</f>
        <v>aguardando limiar</v>
      </c>
    </row>
    <row r="1922" spans="1:31" x14ac:dyDescent="0.25">
      <c r="A1922">
        <v>14222</v>
      </c>
      <c r="C1922" t="s">
        <v>1422</v>
      </c>
      <c r="D1922" t="s">
        <v>1423</v>
      </c>
      <c r="E1922" t="s">
        <v>465</v>
      </c>
      <c r="F1922" t="s">
        <v>158</v>
      </c>
      <c r="G1922" t="s">
        <v>157</v>
      </c>
      <c r="H1922" t="s">
        <v>156</v>
      </c>
      <c r="I1922" t="s">
        <v>420</v>
      </c>
      <c r="J1922" t="s">
        <v>454</v>
      </c>
      <c r="K1922" s="4">
        <v>1400</v>
      </c>
      <c r="L1922" s="4">
        <v>1400</v>
      </c>
      <c r="M1922" t="s">
        <v>44</v>
      </c>
      <c r="N1922" t="s">
        <v>77</v>
      </c>
      <c r="O1922" t="s">
        <v>99</v>
      </c>
      <c r="P1922" t="s">
        <v>99</v>
      </c>
      <c r="Q1922" t="s">
        <v>159</v>
      </c>
      <c r="R1922" t="s">
        <v>160</v>
      </c>
      <c r="S1922" t="s">
        <v>161</v>
      </c>
      <c r="T1922" t="s">
        <v>162</v>
      </c>
      <c r="U1922" t="s">
        <v>163</v>
      </c>
      <c r="V1922" t="s">
        <v>164</v>
      </c>
      <c r="W1922" t="s">
        <v>116</v>
      </c>
      <c r="X1922" t="s">
        <v>44</v>
      </c>
      <c r="Y1922" t="s">
        <v>99</v>
      </c>
      <c r="Z1922" t="s">
        <v>421</v>
      </c>
      <c r="AC1922" t="str">
        <f>IF(AA1922="",M1922,AA1922)</f>
        <v>sim</v>
      </c>
      <c r="AD1922" t="str">
        <f>IF(AB1922="",X1922,AB1922)</f>
        <v>sim</v>
      </c>
      <c r="AE1922" t="str">
        <f>IF(OR(Configuracao!B9="",Configuracao!B10=""),"aguardando limiar",IF(AND(K1922&gt;=Configuracao!B9,K1922/MAX(Reconciliacao!C2,1)&gt;=Configuracao!B10/100),"sim","não"))</f>
        <v>aguardando limiar</v>
      </c>
    </row>
    <row r="1923" spans="1:31" x14ac:dyDescent="0.25">
      <c r="A1923">
        <v>14224</v>
      </c>
      <c r="C1923" t="s">
        <v>1425</v>
      </c>
      <c r="D1923" t="s">
        <v>1426</v>
      </c>
      <c r="E1923" t="s">
        <v>465</v>
      </c>
      <c r="F1923" t="s">
        <v>158</v>
      </c>
      <c r="G1923" t="s">
        <v>157</v>
      </c>
      <c r="H1923" t="s">
        <v>156</v>
      </c>
      <c r="I1923" t="s">
        <v>420</v>
      </c>
      <c r="J1923" t="s">
        <v>454</v>
      </c>
      <c r="K1923" s="4">
        <v>1400</v>
      </c>
      <c r="L1923" s="4">
        <v>1400</v>
      </c>
      <c r="M1923" t="s">
        <v>44</v>
      </c>
      <c r="N1923" t="s">
        <v>77</v>
      </c>
      <c r="O1923" t="s">
        <v>99</v>
      </c>
      <c r="P1923" t="s">
        <v>99</v>
      </c>
      <c r="Q1923" t="s">
        <v>159</v>
      </c>
      <c r="R1923" t="s">
        <v>160</v>
      </c>
      <c r="S1923" t="s">
        <v>161</v>
      </c>
      <c r="T1923" t="s">
        <v>162</v>
      </c>
      <c r="U1923" t="s">
        <v>163</v>
      </c>
      <c r="V1923" t="s">
        <v>164</v>
      </c>
      <c r="W1923" t="s">
        <v>116</v>
      </c>
      <c r="X1923" t="s">
        <v>44</v>
      </c>
      <c r="Y1923" t="s">
        <v>99</v>
      </c>
      <c r="Z1923" t="s">
        <v>421</v>
      </c>
      <c r="AC1923" t="str">
        <f>IF(AA1923="",M1923,AA1923)</f>
        <v>sim</v>
      </c>
      <c r="AD1923" t="str">
        <f>IF(AB1923="",X1923,AB1923)</f>
        <v>sim</v>
      </c>
      <c r="AE1923" t="str">
        <f>IF(OR(Configuracao!B9="",Configuracao!B10=""),"aguardando limiar",IF(AND(K1923&gt;=Configuracao!B9,K1923/MAX(Reconciliacao!C2,1)&gt;=Configuracao!B10/100),"sim","não"))</f>
        <v>aguardando limiar</v>
      </c>
    </row>
    <row r="1924" spans="1:31" x14ac:dyDescent="0.25">
      <c r="A1924">
        <v>14227</v>
      </c>
      <c r="C1924" t="s">
        <v>1430</v>
      </c>
      <c r="D1924" t="s">
        <v>1104</v>
      </c>
      <c r="E1924" t="s">
        <v>465</v>
      </c>
      <c r="F1924" t="s">
        <v>158</v>
      </c>
      <c r="G1924" t="s">
        <v>157</v>
      </c>
      <c r="H1924" t="s">
        <v>156</v>
      </c>
      <c r="I1924" t="s">
        <v>420</v>
      </c>
      <c r="J1924" t="s">
        <v>454</v>
      </c>
      <c r="K1924" s="4">
        <v>1400</v>
      </c>
      <c r="L1924" s="4">
        <v>1400</v>
      </c>
      <c r="M1924" t="s">
        <v>44</v>
      </c>
      <c r="N1924" t="s">
        <v>77</v>
      </c>
      <c r="O1924" t="s">
        <v>99</v>
      </c>
      <c r="P1924" t="s">
        <v>99</v>
      </c>
      <c r="Q1924" t="s">
        <v>159</v>
      </c>
      <c r="R1924" t="s">
        <v>160</v>
      </c>
      <c r="S1924" t="s">
        <v>161</v>
      </c>
      <c r="T1924" t="s">
        <v>162</v>
      </c>
      <c r="U1924" t="s">
        <v>163</v>
      </c>
      <c r="V1924" t="s">
        <v>164</v>
      </c>
      <c r="W1924" t="s">
        <v>116</v>
      </c>
      <c r="X1924" t="s">
        <v>44</v>
      </c>
      <c r="Y1924" t="s">
        <v>99</v>
      </c>
      <c r="Z1924" t="s">
        <v>421</v>
      </c>
      <c r="AC1924" t="str">
        <f>IF(AA1924="",M1924,AA1924)</f>
        <v>sim</v>
      </c>
      <c r="AD1924" t="str">
        <f>IF(AB1924="",X1924,AB1924)</f>
        <v>sim</v>
      </c>
      <c r="AE1924" t="str">
        <f>IF(OR(Configuracao!B9="",Configuracao!B10=""),"aguardando limiar",IF(AND(K1924&gt;=Configuracao!B9,K1924/MAX(Reconciliacao!C2,1)&gt;=Configuracao!B10/100),"sim","não"))</f>
        <v>aguardando limiar</v>
      </c>
    </row>
    <row r="1925" spans="1:31" x14ac:dyDescent="0.25">
      <c r="A1925">
        <v>14231</v>
      </c>
      <c r="C1925" t="s">
        <v>1458</v>
      </c>
      <c r="D1925" t="s">
        <v>1457</v>
      </c>
      <c r="E1925" t="s">
        <v>477</v>
      </c>
      <c r="F1925" t="s">
        <v>158</v>
      </c>
      <c r="G1925" t="s">
        <v>157</v>
      </c>
      <c r="H1925" t="s">
        <v>156</v>
      </c>
      <c r="I1925" t="s">
        <v>420</v>
      </c>
      <c r="J1925" t="s">
        <v>454</v>
      </c>
      <c r="K1925" s="4">
        <v>1400</v>
      </c>
      <c r="L1925" s="4">
        <v>1400</v>
      </c>
      <c r="M1925" t="s">
        <v>44</v>
      </c>
      <c r="N1925" t="s">
        <v>77</v>
      </c>
      <c r="O1925" t="s">
        <v>99</v>
      </c>
      <c r="P1925" t="s">
        <v>99</v>
      </c>
      <c r="Q1925" t="s">
        <v>159</v>
      </c>
      <c r="R1925" t="s">
        <v>160</v>
      </c>
      <c r="S1925" t="s">
        <v>161</v>
      </c>
      <c r="T1925" t="s">
        <v>162</v>
      </c>
      <c r="U1925" t="s">
        <v>163</v>
      </c>
      <c r="V1925" t="s">
        <v>164</v>
      </c>
      <c r="W1925" t="s">
        <v>116</v>
      </c>
      <c r="X1925" t="s">
        <v>44</v>
      </c>
      <c r="Y1925" t="s">
        <v>99</v>
      </c>
      <c r="Z1925" t="s">
        <v>421</v>
      </c>
      <c r="AC1925" t="str">
        <f>IF(AA1925="",M1925,AA1925)</f>
        <v>sim</v>
      </c>
      <c r="AD1925" t="str">
        <f>IF(AB1925="",X1925,AB1925)</f>
        <v>sim</v>
      </c>
      <c r="AE1925" t="str">
        <f>IF(OR(Configuracao!B9="",Configuracao!B10=""),"aguardando limiar",IF(AND(K1925&gt;=Configuracao!B9,K1925/MAX(Reconciliacao!C2,1)&gt;=Configuracao!B10/100),"sim","não"))</f>
        <v>aguardando limiar</v>
      </c>
    </row>
    <row r="1926" spans="1:31" x14ac:dyDescent="0.25">
      <c r="A1926">
        <v>15963</v>
      </c>
      <c r="D1926" t="s">
        <v>1382</v>
      </c>
      <c r="E1926" t="s">
        <v>467</v>
      </c>
      <c r="F1926" t="s">
        <v>158</v>
      </c>
      <c r="G1926" t="s">
        <v>157</v>
      </c>
      <c r="H1926" t="s">
        <v>156</v>
      </c>
      <c r="I1926" t="s">
        <v>420</v>
      </c>
      <c r="J1926" t="s">
        <v>420</v>
      </c>
      <c r="K1926" s="4">
        <v>1400</v>
      </c>
      <c r="L1926" s="4">
        <v>1400</v>
      </c>
      <c r="M1926" t="s">
        <v>44</v>
      </c>
      <c r="N1926" t="s">
        <v>77</v>
      </c>
      <c r="O1926" t="s">
        <v>99</v>
      </c>
      <c r="P1926" t="s">
        <v>99</v>
      </c>
      <c r="Q1926" t="s">
        <v>159</v>
      </c>
      <c r="R1926" t="s">
        <v>160</v>
      </c>
      <c r="S1926" t="s">
        <v>161</v>
      </c>
      <c r="T1926" t="s">
        <v>162</v>
      </c>
      <c r="U1926" t="s">
        <v>163</v>
      </c>
      <c r="V1926" t="s">
        <v>164</v>
      </c>
      <c r="W1926" t="s">
        <v>116</v>
      </c>
      <c r="X1926" t="s">
        <v>44</v>
      </c>
      <c r="Y1926" t="s">
        <v>99</v>
      </c>
      <c r="Z1926" t="s">
        <v>421</v>
      </c>
      <c r="AC1926" t="str">
        <f>IF(AA1926="",M1926,AA1926)</f>
        <v>sim</v>
      </c>
      <c r="AD1926" t="str">
        <f>IF(AB1926="",X1926,AB1926)</f>
        <v>sim</v>
      </c>
      <c r="AE1926" t="str">
        <f>IF(OR(Configuracao!B9="",Configuracao!B10=""),"aguardando limiar",IF(AND(K1926&gt;=Configuracao!B9,K1926/MAX(Reconciliacao!C2,1)&gt;=Configuracao!B10/100),"sim","não"))</f>
        <v>aguardando limiar</v>
      </c>
    </row>
    <row r="1927" spans="1:31" x14ac:dyDescent="0.25">
      <c r="A1927">
        <v>15968</v>
      </c>
      <c r="D1927" t="s">
        <v>1402</v>
      </c>
      <c r="E1927" t="s">
        <v>467</v>
      </c>
      <c r="F1927" t="s">
        <v>158</v>
      </c>
      <c r="G1927" t="s">
        <v>157</v>
      </c>
      <c r="H1927" t="s">
        <v>156</v>
      </c>
      <c r="I1927" t="s">
        <v>420</v>
      </c>
      <c r="J1927" t="s">
        <v>420</v>
      </c>
      <c r="K1927" s="4">
        <v>1400</v>
      </c>
      <c r="L1927" s="4">
        <v>1400</v>
      </c>
      <c r="M1927" t="s">
        <v>44</v>
      </c>
      <c r="N1927" t="s">
        <v>77</v>
      </c>
      <c r="O1927" t="s">
        <v>99</v>
      </c>
      <c r="P1927" t="s">
        <v>99</v>
      </c>
      <c r="Q1927" t="s">
        <v>159</v>
      </c>
      <c r="R1927" t="s">
        <v>160</v>
      </c>
      <c r="S1927" t="s">
        <v>161</v>
      </c>
      <c r="T1927" t="s">
        <v>162</v>
      </c>
      <c r="U1927" t="s">
        <v>163</v>
      </c>
      <c r="V1927" t="s">
        <v>164</v>
      </c>
      <c r="W1927" t="s">
        <v>116</v>
      </c>
      <c r="X1927" t="s">
        <v>44</v>
      </c>
      <c r="Y1927" t="s">
        <v>99</v>
      </c>
      <c r="Z1927" t="s">
        <v>421</v>
      </c>
      <c r="AC1927" t="str">
        <f>IF(AA1927="",M1927,AA1927)</f>
        <v>sim</v>
      </c>
      <c r="AD1927" t="str">
        <f>IF(AB1927="",X1927,AB1927)</f>
        <v>sim</v>
      </c>
      <c r="AE1927" t="str">
        <f>IF(OR(Configuracao!B9="",Configuracao!B10=""),"aguardando limiar",IF(AND(K1927&gt;=Configuracao!B9,K1927/MAX(Reconciliacao!C2,1)&gt;=Configuracao!B10/100),"sim","não"))</f>
        <v>aguardando limiar</v>
      </c>
    </row>
    <row r="1928" spans="1:31" x14ac:dyDescent="0.25">
      <c r="A1928">
        <v>15969</v>
      </c>
      <c r="D1928" t="s">
        <v>1419</v>
      </c>
      <c r="E1928" t="s">
        <v>477</v>
      </c>
      <c r="F1928" t="s">
        <v>158</v>
      </c>
      <c r="G1928" t="s">
        <v>157</v>
      </c>
      <c r="H1928" t="s">
        <v>156</v>
      </c>
      <c r="I1928" t="s">
        <v>420</v>
      </c>
      <c r="J1928" t="s">
        <v>420</v>
      </c>
      <c r="K1928" s="4">
        <v>1400</v>
      </c>
      <c r="L1928" s="4">
        <v>1400</v>
      </c>
      <c r="M1928" t="s">
        <v>44</v>
      </c>
      <c r="N1928" t="s">
        <v>77</v>
      </c>
      <c r="O1928" t="s">
        <v>99</v>
      </c>
      <c r="P1928" t="s">
        <v>99</v>
      </c>
      <c r="Q1928" t="s">
        <v>159</v>
      </c>
      <c r="R1928" t="s">
        <v>160</v>
      </c>
      <c r="S1928" t="s">
        <v>161</v>
      </c>
      <c r="T1928" t="s">
        <v>162</v>
      </c>
      <c r="U1928" t="s">
        <v>163</v>
      </c>
      <c r="V1928" t="s">
        <v>164</v>
      </c>
      <c r="W1928" t="s">
        <v>116</v>
      </c>
      <c r="X1928" t="s">
        <v>44</v>
      </c>
      <c r="Y1928" t="s">
        <v>99</v>
      </c>
      <c r="Z1928" t="s">
        <v>421</v>
      </c>
      <c r="AC1928" t="str">
        <f>IF(AA1928="",M1928,AA1928)</f>
        <v>sim</v>
      </c>
      <c r="AD1928" t="str">
        <f>IF(AB1928="",X1928,AB1928)</f>
        <v>sim</v>
      </c>
      <c r="AE1928" t="str">
        <f>IF(OR(Configuracao!B9="",Configuracao!B10=""),"aguardando limiar",IF(AND(K1928&gt;=Configuracao!B9,K1928/MAX(Reconciliacao!C2,1)&gt;=Configuracao!B10/100),"sim","não"))</f>
        <v>aguardando limiar</v>
      </c>
    </row>
    <row r="1929" spans="1:31" x14ac:dyDescent="0.25">
      <c r="A1929">
        <v>15984</v>
      </c>
      <c r="C1929" t="s">
        <v>1454</v>
      </c>
      <c r="D1929" t="s">
        <v>432</v>
      </c>
      <c r="E1929" t="s">
        <v>467</v>
      </c>
      <c r="F1929" t="s">
        <v>158</v>
      </c>
      <c r="G1929" t="s">
        <v>157</v>
      </c>
      <c r="H1929" t="s">
        <v>156</v>
      </c>
      <c r="I1929" t="s">
        <v>424</v>
      </c>
      <c r="J1929" t="s">
        <v>420</v>
      </c>
      <c r="K1929" s="4">
        <v>1400</v>
      </c>
      <c r="L1929" s="4">
        <v>1400</v>
      </c>
      <c r="M1929" t="s">
        <v>44</v>
      </c>
      <c r="N1929" t="s">
        <v>77</v>
      </c>
      <c r="O1929" t="s">
        <v>99</v>
      </c>
      <c r="P1929" t="s">
        <v>99</v>
      </c>
      <c r="Q1929" t="s">
        <v>159</v>
      </c>
      <c r="R1929" t="s">
        <v>160</v>
      </c>
      <c r="S1929" t="s">
        <v>161</v>
      </c>
      <c r="T1929" t="s">
        <v>162</v>
      </c>
      <c r="U1929" t="s">
        <v>163</v>
      </c>
      <c r="V1929" t="s">
        <v>164</v>
      </c>
      <c r="W1929" t="s">
        <v>116</v>
      </c>
      <c r="X1929" t="s">
        <v>44</v>
      </c>
      <c r="Y1929" t="s">
        <v>99</v>
      </c>
      <c r="Z1929" t="s">
        <v>421</v>
      </c>
      <c r="AC1929" t="str">
        <f>IF(AA1929="",M1929,AA1929)</f>
        <v>sim</v>
      </c>
      <c r="AD1929" t="str">
        <f>IF(AB1929="",X1929,AB1929)</f>
        <v>sim</v>
      </c>
      <c r="AE1929" t="str">
        <f>IF(OR(Configuracao!B9="",Configuracao!B10=""),"aguardando limiar",IF(AND(K1929&gt;=Configuracao!B9,K1929/MAX(Reconciliacao!C2,1)&gt;=Configuracao!B10/100),"sim","não"))</f>
        <v>aguardando limiar</v>
      </c>
    </row>
    <row r="1930" spans="1:31" x14ac:dyDescent="0.25">
      <c r="A1930">
        <v>15997</v>
      </c>
      <c r="C1930" t="s">
        <v>1422</v>
      </c>
      <c r="D1930" t="s">
        <v>1423</v>
      </c>
      <c r="E1930" t="s">
        <v>465</v>
      </c>
      <c r="F1930" t="s">
        <v>158</v>
      </c>
      <c r="G1930" t="s">
        <v>157</v>
      </c>
      <c r="H1930" t="s">
        <v>156</v>
      </c>
      <c r="I1930" t="s">
        <v>424</v>
      </c>
      <c r="J1930" t="s">
        <v>420</v>
      </c>
      <c r="K1930" s="4">
        <v>1400</v>
      </c>
      <c r="L1930" s="4">
        <v>1400</v>
      </c>
      <c r="M1930" t="s">
        <v>44</v>
      </c>
      <c r="N1930" t="s">
        <v>77</v>
      </c>
      <c r="O1930" t="s">
        <v>99</v>
      </c>
      <c r="P1930" t="s">
        <v>99</v>
      </c>
      <c r="Q1930" t="s">
        <v>159</v>
      </c>
      <c r="R1930" t="s">
        <v>160</v>
      </c>
      <c r="S1930" t="s">
        <v>161</v>
      </c>
      <c r="T1930" t="s">
        <v>162</v>
      </c>
      <c r="U1930" t="s">
        <v>163</v>
      </c>
      <c r="V1930" t="s">
        <v>164</v>
      </c>
      <c r="W1930" t="s">
        <v>116</v>
      </c>
      <c r="X1930" t="s">
        <v>44</v>
      </c>
      <c r="Y1930" t="s">
        <v>99</v>
      </c>
      <c r="Z1930" t="s">
        <v>421</v>
      </c>
      <c r="AC1930" t="str">
        <f>IF(AA1930="",M1930,AA1930)</f>
        <v>sim</v>
      </c>
      <c r="AD1930" t="str">
        <f>IF(AB1930="",X1930,AB1930)</f>
        <v>sim</v>
      </c>
      <c r="AE1930" t="str">
        <f>IF(OR(Configuracao!B9="",Configuracao!B10=""),"aguardando limiar",IF(AND(K1930&gt;=Configuracao!B9,K1930/MAX(Reconciliacao!C2,1)&gt;=Configuracao!B10/100),"sim","não"))</f>
        <v>aguardando limiar</v>
      </c>
    </row>
    <row r="1931" spans="1:31" x14ac:dyDescent="0.25">
      <c r="A1931">
        <v>15999</v>
      </c>
      <c r="C1931" t="s">
        <v>1425</v>
      </c>
      <c r="D1931" t="s">
        <v>1426</v>
      </c>
      <c r="E1931" t="s">
        <v>465</v>
      </c>
      <c r="F1931" t="s">
        <v>158</v>
      </c>
      <c r="G1931" t="s">
        <v>157</v>
      </c>
      <c r="H1931" t="s">
        <v>156</v>
      </c>
      <c r="I1931" t="s">
        <v>424</v>
      </c>
      <c r="J1931" t="s">
        <v>420</v>
      </c>
      <c r="K1931" s="4">
        <v>1400</v>
      </c>
      <c r="L1931" s="4">
        <v>1400</v>
      </c>
      <c r="M1931" t="s">
        <v>44</v>
      </c>
      <c r="N1931" t="s">
        <v>77</v>
      </c>
      <c r="O1931" t="s">
        <v>99</v>
      </c>
      <c r="P1931" t="s">
        <v>99</v>
      </c>
      <c r="Q1931" t="s">
        <v>159</v>
      </c>
      <c r="R1931" t="s">
        <v>160</v>
      </c>
      <c r="S1931" t="s">
        <v>161</v>
      </c>
      <c r="T1931" t="s">
        <v>162</v>
      </c>
      <c r="U1931" t="s">
        <v>163</v>
      </c>
      <c r="V1931" t="s">
        <v>164</v>
      </c>
      <c r="W1931" t="s">
        <v>116</v>
      </c>
      <c r="X1931" t="s">
        <v>44</v>
      </c>
      <c r="Y1931" t="s">
        <v>99</v>
      </c>
      <c r="Z1931" t="s">
        <v>421</v>
      </c>
      <c r="AC1931" t="str">
        <f>IF(AA1931="",M1931,AA1931)</f>
        <v>sim</v>
      </c>
      <c r="AD1931" t="str">
        <f>IF(AB1931="",X1931,AB1931)</f>
        <v>sim</v>
      </c>
      <c r="AE1931" t="str">
        <f>IF(OR(Configuracao!B9="",Configuracao!B10=""),"aguardando limiar",IF(AND(K1931&gt;=Configuracao!B9,K1931/MAX(Reconciliacao!C2,1)&gt;=Configuracao!B10/100),"sim","não"))</f>
        <v>aguardando limiar</v>
      </c>
    </row>
    <row r="1932" spans="1:31" x14ac:dyDescent="0.25">
      <c r="A1932">
        <v>16002</v>
      </c>
      <c r="C1932" t="s">
        <v>1430</v>
      </c>
      <c r="D1932" t="s">
        <v>1104</v>
      </c>
      <c r="E1932" t="s">
        <v>465</v>
      </c>
      <c r="F1932" t="s">
        <v>158</v>
      </c>
      <c r="G1932" t="s">
        <v>157</v>
      </c>
      <c r="H1932" t="s">
        <v>156</v>
      </c>
      <c r="I1932" t="s">
        <v>424</v>
      </c>
      <c r="J1932" t="s">
        <v>420</v>
      </c>
      <c r="K1932" s="4">
        <v>1400</v>
      </c>
      <c r="L1932" s="4">
        <v>1400</v>
      </c>
      <c r="M1932" t="s">
        <v>44</v>
      </c>
      <c r="N1932" t="s">
        <v>77</v>
      </c>
      <c r="O1932" t="s">
        <v>99</v>
      </c>
      <c r="P1932" t="s">
        <v>99</v>
      </c>
      <c r="Q1932" t="s">
        <v>159</v>
      </c>
      <c r="R1932" t="s">
        <v>160</v>
      </c>
      <c r="S1932" t="s">
        <v>161</v>
      </c>
      <c r="T1932" t="s">
        <v>162</v>
      </c>
      <c r="U1932" t="s">
        <v>163</v>
      </c>
      <c r="V1932" t="s">
        <v>164</v>
      </c>
      <c r="W1932" t="s">
        <v>116</v>
      </c>
      <c r="X1932" t="s">
        <v>44</v>
      </c>
      <c r="Y1932" t="s">
        <v>99</v>
      </c>
      <c r="Z1932" t="s">
        <v>421</v>
      </c>
      <c r="AC1932" t="str">
        <f>IF(AA1932="",M1932,AA1932)</f>
        <v>sim</v>
      </c>
      <c r="AD1932" t="str">
        <f>IF(AB1932="",X1932,AB1932)</f>
        <v>sim</v>
      </c>
      <c r="AE1932" t="str">
        <f>IF(OR(Configuracao!B9="",Configuracao!B10=""),"aguardando limiar",IF(AND(K1932&gt;=Configuracao!B9,K1932/MAX(Reconciliacao!C2,1)&gt;=Configuracao!B10/100),"sim","não"))</f>
        <v>aguardando limiar</v>
      </c>
    </row>
    <row r="1933" spans="1:31" x14ac:dyDescent="0.25">
      <c r="A1933">
        <v>16170</v>
      </c>
      <c r="C1933" t="s">
        <v>1454</v>
      </c>
      <c r="D1933" t="s">
        <v>432</v>
      </c>
      <c r="E1933" t="s">
        <v>467</v>
      </c>
      <c r="F1933" t="s">
        <v>158</v>
      </c>
      <c r="G1933" t="s">
        <v>157</v>
      </c>
      <c r="H1933" t="s">
        <v>156</v>
      </c>
      <c r="I1933" t="s">
        <v>454</v>
      </c>
      <c r="J1933" t="s">
        <v>461</v>
      </c>
      <c r="K1933" s="4">
        <v>1400</v>
      </c>
      <c r="L1933" s="4">
        <v>1400</v>
      </c>
      <c r="M1933" t="s">
        <v>44</v>
      </c>
      <c r="N1933" t="s">
        <v>77</v>
      </c>
      <c r="O1933" t="s">
        <v>99</v>
      </c>
      <c r="P1933" t="s">
        <v>99</v>
      </c>
      <c r="Q1933" t="s">
        <v>159</v>
      </c>
      <c r="R1933" t="s">
        <v>160</v>
      </c>
      <c r="S1933" t="s">
        <v>161</v>
      </c>
      <c r="T1933" t="s">
        <v>162</v>
      </c>
      <c r="U1933" t="s">
        <v>163</v>
      </c>
      <c r="V1933" t="s">
        <v>164</v>
      </c>
      <c r="W1933" t="s">
        <v>116</v>
      </c>
      <c r="X1933" t="s">
        <v>44</v>
      </c>
      <c r="Y1933" t="s">
        <v>99</v>
      </c>
      <c r="Z1933" t="s">
        <v>421</v>
      </c>
      <c r="AC1933" t="str">
        <f>IF(AA1933="",M1933,AA1933)</f>
        <v>sim</v>
      </c>
      <c r="AD1933" t="str">
        <f>IF(AB1933="",X1933,AB1933)</f>
        <v>sim</v>
      </c>
      <c r="AE1933" t="str">
        <f>IF(OR(Configuracao!B9="",Configuracao!B10=""),"aguardando limiar",IF(AND(K1933&gt;=Configuracao!B9,K1933/MAX(Reconciliacao!C2,1)&gt;=Configuracao!B10/100),"sim","não"))</f>
        <v>aguardando limiar</v>
      </c>
    </row>
    <row r="1934" spans="1:31" x14ac:dyDescent="0.25">
      <c r="A1934">
        <v>16184</v>
      </c>
      <c r="C1934" t="s">
        <v>1422</v>
      </c>
      <c r="D1934" t="s">
        <v>1423</v>
      </c>
      <c r="E1934" t="s">
        <v>465</v>
      </c>
      <c r="F1934" t="s">
        <v>158</v>
      </c>
      <c r="G1934" t="s">
        <v>157</v>
      </c>
      <c r="H1934" t="s">
        <v>156</v>
      </c>
      <c r="I1934" t="s">
        <v>454</v>
      </c>
      <c r="J1934" t="s">
        <v>461</v>
      </c>
      <c r="K1934" s="4">
        <v>1400</v>
      </c>
      <c r="L1934" s="4">
        <v>1400</v>
      </c>
      <c r="M1934" t="s">
        <v>44</v>
      </c>
      <c r="N1934" t="s">
        <v>77</v>
      </c>
      <c r="O1934" t="s">
        <v>99</v>
      </c>
      <c r="P1934" t="s">
        <v>99</v>
      </c>
      <c r="Q1934" t="s">
        <v>159</v>
      </c>
      <c r="R1934" t="s">
        <v>160</v>
      </c>
      <c r="S1934" t="s">
        <v>161</v>
      </c>
      <c r="T1934" t="s">
        <v>162</v>
      </c>
      <c r="U1934" t="s">
        <v>163</v>
      </c>
      <c r="V1934" t="s">
        <v>164</v>
      </c>
      <c r="W1934" t="s">
        <v>116</v>
      </c>
      <c r="X1934" t="s">
        <v>44</v>
      </c>
      <c r="Y1934" t="s">
        <v>99</v>
      </c>
      <c r="Z1934" t="s">
        <v>421</v>
      </c>
      <c r="AC1934" t="str">
        <f>IF(AA1934="",M1934,AA1934)</f>
        <v>sim</v>
      </c>
      <c r="AD1934" t="str">
        <f>IF(AB1934="",X1934,AB1934)</f>
        <v>sim</v>
      </c>
      <c r="AE1934" t="str">
        <f>IF(OR(Configuracao!B9="",Configuracao!B10=""),"aguardando limiar",IF(AND(K1934&gt;=Configuracao!B9,K1934/MAX(Reconciliacao!C2,1)&gt;=Configuracao!B10/100),"sim","não"))</f>
        <v>aguardando limiar</v>
      </c>
    </row>
    <row r="1935" spans="1:31" x14ac:dyDescent="0.25">
      <c r="A1935">
        <v>16186</v>
      </c>
      <c r="C1935" t="s">
        <v>1425</v>
      </c>
      <c r="D1935" t="s">
        <v>1426</v>
      </c>
      <c r="E1935" t="s">
        <v>465</v>
      </c>
      <c r="F1935" t="s">
        <v>158</v>
      </c>
      <c r="G1935" t="s">
        <v>157</v>
      </c>
      <c r="H1935" t="s">
        <v>156</v>
      </c>
      <c r="I1935" t="s">
        <v>454</v>
      </c>
      <c r="J1935" t="s">
        <v>461</v>
      </c>
      <c r="K1935" s="4">
        <v>1400</v>
      </c>
      <c r="L1935" s="4">
        <v>1400</v>
      </c>
      <c r="M1935" t="s">
        <v>44</v>
      </c>
      <c r="N1935" t="s">
        <v>77</v>
      </c>
      <c r="O1935" t="s">
        <v>99</v>
      </c>
      <c r="P1935" t="s">
        <v>99</v>
      </c>
      <c r="Q1935" t="s">
        <v>159</v>
      </c>
      <c r="R1935" t="s">
        <v>160</v>
      </c>
      <c r="S1935" t="s">
        <v>161</v>
      </c>
      <c r="T1935" t="s">
        <v>162</v>
      </c>
      <c r="U1935" t="s">
        <v>163</v>
      </c>
      <c r="V1935" t="s">
        <v>164</v>
      </c>
      <c r="W1935" t="s">
        <v>116</v>
      </c>
      <c r="X1935" t="s">
        <v>44</v>
      </c>
      <c r="Y1935" t="s">
        <v>99</v>
      </c>
      <c r="Z1935" t="s">
        <v>421</v>
      </c>
      <c r="AC1935" t="str">
        <f>IF(AA1935="",M1935,AA1935)</f>
        <v>sim</v>
      </c>
      <c r="AD1935" t="str">
        <f>IF(AB1935="",X1935,AB1935)</f>
        <v>sim</v>
      </c>
      <c r="AE1935" t="str">
        <f>IF(OR(Configuracao!B9="",Configuracao!B10=""),"aguardando limiar",IF(AND(K1935&gt;=Configuracao!B9,K1935/MAX(Reconciliacao!C2,1)&gt;=Configuracao!B10/100),"sim","não"))</f>
        <v>aguardando limiar</v>
      </c>
    </row>
    <row r="1936" spans="1:31" x14ac:dyDescent="0.25">
      <c r="A1936">
        <v>16188</v>
      </c>
      <c r="C1936" t="s">
        <v>1430</v>
      </c>
      <c r="D1936" t="s">
        <v>1104</v>
      </c>
      <c r="E1936" t="s">
        <v>465</v>
      </c>
      <c r="F1936" t="s">
        <v>158</v>
      </c>
      <c r="G1936" t="s">
        <v>157</v>
      </c>
      <c r="H1936" t="s">
        <v>156</v>
      </c>
      <c r="I1936" t="s">
        <v>454</v>
      </c>
      <c r="J1936" t="s">
        <v>461</v>
      </c>
      <c r="K1936" s="4">
        <v>1400</v>
      </c>
      <c r="L1936" s="4">
        <v>1400</v>
      </c>
      <c r="M1936" t="s">
        <v>44</v>
      </c>
      <c r="N1936" t="s">
        <v>77</v>
      </c>
      <c r="O1936" t="s">
        <v>99</v>
      </c>
      <c r="P1936" t="s">
        <v>99</v>
      </c>
      <c r="Q1936" t="s">
        <v>159</v>
      </c>
      <c r="R1936" t="s">
        <v>160</v>
      </c>
      <c r="S1936" t="s">
        <v>161</v>
      </c>
      <c r="T1936" t="s">
        <v>162</v>
      </c>
      <c r="U1936" t="s">
        <v>163</v>
      </c>
      <c r="V1936" t="s">
        <v>164</v>
      </c>
      <c r="W1936" t="s">
        <v>116</v>
      </c>
      <c r="X1936" t="s">
        <v>44</v>
      </c>
      <c r="Y1936" t="s">
        <v>99</v>
      </c>
      <c r="Z1936" t="s">
        <v>421</v>
      </c>
      <c r="AC1936" t="str">
        <f>IF(AA1936="",M1936,AA1936)</f>
        <v>sim</v>
      </c>
      <c r="AD1936" t="str">
        <f>IF(AB1936="",X1936,AB1936)</f>
        <v>sim</v>
      </c>
      <c r="AE1936" t="str">
        <f>IF(OR(Configuracao!B9="",Configuracao!B10=""),"aguardando limiar",IF(AND(K1936&gt;=Configuracao!B9,K1936/MAX(Reconciliacao!C2,1)&gt;=Configuracao!B10/100),"sim","não"))</f>
        <v>aguardando limiar</v>
      </c>
    </row>
    <row r="1937" spans="1:31" x14ac:dyDescent="0.25">
      <c r="A1937">
        <v>16192</v>
      </c>
      <c r="C1937" t="s">
        <v>1458</v>
      </c>
      <c r="D1937" t="s">
        <v>1457</v>
      </c>
      <c r="E1937" t="s">
        <v>477</v>
      </c>
      <c r="F1937" t="s">
        <v>158</v>
      </c>
      <c r="G1937" t="s">
        <v>157</v>
      </c>
      <c r="H1937" t="s">
        <v>156</v>
      </c>
      <c r="I1937" t="s">
        <v>454</v>
      </c>
      <c r="J1937" t="s">
        <v>461</v>
      </c>
      <c r="K1937" s="4">
        <v>1400</v>
      </c>
      <c r="L1937" s="4">
        <v>1400</v>
      </c>
      <c r="M1937" t="s">
        <v>44</v>
      </c>
      <c r="N1937" t="s">
        <v>77</v>
      </c>
      <c r="O1937" t="s">
        <v>99</v>
      </c>
      <c r="P1937" t="s">
        <v>99</v>
      </c>
      <c r="Q1937" t="s">
        <v>159</v>
      </c>
      <c r="R1937" t="s">
        <v>160</v>
      </c>
      <c r="S1937" t="s">
        <v>161</v>
      </c>
      <c r="T1937" t="s">
        <v>162</v>
      </c>
      <c r="U1937" t="s">
        <v>163</v>
      </c>
      <c r="V1937" t="s">
        <v>164</v>
      </c>
      <c r="W1937" t="s">
        <v>116</v>
      </c>
      <c r="X1937" t="s">
        <v>44</v>
      </c>
      <c r="Y1937" t="s">
        <v>99</v>
      </c>
      <c r="Z1937" t="s">
        <v>421</v>
      </c>
      <c r="AC1937" t="str">
        <f>IF(AA1937="",M1937,AA1937)</f>
        <v>sim</v>
      </c>
      <c r="AD1937" t="str">
        <f>IF(AB1937="",X1937,AB1937)</f>
        <v>sim</v>
      </c>
      <c r="AE1937" t="str">
        <f>IF(OR(Configuracao!B9="",Configuracao!B10=""),"aguardando limiar",IF(AND(K1937&gt;=Configuracao!B9,K1937/MAX(Reconciliacao!C2,1)&gt;=Configuracao!B10/100),"sim","não"))</f>
        <v>aguardando limiar</v>
      </c>
    </row>
    <row r="1938" spans="1:31" x14ac:dyDescent="0.25">
      <c r="A1938">
        <v>17262</v>
      </c>
      <c r="C1938" t="s">
        <v>1454</v>
      </c>
      <c r="D1938" t="s">
        <v>432</v>
      </c>
      <c r="E1938" t="s">
        <v>467</v>
      </c>
      <c r="F1938" t="s">
        <v>158</v>
      </c>
      <c r="G1938" t="s">
        <v>157</v>
      </c>
      <c r="H1938" t="s">
        <v>156</v>
      </c>
      <c r="I1938" t="s">
        <v>461</v>
      </c>
      <c r="J1938" t="s">
        <v>442</v>
      </c>
      <c r="K1938" s="4">
        <v>1400</v>
      </c>
      <c r="L1938" s="4">
        <v>1400</v>
      </c>
      <c r="M1938" t="s">
        <v>44</v>
      </c>
      <c r="N1938" t="s">
        <v>77</v>
      </c>
      <c r="O1938" t="s">
        <v>99</v>
      </c>
      <c r="P1938" t="s">
        <v>99</v>
      </c>
      <c r="Q1938" t="s">
        <v>159</v>
      </c>
      <c r="R1938" t="s">
        <v>160</v>
      </c>
      <c r="S1938" t="s">
        <v>161</v>
      </c>
      <c r="T1938" t="s">
        <v>162</v>
      </c>
      <c r="U1938" t="s">
        <v>163</v>
      </c>
      <c r="V1938" t="s">
        <v>164</v>
      </c>
      <c r="W1938" t="s">
        <v>116</v>
      </c>
      <c r="X1938" t="s">
        <v>44</v>
      </c>
      <c r="Y1938" t="s">
        <v>99</v>
      </c>
      <c r="Z1938" t="s">
        <v>421</v>
      </c>
      <c r="AC1938" t="str">
        <f>IF(AA1938="",M1938,AA1938)</f>
        <v>sim</v>
      </c>
      <c r="AD1938" t="str">
        <f>IF(AB1938="",X1938,AB1938)</f>
        <v>sim</v>
      </c>
      <c r="AE1938" t="str">
        <f>IF(OR(Configuracao!B9="",Configuracao!B10=""),"aguardando limiar",IF(AND(K1938&gt;=Configuracao!B9,K1938/MAX(Reconciliacao!C2,1)&gt;=Configuracao!B10/100),"sim","não"))</f>
        <v>aguardando limiar</v>
      </c>
    </row>
    <row r="1939" spans="1:31" x14ac:dyDescent="0.25">
      <c r="A1939">
        <v>17277</v>
      </c>
      <c r="C1939" t="s">
        <v>1422</v>
      </c>
      <c r="D1939" t="s">
        <v>1423</v>
      </c>
      <c r="E1939" t="s">
        <v>465</v>
      </c>
      <c r="F1939" t="s">
        <v>158</v>
      </c>
      <c r="G1939" t="s">
        <v>157</v>
      </c>
      <c r="H1939" t="s">
        <v>156</v>
      </c>
      <c r="I1939" t="s">
        <v>461</v>
      </c>
      <c r="J1939" t="s">
        <v>442</v>
      </c>
      <c r="K1939" s="4">
        <v>1400</v>
      </c>
      <c r="L1939" s="4">
        <v>1400</v>
      </c>
      <c r="M1939" t="s">
        <v>44</v>
      </c>
      <c r="N1939" t="s">
        <v>77</v>
      </c>
      <c r="O1939" t="s">
        <v>99</v>
      </c>
      <c r="P1939" t="s">
        <v>99</v>
      </c>
      <c r="Q1939" t="s">
        <v>159</v>
      </c>
      <c r="R1939" t="s">
        <v>160</v>
      </c>
      <c r="S1939" t="s">
        <v>161</v>
      </c>
      <c r="T1939" t="s">
        <v>162</v>
      </c>
      <c r="U1939" t="s">
        <v>163</v>
      </c>
      <c r="V1939" t="s">
        <v>164</v>
      </c>
      <c r="W1939" t="s">
        <v>116</v>
      </c>
      <c r="X1939" t="s">
        <v>44</v>
      </c>
      <c r="Y1939" t="s">
        <v>99</v>
      </c>
      <c r="Z1939" t="s">
        <v>421</v>
      </c>
      <c r="AC1939" t="str">
        <f>IF(AA1939="",M1939,AA1939)</f>
        <v>sim</v>
      </c>
      <c r="AD1939" t="str">
        <f>IF(AB1939="",X1939,AB1939)</f>
        <v>sim</v>
      </c>
      <c r="AE1939" t="str">
        <f>IF(OR(Configuracao!B9="",Configuracao!B10=""),"aguardando limiar",IF(AND(K1939&gt;=Configuracao!B9,K1939/MAX(Reconciliacao!C2,1)&gt;=Configuracao!B10/100),"sim","não"))</f>
        <v>aguardando limiar</v>
      </c>
    </row>
    <row r="1940" spans="1:31" x14ac:dyDescent="0.25">
      <c r="A1940">
        <v>17279</v>
      </c>
      <c r="C1940" t="s">
        <v>1425</v>
      </c>
      <c r="D1940" t="s">
        <v>1426</v>
      </c>
      <c r="E1940" t="s">
        <v>465</v>
      </c>
      <c r="F1940" t="s">
        <v>158</v>
      </c>
      <c r="G1940" t="s">
        <v>157</v>
      </c>
      <c r="H1940" t="s">
        <v>156</v>
      </c>
      <c r="I1940" t="s">
        <v>461</v>
      </c>
      <c r="J1940" t="s">
        <v>442</v>
      </c>
      <c r="K1940" s="4">
        <v>1400</v>
      </c>
      <c r="L1940" s="4">
        <v>1400</v>
      </c>
      <c r="M1940" t="s">
        <v>44</v>
      </c>
      <c r="N1940" t="s">
        <v>77</v>
      </c>
      <c r="O1940" t="s">
        <v>99</v>
      </c>
      <c r="P1940" t="s">
        <v>99</v>
      </c>
      <c r="Q1940" t="s">
        <v>159</v>
      </c>
      <c r="R1940" t="s">
        <v>160</v>
      </c>
      <c r="S1940" t="s">
        <v>161</v>
      </c>
      <c r="T1940" t="s">
        <v>162</v>
      </c>
      <c r="U1940" t="s">
        <v>163</v>
      </c>
      <c r="V1940" t="s">
        <v>164</v>
      </c>
      <c r="W1940" t="s">
        <v>116</v>
      </c>
      <c r="X1940" t="s">
        <v>44</v>
      </c>
      <c r="Y1940" t="s">
        <v>99</v>
      </c>
      <c r="Z1940" t="s">
        <v>421</v>
      </c>
      <c r="AC1940" t="str">
        <f>IF(AA1940="",M1940,AA1940)</f>
        <v>sim</v>
      </c>
      <c r="AD1940" t="str">
        <f>IF(AB1940="",X1940,AB1940)</f>
        <v>sim</v>
      </c>
      <c r="AE1940" t="str">
        <f>IF(OR(Configuracao!B9="",Configuracao!B10=""),"aguardando limiar",IF(AND(K1940&gt;=Configuracao!B9,K1940/MAX(Reconciliacao!C2,1)&gt;=Configuracao!B10/100),"sim","não"))</f>
        <v>aguardando limiar</v>
      </c>
    </row>
    <row r="1941" spans="1:31" x14ac:dyDescent="0.25">
      <c r="A1941">
        <v>17281</v>
      </c>
      <c r="C1941" t="s">
        <v>1430</v>
      </c>
      <c r="D1941" t="s">
        <v>1104</v>
      </c>
      <c r="E1941" t="s">
        <v>465</v>
      </c>
      <c r="F1941" t="s">
        <v>158</v>
      </c>
      <c r="G1941" t="s">
        <v>157</v>
      </c>
      <c r="H1941" t="s">
        <v>156</v>
      </c>
      <c r="I1941" t="s">
        <v>461</v>
      </c>
      <c r="J1941" t="s">
        <v>442</v>
      </c>
      <c r="K1941" s="4">
        <v>1400</v>
      </c>
      <c r="L1941" s="4">
        <v>1400</v>
      </c>
      <c r="M1941" t="s">
        <v>44</v>
      </c>
      <c r="N1941" t="s">
        <v>77</v>
      </c>
      <c r="O1941" t="s">
        <v>99</v>
      </c>
      <c r="P1941" t="s">
        <v>99</v>
      </c>
      <c r="Q1941" t="s">
        <v>159</v>
      </c>
      <c r="R1941" t="s">
        <v>160</v>
      </c>
      <c r="S1941" t="s">
        <v>161</v>
      </c>
      <c r="T1941" t="s">
        <v>162</v>
      </c>
      <c r="U1941" t="s">
        <v>163</v>
      </c>
      <c r="V1941" t="s">
        <v>164</v>
      </c>
      <c r="W1941" t="s">
        <v>116</v>
      </c>
      <c r="X1941" t="s">
        <v>44</v>
      </c>
      <c r="Y1941" t="s">
        <v>99</v>
      </c>
      <c r="Z1941" t="s">
        <v>421</v>
      </c>
      <c r="AC1941" t="str">
        <f>IF(AA1941="",M1941,AA1941)</f>
        <v>sim</v>
      </c>
      <c r="AD1941" t="str">
        <f>IF(AB1941="",X1941,AB1941)</f>
        <v>sim</v>
      </c>
      <c r="AE1941" t="str">
        <f>IF(OR(Configuracao!B9="",Configuracao!B10=""),"aguardando limiar",IF(AND(K1941&gt;=Configuracao!B9,K1941/MAX(Reconciliacao!C2,1)&gt;=Configuracao!B10/100),"sim","não"))</f>
        <v>aguardando limiar</v>
      </c>
    </row>
    <row r="1942" spans="1:31" x14ac:dyDescent="0.25">
      <c r="A1942">
        <v>17291</v>
      </c>
      <c r="C1942" t="s">
        <v>1462</v>
      </c>
      <c r="D1942" t="s">
        <v>1452</v>
      </c>
      <c r="E1942" t="s">
        <v>467</v>
      </c>
      <c r="F1942" t="s">
        <v>158</v>
      </c>
      <c r="G1942" t="s">
        <v>157</v>
      </c>
      <c r="H1942" t="s">
        <v>156</v>
      </c>
      <c r="I1942" t="s">
        <v>461</v>
      </c>
      <c r="J1942" t="s">
        <v>442</v>
      </c>
      <c r="K1942" s="4">
        <v>1400</v>
      </c>
      <c r="L1942" s="4">
        <v>1400</v>
      </c>
      <c r="M1942" t="s">
        <v>44</v>
      </c>
      <c r="N1942" t="s">
        <v>77</v>
      </c>
      <c r="O1942" t="s">
        <v>99</v>
      </c>
      <c r="P1942" t="s">
        <v>99</v>
      </c>
      <c r="Q1942" t="s">
        <v>159</v>
      </c>
      <c r="R1942" t="s">
        <v>160</v>
      </c>
      <c r="S1942" t="s">
        <v>161</v>
      </c>
      <c r="T1942" t="s">
        <v>162</v>
      </c>
      <c r="U1942" t="s">
        <v>163</v>
      </c>
      <c r="V1942" t="s">
        <v>164</v>
      </c>
      <c r="W1942" t="s">
        <v>116</v>
      </c>
      <c r="X1942" t="s">
        <v>44</v>
      </c>
      <c r="Y1942" t="s">
        <v>99</v>
      </c>
      <c r="Z1942" t="s">
        <v>421</v>
      </c>
      <c r="AC1942" t="str">
        <f>IF(AA1942="",M1942,AA1942)</f>
        <v>sim</v>
      </c>
      <c r="AD1942" t="str">
        <f>IF(AB1942="",X1942,AB1942)</f>
        <v>sim</v>
      </c>
      <c r="AE1942" t="str">
        <f>IF(OR(Configuracao!B9="",Configuracao!B10=""),"aguardando limiar",IF(AND(K1942&gt;=Configuracao!B9,K1942/MAX(Reconciliacao!C2,1)&gt;=Configuracao!B10/100),"sim","não"))</f>
        <v>aguardando limiar</v>
      </c>
    </row>
    <row r="1943" spans="1:31" x14ac:dyDescent="0.25">
      <c r="A1943">
        <v>17950</v>
      </c>
      <c r="C1943" t="s">
        <v>1454</v>
      </c>
      <c r="D1943" t="s">
        <v>432</v>
      </c>
      <c r="E1943" t="s">
        <v>467</v>
      </c>
      <c r="F1943" t="s">
        <v>158</v>
      </c>
      <c r="G1943" t="s">
        <v>157</v>
      </c>
      <c r="H1943" t="s">
        <v>156</v>
      </c>
      <c r="I1943" t="s">
        <v>442</v>
      </c>
      <c r="J1943" t="s">
        <v>439</v>
      </c>
      <c r="K1943" s="4">
        <v>1400</v>
      </c>
      <c r="L1943" s="4">
        <v>1400</v>
      </c>
      <c r="M1943" t="s">
        <v>44</v>
      </c>
      <c r="N1943" t="s">
        <v>77</v>
      </c>
      <c r="O1943" t="s">
        <v>99</v>
      </c>
      <c r="P1943" t="s">
        <v>99</v>
      </c>
      <c r="Q1943" t="s">
        <v>159</v>
      </c>
      <c r="R1943" t="s">
        <v>160</v>
      </c>
      <c r="S1943" t="s">
        <v>161</v>
      </c>
      <c r="T1943" t="s">
        <v>162</v>
      </c>
      <c r="U1943" t="s">
        <v>163</v>
      </c>
      <c r="V1943" t="s">
        <v>164</v>
      </c>
      <c r="W1943" t="s">
        <v>116</v>
      </c>
      <c r="X1943" t="s">
        <v>44</v>
      </c>
      <c r="Y1943" t="s">
        <v>99</v>
      </c>
      <c r="Z1943" t="s">
        <v>421</v>
      </c>
      <c r="AC1943" t="str">
        <f>IF(AA1943="",M1943,AA1943)</f>
        <v>sim</v>
      </c>
      <c r="AD1943" t="str">
        <f>IF(AB1943="",X1943,AB1943)</f>
        <v>sim</v>
      </c>
      <c r="AE1943" t="str">
        <f>IF(OR(Configuracao!B9="",Configuracao!B10=""),"aguardando limiar",IF(AND(K1943&gt;=Configuracao!B9,K1943/MAX(Reconciliacao!C2,1)&gt;=Configuracao!B10/100),"sim","não"))</f>
        <v>aguardando limiar</v>
      </c>
    </row>
    <row r="1944" spans="1:31" x14ac:dyDescent="0.25">
      <c r="A1944">
        <v>17964</v>
      </c>
      <c r="C1944" t="s">
        <v>1422</v>
      </c>
      <c r="D1944" t="s">
        <v>1423</v>
      </c>
      <c r="E1944" t="s">
        <v>465</v>
      </c>
      <c r="F1944" t="s">
        <v>158</v>
      </c>
      <c r="G1944" t="s">
        <v>157</v>
      </c>
      <c r="H1944" t="s">
        <v>156</v>
      </c>
      <c r="I1944" t="s">
        <v>442</v>
      </c>
      <c r="J1944" t="s">
        <v>439</v>
      </c>
      <c r="K1944" s="4">
        <v>1400</v>
      </c>
      <c r="L1944" s="4">
        <v>1400</v>
      </c>
      <c r="M1944" t="s">
        <v>44</v>
      </c>
      <c r="N1944" t="s">
        <v>77</v>
      </c>
      <c r="O1944" t="s">
        <v>99</v>
      </c>
      <c r="P1944" t="s">
        <v>99</v>
      </c>
      <c r="Q1944" t="s">
        <v>159</v>
      </c>
      <c r="R1944" t="s">
        <v>160</v>
      </c>
      <c r="S1944" t="s">
        <v>161</v>
      </c>
      <c r="T1944" t="s">
        <v>162</v>
      </c>
      <c r="U1944" t="s">
        <v>163</v>
      </c>
      <c r="V1944" t="s">
        <v>164</v>
      </c>
      <c r="W1944" t="s">
        <v>116</v>
      </c>
      <c r="X1944" t="s">
        <v>44</v>
      </c>
      <c r="Y1944" t="s">
        <v>99</v>
      </c>
      <c r="Z1944" t="s">
        <v>421</v>
      </c>
      <c r="AC1944" t="str">
        <f>IF(AA1944="",M1944,AA1944)</f>
        <v>sim</v>
      </c>
      <c r="AD1944" t="str">
        <f>IF(AB1944="",X1944,AB1944)</f>
        <v>sim</v>
      </c>
      <c r="AE1944" t="str">
        <f>IF(OR(Configuracao!B9="",Configuracao!B10=""),"aguardando limiar",IF(AND(K1944&gt;=Configuracao!B9,K1944/MAX(Reconciliacao!C2,1)&gt;=Configuracao!B10/100),"sim","não"))</f>
        <v>aguardando limiar</v>
      </c>
    </row>
    <row r="1945" spans="1:31" x14ac:dyDescent="0.25">
      <c r="A1945">
        <v>17966</v>
      </c>
      <c r="C1945" t="s">
        <v>1425</v>
      </c>
      <c r="D1945" t="s">
        <v>1426</v>
      </c>
      <c r="E1945" t="s">
        <v>465</v>
      </c>
      <c r="F1945" t="s">
        <v>158</v>
      </c>
      <c r="G1945" t="s">
        <v>157</v>
      </c>
      <c r="H1945" t="s">
        <v>156</v>
      </c>
      <c r="I1945" t="s">
        <v>442</v>
      </c>
      <c r="J1945" t="s">
        <v>439</v>
      </c>
      <c r="K1945" s="4">
        <v>1400</v>
      </c>
      <c r="L1945" s="4">
        <v>1400</v>
      </c>
      <c r="M1945" t="s">
        <v>44</v>
      </c>
      <c r="N1945" t="s">
        <v>77</v>
      </c>
      <c r="O1945" t="s">
        <v>99</v>
      </c>
      <c r="P1945" t="s">
        <v>99</v>
      </c>
      <c r="Q1945" t="s">
        <v>159</v>
      </c>
      <c r="R1945" t="s">
        <v>160</v>
      </c>
      <c r="S1945" t="s">
        <v>161</v>
      </c>
      <c r="T1945" t="s">
        <v>162</v>
      </c>
      <c r="U1945" t="s">
        <v>163</v>
      </c>
      <c r="V1945" t="s">
        <v>164</v>
      </c>
      <c r="W1945" t="s">
        <v>116</v>
      </c>
      <c r="X1945" t="s">
        <v>44</v>
      </c>
      <c r="Y1945" t="s">
        <v>99</v>
      </c>
      <c r="Z1945" t="s">
        <v>421</v>
      </c>
      <c r="AC1945" t="str">
        <f>IF(AA1945="",M1945,AA1945)</f>
        <v>sim</v>
      </c>
      <c r="AD1945" t="str">
        <f>IF(AB1945="",X1945,AB1945)</f>
        <v>sim</v>
      </c>
      <c r="AE1945" t="str">
        <f>IF(OR(Configuracao!B9="",Configuracao!B10=""),"aguardando limiar",IF(AND(K1945&gt;=Configuracao!B9,K1945/MAX(Reconciliacao!C2,1)&gt;=Configuracao!B10/100),"sim","não"))</f>
        <v>aguardando limiar</v>
      </c>
    </row>
    <row r="1946" spans="1:31" x14ac:dyDescent="0.25">
      <c r="A1946">
        <v>17968</v>
      </c>
      <c r="C1946" t="s">
        <v>1430</v>
      </c>
      <c r="D1946" t="s">
        <v>1104</v>
      </c>
      <c r="E1946" t="s">
        <v>465</v>
      </c>
      <c r="F1946" t="s">
        <v>158</v>
      </c>
      <c r="G1946" t="s">
        <v>157</v>
      </c>
      <c r="H1946" t="s">
        <v>156</v>
      </c>
      <c r="I1946" t="s">
        <v>442</v>
      </c>
      <c r="J1946" t="s">
        <v>439</v>
      </c>
      <c r="K1946" s="4">
        <v>1400</v>
      </c>
      <c r="L1946" s="4">
        <v>1400</v>
      </c>
      <c r="M1946" t="s">
        <v>44</v>
      </c>
      <c r="N1946" t="s">
        <v>77</v>
      </c>
      <c r="O1946" t="s">
        <v>99</v>
      </c>
      <c r="P1946" t="s">
        <v>99</v>
      </c>
      <c r="Q1946" t="s">
        <v>159</v>
      </c>
      <c r="R1946" t="s">
        <v>160</v>
      </c>
      <c r="S1946" t="s">
        <v>161</v>
      </c>
      <c r="T1946" t="s">
        <v>162</v>
      </c>
      <c r="U1946" t="s">
        <v>163</v>
      </c>
      <c r="V1946" t="s">
        <v>164</v>
      </c>
      <c r="W1946" t="s">
        <v>116</v>
      </c>
      <c r="X1946" t="s">
        <v>44</v>
      </c>
      <c r="Y1946" t="s">
        <v>99</v>
      </c>
      <c r="Z1946" t="s">
        <v>421</v>
      </c>
      <c r="AC1946" t="str">
        <f>IF(AA1946="",M1946,AA1946)</f>
        <v>sim</v>
      </c>
      <c r="AD1946" t="str">
        <f>IF(AB1946="",X1946,AB1946)</f>
        <v>sim</v>
      </c>
      <c r="AE1946" t="str">
        <f>IF(OR(Configuracao!B9="",Configuracao!B10=""),"aguardando limiar",IF(AND(K1946&gt;=Configuracao!B9,K1946/MAX(Reconciliacao!C2,1)&gt;=Configuracao!B10/100),"sim","não"))</f>
        <v>aguardando limiar</v>
      </c>
    </row>
    <row r="1947" spans="1:31" x14ac:dyDescent="0.25">
      <c r="A1947">
        <v>17976</v>
      </c>
      <c r="C1947" t="s">
        <v>1462</v>
      </c>
      <c r="D1947" t="s">
        <v>1452</v>
      </c>
      <c r="E1947" t="s">
        <v>467</v>
      </c>
      <c r="F1947" t="s">
        <v>158</v>
      </c>
      <c r="G1947" t="s">
        <v>157</v>
      </c>
      <c r="H1947" t="s">
        <v>156</v>
      </c>
      <c r="I1947" t="s">
        <v>442</v>
      </c>
      <c r="J1947" t="s">
        <v>439</v>
      </c>
      <c r="K1947" s="4">
        <v>1400</v>
      </c>
      <c r="L1947" s="4">
        <v>1400</v>
      </c>
      <c r="M1947" t="s">
        <v>44</v>
      </c>
      <c r="N1947" t="s">
        <v>77</v>
      </c>
      <c r="O1947" t="s">
        <v>99</v>
      </c>
      <c r="P1947" t="s">
        <v>99</v>
      </c>
      <c r="Q1947" t="s">
        <v>159</v>
      </c>
      <c r="R1947" t="s">
        <v>160</v>
      </c>
      <c r="S1947" t="s">
        <v>161</v>
      </c>
      <c r="T1947" t="s">
        <v>162</v>
      </c>
      <c r="U1947" t="s">
        <v>163</v>
      </c>
      <c r="V1947" t="s">
        <v>164</v>
      </c>
      <c r="W1947" t="s">
        <v>116</v>
      </c>
      <c r="X1947" t="s">
        <v>44</v>
      </c>
      <c r="Y1947" t="s">
        <v>99</v>
      </c>
      <c r="Z1947" t="s">
        <v>421</v>
      </c>
      <c r="AC1947" t="str">
        <f>IF(AA1947="",M1947,AA1947)</f>
        <v>sim</v>
      </c>
      <c r="AD1947" t="str">
        <f>IF(AB1947="",X1947,AB1947)</f>
        <v>sim</v>
      </c>
      <c r="AE1947" t="str">
        <f>IF(OR(Configuracao!B9="",Configuracao!B10=""),"aguardando limiar",IF(AND(K1947&gt;=Configuracao!B9,K1947/MAX(Reconciliacao!C2,1)&gt;=Configuracao!B10/100),"sim","não"))</f>
        <v>aguardando limiar</v>
      </c>
    </row>
    <row r="1948" spans="1:31" x14ac:dyDescent="0.25">
      <c r="A1948">
        <v>18793</v>
      </c>
      <c r="C1948" t="s">
        <v>1454</v>
      </c>
      <c r="D1948" t="s">
        <v>432</v>
      </c>
      <c r="E1948" t="s">
        <v>467</v>
      </c>
      <c r="F1948" t="s">
        <v>158</v>
      </c>
      <c r="G1948" t="s">
        <v>157</v>
      </c>
      <c r="H1948" t="s">
        <v>156</v>
      </c>
      <c r="I1948" t="s">
        <v>439</v>
      </c>
      <c r="J1948" t="s">
        <v>35</v>
      </c>
      <c r="K1948" s="4">
        <v>1400</v>
      </c>
      <c r="L1948" s="4">
        <v>1400</v>
      </c>
      <c r="M1948" t="s">
        <v>44</v>
      </c>
      <c r="N1948" t="s">
        <v>77</v>
      </c>
      <c r="O1948" t="s">
        <v>99</v>
      </c>
      <c r="P1948" t="s">
        <v>99</v>
      </c>
      <c r="Q1948" t="s">
        <v>159</v>
      </c>
      <c r="R1948" t="s">
        <v>160</v>
      </c>
      <c r="S1948" t="s">
        <v>161</v>
      </c>
      <c r="T1948" t="s">
        <v>162</v>
      </c>
      <c r="U1948" t="s">
        <v>163</v>
      </c>
      <c r="V1948" t="s">
        <v>164</v>
      </c>
      <c r="W1948" t="s">
        <v>116</v>
      </c>
      <c r="X1948" t="s">
        <v>44</v>
      </c>
      <c r="Y1948" t="s">
        <v>99</v>
      </c>
      <c r="Z1948" t="s">
        <v>421</v>
      </c>
      <c r="AC1948" t="str">
        <f>IF(AA1948="",M1948,AA1948)</f>
        <v>sim</v>
      </c>
      <c r="AD1948" t="str">
        <f>IF(AB1948="",X1948,AB1948)</f>
        <v>sim</v>
      </c>
      <c r="AE1948" t="str">
        <f>IF(OR(Configuracao!B9="",Configuracao!B10=""),"aguardando limiar",IF(AND(K1948&gt;=Configuracao!B9,K1948/MAX(Reconciliacao!C2,1)&gt;=Configuracao!B10/100),"sim","não"))</f>
        <v>aguardando limiar</v>
      </c>
    </row>
    <row r="1949" spans="1:31" x14ac:dyDescent="0.25">
      <c r="A1949">
        <v>18807</v>
      </c>
      <c r="C1949" t="s">
        <v>1422</v>
      </c>
      <c r="D1949" t="s">
        <v>1423</v>
      </c>
      <c r="E1949" t="s">
        <v>465</v>
      </c>
      <c r="F1949" t="s">
        <v>158</v>
      </c>
      <c r="G1949" t="s">
        <v>157</v>
      </c>
      <c r="H1949" t="s">
        <v>156</v>
      </c>
      <c r="I1949" t="s">
        <v>439</v>
      </c>
      <c r="J1949" t="s">
        <v>35</v>
      </c>
      <c r="K1949" s="4">
        <v>1400</v>
      </c>
      <c r="L1949" s="4">
        <v>1400</v>
      </c>
      <c r="M1949" t="s">
        <v>44</v>
      </c>
      <c r="N1949" t="s">
        <v>77</v>
      </c>
      <c r="O1949" t="s">
        <v>99</v>
      </c>
      <c r="P1949" t="s">
        <v>99</v>
      </c>
      <c r="Q1949" t="s">
        <v>159</v>
      </c>
      <c r="R1949" t="s">
        <v>160</v>
      </c>
      <c r="S1949" t="s">
        <v>161</v>
      </c>
      <c r="T1949" t="s">
        <v>162</v>
      </c>
      <c r="U1949" t="s">
        <v>163</v>
      </c>
      <c r="V1949" t="s">
        <v>164</v>
      </c>
      <c r="W1949" t="s">
        <v>116</v>
      </c>
      <c r="X1949" t="s">
        <v>44</v>
      </c>
      <c r="Y1949" t="s">
        <v>99</v>
      </c>
      <c r="Z1949" t="s">
        <v>421</v>
      </c>
      <c r="AC1949" t="str">
        <f>IF(AA1949="",M1949,AA1949)</f>
        <v>sim</v>
      </c>
      <c r="AD1949" t="str">
        <f>IF(AB1949="",X1949,AB1949)</f>
        <v>sim</v>
      </c>
      <c r="AE1949" t="str">
        <f>IF(OR(Configuracao!B9="",Configuracao!B10=""),"aguardando limiar",IF(AND(K1949&gt;=Configuracao!B9,K1949/MAX(Reconciliacao!C2,1)&gt;=Configuracao!B10/100),"sim","não"))</f>
        <v>aguardando limiar</v>
      </c>
    </row>
    <row r="1950" spans="1:31" x14ac:dyDescent="0.25">
      <c r="A1950">
        <v>18809</v>
      </c>
      <c r="C1950" t="s">
        <v>1425</v>
      </c>
      <c r="D1950" t="s">
        <v>1426</v>
      </c>
      <c r="E1950" t="s">
        <v>465</v>
      </c>
      <c r="F1950" t="s">
        <v>158</v>
      </c>
      <c r="G1950" t="s">
        <v>157</v>
      </c>
      <c r="H1950" t="s">
        <v>156</v>
      </c>
      <c r="I1950" t="s">
        <v>439</v>
      </c>
      <c r="J1950" t="s">
        <v>35</v>
      </c>
      <c r="K1950" s="4">
        <v>1400</v>
      </c>
      <c r="L1950" s="4">
        <v>1400</v>
      </c>
      <c r="M1950" t="s">
        <v>44</v>
      </c>
      <c r="N1950" t="s">
        <v>77</v>
      </c>
      <c r="O1950" t="s">
        <v>99</v>
      </c>
      <c r="P1950" t="s">
        <v>99</v>
      </c>
      <c r="Q1950" t="s">
        <v>159</v>
      </c>
      <c r="R1950" t="s">
        <v>160</v>
      </c>
      <c r="S1950" t="s">
        <v>161</v>
      </c>
      <c r="T1950" t="s">
        <v>162</v>
      </c>
      <c r="U1950" t="s">
        <v>163</v>
      </c>
      <c r="V1950" t="s">
        <v>164</v>
      </c>
      <c r="W1950" t="s">
        <v>116</v>
      </c>
      <c r="X1950" t="s">
        <v>44</v>
      </c>
      <c r="Y1950" t="s">
        <v>99</v>
      </c>
      <c r="Z1950" t="s">
        <v>421</v>
      </c>
      <c r="AC1950" t="str">
        <f>IF(AA1950="",M1950,AA1950)</f>
        <v>sim</v>
      </c>
      <c r="AD1950" t="str">
        <f>IF(AB1950="",X1950,AB1950)</f>
        <v>sim</v>
      </c>
      <c r="AE1950" t="str">
        <f>IF(OR(Configuracao!B9="",Configuracao!B10=""),"aguardando limiar",IF(AND(K1950&gt;=Configuracao!B9,K1950/MAX(Reconciliacao!C2,1)&gt;=Configuracao!B10/100),"sim","não"))</f>
        <v>aguardando limiar</v>
      </c>
    </row>
    <row r="1951" spans="1:31" x14ac:dyDescent="0.25">
      <c r="A1951">
        <v>18811</v>
      </c>
      <c r="C1951" t="s">
        <v>1430</v>
      </c>
      <c r="D1951" t="s">
        <v>1104</v>
      </c>
      <c r="E1951" t="s">
        <v>465</v>
      </c>
      <c r="F1951" t="s">
        <v>158</v>
      </c>
      <c r="G1951" t="s">
        <v>157</v>
      </c>
      <c r="H1951" t="s">
        <v>156</v>
      </c>
      <c r="I1951" t="s">
        <v>439</v>
      </c>
      <c r="J1951" t="s">
        <v>35</v>
      </c>
      <c r="K1951" s="4">
        <v>1400</v>
      </c>
      <c r="L1951" s="4">
        <v>1400</v>
      </c>
      <c r="M1951" t="s">
        <v>44</v>
      </c>
      <c r="N1951" t="s">
        <v>77</v>
      </c>
      <c r="O1951" t="s">
        <v>99</v>
      </c>
      <c r="P1951" t="s">
        <v>99</v>
      </c>
      <c r="Q1951" t="s">
        <v>159</v>
      </c>
      <c r="R1951" t="s">
        <v>160</v>
      </c>
      <c r="S1951" t="s">
        <v>161</v>
      </c>
      <c r="T1951" t="s">
        <v>162</v>
      </c>
      <c r="U1951" t="s">
        <v>163</v>
      </c>
      <c r="V1951" t="s">
        <v>164</v>
      </c>
      <c r="W1951" t="s">
        <v>116</v>
      </c>
      <c r="X1951" t="s">
        <v>44</v>
      </c>
      <c r="Y1951" t="s">
        <v>99</v>
      </c>
      <c r="Z1951" t="s">
        <v>421</v>
      </c>
      <c r="AC1951" t="str">
        <f>IF(AA1951="",M1951,AA1951)</f>
        <v>sim</v>
      </c>
      <c r="AD1951" t="str">
        <f>IF(AB1951="",X1951,AB1951)</f>
        <v>sim</v>
      </c>
      <c r="AE1951" t="str">
        <f>IF(OR(Configuracao!B9="",Configuracao!B10=""),"aguardando limiar",IF(AND(K1951&gt;=Configuracao!B9,K1951/MAX(Reconciliacao!C2,1)&gt;=Configuracao!B10/100),"sim","não"))</f>
        <v>aguardando limiar</v>
      </c>
    </row>
    <row r="1952" spans="1:31" x14ac:dyDescent="0.25">
      <c r="A1952">
        <v>18819</v>
      </c>
      <c r="C1952" t="s">
        <v>1462</v>
      </c>
      <c r="D1952" t="s">
        <v>1452</v>
      </c>
      <c r="E1952" t="s">
        <v>467</v>
      </c>
      <c r="F1952" t="s">
        <v>158</v>
      </c>
      <c r="G1952" t="s">
        <v>157</v>
      </c>
      <c r="H1952" t="s">
        <v>156</v>
      </c>
      <c r="I1952" t="s">
        <v>439</v>
      </c>
      <c r="J1952" t="s">
        <v>35</v>
      </c>
      <c r="K1952" s="4">
        <v>1400</v>
      </c>
      <c r="L1952" s="4">
        <v>1400</v>
      </c>
      <c r="M1952" t="s">
        <v>44</v>
      </c>
      <c r="N1952" t="s">
        <v>77</v>
      </c>
      <c r="O1952" t="s">
        <v>99</v>
      </c>
      <c r="P1952" t="s">
        <v>99</v>
      </c>
      <c r="Q1952" t="s">
        <v>159</v>
      </c>
      <c r="R1952" t="s">
        <v>160</v>
      </c>
      <c r="S1952" t="s">
        <v>161</v>
      </c>
      <c r="T1952" t="s">
        <v>162</v>
      </c>
      <c r="U1952" t="s">
        <v>163</v>
      </c>
      <c r="V1952" t="s">
        <v>164</v>
      </c>
      <c r="W1952" t="s">
        <v>116</v>
      </c>
      <c r="X1952" t="s">
        <v>44</v>
      </c>
      <c r="Y1952" t="s">
        <v>99</v>
      </c>
      <c r="Z1952" t="s">
        <v>421</v>
      </c>
      <c r="AC1952" t="str">
        <f>IF(AA1952="",M1952,AA1952)</f>
        <v>sim</v>
      </c>
      <c r="AD1952" t="str">
        <f>IF(AB1952="",X1952,AB1952)</f>
        <v>sim</v>
      </c>
      <c r="AE1952" t="str">
        <f>IF(OR(Configuracao!B9="",Configuracao!B10=""),"aguardando limiar",IF(AND(K1952&gt;=Configuracao!B9,K1952/MAX(Reconciliacao!C2,1)&gt;=Configuracao!B10/100),"sim","não"))</f>
        <v>aguardando limiar</v>
      </c>
    </row>
    <row r="1953" spans="1:31" x14ac:dyDescent="0.25">
      <c r="A1953">
        <v>17285</v>
      </c>
      <c r="C1953" t="s">
        <v>1463</v>
      </c>
      <c r="D1953" t="s">
        <v>1464</v>
      </c>
      <c r="E1953" t="s">
        <v>486</v>
      </c>
      <c r="F1953" t="s">
        <v>158</v>
      </c>
      <c r="G1953" t="s">
        <v>157</v>
      </c>
      <c r="H1953" t="s">
        <v>156</v>
      </c>
      <c r="I1953" t="s">
        <v>461</v>
      </c>
      <c r="J1953" t="s">
        <v>442</v>
      </c>
      <c r="K1953" s="4">
        <v>1500</v>
      </c>
      <c r="L1953" s="4">
        <v>1500</v>
      </c>
      <c r="M1953" t="s">
        <v>44</v>
      </c>
      <c r="N1953" t="s">
        <v>77</v>
      </c>
      <c r="O1953" t="s">
        <v>99</v>
      </c>
      <c r="P1953" t="s">
        <v>99</v>
      </c>
      <c r="Q1953" t="s">
        <v>159</v>
      </c>
      <c r="R1953" t="s">
        <v>160</v>
      </c>
      <c r="S1953" t="s">
        <v>161</v>
      </c>
      <c r="T1953" t="s">
        <v>162</v>
      </c>
      <c r="U1953" t="s">
        <v>163</v>
      </c>
      <c r="V1953" t="s">
        <v>164</v>
      </c>
      <c r="W1953" t="s">
        <v>116</v>
      </c>
      <c r="X1953" t="s">
        <v>44</v>
      </c>
      <c r="Y1953" t="s">
        <v>99</v>
      </c>
      <c r="Z1953" t="s">
        <v>421</v>
      </c>
      <c r="AC1953" t="str">
        <f>IF(AA1953="",M1953,AA1953)</f>
        <v>sim</v>
      </c>
      <c r="AD1953" t="str">
        <f>IF(AB1953="",X1953,AB1953)</f>
        <v>sim</v>
      </c>
      <c r="AE1953" t="str">
        <f>IF(OR(Configuracao!B9="",Configuracao!B10=""),"aguardando limiar",IF(AND(K1953&gt;=Configuracao!B9,K1953/MAX(Reconciliacao!C2,1)&gt;=Configuracao!B10/100),"sim","não"))</f>
        <v>aguardando limiar</v>
      </c>
    </row>
    <row r="1954" spans="1:31" x14ac:dyDescent="0.25">
      <c r="A1954">
        <v>16162</v>
      </c>
      <c r="C1954" t="s">
        <v>1465</v>
      </c>
      <c r="D1954" t="s">
        <v>1466</v>
      </c>
      <c r="E1954" t="s">
        <v>467</v>
      </c>
      <c r="F1954" t="s">
        <v>158</v>
      </c>
      <c r="G1954" t="s">
        <v>157</v>
      </c>
      <c r="H1954" t="s">
        <v>156</v>
      </c>
      <c r="I1954" t="s">
        <v>454</v>
      </c>
      <c r="J1954" t="s">
        <v>461</v>
      </c>
      <c r="K1954" s="4">
        <v>1560</v>
      </c>
      <c r="L1954" s="4">
        <v>1560</v>
      </c>
      <c r="M1954" t="s">
        <v>44</v>
      </c>
      <c r="N1954" t="s">
        <v>77</v>
      </c>
      <c r="O1954" t="s">
        <v>99</v>
      </c>
      <c r="P1954" t="s">
        <v>99</v>
      </c>
      <c r="Q1954" t="s">
        <v>159</v>
      </c>
      <c r="R1954" t="s">
        <v>160</v>
      </c>
      <c r="S1954" t="s">
        <v>161</v>
      </c>
      <c r="T1954" t="s">
        <v>162</v>
      </c>
      <c r="U1954" t="s">
        <v>163</v>
      </c>
      <c r="V1954" t="s">
        <v>164</v>
      </c>
      <c r="W1954" t="s">
        <v>116</v>
      </c>
      <c r="X1954" t="s">
        <v>44</v>
      </c>
      <c r="Y1954" t="s">
        <v>99</v>
      </c>
      <c r="Z1954" t="s">
        <v>421</v>
      </c>
      <c r="AC1954" t="str">
        <f>IF(AA1954="",M1954,AA1954)</f>
        <v>sim</v>
      </c>
      <c r="AD1954" t="str">
        <f>IF(AB1954="",X1954,AB1954)</f>
        <v>sim</v>
      </c>
      <c r="AE1954" t="str">
        <f>IF(OR(Configuracao!B9="",Configuracao!B10=""),"aguardando limiar",IF(AND(K1954&gt;=Configuracao!B9,K1954/MAX(Reconciliacao!C2,1)&gt;=Configuracao!B10/100),"sim","não"))</f>
        <v>aguardando limiar</v>
      </c>
    </row>
    <row r="1955" spans="1:31" x14ac:dyDescent="0.25">
      <c r="A1955">
        <v>12971</v>
      </c>
      <c r="C1955" t="s">
        <v>1412</v>
      </c>
      <c r="D1955" t="s">
        <v>1413</v>
      </c>
      <c r="E1955" t="s">
        <v>445</v>
      </c>
      <c r="F1955" t="s">
        <v>158</v>
      </c>
      <c r="G1955" t="s">
        <v>157</v>
      </c>
      <c r="H1955" t="s">
        <v>156</v>
      </c>
      <c r="I1955" t="s">
        <v>424</v>
      </c>
      <c r="J1955" t="s">
        <v>424</v>
      </c>
      <c r="K1955" s="4">
        <v>1600</v>
      </c>
      <c r="L1955" s="4">
        <v>1600</v>
      </c>
      <c r="M1955" t="s">
        <v>44</v>
      </c>
      <c r="N1955" t="s">
        <v>77</v>
      </c>
      <c r="O1955" t="s">
        <v>99</v>
      </c>
      <c r="P1955" t="s">
        <v>99</v>
      </c>
      <c r="Q1955" t="s">
        <v>159</v>
      </c>
      <c r="R1955" t="s">
        <v>160</v>
      </c>
      <c r="S1955" t="s">
        <v>161</v>
      </c>
      <c r="T1955" t="s">
        <v>162</v>
      </c>
      <c r="U1955" t="s">
        <v>163</v>
      </c>
      <c r="V1955" t="s">
        <v>164</v>
      </c>
      <c r="W1955" t="s">
        <v>116</v>
      </c>
      <c r="X1955" t="s">
        <v>44</v>
      </c>
      <c r="Y1955" t="s">
        <v>99</v>
      </c>
      <c r="Z1955" t="s">
        <v>421</v>
      </c>
      <c r="AC1955" t="str">
        <f>IF(AA1955="",M1955,AA1955)</f>
        <v>sim</v>
      </c>
      <c r="AD1955" t="str">
        <f>IF(AB1955="",X1955,AB1955)</f>
        <v>sim</v>
      </c>
      <c r="AE1955" t="str">
        <f>IF(OR(Configuracao!B9="",Configuracao!B10=""),"aguardando limiar",IF(AND(K1955&gt;=Configuracao!B9,K1955/MAX(Reconciliacao!C2,1)&gt;=Configuracao!B10/100),"sim","não"))</f>
        <v>aguardando limiar</v>
      </c>
    </row>
    <row r="1956" spans="1:31" x14ac:dyDescent="0.25">
      <c r="A1956">
        <v>14218</v>
      </c>
      <c r="C1956" t="s">
        <v>1412</v>
      </c>
      <c r="D1956" t="s">
        <v>1413</v>
      </c>
      <c r="E1956" t="s">
        <v>445</v>
      </c>
      <c r="F1956" t="s">
        <v>158</v>
      </c>
      <c r="G1956" t="s">
        <v>157</v>
      </c>
      <c r="H1956" t="s">
        <v>156</v>
      </c>
      <c r="I1956" t="s">
        <v>420</v>
      </c>
      <c r="J1956" t="s">
        <v>454</v>
      </c>
      <c r="K1956" s="4">
        <v>1600</v>
      </c>
      <c r="L1956" s="4">
        <v>1600</v>
      </c>
      <c r="M1956" t="s">
        <v>44</v>
      </c>
      <c r="N1956" t="s">
        <v>77</v>
      </c>
      <c r="O1956" t="s">
        <v>99</v>
      </c>
      <c r="P1956" t="s">
        <v>99</v>
      </c>
      <c r="Q1956" t="s">
        <v>159</v>
      </c>
      <c r="R1956" t="s">
        <v>160</v>
      </c>
      <c r="S1956" t="s">
        <v>161</v>
      </c>
      <c r="T1956" t="s">
        <v>162</v>
      </c>
      <c r="U1956" t="s">
        <v>163</v>
      </c>
      <c r="V1956" t="s">
        <v>164</v>
      </c>
      <c r="W1956" t="s">
        <v>116</v>
      </c>
      <c r="X1956" t="s">
        <v>44</v>
      </c>
      <c r="Y1956" t="s">
        <v>99</v>
      </c>
      <c r="Z1956" t="s">
        <v>421</v>
      </c>
      <c r="AC1956" t="str">
        <f>IF(AA1956="",M1956,AA1956)</f>
        <v>sim</v>
      </c>
      <c r="AD1956" t="str">
        <f>IF(AB1956="",X1956,AB1956)</f>
        <v>sim</v>
      </c>
      <c r="AE1956" t="str">
        <f>IF(OR(Configuracao!B9="",Configuracao!B10=""),"aguardando limiar",IF(AND(K1956&gt;=Configuracao!B9,K1956/MAX(Reconciliacao!C2,1)&gt;=Configuracao!B10/100),"sim","não"))</f>
        <v>aguardando limiar</v>
      </c>
    </row>
    <row r="1957" spans="1:31" x14ac:dyDescent="0.25">
      <c r="A1957">
        <v>14235</v>
      </c>
      <c r="C1957" t="s">
        <v>1439</v>
      </c>
      <c r="D1957" t="s">
        <v>1440</v>
      </c>
      <c r="E1957" t="s">
        <v>465</v>
      </c>
      <c r="F1957" t="s">
        <v>158</v>
      </c>
      <c r="G1957" t="s">
        <v>157</v>
      </c>
      <c r="H1957" t="s">
        <v>156</v>
      </c>
      <c r="I1957" t="s">
        <v>420</v>
      </c>
      <c r="J1957" t="s">
        <v>454</v>
      </c>
      <c r="K1957" s="4">
        <v>1600</v>
      </c>
      <c r="L1957" s="4">
        <v>1600</v>
      </c>
      <c r="M1957" t="s">
        <v>44</v>
      </c>
      <c r="N1957" t="s">
        <v>77</v>
      </c>
      <c r="O1957" t="s">
        <v>99</v>
      </c>
      <c r="P1957" t="s">
        <v>99</v>
      </c>
      <c r="Q1957" t="s">
        <v>159</v>
      </c>
      <c r="R1957" t="s">
        <v>160</v>
      </c>
      <c r="S1957" t="s">
        <v>161</v>
      </c>
      <c r="T1957" t="s">
        <v>162</v>
      </c>
      <c r="U1957" t="s">
        <v>163</v>
      </c>
      <c r="V1957" t="s">
        <v>164</v>
      </c>
      <c r="W1957" t="s">
        <v>116</v>
      </c>
      <c r="X1957" t="s">
        <v>44</v>
      </c>
      <c r="Y1957" t="s">
        <v>99</v>
      </c>
      <c r="Z1957" t="s">
        <v>421</v>
      </c>
      <c r="AC1957" t="str">
        <f>IF(AA1957="",M1957,AA1957)</f>
        <v>sim</v>
      </c>
      <c r="AD1957" t="str">
        <f>IF(AB1957="",X1957,AB1957)</f>
        <v>sim</v>
      </c>
      <c r="AE1957" t="str">
        <f>IF(OR(Configuracao!B9="",Configuracao!B10=""),"aguardando limiar",IF(AND(K1957&gt;=Configuracao!B9,K1957/MAX(Reconciliacao!C2,1)&gt;=Configuracao!B10/100),"sim","não"))</f>
        <v>aguardando limiar</v>
      </c>
    </row>
    <row r="1958" spans="1:31" x14ac:dyDescent="0.25">
      <c r="A1958">
        <v>15993</v>
      </c>
      <c r="C1958" t="s">
        <v>1412</v>
      </c>
      <c r="D1958" t="s">
        <v>1413</v>
      </c>
      <c r="E1958" t="s">
        <v>445</v>
      </c>
      <c r="F1958" t="s">
        <v>158</v>
      </c>
      <c r="G1958" t="s">
        <v>157</v>
      </c>
      <c r="H1958" t="s">
        <v>156</v>
      </c>
      <c r="I1958" t="s">
        <v>424</v>
      </c>
      <c r="J1958" t="s">
        <v>420</v>
      </c>
      <c r="K1958" s="4">
        <v>1600</v>
      </c>
      <c r="L1958" s="4">
        <v>1600</v>
      </c>
      <c r="M1958" t="s">
        <v>44</v>
      </c>
      <c r="N1958" t="s">
        <v>77</v>
      </c>
      <c r="O1958" t="s">
        <v>99</v>
      </c>
      <c r="P1958" t="s">
        <v>99</v>
      </c>
      <c r="Q1958" t="s">
        <v>159</v>
      </c>
      <c r="R1958" t="s">
        <v>160</v>
      </c>
      <c r="S1958" t="s">
        <v>161</v>
      </c>
      <c r="T1958" t="s">
        <v>162</v>
      </c>
      <c r="U1958" t="s">
        <v>163</v>
      </c>
      <c r="V1958" t="s">
        <v>164</v>
      </c>
      <c r="W1958" t="s">
        <v>116</v>
      </c>
      <c r="X1958" t="s">
        <v>44</v>
      </c>
      <c r="Y1958" t="s">
        <v>99</v>
      </c>
      <c r="Z1958" t="s">
        <v>421</v>
      </c>
      <c r="AC1958" t="str">
        <f>IF(AA1958="",M1958,AA1958)</f>
        <v>sim</v>
      </c>
      <c r="AD1958" t="str">
        <f>IF(AB1958="",X1958,AB1958)</f>
        <v>sim</v>
      </c>
      <c r="AE1958" t="str">
        <f>IF(OR(Configuracao!B9="",Configuracao!B10=""),"aguardando limiar",IF(AND(K1958&gt;=Configuracao!B9,K1958/MAX(Reconciliacao!C2,1)&gt;=Configuracao!B10/100),"sim","não"))</f>
        <v>aguardando limiar</v>
      </c>
    </row>
    <row r="1959" spans="1:31" x14ac:dyDescent="0.25">
      <c r="A1959">
        <v>16010</v>
      </c>
      <c r="C1959" t="s">
        <v>1439</v>
      </c>
      <c r="D1959" t="s">
        <v>1440</v>
      </c>
      <c r="E1959" t="s">
        <v>465</v>
      </c>
      <c r="F1959" t="s">
        <v>158</v>
      </c>
      <c r="G1959" t="s">
        <v>157</v>
      </c>
      <c r="H1959" t="s">
        <v>156</v>
      </c>
      <c r="I1959" t="s">
        <v>424</v>
      </c>
      <c r="J1959" t="s">
        <v>420</v>
      </c>
      <c r="K1959" s="4">
        <v>1600</v>
      </c>
      <c r="L1959" s="4">
        <v>1600</v>
      </c>
      <c r="M1959" t="s">
        <v>44</v>
      </c>
      <c r="N1959" t="s">
        <v>77</v>
      </c>
      <c r="O1959" t="s">
        <v>99</v>
      </c>
      <c r="P1959" t="s">
        <v>99</v>
      </c>
      <c r="Q1959" t="s">
        <v>159</v>
      </c>
      <c r="R1959" t="s">
        <v>160</v>
      </c>
      <c r="S1959" t="s">
        <v>161</v>
      </c>
      <c r="T1959" t="s">
        <v>162</v>
      </c>
      <c r="U1959" t="s">
        <v>163</v>
      </c>
      <c r="V1959" t="s">
        <v>164</v>
      </c>
      <c r="W1959" t="s">
        <v>116</v>
      </c>
      <c r="X1959" t="s">
        <v>44</v>
      </c>
      <c r="Y1959" t="s">
        <v>99</v>
      </c>
      <c r="Z1959" t="s">
        <v>421</v>
      </c>
      <c r="AC1959" t="str">
        <f>IF(AA1959="",M1959,AA1959)</f>
        <v>sim</v>
      </c>
      <c r="AD1959" t="str">
        <f>IF(AB1959="",X1959,AB1959)</f>
        <v>sim</v>
      </c>
      <c r="AE1959" t="str">
        <f>IF(OR(Configuracao!B9="",Configuracao!B10=""),"aguardando limiar",IF(AND(K1959&gt;=Configuracao!B9,K1959/MAX(Reconciliacao!C2,1)&gt;=Configuracao!B10/100),"sim","não"))</f>
        <v>aguardando limiar</v>
      </c>
    </row>
    <row r="1960" spans="1:31" x14ac:dyDescent="0.25">
      <c r="A1960">
        <v>16180</v>
      </c>
      <c r="C1960" t="s">
        <v>1412</v>
      </c>
      <c r="D1960" t="s">
        <v>1413</v>
      </c>
      <c r="E1960" t="s">
        <v>445</v>
      </c>
      <c r="F1960" t="s">
        <v>158</v>
      </c>
      <c r="G1960" t="s">
        <v>157</v>
      </c>
      <c r="H1960" t="s">
        <v>156</v>
      </c>
      <c r="I1960" t="s">
        <v>454</v>
      </c>
      <c r="J1960" t="s">
        <v>461</v>
      </c>
      <c r="K1960" s="4">
        <v>1600</v>
      </c>
      <c r="L1960" s="4">
        <v>1600</v>
      </c>
      <c r="M1960" t="s">
        <v>44</v>
      </c>
      <c r="N1960" t="s">
        <v>77</v>
      </c>
      <c r="O1960" t="s">
        <v>99</v>
      </c>
      <c r="P1960" t="s">
        <v>99</v>
      </c>
      <c r="Q1960" t="s">
        <v>159</v>
      </c>
      <c r="R1960" t="s">
        <v>160</v>
      </c>
      <c r="S1960" t="s">
        <v>161</v>
      </c>
      <c r="T1960" t="s">
        <v>162</v>
      </c>
      <c r="U1960" t="s">
        <v>163</v>
      </c>
      <c r="V1960" t="s">
        <v>164</v>
      </c>
      <c r="W1960" t="s">
        <v>116</v>
      </c>
      <c r="X1960" t="s">
        <v>44</v>
      </c>
      <c r="Y1960" t="s">
        <v>99</v>
      </c>
      <c r="Z1960" t="s">
        <v>421</v>
      </c>
      <c r="AC1960" t="str">
        <f>IF(AA1960="",M1960,AA1960)</f>
        <v>sim</v>
      </c>
      <c r="AD1960" t="str">
        <f>IF(AB1960="",X1960,AB1960)</f>
        <v>sim</v>
      </c>
      <c r="AE1960" t="str">
        <f>IF(OR(Configuracao!B9="",Configuracao!B10=""),"aguardando limiar",IF(AND(K1960&gt;=Configuracao!B9,K1960/MAX(Reconciliacao!C2,1)&gt;=Configuracao!B10/100),"sim","não"))</f>
        <v>aguardando limiar</v>
      </c>
    </row>
    <row r="1961" spans="1:31" x14ac:dyDescent="0.25">
      <c r="A1961">
        <v>16197</v>
      </c>
      <c r="C1961" t="s">
        <v>1439</v>
      </c>
      <c r="D1961" t="s">
        <v>1440</v>
      </c>
      <c r="E1961" t="s">
        <v>465</v>
      </c>
      <c r="F1961" t="s">
        <v>158</v>
      </c>
      <c r="G1961" t="s">
        <v>157</v>
      </c>
      <c r="H1961" t="s">
        <v>156</v>
      </c>
      <c r="I1961" t="s">
        <v>454</v>
      </c>
      <c r="J1961" t="s">
        <v>461</v>
      </c>
      <c r="K1961" s="4">
        <v>1600</v>
      </c>
      <c r="L1961" s="4">
        <v>1600</v>
      </c>
      <c r="M1961" t="s">
        <v>44</v>
      </c>
      <c r="N1961" t="s">
        <v>77</v>
      </c>
      <c r="O1961" t="s">
        <v>99</v>
      </c>
      <c r="P1961" t="s">
        <v>99</v>
      </c>
      <c r="Q1961" t="s">
        <v>159</v>
      </c>
      <c r="R1961" t="s">
        <v>160</v>
      </c>
      <c r="S1961" t="s">
        <v>161</v>
      </c>
      <c r="T1961" t="s">
        <v>162</v>
      </c>
      <c r="U1961" t="s">
        <v>163</v>
      </c>
      <c r="V1961" t="s">
        <v>164</v>
      </c>
      <c r="W1961" t="s">
        <v>116</v>
      </c>
      <c r="X1961" t="s">
        <v>44</v>
      </c>
      <c r="Y1961" t="s">
        <v>99</v>
      </c>
      <c r="Z1961" t="s">
        <v>421</v>
      </c>
      <c r="AC1961" t="str">
        <f>IF(AA1961="",M1961,AA1961)</f>
        <v>sim</v>
      </c>
      <c r="AD1961" t="str">
        <f>IF(AB1961="",X1961,AB1961)</f>
        <v>sim</v>
      </c>
      <c r="AE1961" t="str">
        <f>IF(OR(Configuracao!B9="",Configuracao!B10=""),"aguardando limiar",IF(AND(K1961&gt;=Configuracao!B9,K1961/MAX(Reconciliacao!C2,1)&gt;=Configuracao!B10/100),"sim","não"))</f>
        <v>aguardando limiar</v>
      </c>
    </row>
    <row r="1962" spans="1:31" x14ac:dyDescent="0.25">
      <c r="A1962">
        <v>17260</v>
      </c>
      <c r="C1962" t="s">
        <v>1447</v>
      </c>
      <c r="D1962" t="s">
        <v>1448</v>
      </c>
      <c r="E1962" t="s">
        <v>467</v>
      </c>
      <c r="F1962" t="s">
        <v>158</v>
      </c>
      <c r="G1962" t="s">
        <v>157</v>
      </c>
      <c r="H1962" t="s">
        <v>156</v>
      </c>
      <c r="I1962" t="s">
        <v>461</v>
      </c>
      <c r="J1962" t="s">
        <v>442</v>
      </c>
      <c r="K1962" s="4">
        <v>1600</v>
      </c>
      <c r="L1962" s="4">
        <v>1600</v>
      </c>
      <c r="M1962" t="s">
        <v>44</v>
      </c>
      <c r="N1962" t="s">
        <v>77</v>
      </c>
      <c r="O1962" t="s">
        <v>99</v>
      </c>
      <c r="P1962" t="s">
        <v>99</v>
      </c>
      <c r="Q1962" t="s">
        <v>159</v>
      </c>
      <c r="R1962" t="s">
        <v>160</v>
      </c>
      <c r="S1962" t="s">
        <v>161</v>
      </c>
      <c r="T1962" t="s">
        <v>162</v>
      </c>
      <c r="U1962" t="s">
        <v>163</v>
      </c>
      <c r="V1962" t="s">
        <v>164</v>
      </c>
      <c r="W1962" t="s">
        <v>116</v>
      </c>
      <c r="X1962" t="s">
        <v>44</v>
      </c>
      <c r="Y1962" t="s">
        <v>99</v>
      </c>
      <c r="Z1962" t="s">
        <v>421</v>
      </c>
      <c r="AC1962" t="str">
        <f>IF(AA1962="",M1962,AA1962)</f>
        <v>sim</v>
      </c>
      <c r="AD1962" t="str">
        <f>IF(AB1962="",X1962,AB1962)</f>
        <v>sim</v>
      </c>
      <c r="AE1962" t="str">
        <f>IF(OR(Configuracao!B9="",Configuracao!B10=""),"aguardando limiar",IF(AND(K1962&gt;=Configuracao!B9,K1962/MAX(Reconciliacao!C2,1)&gt;=Configuracao!B10/100),"sim","não"))</f>
        <v>aguardando limiar</v>
      </c>
    </row>
    <row r="1963" spans="1:31" x14ac:dyDescent="0.25">
      <c r="A1963">
        <v>17273</v>
      </c>
      <c r="C1963" t="s">
        <v>1412</v>
      </c>
      <c r="D1963" t="s">
        <v>1413</v>
      </c>
      <c r="E1963" t="s">
        <v>445</v>
      </c>
      <c r="F1963" t="s">
        <v>158</v>
      </c>
      <c r="G1963" t="s">
        <v>157</v>
      </c>
      <c r="H1963" t="s">
        <v>156</v>
      </c>
      <c r="I1963" t="s">
        <v>461</v>
      </c>
      <c r="J1963" t="s">
        <v>442</v>
      </c>
      <c r="K1963" s="4">
        <v>1600</v>
      </c>
      <c r="L1963" s="4">
        <v>1600</v>
      </c>
      <c r="M1963" t="s">
        <v>44</v>
      </c>
      <c r="N1963" t="s">
        <v>77</v>
      </c>
      <c r="O1963" t="s">
        <v>99</v>
      </c>
      <c r="P1963" t="s">
        <v>99</v>
      </c>
      <c r="Q1963" t="s">
        <v>159</v>
      </c>
      <c r="R1963" t="s">
        <v>160</v>
      </c>
      <c r="S1963" t="s">
        <v>161</v>
      </c>
      <c r="T1963" t="s">
        <v>162</v>
      </c>
      <c r="U1963" t="s">
        <v>163</v>
      </c>
      <c r="V1963" t="s">
        <v>164</v>
      </c>
      <c r="W1963" t="s">
        <v>116</v>
      </c>
      <c r="X1963" t="s">
        <v>44</v>
      </c>
      <c r="Y1963" t="s">
        <v>99</v>
      </c>
      <c r="Z1963" t="s">
        <v>421</v>
      </c>
      <c r="AC1963" t="str">
        <f>IF(AA1963="",M1963,AA1963)</f>
        <v>sim</v>
      </c>
      <c r="AD1963" t="str">
        <f>IF(AB1963="",X1963,AB1963)</f>
        <v>sim</v>
      </c>
      <c r="AE1963" t="str">
        <f>IF(OR(Configuracao!B9="",Configuracao!B10=""),"aguardando limiar",IF(AND(K1963&gt;=Configuracao!B9,K1963/MAX(Reconciliacao!C2,1)&gt;=Configuracao!B10/100),"sim","não"))</f>
        <v>aguardando limiar</v>
      </c>
    </row>
    <row r="1964" spans="1:31" x14ac:dyDescent="0.25">
      <c r="A1964">
        <v>17290</v>
      </c>
      <c r="C1964" t="s">
        <v>1439</v>
      </c>
      <c r="D1964" t="s">
        <v>1440</v>
      </c>
      <c r="E1964" t="s">
        <v>465</v>
      </c>
      <c r="F1964" t="s">
        <v>158</v>
      </c>
      <c r="G1964" t="s">
        <v>157</v>
      </c>
      <c r="H1964" t="s">
        <v>156</v>
      </c>
      <c r="I1964" t="s">
        <v>461</v>
      </c>
      <c r="J1964" t="s">
        <v>442</v>
      </c>
      <c r="K1964" s="4">
        <v>1600</v>
      </c>
      <c r="L1964" s="4">
        <v>1600</v>
      </c>
      <c r="M1964" t="s">
        <v>44</v>
      </c>
      <c r="N1964" t="s">
        <v>77</v>
      </c>
      <c r="O1964" t="s">
        <v>99</v>
      </c>
      <c r="P1964" t="s">
        <v>99</v>
      </c>
      <c r="Q1964" t="s">
        <v>159</v>
      </c>
      <c r="R1964" t="s">
        <v>160</v>
      </c>
      <c r="S1964" t="s">
        <v>161</v>
      </c>
      <c r="T1964" t="s">
        <v>162</v>
      </c>
      <c r="U1964" t="s">
        <v>163</v>
      </c>
      <c r="V1964" t="s">
        <v>164</v>
      </c>
      <c r="W1964" t="s">
        <v>116</v>
      </c>
      <c r="X1964" t="s">
        <v>44</v>
      </c>
      <c r="Y1964" t="s">
        <v>99</v>
      </c>
      <c r="Z1964" t="s">
        <v>421</v>
      </c>
      <c r="AC1964" t="str">
        <f>IF(AA1964="",M1964,AA1964)</f>
        <v>sim</v>
      </c>
      <c r="AD1964" t="str">
        <f>IF(AB1964="",X1964,AB1964)</f>
        <v>sim</v>
      </c>
      <c r="AE1964" t="str">
        <f>IF(OR(Configuracao!B9="",Configuracao!B10=""),"aguardando limiar",IF(AND(K1964&gt;=Configuracao!B9,K1964/MAX(Reconciliacao!C2,1)&gt;=Configuracao!B10/100),"sim","não"))</f>
        <v>aguardando limiar</v>
      </c>
    </row>
    <row r="1965" spans="1:31" x14ac:dyDescent="0.25">
      <c r="A1965">
        <v>17949</v>
      </c>
      <c r="C1965" t="s">
        <v>1447</v>
      </c>
      <c r="D1965" t="s">
        <v>1448</v>
      </c>
      <c r="E1965" t="s">
        <v>467</v>
      </c>
      <c r="F1965" t="s">
        <v>158</v>
      </c>
      <c r="G1965" t="s">
        <v>157</v>
      </c>
      <c r="H1965" t="s">
        <v>156</v>
      </c>
      <c r="I1965" t="s">
        <v>442</v>
      </c>
      <c r="J1965" t="s">
        <v>439</v>
      </c>
      <c r="K1965" s="4">
        <v>1600</v>
      </c>
      <c r="L1965" s="4">
        <v>1600</v>
      </c>
      <c r="M1965" t="s">
        <v>44</v>
      </c>
      <c r="N1965" t="s">
        <v>77</v>
      </c>
      <c r="O1965" t="s">
        <v>99</v>
      </c>
      <c r="P1965" t="s">
        <v>99</v>
      </c>
      <c r="Q1965" t="s">
        <v>159</v>
      </c>
      <c r="R1965" t="s">
        <v>160</v>
      </c>
      <c r="S1965" t="s">
        <v>161</v>
      </c>
      <c r="T1965" t="s">
        <v>162</v>
      </c>
      <c r="U1965" t="s">
        <v>163</v>
      </c>
      <c r="V1965" t="s">
        <v>164</v>
      </c>
      <c r="W1965" t="s">
        <v>116</v>
      </c>
      <c r="X1965" t="s">
        <v>44</v>
      </c>
      <c r="Y1965" t="s">
        <v>99</v>
      </c>
      <c r="Z1965" t="s">
        <v>421</v>
      </c>
      <c r="AC1965" t="str">
        <f>IF(AA1965="",M1965,AA1965)</f>
        <v>sim</v>
      </c>
      <c r="AD1965" t="str">
        <f>IF(AB1965="",X1965,AB1965)</f>
        <v>sim</v>
      </c>
      <c r="AE1965" t="str">
        <f>IF(OR(Configuracao!B9="",Configuracao!B10=""),"aguardando limiar",IF(AND(K1965&gt;=Configuracao!B9,K1965/MAX(Reconciliacao!C2,1)&gt;=Configuracao!B10/100),"sim","não"))</f>
        <v>aguardando limiar</v>
      </c>
    </row>
    <row r="1966" spans="1:31" x14ac:dyDescent="0.25">
      <c r="A1966">
        <v>17960</v>
      </c>
      <c r="C1966" t="s">
        <v>1412</v>
      </c>
      <c r="D1966" t="s">
        <v>1413</v>
      </c>
      <c r="E1966" t="s">
        <v>445</v>
      </c>
      <c r="F1966" t="s">
        <v>158</v>
      </c>
      <c r="G1966" t="s">
        <v>157</v>
      </c>
      <c r="H1966" t="s">
        <v>156</v>
      </c>
      <c r="I1966" t="s">
        <v>442</v>
      </c>
      <c r="J1966" t="s">
        <v>439</v>
      </c>
      <c r="K1966" s="4">
        <v>1600</v>
      </c>
      <c r="L1966" s="4">
        <v>1600</v>
      </c>
      <c r="M1966" t="s">
        <v>44</v>
      </c>
      <c r="N1966" t="s">
        <v>77</v>
      </c>
      <c r="O1966" t="s">
        <v>99</v>
      </c>
      <c r="P1966" t="s">
        <v>99</v>
      </c>
      <c r="Q1966" t="s">
        <v>159</v>
      </c>
      <c r="R1966" t="s">
        <v>160</v>
      </c>
      <c r="S1966" t="s">
        <v>161</v>
      </c>
      <c r="T1966" t="s">
        <v>162</v>
      </c>
      <c r="U1966" t="s">
        <v>163</v>
      </c>
      <c r="V1966" t="s">
        <v>164</v>
      </c>
      <c r="W1966" t="s">
        <v>116</v>
      </c>
      <c r="X1966" t="s">
        <v>44</v>
      </c>
      <c r="Y1966" t="s">
        <v>99</v>
      </c>
      <c r="Z1966" t="s">
        <v>421</v>
      </c>
      <c r="AC1966" t="str">
        <f>IF(AA1966="",M1966,AA1966)</f>
        <v>sim</v>
      </c>
      <c r="AD1966" t="str">
        <f>IF(AB1966="",X1966,AB1966)</f>
        <v>sim</v>
      </c>
      <c r="AE1966" t="str">
        <f>IF(OR(Configuracao!B9="",Configuracao!B10=""),"aguardando limiar",IF(AND(K1966&gt;=Configuracao!B9,K1966/MAX(Reconciliacao!C2,1)&gt;=Configuracao!B10/100),"sim","não"))</f>
        <v>aguardando limiar</v>
      </c>
    </row>
    <row r="1967" spans="1:31" x14ac:dyDescent="0.25">
      <c r="A1967">
        <v>17975</v>
      </c>
      <c r="C1967" t="s">
        <v>1439</v>
      </c>
      <c r="D1967" t="s">
        <v>1440</v>
      </c>
      <c r="E1967" t="s">
        <v>465</v>
      </c>
      <c r="F1967" t="s">
        <v>158</v>
      </c>
      <c r="G1967" t="s">
        <v>157</v>
      </c>
      <c r="H1967" t="s">
        <v>156</v>
      </c>
      <c r="I1967" t="s">
        <v>442</v>
      </c>
      <c r="J1967" t="s">
        <v>439</v>
      </c>
      <c r="K1967" s="4">
        <v>1600</v>
      </c>
      <c r="L1967" s="4">
        <v>1600</v>
      </c>
      <c r="M1967" t="s">
        <v>44</v>
      </c>
      <c r="N1967" t="s">
        <v>77</v>
      </c>
      <c r="O1967" t="s">
        <v>99</v>
      </c>
      <c r="P1967" t="s">
        <v>99</v>
      </c>
      <c r="Q1967" t="s">
        <v>159</v>
      </c>
      <c r="R1967" t="s">
        <v>160</v>
      </c>
      <c r="S1967" t="s">
        <v>161</v>
      </c>
      <c r="T1967" t="s">
        <v>162</v>
      </c>
      <c r="U1967" t="s">
        <v>163</v>
      </c>
      <c r="V1967" t="s">
        <v>164</v>
      </c>
      <c r="W1967" t="s">
        <v>116</v>
      </c>
      <c r="X1967" t="s">
        <v>44</v>
      </c>
      <c r="Y1967" t="s">
        <v>99</v>
      </c>
      <c r="Z1967" t="s">
        <v>421</v>
      </c>
      <c r="AC1967" t="str">
        <f>IF(AA1967="",M1967,AA1967)</f>
        <v>sim</v>
      </c>
      <c r="AD1967" t="str">
        <f>IF(AB1967="",X1967,AB1967)</f>
        <v>sim</v>
      </c>
      <c r="AE1967" t="str">
        <f>IF(OR(Configuracao!B9="",Configuracao!B10=""),"aguardando limiar",IF(AND(K1967&gt;=Configuracao!B9,K1967/MAX(Reconciliacao!C2,1)&gt;=Configuracao!B10/100),"sim","não"))</f>
        <v>aguardando limiar</v>
      </c>
    </row>
    <row r="1968" spans="1:31" x14ac:dyDescent="0.25">
      <c r="A1968">
        <v>18792</v>
      </c>
      <c r="C1968" t="s">
        <v>1447</v>
      </c>
      <c r="D1968" t="s">
        <v>1448</v>
      </c>
      <c r="E1968" t="s">
        <v>467</v>
      </c>
      <c r="F1968" t="s">
        <v>158</v>
      </c>
      <c r="G1968" t="s">
        <v>157</v>
      </c>
      <c r="H1968" t="s">
        <v>156</v>
      </c>
      <c r="I1968" t="s">
        <v>439</v>
      </c>
      <c r="J1968" t="s">
        <v>35</v>
      </c>
      <c r="K1968" s="4">
        <v>1600</v>
      </c>
      <c r="L1968" s="4">
        <v>1600</v>
      </c>
      <c r="M1968" t="s">
        <v>44</v>
      </c>
      <c r="N1968" t="s">
        <v>77</v>
      </c>
      <c r="O1968" t="s">
        <v>99</v>
      </c>
      <c r="P1968" t="s">
        <v>99</v>
      </c>
      <c r="Q1968" t="s">
        <v>159</v>
      </c>
      <c r="R1968" t="s">
        <v>160</v>
      </c>
      <c r="S1968" t="s">
        <v>161</v>
      </c>
      <c r="T1968" t="s">
        <v>162</v>
      </c>
      <c r="U1968" t="s">
        <v>163</v>
      </c>
      <c r="V1968" t="s">
        <v>164</v>
      </c>
      <c r="W1968" t="s">
        <v>116</v>
      </c>
      <c r="X1968" t="s">
        <v>44</v>
      </c>
      <c r="Y1968" t="s">
        <v>99</v>
      </c>
      <c r="Z1968" t="s">
        <v>421</v>
      </c>
      <c r="AC1968" t="str">
        <f>IF(AA1968="",M1968,AA1968)</f>
        <v>sim</v>
      </c>
      <c r="AD1968" t="str">
        <f>IF(AB1968="",X1968,AB1968)</f>
        <v>sim</v>
      </c>
      <c r="AE1968" t="str">
        <f>IF(OR(Configuracao!B9="",Configuracao!B10=""),"aguardando limiar",IF(AND(K1968&gt;=Configuracao!B9,K1968/MAX(Reconciliacao!C2,1)&gt;=Configuracao!B10/100),"sim","não"))</f>
        <v>aguardando limiar</v>
      </c>
    </row>
    <row r="1969" spans="1:31" x14ac:dyDescent="0.25">
      <c r="A1969">
        <v>18803</v>
      </c>
      <c r="C1969" t="s">
        <v>1412</v>
      </c>
      <c r="D1969" t="s">
        <v>1413</v>
      </c>
      <c r="E1969" t="s">
        <v>445</v>
      </c>
      <c r="F1969" t="s">
        <v>158</v>
      </c>
      <c r="G1969" t="s">
        <v>157</v>
      </c>
      <c r="H1969" t="s">
        <v>156</v>
      </c>
      <c r="I1969" t="s">
        <v>439</v>
      </c>
      <c r="J1969" t="s">
        <v>35</v>
      </c>
      <c r="K1969" s="4">
        <v>1600</v>
      </c>
      <c r="L1969" s="4">
        <v>1600</v>
      </c>
      <c r="M1969" t="s">
        <v>44</v>
      </c>
      <c r="N1969" t="s">
        <v>77</v>
      </c>
      <c r="O1969" t="s">
        <v>99</v>
      </c>
      <c r="P1969" t="s">
        <v>99</v>
      </c>
      <c r="Q1969" t="s">
        <v>159</v>
      </c>
      <c r="R1969" t="s">
        <v>160</v>
      </c>
      <c r="S1969" t="s">
        <v>161</v>
      </c>
      <c r="T1969" t="s">
        <v>162</v>
      </c>
      <c r="U1969" t="s">
        <v>163</v>
      </c>
      <c r="V1969" t="s">
        <v>164</v>
      </c>
      <c r="W1969" t="s">
        <v>116</v>
      </c>
      <c r="X1969" t="s">
        <v>44</v>
      </c>
      <c r="Y1969" t="s">
        <v>99</v>
      </c>
      <c r="Z1969" t="s">
        <v>421</v>
      </c>
      <c r="AC1969" t="str">
        <f>IF(AA1969="",M1969,AA1969)</f>
        <v>sim</v>
      </c>
      <c r="AD1969" t="str">
        <f>IF(AB1969="",X1969,AB1969)</f>
        <v>sim</v>
      </c>
      <c r="AE1969" t="str">
        <f>IF(OR(Configuracao!B9="",Configuracao!B10=""),"aguardando limiar",IF(AND(K1969&gt;=Configuracao!B9,K1969/MAX(Reconciliacao!C2,1)&gt;=Configuracao!B10/100),"sim","não"))</f>
        <v>aguardando limiar</v>
      </c>
    </row>
    <row r="1970" spans="1:31" x14ac:dyDescent="0.25">
      <c r="A1970">
        <v>18818</v>
      </c>
      <c r="C1970" t="s">
        <v>1439</v>
      </c>
      <c r="D1970" t="s">
        <v>1440</v>
      </c>
      <c r="E1970" t="s">
        <v>465</v>
      </c>
      <c r="F1970" t="s">
        <v>158</v>
      </c>
      <c r="G1970" t="s">
        <v>157</v>
      </c>
      <c r="H1970" t="s">
        <v>156</v>
      </c>
      <c r="I1970" t="s">
        <v>439</v>
      </c>
      <c r="J1970" t="s">
        <v>35</v>
      </c>
      <c r="K1970" s="4">
        <v>1600</v>
      </c>
      <c r="L1970" s="4">
        <v>1600</v>
      </c>
      <c r="M1970" t="s">
        <v>44</v>
      </c>
      <c r="N1970" t="s">
        <v>77</v>
      </c>
      <c r="O1970" t="s">
        <v>99</v>
      </c>
      <c r="P1970" t="s">
        <v>99</v>
      </c>
      <c r="Q1970" t="s">
        <v>159</v>
      </c>
      <c r="R1970" t="s">
        <v>160</v>
      </c>
      <c r="S1970" t="s">
        <v>161</v>
      </c>
      <c r="T1970" t="s">
        <v>162</v>
      </c>
      <c r="U1970" t="s">
        <v>163</v>
      </c>
      <c r="V1970" t="s">
        <v>164</v>
      </c>
      <c r="W1970" t="s">
        <v>116</v>
      </c>
      <c r="X1970" t="s">
        <v>44</v>
      </c>
      <c r="Y1970" t="s">
        <v>99</v>
      </c>
      <c r="Z1970" t="s">
        <v>421</v>
      </c>
      <c r="AC1970" t="str">
        <f>IF(AA1970="",M1970,AA1970)</f>
        <v>sim</v>
      </c>
      <c r="AD1970" t="str">
        <f>IF(AB1970="",X1970,AB1970)</f>
        <v>sim</v>
      </c>
      <c r="AE1970" t="str">
        <f>IF(OR(Configuracao!B9="",Configuracao!B10=""),"aguardando limiar",IF(AND(K1970&gt;=Configuracao!B9,K1970/MAX(Reconciliacao!C2,1)&gt;=Configuracao!B10/100),"sim","não"))</f>
        <v>aguardando limiar</v>
      </c>
    </row>
    <row r="1971" spans="1:31" x14ac:dyDescent="0.25">
      <c r="A1971">
        <v>12961</v>
      </c>
      <c r="C1971" t="s">
        <v>1467</v>
      </c>
      <c r="D1971" t="s">
        <v>1468</v>
      </c>
      <c r="E1971" t="s">
        <v>465</v>
      </c>
      <c r="F1971" t="s">
        <v>158</v>
      </c>
      <c r="G1971" t="s">
        <v>157</v>
      </c>
      <c r="H1971" t="s">
        <v>156</v>
      </c>
      <c r="I1971" t="s">
        <v>420</v>
      </c>
      <c r="J1971" t="s">
        <v>424</v>
      </c>
      <c r="K1971" s="4">
        <v>2040</v>
      </c>
      <c r="L1971" s="4">
        <v>2040</v>
      </c>
      <c r="M1971" t="s">
        <v>44</v>
      </c>
      <c r="N1971" t="s">
        <v>77</v>
      </c>
      <c r="O1971" t="s">
        <v>99</v>
      </c>
      <c r="P1971" t="s">
        <v>99</v>
      </c>
      <c r="Q1971" t="s">
        <v>159</v>
      </c>
      <c r="R1971" t="s">
        <v>160</v>
      </c>
      <c r="S1971" t="s">
        <v>161</v>
      </c>
      <c r="T1971" t="s">
        <v>162</v>
      </c>
      <c r="U1971" t="s">
        <v>163</v>
      </c>
      <c r="V1971" t="s">
        <v>164</v>
      </c>
      <c r="W1971" t="s">
        <v>116</v>
      </c>
      <c r="X1971" t="s">
        <v>44</v>
      </c>
      <c r="Y1971" t="s">
        <v>99</v>
      </c>
      <c r="Z1971" t="s">
        <v>421</v>
      </c>
      <c r="AC1971" t="str">
        <f>IF(AA1971="",M1971,AA1971)</f>
        <v>sim</v>
      </c>
      <c r="AD1971" t="str">
        <f>IF(AB1971="",X1971,AB1971)</f>
        <v>sim</v>
      </c>
      <c r="AE1971" t="str">
        <f>IF(OR(Configuracao!B9="",Configuracao!B10=""),"aguardando limiar",IF(AND(K1971&gt;=Configuracao!B9,K1971/MAX(Reconciliacao!C2,1)&gt;=Configuracao!B10/100),"sim","não"))</f>
        <v>aguardando limiar</v>
      </c>
    </row>
    <row r="1972" spans="1:31" x14ac:dyDescent="0.25">
      <c r="A1972">
        <v>12940</v>
      </c>
      <c r="C1972" t="s">
        <v>1379</v>
      </c>
      <c r="D1972" t="s">
        <v>423</v>
      </c>
      <c r="E1972" t="s">
        <v>525</v>
      </c>
      <c r="F1972" t="s">
        <v>158</v>
      </c>
      <c r="G1972" t="s">
        <v>157</v>
      </c>
      <c r="H1972" t="s">
        <v>156</v>
      </c>
      <c r="I1972" t="s">
        <v>424</v>
      </c>
      <c r="J1972" t="s">
        <v>424</v>
      </c>
      <c r="K1972" s="4">
        <v>2500</v>
      </c>
      <c r="L1972" s="4">
        <v>2500</v>
      </c>
      <c r="M1972" t="s">
        <v>44</v>
      </c>
      <c r="N1972" t="s">
        <v>77</v>
      </c>
      <c r="O1972" t="s">
        <v>99</v>
      </c>
      <c r="P1972" t="s">
        <v>99</v>
      </c>
      <c r="Q1972" t="s">
        <v>159</v>
      </c>
      <c r="R1972" t="s">
        <v>160</v>
      </c>
      <c r="S1972" t="s">
        <v>161</v>
      </c>
      <c r="T1972" t="s">
        <v>162</v>
      </c>
      <c r="U1972" t="s">
        <v>163</v>
      </c>
      <c r="V1972" t="s">
        <v>164</v>
      </c>
      <c r="W1972" t="s">
        <v>116</v>
      </c>
      <c r="X1972" t="s">
        <v>44</v>
      </c>
      <c r="Y1972" t="s">
        <v>99</v>
      </c>
      <c r="Z1972" t="s">
        <v>421</v>
      </c>
      <c r="AC1972" t="str">
        <f>IF(AA1972="",M1972,AA1972)</f>
        <v>sim</v>
      </c>
      <c r="AD1972" t="str">
        <f>IF(AB1972="",X1972,AB1972)</f>
        <v>sim</v>
      </c>
      <c r="AE1972" t="str">
        <f>IF(OR(Configuracao!B9="",Configuracao!B10=""),"aguardando limiar",IF(AND(K1972&gt;=Configuracao!B9,K1972/MAX(Reconciliacao!C2,1)&gt;=Configuracao!B10/100),"sim","não"))</f>
        <v>aguardando limiar</v>
      </c>
    </row>
    <row r="1973" spans="1:31" x14ac:dyDescent="0.25">
      <c r="A1973">
        <v>14197</v>
      </c>
      <c r="C1973" t="s">
        <v>1379</v>
      </c>
      <c r="D1973" t="s">
        <v>423</v>
      </c>
      <c r="E1973" t="s">
        <v>525</v>
      </c>
      <c r="F1973" t="s">
        <v>158</v>
      </c>
      <c r="G1973" t="s">
        <v>157</v>
      </c>
      <c r="H1973" t="s">
        <v>156</v>
      </c>
      <c r="I1973" t="s">
        <v>420</v>
      </c>
      <c r="J1973" t="s">
        <v>454</v>
      </c>
      <c r="K1973" s="4">
        <v>2500</v>
      </c>
      <c r="L1973" s="4">
        <v>2500</v>
      </c>
      <c r="M1973" t="s">
        <v>44</v>
      </c>
      <c r="N1973" t="s">
        <v>77</v>
      </c>
      <c r="O1973" t="s">
        <v>99</v>
      </c>
      <c r="P1973" t="s">
        <v>99</v>
      </c>
      <c r="Q1973" t="s">
        <v>159</v>
      </c>
      <c r="R1973" t="s">
        <v>160</v>
      </c>
      <c r="S1973" t="s">
        <v>161</v>
      </c>
      <c r="T1973" t="s">
        <v>162</v>
      </c>
      <c r="U1973" t="s">
        <v>163</v>
      </c>
      <c r="V1973" t="s">
        <v>164</v>
      </c>
      <c r="W1973" t="s">
        <v>116</v>
      </c>
      <c r="X1973" t="s">
        <v>44</v>
      </c>
      <c r="Y1973" t="s">
        <v>99</v>
      </c>
      <c r="Z1973" t="s">
        <v>421</v>
      </c>
      <c r="AC1973" t="str">
        <f>IF(AA1973="",M1973,AA1973)</f>
        <v>sim</v>
      </c>
      <c r="AD1973" t="str">
        <f>IF(AB1973="",X1973,AB1973)</f>
        <v>sim</v>
      </c>
      <c r="AE1973" t="str">
        <f>IF(OR(Configuracao!B9="",Configuracao!B10=""),"aguardando limiar",IF(AND(K1973&gt;=Configuracao!B9,K1973/MAX(Reconciliacao!C2,1)&gt;=Configuracao!B10/100),"sim","não"))</f>
        <v>aguardando limiar</v>
      </c>
    </row>
    <row r="1974" spans="1:31" x14ac:dyDescent="0.25">
      <c r="A1974">
        <v>14599</v>
      </c>
      <c r="C1974" t="s">
        <v>1469</v>
      </c>
      <c r="D1974" t="s">
        <v>510</v>
      </c>
      <c r="E1974" t="s">
        <v>511</v>
      </c>
      <c r="F1974" t="s">
        <v>158</v>
      </c>
      <c r="G1974" t="s">
        <v>157</v>
      </c>
      <c r="H1974" t="s">
        <v>156</v>
      </c>
      <c r="I1974" t="s">
        <v>454</v>
      </c>
      <c r="J1974" t="s">
        <v>454</v>
      </c>
      <c r="K1974" s="4">
        <v>2500</v>
      </c>
      <c r="L1974" s="4">
        <v>2500</v>
      </c>
      <c r="M1974" t="s">
        <v>44</v>
      </c>
      <c r="N1974" t="s">
        <v>77</v>
      </c>
      <c r="O1974" t="s">
        <v>99</v>
      </c>
      <c r="P1974" t="s">
        <v>99</v>
      </c>
      <c r="Q1974" t="s">
        <v>159</v>
      </c>
      <c r="R1974" t="s">
        <v>160</v>
      </c>
      <c r="S1974" t="s">
        <v>161</v>
      </c>
      <c r="T1974" t="s">
        <v>162</v>
      </c>
      <c r="U1974" t="s">
        <v>163</v>
      </c>
      <c r="V1974" t="s">
        <v>164</v>
      </c>
      <c r="W1974" t="s">
        <v>116</v>
      </c>
      <c r="X1974" t="s">
        <v>44</v>
      </c>
      <c r="Y1974" t="s">
        <v>99</v>
      </c>
      <c r="Z1974" t="s">
        <v>421</v>
      </c>
      <c r="AC1974" t="str">
        <f>IF(AA1974="",M1974,AA1974)</f>
        <v>sim</v>
      </c>
      <c r="AD1974" t="str">
        <f>IF(AB1974="",X1974,AB1974)</f>
        <v>sim</v>
      </c>
      <c r="AE1974" t="str">
        <f>IF(OR(Configuracao!B9="",Configuracao!B10=""),"aguardando limiar",IF(AND(K1974&gt;=Configuracao!B9,K1974/MAX(Reconciliacao!C2,1)&gt;=Configuracao!B10/100),"sim","não"))</f>
        <v>aguardando limiar</v>
      </c>
    </row>
    <row r="1975" spans="1:31" x14ac:dyDescent="0.25">
      <c r="A1975">
        <v>15971</v>
      </c>
      <c r="C1975" t="s">
        <v>1379</v>
      </c>
      <c r="D1975" t="s">
        <v>423</v>
      </c>
      <c r="E1975" t="s">
        <v>525</v>
      </c>
      <c r="F1975" t="s">
        <v>158</v>
      </c>
      <c r="G1975" t="s">
        <v>157</v>
      </c>
      <c r="H1975" t="s">
        <v>156</v>
      </c>
      <c r="I1975" t="s">
        <v>424</v>
      </c>
      <c r="J1975" t="s">
        <v>420</v>
      </c>
      <c r="K1975" s="4">
        <v>2500</v>
      </c>
      <c r="L1975" s="4">
        <v>2500</v>
      </c>
      <c r="M1975" t="s">
        <v>44</v>
      </c>
      <c r="N1975" t="s">
        <v>77</v>
      </c>
      <c r="O1975" t="s">
        <v>99</v>
      </c>
      <c r="P1975" t="s">
        <v>99</v>
      </c>
      <c r="Q1975" t="s">
        <v>159</v>
      </c>
      <c r="R1975" t="s">
        <v>160</v>
      </c>
      <c r="S1975" t="s">
        <v>161</v>
      </c>
      <c r="T1975" t="s">
        <v>162</v>
      </c>
      <c r="U1975" t="s">
        <v>163</v>
      </c>
      <c r="V1975" t="s">
        <v>164</v>
      </c>
      <c r="W1975" t="s">
        <v>116</v>
      </c>
      <c r="X1975" t="s">
        <v>44</v>
      </c>
      <c r="Y1975" t="s">
        <v>99</v>
      </c>
      <c r="Z1975" t="s">
        <v>421</v>
      </c>
      <c r="AC1975" t="str">
        <f>IF(AA1975="",M1975,AA1975)</f>
        <v>sim</v>
      </c>
      <c r="AD1975" t="str">
        <f>IF(AB1975="",X1975,AB1975)</f>
        <v>sim</v>
      </c>
      <c r="AE1975" t="str">
        <f>IF(OR(Configuracao!B9="",Configuracao!B10=""),"aguardando limiar",IF(AND(K1975&gt;=Configuracao!B9,K1975/MAX(Reconciliacao!C2,1)&gt;=Configuracao!B10/100),"sim","não"))</f>
        <v>aguardando limiar</v>
      </c>
    </row>
    <row r="1976" spans="1:31" x14ac:dyDescent="0.25">
      <c r="A1976">
        <v>16154</v>
      </c>
      <c r="C1976" t="s">
        <v>1379</v>
      </c>
      <c r="D1976" t="s">
        <v>423</v>
      </c>
      <c r="E1976" t="s">
        <v>525</v>
      </c>
      <c r="F1976" t="s">
        <v>158</v>
      </c>
      <c r="G1976" t="s">
        <v>157</v>
      </c>
      <c r="H1976" t="s">
        <v>156</v>
      </c>
      <c r="I1976" t="s">
        <v>454</v>
      </c>
      <c r="J1976" t="s">
        <v>461</v>
      </c>
      <c r="K1976" s="4">
        <v>2500</v>
      </c>
      <c r="L1976" s="4">
        <v>2500</v>
      </c>
      <c r="M1976" t="s">
        <v>44</v>
      </c>
      <c r="N1976" t="s">
        <v>77</v>
      </c>
      <c r="O1976" t="s">
        <v>99</v>
      </c>
      <c r="P1976" t="s">
        <v>99</v>
      </c>
      <c r="Q1976" t="s">
        <v>159</v>
      </c>
      <c r="R1976" t="s">
        <v>160</v>
      </c>
      <c r="S1976" t="s">
        <v>161</v>
      </c>
      <c r="T1976" t="s">
        <v>162</v>
      </c>
      <c r="U1976" t="s">
        <v>163</v>
      </c>
      <c r="V1976" t="s">
        <v>164</v>
      </c>
      <c r="W1976" t="s">
        <v>116</v>
      </c>
      <c r="X1976" t="s">
        <v>44</v>
      </c>
      <c r="Y1976" t="s">
        <v>99</v>
      </c>
      <c r="Z1976" t="s">
        <v>421</v>
      </c>
      <c r="AC1976" t="str">
        <f>IF(AA1976="",M1976,AA1976)</f>
        <v>sim</v>
      </c>
      <c r="AD1976" t="str">
        <f>IF(AB1976="",X1976,AB1976)</f>
        <v>sim</v>
      </c>
      <c r="AE1976" t="str">
        <f>IF(OR(Configuracao!B9="",Configuracao!B10=""),"aguardando limiar",IF(AND(K1976&gt;=Configuracao!B9,K1976/MAX(Reconciliacao!C2,1)&gt;=Configuracao!B10/100),"sim","não"))</f>
        <v>aguardando limiar</v>
      </c>
    </row>
    <row r="1977" spans="1:31" x14ac:dyDescent="0.25">
      <c r="A1977">
        <v>17244</v>
      </c>
      <c r="C1977" t="s">
        <v>1379</v>
      </c>
      <c r="D1977" t="s">
        <v>423</v>
      </c>
      <c r="E1977" t="s">
        <v>525</v>
      </c>
      <c r="F1977" t="s">
        <v>158</v>
      </c>
      <c r="G1977" t="s">
        <v>157</v>
      </c>
      <c r="H1977" t="s">
        <v>156</v>
      </c>
      <c r="I1977" t="s">
        <v>461</v>
      </c>
      <c r="J1977" t="s">
        <v>442</v>
      </c>
      <c r="K1977" s="4">
        <v>2500</v>
      </c>
      <c r="L1977" s="4">
        <v>2500</v>
      </c>
      <c r="M1977" t="s">
        <v>44</v>
      </c>
      <c r="N1977" t="s">
        <v>77</v>
      </c>
      <c r="O1977" t="s">
        <v>99</v>
      </c>
      <c r="P1977" t="s">
        <v>99</v>
      </c>
      <c r="Q1977" t="s">
        <v>159</v>
      </c>
      <c r="R1977" t="s">
        <v>160</v>
      </c>
      <c r="S1977" t="s">
        <v>161</v>
      </c>
      <c r="T1977" t="s">
        <v>162</v>
      </c>
      <c r="U1977" t="s">
        <v>163</v>
      </c>
      <c r="V1977" t="s">
        <v>164</v>
      </c>
      <c r="W1977" t="s">
        <v>116</v>
      </c>
      <c r="X1977" t="s">
        <v>44</v>
      </c>
      <c r="Y1977" t="s">
        <v>99</v>
      </c>
      <c r="Z1977" t="s">
        <v>421</v>
      </c>
      <c r="AC1977" t="str">
        <f>IF(AA1977="",M1977,AA1977)</f>
        <v>sim</v>
      </c>
      <c r="AD1977" t="str">
        <f>IF(AB1977="",X1977,AB1977)</f>
        <v>sim</v>
      </c>
      <c r="AE1977" t="str">
        <f>IF(OR(Configuracao!B9="",Configuracao!B10=""),"aguardando limiar",IF(AND(K1977&gt;=Configuracao!B9,K1977/MAX(Reconciliacao!C2,1)&gt;=Configuracao!B10/100),"sim","não"))</f>
        <v>aguardando limiar</v>
      </c>
    </row>
    <row r="1978" spans="1:31" x14ac:dyDescent="0.25">
      <c r="A1978">
        <v>17933</v>
      </c>
      <c r="C1978" t="s">
        <v>1379</v>
      </c>
      <c r="D1978" t="s">
        <v>423</v>
      </c>
      <c r="E1978" t="s">
        <v>525</v>
      </c>
      <c r="F1978" t="s">
        <v>158</v>
      </c>
      <c r="G1978" t="s">
        <v>157</v>
      </c>
      <c r="H1978" t="s">
        <v>156</v>
      </c>
      <c r="I1978" t="s">
        <v>442</v>
      </c>
      <c r="J1978" t="s">
        <v>439</v>
      </c>
      <c r="K1978" s="4">
        <v>2500</v>
      </c>
      <c r="L1978" s="4">
        <v>2500</v>
      </c>
      <c r="M1978" t="s">
        <v>44</v>
      </c>
      <c r="N1978" t="s">
        <v>77</v>
      </c>
      <c r="O1978" t="s">
        <v>99</v>
      </c>
      <c r="P1978" t="s">
        <v>99</v>
      </c>
      <c r="Q1978" t="s">
        <v>159</v>
      </c>
      <c r="R1978" t="s">
        <v>160</v>
      </c>
      <c r="S1978" t="s">
        <v>161</v>
      </c>
      <c r="T1978" t="s">
        <v>162</v>
      </c>
      <c r="U1978" t="s">
        <v>163</v>
      </c>
      <c r="V1978" t="s">
        <v>164</v>
      </c>
      <c r="W1978" t="s">
        <v>116</v>
      </c>
      <c r="X1978" t="s">
        <v>44</v>
      </c>
      <c r="Y1978" t="s">
        <v>99</v>
      </c>
      <c r="Z1978" t="s">
        <v>421</v>
      </c>
      <c r="AC1978" t="str">
        <f>IF(AA1978="",M1978,AA1978)</f>
        <v>sim</v>
      </c>
      <c r="AD1978" t="str">
        <f>IF(AB1978="",X1978,AB1978)</f>
        <v>sim</v>
      </c>
      <c r="AE1978" t="str">
        <f>IF(OR(Configuracao!B9="",Configuracao!B10=""),"aguardando limiar",IF(AND(K1978&gt;=Configuracao!B9,K1978/MAX(Reconciliacao!C2,1)&gt;=Configuracao!B10/100),"sim","não"))</f>
        <v>aguardando limiar</v>
      </c>
    </row>
    <row r="1979" spans="1:31" x14ac:dyDescent="0.25">
      <c r="A1979">
        <v>18776</v>
      </c>
      <c r="C1979" t="s">
        <v>1379</v>
      </c>
      <c r="D1979" t="s">
        <v>423</v>
      </c>
      <c r="E1979" t="s">
        <v>525</v>
      </c>
      <c r="F1979" t="s">
        <v>158</v>
      </c>
      <c r="G1979" t="s">
        <v>157</v>
      </c>
      <c r="H1979" t="s">
        <v>156</v>
      </c>
      <c r="I1979" t="s">
        <v>439</v>
      </c>
      <c r="J1979" t="s">
        <v>35</v>
      </c>
      <c r="K1979" s="4">
        <v>2500</v>
      </c>
      <c r="L1979" s="4">
        <v>2500</v>
      </c>
      <c r="M1979" t="s">
        <v>44</v>
      </c>
      <c r="N1979" t="s">
        <v>77</v>
      </c>
      <c r="O1979" t="s">
        <v>99</v>
      </c>
      <c r="P1979" t="s">
        <v>99</v>
      </c>
      <c r="Q1979" t="s">
        <v>159</v>
      </c>
      <c r="R1979" t="s">
        <v>160</v>
      </c>
      <c r="S1979" t="s">
        <v>161</v>
      </c>
      <c r="T1979" t="s">
        <v>162</v>
      </c>
      <c r="U1979" t="s">
        <v>163</v>
      </c>
      <c r="V1979" t="s">
        <v>164</v>
      </c>
      <c r="W1979" t="s">
        <v>116</v>
      </c>
      <c r="X1979" t="s">
        <v>44</v>
      </c>
      <c r="Y1979" t="s">
        <v>99</v>
      </c>
      <c r="Z1979" t="s">
        <v>421</v>
      </c>
      <c r="AC1979" t="str">
        <f>IF(AA1979="",M1979,AA1979)</f>
        <v>sim</v>
      </c>
      <c r="AD1979" t="str">
        <f>IF(AB1979="",X1979,AB1979)</f>
        <v>sim</v>
      </c>
      <c r="AE1979" t="str">
        <f>IF(OR(Configuracao!B9="",Configuracao!B10=""),"aguardando limiar",IF(AND(K1979&gt;=Configuracao!B9,K1979/MAX(Reconciliacao!C2,1)&gt;=Configuracao!B10/100),"sim","não"))</f>
        <v>aguardando limiar</v>
      </c>
    </row>
    <row r="1980" spans="1:31" x14ac:dyDescent="0.25">
      <c r="A1980">
        <v>12970</v>
      </c>
      <c r="C1980" t="s">
        <v>1414</v>
      </c>
      <c r="D1980" t="s">
        <v>1415</v>
      </c>
      <c r="E1980" t="s">
        <v>467</v>
      </c>
      <c r="F1980" t="s">
        <v>158</v>
      </c>
      <c r="G1980" t="s">
        <v>157</v>
      </c>
      <c r="H1980" t="s">
        <v>156</v>
      </c>
      <c r="I1980" t="s">
        <v>424</v>
      </c>
      <c r="J1980" t="s">
        <v>424</v>
      </c>
      <c r="K1980" s="4">
        <v>3200</v>
      </c>
      <c r="L1980" s="4">
        <v>3200</v>
      </c>
      <c r="M1980" t="s">
        <v>44</v>
      </c>
      <c r="N1980" t="s">
        <v>77</v>
      </c>
      <c r="O1980" t="s">
        <v>99</v>
      </c>
      <c r="P1980" t="s">
        <v>99</v>
      </c>
      <c r="Q1980" t="s">
        <v>159</v>
      </c>
      <c r="R1980" t="s">
        <v>160</v>
      </c>
      <c r="S1980" t="s">
        <v>161</v>
      </c>
      <c r="T1980" t="s">
        <v>162</v>
      </c>
      <c r="U1980" t="s">
        <v>163</v>
      </c>
      <c r="V1980" t="s">
        <v>164</v>
      </c>
      <c r="W1980" t="s">
        <v>116</v>
      </c>
      <c r="X1980" t="s">
        <v>44</v>
      </c>
      <c r="Y1980" t="s">
        <v>99</v>
      </c>
      <c r="Z1980" t="s">
        <v>421</v>
      </c>
      <c r="AC1980" t="str">
        <f>IF(AA1980="",M1980,AA1980)</f>
        <v>sim</v>
      </c>
      <c r="AD1980" t="str">
        <f>IF(AB1980="",X1980,AB1980)</f>
        <v>sim</v>
      </c>
      <c r="AE1980" t="str">
        <f>IF(OR(Configuracao!B9="",Configuracao!B10=""),"aguardando limiar",IF(AND(K1980&gt;=Configuracao!B9,K1980/MAX(Reconciliacao!C2,1)&gt;=Configuracao!B10/100),"sim","não"))</f>
        <v>aguardando limiar</v>
      </c>
    </row>
    <row r="1981" spans="1:31" x14ac:dyDescent="0.25">
      <c r="A1981">
        <v>12982</v>
      </c>
      <c r="C1981" t="s">
        <v>1432</v>
      </c>
      <c r="D1981" t="s">
        <v>1433</v>
      </c>
      <c r="E1981" t="s">
        <v>467</v>
      </c>
      <c r="F1981" t="s">
        <v>158</v>
      </c>
      <c r="G1981" t="s">
        <v>157</v>
      </c>
      <c r="H1981" t="s">
        <v>156</v>
      </c>
      <c r="I1981" t="s">
        <v>424</v>
      </c>
      <c r="J1981" t="s">
        <v>424</v>
      </c>
      <c r="K1981" s="4">
        <v>3200</v>
      </c>
      <c r="L1981" s="4">
        <v>3200</v>
      </c>
      <c r="M1981" t="s">
        <v>44</v>
      </c>
      <c r="N1981" t="s">
        <v>77</v>
      </c>
      <c r="O1981" t="s">
        <v>99</v>
      </c>
      <c r="P1981" t="s">
        <v>99</v>
      </c>
      <c r="Q1981" t="s">
        <v>159</v>
      </c>
      <c r="R1981" t="s">
        <v>160</v>
      </c>
      <c r="S1981" t="s">
        <v>161</v>
      </c>
      <c r="T1981" t="s">
        <v>162</v>
      </c>
      <c r="U1981" t="s">
        <v>163</v>
      </c>
      <c r="V1981" t="s">
        <v>164</v>
      </c>
      <c r="W1981" t="s">
        <v>116</v>
      </c>
      <c r="X1981" t="s">
        <v>44</v>
      </c>
      <c r="Y1981" t="s">
        <v>99</v>
      </c>
      <c r="Z1981" t="s">
        <v>421</v>
      </c>
      <c r="AC1981" t="str">
        <f>IF(AA1981="",M1981,AA1981)</f>
        <v>sim</v>
      </c>
      <c r="AD1981" t="str">
        <f>IF(AB1981="",X1981,AB1981)</f>
        <v>sim</v>
      </c>
      <c r="AE1981" t="str">
        <f>IF(OR(Configuracao!B9="",Configuracao!B10=""),"aguardando limiar",IF(AND(K1981&gt;=Configuracao!B9,K1981/MAX(Reconciliacao!C2,1)&gt;=Configuracao!B10/100),"sim","não"))</f>
        <v>aguardando limiar</v>
      </c>
    </row>
    <row r="1982" spans="1:31" x14ac:dyDescent="0.25">
      <c r="A1982">
        <v>14229</v>
      </c>
      <c r="C1982" t="s">
        <v>1432</v>
      </c>
      <c r="D1982" t="s">
        <v>1433</v>
      </c>
      <c r="E1982" t="s">
        <v>467</v>
      </c>
      <c r="F1982" t="s">
        <v>158</v>
      </c>
      <c r="G1982" t="s">
        <v>157</v>
      </c>
      <c r="H1982" t="s">
        <v>156</v>
      </c>
      <c r="I1982" t="s">
        <v>420</v>
      </c>
      <c r="J1982" t="s">
        <v>454</v>
      </c>
      <c r="K1982" s="4">
        <v>3200</v>
      </c>
      <c r="L1982" s="4">
        <v>3200</v>
      </c>
      <c r="M1982" t="s">
        <v>44</v>
      </c>
      <c r="N1982" t="s">
        <v>77</v>
      </c>
      <c r="O1982" t="s">
        <v>99</v>
      </c>
      <c r="P1982" t="s">
        <v>99</v>
      </c>
      <c r="Q1982" t="s">
        <v>159</v>
      </c>
      <c r="R1982" t="s">
        <v>160</v>
      </c>
      <c r="S1982" t="s">
        <v>161</v>
      </c>
      <c r="T1982" t="s">
        <v>162</v>
      </c>
      <c r="U1982" t="s">
        <v>163</v>
      </c>
      <c r="V1982" t="s">
        <v>164</v>
      </c>
      <c r="W1982" t="s">
        <v>116</v>
      </c>
      <c r="X1982" t="s">
        <v>44</v>
      </c>
      <c r="Y1982" t="s">
        <v>99</v>
      </c>
      <c r="Z1982" t="s">
        <v>421</v>
      </c>
      <c r="AC1982" t="str">
        <f>IF(AA1982="",M1982,AA1982)</f>
        <v>sim</v>
      </c>
      <c r="AD1982" t="str">
        <f>IF(AB1982="",X1982,AB1982)</f>
        <v>sim</v>
      </c>
      <c r="AE1982" t="str">
        <f>IF(OR(Configuracao!B9="",Configuracao!B10=""),"aguardando limiar",IF(AND(K1982&gt;=Configuracao!B9,K1982/MAX(Reconciliacao!C2,1)&gt;=Configuracao!B10/100),"sim","não"))</f>
        <v>aguardando limiar</v>
      </c>
    </row>
    <row r="1983" spans="1:31" x14ac:dyDescent="0.25">
      <c r="A1983">
        <v>15994</v>
      </c>
      <c r="C1983" t="s">
        <v>1414</v>
      </c>
      <c r="D1983" t="s">
        <v>1415</v>
      </c>
      <c r="E1983" t="s">
        <v>467</v>
      </c>
      <c r="F1983" t="s">
        <v>158</v>
      </c>
      <c r="G1983" t="s">
        <v>157</v>
      </c>
      <c r="H1983" t="s">
        <v>156</v>
      </c>
      <c r="I1983" t="s">
        <v>424</v>
      </c>
      <c r="J1983" t="s">
        <v>420</v>
      </c>
      <c r="K1983" s="4">
        <v>3200</v>
      </c>
      <c r="L1983" s="4">
        <v>3200</v>
      </c>
      <c r="M1983" t="s">
        <v>44</v>
      </c>
      <c r="N1983" t="s">
        <v>77</v>
      </c>
      <c r="O1983" t="s">
        <v>99</v>
      </c>
      <c r="P1983" t="s">
        <v>99</v>
      </c>
      <c r="Q1983" t="s">
        <v>159</v>
      </c>
      <c r="R1983" t="s">
        <v>160</v>
      </c>
      <c r="S1983" t="s">
        <v>161</v>
      </c>
      <c r="T1983" t="s">
        <v>162</v>
      </c>
      <c r="U1983" t="s">
        <v>163</v>
      </c>
      <c r="V1983" t="s">
        <v>164</v>
      </c>
      <c r="W1983" t="s">
        <v>116</v>
      </c>
      <c r="X1983" t="s">
        <v>44</v>
      </c>
      <c r="Y1983" t="s">
        <v>99</v>
      </c>
      <c r="Z1983" t="s">
        <v>421</v>
      </c>
      <c r="AC1983" t="str">
        <f>IF(AA1983="",M1983,AA1983)</f>
        <v>sim</v>
      </c>
      <c r="AD1983" t="str">
        <f>IF(AB1983="",X1983,AB1983)</f>
        <v>sim</v>
      </c>
      <c r="AE1983" t="str">
        <f>IF(OR(Configuracao!B9="",Configuracao!B10=""),"aguardando limiar",IF(AND(K1983&gt;=Configuracao!B9,K1983/MAX(Reconciliacao!C2,1)&gt;=Configuracao!B10/100),"sim","não"))</f>
        <v>aguardando limiar</v>
      </c>
    </row>
    <row r="1984" spans="1:31" x14ac:dyDescent="0.25">
      <c r="A1984">
        <v>16004</v>
      </c>
      <c r="C1984" t="s">
        <v>1432</v>
      </c>
      <c r="D1984" t="s">
        <v>1433</v>
      </c>
      <c r="E1984" t="s">
        <v>467</v>
      </c>
      <c r="F1984" t="s">
        <v>158</v>
      </c>
      <c r="G1984" t="s">
        <v>157</v>
      </c>
      <c r="H1984" t="s">
        <v>156</v>
      </c>
      <c r="I1984" t="s">
        <v>424</v>
      </c>
      <c r="J1984" t="s">
        <v>420</v>
      </c>
      <c r="K1984" s="4">
        <v>3200</v>
      </c>
      <c r="L1984" s="4">
        <v>3200</v>
      </c>
      <c r="M1984" t="s">
        <v>44</v>
      </c>
      <c r="N1984" t="s">
        <v>77</v>
      </c>
      <c r="O1984" t="s">
        <v>99</v>
      </c>
      <c r="P1984" t="s">
        <v>99</v>
      </c>
      <c r="Q1984" t="s">
        <v>159</v>
      </c>
      <c r="R1984" t="s">
        <v>160</v>
      </c>
      <c r="S1984" t="s">
        <v>161</v>
      </c>
      <c r="T1984" t="s">
        <v>162</v>
      </c>
      <c r="U1984" t="s">
        <v>163</v>
      </c>
      <c r="V1984" t="s">
        <v>164</v>
      </c>
      <c r="W1984" t="s">
        <v>116</v>
      </c>
      <c r="X1984" t="s">
        <v>44</v>
      </c>
      <c r="Y1984" t="s">
        <v>99</v>
      </c>
      <c r="Z1984" t="s">
        <v>421</v>
      </c>
      <c r="AC1984" t="str">
        <f>IF(AA1984="",M1984,AA1984)</f>
        <v>sim</v>
      </c>
      <c r="AD1984" t="str">
        <f>IF(AB1984="",X1984,AB1984)</f>
        <v>sim</v>
      </c>
      <c r="AE1984" t="str">
        <f>IF(OR(Configuracao!B9="",Configuracao!B10=""),"aguardando limiar",IF(AND(K1984&gt;=Configuracao!B9,K1984/MAX(Reconciliacao!C2,1)&gt;=Configuracao!B10/100),"sim","não"))</f>
        <v>aguardando limiar</v>
      </c>
    </row>
    <row r="1985" spans="1:31" x14ac:dyDescent="0.25">
      <c r="A1985">
        <v>16190</v>
      </c>
      <c r="C1985" t="s">
        <v>1432</v>
      </c>
      <c r="D1985" t="s">
        <v>1433</v>
      </c>
      <c r="E1985" t="s">
        <v>467</v>
      </c>
      <c r="F1985" t="s">
        <v>158</v>
      </c>
      <c r="G1985" t="s">
        <v>157</v>
      </c>
      <c r="H1985" t="s">
        <v>156</v>
      </c>
      <c r="I1985" t="s">
        <v>454</v>
      </c>
      <c r="J1985" t="s">
        <v>461</v>
      </c>
      <c r="K1985" s="4">
        <v>3200</v>
      </c>
      <c r="L1985" s="4">
        <v>3200</v>
      </c>
      <c r="M1985" t="s">
        <v>44</v>
      </c>
      <c r="N1985" t="s">
        <v>77</v>
      </c>
      <c r="O1985" t="s">
        <v>99</v>
      </c>
      <c r="P1985" t="s">
        <v>99</v>
      </c>
      <c r="Q1985" t="s">
        <v>159</v>
      </c>
      <c r="R1985" t="s">
        <v>160</v>
      </c>
      <c r="S1985" t="s">
        <v>161</v>
      </c>
      <c r="T1985" t="s">
        <v>162</v>
      </c>
      <c r="U1985" t="s">
        <v>163</v>
      </c>
      <c r="V1985" t="s">
        <v>164</v>
      </c>
      <c r="W1985" t="s">
        <v>116</v>
      </c>
      <c r="X1985" t="s">
        <v>44</v>
      </c>
      <c r="Y1985" t="s">
        <v>99</v>
      </c>
      <c r="Z1985" t="s">
        <v>421</v>
      </c>
      <c r="AC1985" t="str">
        <f>IF(AA1985="",M1985,AA1985)</f>
        <v>sim</v>
      </c>
      <c r="AD1985" t="str">
        <f>IF(AB1985="",X1985,AB1985)</f>
        <v>sim</v>
      </c>
      <c r="AE1985" t="str">
        <f>IF(OR(Configuracao!B9="",Configuracao!B10=""),"aguardando limiar",IF(AND(K1985&gt;=Configuracao!B9,K1985/MAX(Reconciliacao!C2,1)&gt;=Configuracao!B10/100),"sim","não"))</f>
        <v>aguardando limiar</v>
      </c>
    </row>
    <row r="1986" spans="1:31" x14ac:dyDescent="0.25">
      <c r="A1986">
        <v>14192</v>
      </c>
      <c r="D1986" t="s">
        <v>1468</v>
      </c>
      <c r="E1986" t="s">
        <v>465</v>
      </c>
      <c r="F1986" t="s">
        <v>158</v>
      </c>
      <c r="G1986" t="s">
        <v>157</v>
      </c>
      <c r="H1986" t="s">
        <v>156</v>
      </c>
      <c r="I1986" t="s">
        <v>420</v>
      </c>
      <c r="J1986" t="s">
        <v>454</v>
      </c>
      <c r="K1986" s="4">
        <v>3400</v>
      </c>
      <c r="L1986" s="4">
        <v>3400</v>
      </c>
      <c r="M1986" t="s">
        <v>44</v>
      </c>
      <c r="N1986" t="s">
        <v>77</v>
      </c>
      <c r="O1986" t="s">
        <v>99</v>
      </c>
      <c r="P1986" t="s">
        <v>99</v>
      </c>
      <c r="Q1986" t="s">
        <v>159</v>
      </c>
      <c r="R1986" t="s">
        <v>160</v>
      </c>
      <c r="S1986" t="s">
        <v>161</v>
      </c>
      <c r="T1986" t="s">
        <v>162</v>
      </c>
      <c r="U1986" t="s">
        <v>163</v>
      </c>
      <c r="V1986" t="s">
        <v>164</v>
      </c>
      <c r="W1986" t="s">
        <v>116</v>
      </c>
      <c r="X1986" t="s">
        <v>44</v>
      </c>
      <c r="Y1986" t="s">
        <v>99</v>
      </c>
      <c r="Z1986" t="s">
        <v>421</v>
      </c>
      <c r="AC1986" t="str">
        <f>IF(AA1986="",M1986,AA1986)</f>
        <v>sim</v>
      </c>
      <c r="AD1986" t="str">
        <f>IF(AB1986="",X1986,AB1986)</f>
        <v>sim</v>
      </c>
      <c r="AE1986" t="str">
        <f>IF(OR(Configuracao!B9="",Configuracao!B10=""),"aguardando limiar",IF(AND(K1986&gt;=Configuracao!B9,K1986/MAX(Reconciliacao!C2,1)&gt;=Configuracao!B10/100),"sim","não"))</f>
        <v>aguardando limiar</v>
      </c>
    </row>
    <row r="1987" spans="1:31" x14ac:dyDescent="0.25">
      <c r="A1987">
        <v>15965</v>
      </c>
      <c r="D1987" t="s">
        <v>1468</v>
      </c>
      <c r="E1987" t="s">
        <v>465</v>
      </c>
      <c r="F1987" t="s">
        <v>158</v>
      </c>
      <c r="G1987" t="s">
        <v>157</v>
      </c>
      <c r="H1987" t="s">
        <v>156</v>
      </c>
      <c r="I1987" t="s">
        <v>420</v>
      </c>
      <c r="J1987" t="s">
        <v>420</v>
      </c>
      <c r="K1987" s="4">
        <v>3400</v>
      </c>
      <c r="L1987" s="4">
        <v>3400</v>
      </c>
      <c r="M1987" t="s">
        <v>44</v>
      </c>
      <c r="N1987" t="s">
        <v>77</v>
      </c>
      <c r="O1987" t="s">
        <v>99</v>
      </c>
      <c r="P1987" t="s">
        <v>99</v>
      </c>
      <c r="Q1987" t="s">
        <v>159</v>
      </c>
      <c r="R1987" t="s">
        <v>160</v>
      </c>
      <c r="S1987" t="s">
        <v>161</v>
      </c>
      <c r="T1987" t="s">
        <v>162</v>
      </c>
      <c r="U1987" t="s">
        <v>163</v>
      </c>
      <c r="V1987" t="s">
        <v>164</v>
      </c>
      <c r="W1987" t="s">
        <v>116</v>
      </c>
      <c r="X1987" t="s">
        <v>44</v>
      </c>
      <c r="Y1987" t="s">
        <v>99</v>
      </c>
      <c r="Z1987" t="s">
        <v>421</v>
      </c>
      <c r="AC1987" t="str">
        <f>IF(AA1987="",M1987,AA1987)</f>
        <v>sim</v>
      </c>
      <c r="AD1987" t="str">
        <f>IF(AB1987="",X1987,AB1987)</f>
        <v>sim</v>
      </c>
      <c r="AE1987" t="str">
        <f>IF(OR(Configuracao!B9="",Configuracao!B10=""),"aguardando limiar",IF(AND(K1987&gt;=Configuracao!B9,K1987/MAX(Reconciliacao!C2,1)&gt;=Configuracao!B10/100),"sim","não"))</f>
        <v>aguardando limiar</v>
      </c>
    </row>
    <row r="1988" spans="1:31" x14ac:dyDescent="0.25">
      <c r="A1988">
        <v>17255</v>
      </c>
      <c r="C1988" t="s">
        <v>1449</v>
      </c>
      <c r="D1988" t="s">
        <v>1450</v>
      </c>
      <c r="E1988" t="s">
        <v>465</v>
      </c>
      <c r="F1988" t="s">
        <v>158</v>
      </c>
      <c r="G1988" t="s">
        <v>157</v>
      </c>
      <c r="H1988" t="s">
        <v>156</v>
      </c>
      <c r="I1988" t="s">
        <v>461</v>
      </c>
      <c r="J1988" t="s">
        <v>442</v>
      </c>
      <c r="K1988" s="4">
        <v>3400</v>
      </c>
      <c r="L1988" s="4">
        <v>3400</v>
      </c>
      <c r="M1988" t="s">
        <v>44</v>
      </c>
      <c r="N1988" t="s">
        <v>77</v>
      </c>
      <c r="O1988" t="s">
        <v>99</v>
      </c>
      <c r="P1988" t="s">
        <v>99</v>
      </c>
      <c r="Q1988" t="s">
        <v>159</v>
      </c>
      <c r="R1988" t="s">
        <v>160</v>
      </c>
      <c r="S1988" t="s">
        <v>161</v>
      </c>
      <c r="T1988" t="s">
        <v>162</v>
      </c>
      <c r="U1988" t="s">
        <v>163</v>
      </c>
      <c r="V1988" t="s">
        <v>164</v>
      </c>
      <c r="W1988" t="s">
        <v>116</v>
      </c>
      <c r="X1988" t="s">
        <v>44</v>
      </c>
      <c r="Y1988" t="s">
        <v>99</v>
      </c>
      <c r="Z1988" t="s">
        <v>421</v>
      </c>
      <c r="AC1988" t="str">
        <f>IF(AA1988="",M1988,AA1988)</f>
        <v>sim</v>
      </c>
      <c r="AD1988" t="str">
        <f>IF(AB1988="",X1988,AB1988)</f>
        <v>sim</v>
      </c>
      <c r="AE1988" t="str">
        <f>IF(OR(Configuracao!B9="",Configuracao!B10=""),"aguardando limiar",IF(AND(K1988&gt;=Configuracao!B9,K1988/MAX(Reconciliacao!C2,1)&gt;=Configuracao!B10/100),"sim","não"))</f>
        <v>aguardando limiar</v>
      </c>
    </row>
    <row r="1989" spans="1:31" x14ac:dyDescent="0.25">
      <c r="A1989">
        <v>17945</v>
      </c>
      <c r="C1989" t="s">
        <v>1449</v>
      </c>
      <c r="D1989" t="s">
        <v>1450</v>
      </c>
      <c r="E1989" t="s">
        <v>465</v>
      </c>
      <c r="F1989" t="s">
        <v>158</v>
      </c>
      <c r="G1989" t="s">
        <v>157</v>
      </c>
      <c r="H1989" t="s">
        <v>156</v>
      </c>
      <c r="I1989" t="s">
        <v>442</v>
      </c>
      <c r="J1989" t="s">
        <v>439</v>
      </c>
      <c r="K1989" s="4">
        <v>3400</v>
      </c>
      <c r="L1989" s="4">
        <v>3400</v>
      </c>
      <c r="M1989" t="s">
        <v>44</v>
      </c>
      <c r="N1989" t="s">
        <v>77</v>
      </c>
      <c r="O1989" t="s">
        <v>99</v>
      </c>
      <c r="P1989" t="s">
        <v>99</v>
      </c>
      <c r="Q1989" t="s">
        <v>159</v>
      </c>
      <c r="R1989" t="s">
        <v>160</v>
      </c>
      <c r="S1989" t="s">
        <v>161</v>
      </c>
      <c r="T1989" t="s">
        <v>162</v>
      </c>
      <c r="U1989" t="s">
        <v>163</v>
      </c>
      <c r="V1989" t="s">
        <v>164</v>
      </c>
      <c r="W1989" t="s">
        <v>116</v>
      </c>
      <c r="X1989" t="s">
        <v>44</v>
      </c>
      <c r="Y1989" t="s">
        <v>99</v>
      </c>
      <c r="Z1989" t="s">
        <v>421</v>
      </c>
      <c r="AC1989" t="str">
        <f>IF(AA1989="",M1989,AA1989)</f>
        <v>sim</v>
      </c>
      <c r="AD1989" t="str">
        <f>IF(AB1989="",X1989,AB1989)</f>
        <v>sim</v>
      </c>
      <c r="AE1989" t="str">
        <f>IF(OR(Configuracao!B9="",Configuracao!B10=""),"aguardando limiar",IF(AND(K1989&gt;=Configuracao!B9,K1989/MAX(Reconciliacao!C2,1)&gt;=Configuracao!B10/100),"sim","não"))</f>
        <v>aguardando limiar</v>
      </c>
    </row>
    <row r="1990" spans="1:31" x14ac:dyDescent="0.25">
      <c r="A1990">
        <v>18789</v>
      </c>
      <c r="C1990" t="s">
        <v>1449</v>
      </c>
      <c r="D1990" t="s">
        <v>1450</v>
      </c>
      <c r="E1990" t="s">
        <v>465</v>
      </c>
      <c r="F1990" t="s">
        <v>158</v>
      </c>
      <c r="G1990" t="s">
        <v>157</v>
      </c>
      <c r="H1990" t="s">
        <v>156</v>
      </c>
      <c r="I1990" t="s">
        <v>439</v>
      </c>
      <c r="J1990" t="s">
        <v>35</v>
      </c>
      <c r="K1990" s="4">
        <v>3400</v>
      </c>
      <c r="L1990" s="4">
        <v>3400</v>
      </c>
      <c r="M1990" t="s">
        <v>44</v>
      </c>
      <c r="N1990" t="s">
        <v>77</v>
      </c>
      <c r="O1990" t="s">
        <v>99</v>
      </c>
      <c r="P1990" t="s">
        <v>99</v>
      </c>
      <c r="Q1990" t="s">
        <v>159</v>
      </c>
      <c r="R1990" t="s">
        <v>160</v>
      </c>
      <c r="S1990" t="s">
        <v>161</v>
      </c>
      <c r="T1990" t="s">
        <v>162</v>
      </c>
      <c r="U1990" t="s">
        <v>163</v>
      </c>
      <c r="V1990" t="s">
        <v>164</v>
      </c>
      <c r="W1990" t="s">
        <v>116</v>
      </c>
      <c r="X1990" t="s">
        <v>44</v>
      </c>
      <c r="Y1990" t="s">
        <v>99</v>
      </c>
      <c r="Z1990" t="s">
        <v>421</v>
      </c>
      <c r="AC1990" t="str">
        <f>IF(AA1990="",M1990,AA1990)</f>
        <v>sim</v>
      </c>
      <c r="AD1990" t="str">
        <f>IF(AB1990="",X1990,AB1990)</f>
        <v>sim</v>
      </c>
      <c r="AE1990" t="str">
        <f>IF(OR(Configuracao!B9="",Configuracao!B10=""),"aguardando limiar",IF(AND(K1990&gt;=Configuracao!B9,K1990/MAX(Reconciliacao!C2,1)&gt;=Configuracao!B10/100),"sim","não"))</f>
        <v>aguardando limiar</v>
      </c>
    </row>
    <row r="1991" spans="1:31" x14ac:dyDescent="0.25">
      <c r="A1991">
        <v>18775</v>
      </c>
      <c r="C1991" t="s">
        <v>1470</v>
      </c>
      <c r="D1991" t="s">
        <v>1471</v>
      </c>
      <c r="E1991" t="s">
        <v>486</v>
      </c>
      <c r="F1991" t="s">
        <v>158</v>
      </c>
      <c r="G1991" t="s">
        <v>157</v>
      </c>
      <c r="H1991" t="s">
        <v>156</v>
      </c>
      <c r="I1991" t="s">
        <v>439</v>
      </c>
      <c r="J1991" t="s">
        <v>35</v>
      </c>
      <c r="K1991" s="4">
        <v>3466.67</v>
      </c>
      <c r="L1991" s="4">
        <v>3466.67</v>
      </c>
      <c r="M1991" t="s">
        <v>44</v>
      </c>
      <c r="N1991" t="s">
        <v>77</v>
      </c>
      <c r="O1991" t="s">
        <v>99</v>
      </c>
      <c r="P1991" t="s">
        <v>99</v>
      </c>
      <c r="Q1991" t="s">
        <v>159</v>
      </c>
      <c r="R1991" t="s">
        <v>160</v>
      </c>
      <c r="S1991" t="s">
        <v>161</v>
      </c>
      <c r="T1991" t="s">
        <v>162</v>
      </c>
      <c r="U1991" t="s">
        <v>163</v>
      </c>
      <c r="V1991" t="s">
        <v>164</v>
      </c>
      <c r="W1991" t="s">
        <v>116</v>
      </c>
      <c r="X1991" t="s">
        <v>166</v>
      </c>
      <c r="Y1991" t="s">
        <v>472</v>
      </c>
      <c r="Z1991" t="s">
        <v>434</v>
      </c>
      <c r="AC1991" t="str">
        <f>IF(AA1991="",M1991,AA1991)</f>
        <v>sim</v>
      </c>
      <c r="AD1991" t="str">
        <f>IF(AB1991="",X1991,AB1991)</f>
        <v>não</v>
      </c>
      <c r="AE1991" t="str">
        <f>IF(OR(Configuracao!B9="",Configuracao!B10=""),"aguardando limiar",IF(AND(K1991&gt;=Configuracao!B9,K1991/MAX(Reconciliacao!C2,1)&gt;=Configuracao!B10/100),"sim","não"))</f>
        <v>aguardando limiar</v>
      </c>
    </row>
    <row r="1992" spans="1:31" x14ac:dyDescent="0.25">
      <c r="A1992">
        <v>14208</v>
      </c>
      <c r="C1992" t="s">
        <v>1472</v>
      </c>
      <c r="D1992" t="s">
        <v>1473</v>
      </c>
      <c r="E1992" t="s">
        <v>465</v>
      </c>
      <c r="F1992" t="s">
        <v>158</v>
      </c>
      <c r="G1992" t="s">
        <v>157</v>
      </c>
      <c r="H1992" t="s">
        <v>156</v>
      </c>
      <c r="I1992" t="s">
        <v>420</v>
      </c>
      <c r="J1992" t="s">
        <v>454</v>
      </c>
      <c r="K1992" s="4">
        <v>3500</v>
      </c>
      <c r="L1992" s="4">
        <v>3500</v>
      </c>
      <c r="M1992" t="s">
        <v>44</v>
      </c>
      <c r="N1992" t="s">
        <v>77</v>
      </c>
      <c r="O1992" t="s">
        <v>99</v>
      </c>
      <c r="P1992" t="s">
        <v>99</v>
      </c>
      <c r="Q1992" t="s">
        <v>159</v>
      </c>
      <c r="R1992" t="s">
        <v>160</v>
      </c>
      <c r="S1992" t="s">
        <v>161</v>
      </c>
      <c r="T1992" t="s">
        <v>162</v>
      </c>
      <c r="U1992" t="s">
        <v>163</v>
      </c>
      <c r="V1992" t="s">
        <v>164</v>
      </c>
      <c r="W1992" t="s">
        <v>116</v>
      </c>
      <c r="X1992" t="s">
        <v>44</v>
      </c>
      <c r="Y1992" t="s">
        <v>99</v>
      </c>
      <c r="Z1992" t="s">
        <v>421</v>
      </c>
      <c r="AC1992" t="str">
        <f>IF(AA1992="",M1992,AA1992)</f>
        <v>sim</v>
      </c>
      <c r="AD1992" t="str">
        <f>IF(AB1992="",X1992,AB1992)</f>
        <v>sim</v>
      </c>
      <c r="AE1992" t="str">
        <f>IF(OR(Configuracao!B9="",Configuracao!B10=""),"aguardando limiar",IF(AND(K1992&gt;=Configuracao!B9,K1992/MAX(Reconciliacao!C2,1)&gt;=Configuracao!B10/100),"sim","não"))</f>
        <v>aguardando limiar</v>
      </c>
    </row>
    <row r="1993" spans="1:31" x14ac:dyDescent="0.25">
      <c r="A1993">
        <v>15982</v>
      </c>
      <c r="C1993" t="s">
        <v>1472</v>
      </c>
      <c r="D1993" t="s">
        <v>1473</v>
      </c>
      <c r="E1993" t="s">
        <v>465</v>
      </c>
      <c r="F1993" t="s">
        <v>158</v>
      </c>
      <c r="G1993" t="s">
        <v>157</v>
      </c>
      <c r="H1993" t="s">
        <v>156</v>
      </c>
      <c r="I1993" t="s">
        <v>424</v>
      </c>
      <c r="J1993" t="s">
        <v>420</v>
      </c>
      <c r="K1993" s="4">
        <v>3500</v>
      </c>
      <c r="L1993" s="4">
        <v>3500</v>
      </c>
      <c r="M1993" t="s">
        <v>44</v>
      </c>
      <c r="N1993" t="s">
        <v>77</v>
      </c>
      <c r="O1993" t="s">
        <v>99</v>
      </c>
      <c r="P1993" t="s">
        <v>99</v>
      </c>
      <c r="Q1993" t="s">
        <v>159</v>
      </c>
      <c r="R1993" t="s">
        <v>160</v>
      </c>
      <c r="S1993" t="s">
        <v>161</v>
      </c>
      <c r="T1993" t="s">
        <v>162</v>
      </c>
      <c r="U1993" t="s">
        <v>163</v>
      </c>
      <c r="V1993" t="s">
        <v>164</v>
      </c>
      <c r="W1993" t="s">
        <v>116</v>
      </c>
      <c r="X1993" t="s">
        <v>44</v>
      </c>
      <c r="Y1993" t="s">
        <v>99</v>
      </c>
      <c r="Z1993" t="s">
        <v>421</v>
      </c>
      <c r="AC1993" t="str">
        <f>IF(AA1993="",M1993,AA1993)</f>
        <v>sim</v>
      </c>
      <c r="AD1993" t="str">
        <f>IF(AB1993="",X1993,AB1993)</f>
        <v>sim</v>
      </c>
      <c r="AE1993" t="str">
        <f>IF(OR(Configuracao!B9="",Configuracao!B10=""),"aguardando limiar",IF(AND(K1993&gt;=Configuracao!B9,K1993/MAX(Reconciliacao!C2,1)&gt;=Configuracao!B10/100),"sim","não"))</f>
        <v>aguardando limiar</v>
      </c>
    </row>
    <row r="1994" spans="1:31" x14ac:dyDescent="0.25">
      <c r="A1994">
        <v>16167</v>
      </c>
      <c r="C1994" t="s">
        <v>1472</v>
      </c>
      <c r="D1994" t="s">
        <v>1473</v>
      </c>
      <c r="E1994" t="s">
        <v>465</v>
      </c>
      <c r="F1994" t="s">
        <v>158</v>
      </c>
      <c r="G1994" t="s">
        <v>157</v>
      </c>
      <c r="H1994" t="s">
        <v>156</v>
      </c>
      <c r="I1994" t="s">
        <v>454</v>
      </c>
      <c r="J1994" t="s">
        <v>461</v>
      </c>
      <c r="K1994" s="4">
        <v>3500</v>
      </c>
      <c r="L1994" s="4">
        <v>3500</v>
      </c>
      <c r="M1994" t="s">
        <v>44</v>
      </c>
      <c r="N1994" t="s">
        <v>77</v>
      </c>
      <c r="O1994" t="s">
        <v>99</v>
      </c>
      <c r="P1994" t="s">
        <v>99</v>
      </c>
      <c r="Q1994" t="s">
        <v>159</v>
      </c>
      <c r="R1994" t="s">
        <v>160</v>
      </c>
      <c r="S1994" t="s">
        <v>161</v>
      </c>
      <c r="T1994" t="s">
        <v>162</v>
      </c>
      <c r="U1994" t="s">
        <v>163</v>
      </c>
      <c r="V1994" t="s">
        <v>164</v>
      </c>
      <c r="W1994" t="s">
        <v>116</v>
      </c>
      <c r="X1994" t="s">
        <v>44</v>
      </c>
      <c r="Y1994" t="s">
        <v>99</v>
      </c>
      <c r="Z1994" t="s">
        <v>421</v>
      </c>
      <c r="AC1994" t="str">
        <f>IF(AA1994="",M1994,AA1994)</f>
        <v>sim</v>
      </c>
      <c r="AD1994" t="str">
        <f>IF(AB1994="",X1994,AB1994)</f>
        <v>sim</v>
      </c>
      <c r="AE1994" t="str">
        <f>IF(OR(Configuracao!B9="",Configuracao!B10=""),"aguardando limiar",IF(AND(K1994&gt;=Configuracao!B9,K1994/MAX(Reconciliacao!C2,1)&gt;=Configuracao!B10/100),"sim","não"))</f>
        <v>aguardando limiar</v>
      </c>
    </row>
    <row r="1995" spans="1:31" x14ac:dyDescent="0.25">
      <c r="A1995">
        <v>17274</v>
      </c>
      <c r="C1995" t="s">
        <v>1414</v>
      </c>
      <c r="D1995" t="s">
        <v>1415</v>
      </c>
      <c r="E1995" t="s">
        <v>467</v>
      </c>
      <c r="F1995" t="s">
        <v>158</v>
      </c>
      <c r="G1995" t="s">
        <v>157</v>
      </c>
      <c r="H1995" t="s">
        <v>156</v>
      </c>
      <c r="I1995" t="s">
        <v>461</v>
      </c>
      <c r="J1995" t="s">
        <v>442</v>
      </c>
      <c r="K1995" s="4">
        <v>3521.69</v>
      </c>
      <c r="L1995" s="4">
        <v>3521.69</v>
      </c>
      <c r="M1995" t="s">
        <v>44</v>
      </c>
      <c r="N1995" t="s">
        <v>77</v>
      </c>
      <c r="O1995" t="s">
        <v>99</v>
      </c>
      <c r="P1995" t="s">
        <v>99</v>
      </c>
      <c r="Q1995" t="s">
        <v>159</v>
      </c>
      <c r="R1995" t="s">
        <v>160</v>
      </c>
      <c r="S1995" t="s">
        <v>161</v>
      </c>
      <c r="T1995" t="s">
        <v>162</v>
      </c>
      <c r="U1995" t="s">
        <v>163</v>
      </c>
      <c r="V1995" t="s">
        <v>164</v>
      </c>
      <c r="W1995" t="s">
        <v>116</v>
      </c>
      <c r="X1995" t="s">
        <v>44</v>
      </c>
      <c r="Y1995" t="s">
        <v>99</v>
      </c>
      <c r="Z1995" t="s">
        <v>421</v>
      </c>
      <c r="AC1995" t="str">
        <f>IF(AA1995="",M1995,AA1995)</f>
        <v>sim</v>
      </c>
      <c r="AD1995" t="str">
        <f>IF(AB1995="",X1995,AB1995)</f>
        <v>sim</v>
      </c>
      <c r="AE1995" t="str">
        <f>IF(OR(Configuracao!B9="",Configuracao!B10=""),"aguardando limiar",IF(AND(K1995&gt;=Configuracao!B9,K1995/MAX(Reconciliacao!C2,1)&gt;=Configuracao!B10/100),"sim","não"))</f>
        <v>aguardando limiar</v>
      </c>
    </row>
    <row r="1996" spans="1:31" x14ac:dyDescent="0.25">
      <c r="A1996">
        <v>17248</v>
      </c>
      <c r="C1996" t="s">
        <v>1388</v>
      </c>
      <c r="D1996" t="s">
        <v>430</v>
      </c>
      <c r="E1996" t="s">
        <v>467</v>
      </c>
      <c r="F1996" t="s">
        <v>158</v>
      </c>
      <c r="G1996" t="s">
        <v>157</v>
      </c>
      <c r="H1996" t="s">
        <v>156</v>
      </c>
      <c r="I1996" t="s">
        <v>461</v>
      </c>
      <c r="J1996" t="s">
        <v>442</v>
      </c>
      <c r="K1996" s="4">
        <v>3621.69</v>
      </c>
      <c r="L1996" s="4">
        <v>3621.69</v>
      </c>
      <c r="M1996" t="s">
        <v>44</v>
      </c>
      <c r="N1996" t="s">
        <v>77</v>
      </c>
      <c r="O1996" t="s">
        <v>99</v>
      </c>
      <c r="P1996" t="s">
        <v>99</v>
      </c>
      <c r="Q1996" t="s">
        <v>159</v>
      </c>
      <c r="R1996" t="s">
        <v>160</v>
      </c>
      <c r="S1996" t="s">
        <v>161</v>
      </c>
      <c r="T1996" t="s">
        <v>162</v>
      </c>
      <c r="U1996" t="s">
        <v>163</v>
      </c>
      <c r="V1996" t="s">
        <v>164</v>
      </c>
      <c r="W1996" t="s">
        <v>116</v>
      </c>
      <c r="X1996" t="s">
        <v>44</v>
      </c>
      <c r="Y1996" t="s">
        <v>99</v>
      </c>
      <c r="Z1996" t="s">
        <v>421</v>
      </c>
      <c r="AC1996" t="str">
        <f>IF(AA1996="",M1996,AA1996)</f>
        <v>sim</v>
      </c>
      <c r="AD1996" t="str">
        <f>IF(AB1996="",X1996,AB1996)</f>
        <v>sim</v>
      </c>
      <c r="AE1996" t="str">
        <f>IF(OR(Configuracao!B9="",Configuracao!B10=""),"aguardando limiar",IF(AND(K1996&gt;=Configuracao!B9,K1996/MAX(Reconciliacao!C2,1)&gt;=Configuracao!B10/100),"sim","não"))</f>
        <v>aguardando limiar</v>
      </c>
    </row>
    <row r="1997" spans="1:31" x14ac:dyDescent="0.25">
      <c r="A1997">
        <v>11446</v>
      </c>
      <c r="D1997" t="s">
        <v>1474</v>
      </c>
      <c r="E1997" t="s">
        <v>224</v>
      </c>
      <c r="F1997" t="s">
        <v>158</v>
      </c>
      <c r="G1997" t="s">
        <v>157</v>
      </c>
      <c r="H1997" t="s">
        <v>156</v>
      </c>
      <c r="I1997" t="s">
        <v>32</v>
      </c>
      <c r="J1997" t="s">
        <v>32</v>
      </c>
      <c r="K1997" s="4">
        <v>3680</v>
      </c>
      <c r="L1997" s="4">
        <v>3680</v>
      </c>
      <c r="M1997" t="s">
        <v>44</v>
      </c>
      <c r="N1997" t="s">
        <v>77</v>
      </c>
      <c r="O1997" t="s">
        <v>99</v>
      </c>
      <c r="P1997" t="s">
        <v>99</v>
      </c>
      <c r="Q1997" t="s">
        <v>159</v>
      </c>
      <c r="R1997" t="s">
        <v>160</v>
      </c>
      <c r="S1997" t="s">
        <v>161</v>
      </c>
      <c r="T1997" t="s">
        <v>162</v>
      </c>
      <c r="U1997" t="s">
        <v>163</v>
      </c>
      <c r="V1997" t="s">
        <v>164</v>
      </c>
      <c r="W1997" t="s">
        <v>116</v>
      </c>
      <c r="X1997" t="s">
        <v>44</v>
      </c>
      <c r="Y1997" t="s">
        <v>99</v>
      </c>
      <c r="Z1997" t="s">
        <v>421</v>
      </c>
      <c r="AC1997" t="str">
        <f>IF(AA1997="",M1997,AA1997)</f>
        <v>sim</v>
      </c>
      <c r="AD1997" t="str">
        <f>IF(AB1997="",X1997,AB1997)</f>
        <v>sim</v>
      </c>
      <c r="AE1997" t="str">
        <f>IF(OR(Configuracao!B9="",Configuracao!B10=""),"aguardando limiar",IF(AND(K1997&gt;=Configuracao!B9,K1997/MAX(Reconciliacao!C2,1)&gt;=Configuracao!B10/100),"sim","não"))</f>
        <v>aguardando limiar</v>
      </c>
    </row>
    <row r="1998" spans="1:31" x14ac:dyDescent="0.25">
      <c r="A1998">
        <v>14219</v>
      </c>
      <c r="C1998" t="s">
        <v>1414</v>
      </c>
      <c r="D1998" t="s">
        <v>1415</v>
      </c>
      <c r="E1998" t="s">
        <v>467</v>
      </c>
      <c r="F1998" t="s">
        <v>158</v>
      </c>
      <c r="G1998" t="s">
        <v>157</v>
      </c>
      <c r="H1998" t="s">
        <v>156</v>
      </c>
      <c r="I1998" t="s">
        <v>420</v>
      </c>
      <c r="J1998" t="s">
        <v>454</v>
      </c>
      <c r="K1998" s="4">
        <v>3700</v>
      </c>
      <c r="L1998" s="4">
        <v>3700</v>
      </c>
      <c r="M1998" t="s">
        <v>44</v>
      </c>
      <c r="N1998" t="s">
        <v>77</v>
      </c>
      <c r="O1998" t="s">
        <v>99</v>
      </c>
      <c r="P1998" t="s">
        <v>99</v>
      </c>
      <c r="Q1998" t="s">
        <v>159</v>
      </c>
      <c r="R1998" t="s">
        <v>160</v>
      </c>
      <c r="S1998" t="s">
        <v>161</v>
      </c>
      <c r="T1998" t="s">
        <v>162</v>
      </c>
      <c r="U1998" t="s">
        <v>163</v>
      </c>
      <c r="V1998" t="s">
        <v>164</v>
      </c>
      <c r="W1998" t="s">
        <v>116</v>
      </c>
      <c r="X1998" t="s">
        <v>44</v>
      </c>
      <c r="Y1998" t="s">
        <v>99</v>
      </c>
      <c r="Z1998" t="s">
        <v>421</v>
      </c>
      <c r="AC1998" t="str">
        <f>IF(AA1998="",M1998,AA1998)</f>
        <v>sim</v>
      </c>
      <c r="AD1998" t="str">
        <f>IF(AB1998="",X1998,AB1998)</f>
        <v>sim</v>
      </c>
      <c r="AE1998" t="str">
        <f>IF(OR(Configuracao!B9="",Configuracao!B10=""),"aguardando limiar",IF(AND(K1998&gt;=Configuracao!B9,K1998/MAX(Reconciliacao!C2,1)&gt;=Configuracao!B10/100),"sim","não"))</f>
        <v>aguardando limiar</v>
      </c>
    </row>
    <row r="1999" spans="1:31" x14ac:dyDescent="0.25">
      <c r="A1999">
        <v>16181</v>
      </c>
      <c r="C1999" t="s">
        <v>1414</v>
      </c>
      <c r="D1999" t="s">
        <v>1415</v>
      </c>
      <c r="E1999" t="s">
        <v>467</v>
      </c>
      <c r="F1999" t="s">
        <v>158</v>
      </c>
      <c r="G1999" t="s">
        <v>157</v>
      </c>
      <c r="H1999" t="s">
        <v>156</v>
      </c>
      <c r="I1999" t="s">
        <v>454</v>
      </c>
      <c r="J1999" t="s">
        <v>461</v>
      </c>
      <c r="K1999" s="4">
        <v>3700</v>
      </c>
      <c r="L1999" s="4">
        <v>3700</v>
      </c>
      <c r="M1999" t="s">
        <v>44</v>
      </c>
      <c r="N1999" t="s">
        <v>77</v>
      </c>
      <c r="O1999" t="s">
        <v>99</v>
      </c>
      <c r="P1999" t="s">
        <v>99</v>
      </c>
      <c r="Q1999" t="s">
        <v>159</v>
      </c>
      <c r="R1999" t="s">
        <v>160</v>
      </c>
      <c r="S1999" t="s">
        <v>161</v>
      </c>
      <c r="T1999" t="s">
        <v>162</v>
      </c>
      <c r="U1999" t="s">
        <v>163</v>
      </c>
      <c r="V1999" t="s">
        <v>164</v>
      </c>
      <c r="W1999" t="s">
        <v>116</v>
      </c>
      <c r="X1999" t="s">
        <v>44</v>
      </c>
      <c r="Y1999" t="s">
        <v>99</v>
      </c>
      <c r="Z1999" t="s">
        <v>421</v>
      </c>
      <c r="AC1999" t="str">
        <f>IF(AA1999="",M1999,AA1999)</f>
        <v>sim</v>
      </c>
      <c r="AD1999" t="str">
        <f>IF(AB1999="",X1999,AB1999)</f>
        <v>sim</v>
      </c>
      <c r="AE1999" t="str">
        <f>IF(OR(Configuracao!B9="",Configuracao!B10=""),"aguardando limiar",IF(AND(K1999&gt;=Configuracao!B9,K1999/MAX(Reconciliacao!C2,1)&gt;=Configuracao!B10/100),"sim","não"))</f>
        <v>aguardando limiar</v>
      </c>
    </row>
    <row r="2000" spans="1:31" x14ac:dyDescent="0.25">
      <c r="A2000">
        <v>17286</v>
      </c>
      <c r="C2000" t="s">
        <v>1460</v>
      </c>
      <c r="D2000" t="s">
        <v>1461</v>
      </c>
      <c r="E2000" t="s">
        <v>486</v>
      </c>
      <c r="F2000" t="s">
        <v>158</v>
      </c>
      <c r="G2000" t="s">
        <v>157</v>
      </c>
      <c r="H2000" t="s">
        <v>156</v>
      </c>
      <c r="I2000" t="s">
        <v>461</v>
      </c>
      <c r="J2000" t="s">
        <v>442</v>
      </c>
      <c r="K2000" s="4">
        <v>3750</v>
      </c>
      <c r="L2000" s="4">
        <v>3750</v>
      </c>
      <c r="M2000" t="s">
        <v>44</v>
      </c>
      <c r="N2000" t="s">
        <v>77</v>
      </c>
      <c r="O2000" t="s">
        <v>99</v>
      </c>
      <c r="P2000" t="s">
        <v>99</v>
      </c>
      <c r="Q2000" t="s">
        <v>159</v>
      </c>
      <c r="R2000" t="s">
        <v>160</v>
      </c>
      <c r="S2000" t="s">
        <v>161</v>
      </c>
      <c r="T2000" t="s">
        <v>162</v>
      </c>
      <c r="U2000" t="s">
        <v>163</v>
      </c>
      <c r="V2000" t="s">
        <v>164</v>
      </c>
      <c r="W2000" t="s">
        <v>116</v>
      </c>
      <c r="X2000" t="s">
        <v>44</v>
      </c>
      <c r="Y2000" t="s">
        <v>99</v>
      </c>
      <c r="Z2000" t="s">
        <v>421</v>
      </c>
      <c r="AC2000" t="str">
        <f>IF(AA2000="",M2000,AA2000)</f>
        <v>sim</v>
      </c>
      <c r="AD2000" t="str">
        <f>IF(AB2000="",X2000,AB2000)</f>
        <v>sim</v>
      </c>
      <c r="AE2000" t="str">
        <f>IF(OR(Configuracao!B9="",Configuracao!B10=""),"aguardando limiar",IF(AND(K2000&gt;=Configuracao!B9,K2000/MAX(Reconciliacao!C2,1)&gt;=Configuracao!B10/100),"sim","não"))</f>
        <v>aguardando limiar</v>
      </c>
    </row>
    <row r="2001" spans="1:31" x14ac:dyDescent="0.25">
      <c r="A2001">
        <v>17971</v>
      </c>
      <c r="C2001" t="s">
        <v>1463</v>
      </c>
      <c r="D2001" t="s">
        <v>1464</v>
      </c>
      <c r="E2001" t="s">
        <v>486</v>
      </c>
      <c r="F2001" t="s">
        <v>158</v>
      </c>
      <c r="G2001" t="s">
        <v>157</v>
      </c>
      <c r="H2001" t="s">
        <v>156</v>
      </c>
      <c r="I2001" t="s">
        <v>442</v>
      </c>
      <c r="J2001" t="s">
        <v>439</v>
      </c>
      <c r="K2001" s="4">
        <v>3750</v>
      </c>
      <c r="L2001" s="4">
        <v>3750</v>
      </c>
      <c r="M2001" t="s">
        <v>44</v>
      </c>
      <c r="N2001" t="s">
        <v>77</v>
      </c>
      <c r="O2001" t="s">
        <v>99</v>
      </c>
      <c r="P2001" t="s">
        <v>99</v>
      </c>
      <c r="Q2001" t="s">
        <v>159</v>
      </c>
      <c r="R2001" t="s">
        <v>160</v>
      </c>
      <c r="S2001" t="s">
        <v>161</v>
      </c>
      <c r="T2001" t="s">
        <v>162</v>
      </c>
      <c r="U2001" t="s">
        <v>163</v>
      </c>
      <c r="V2001" t="s">
        <v>164</v>
      </c>
      <c r="W2001" t="s">
        <v>116</v>
      </c>
      <c r="X2001" t="s">
        <v>44</v>
      </c>
      <c r="Y2001" t="s">
        <v>99</v>
      </c>
      <c r="Z2001" t="s">
        <v>421</v>
      </c>
      <c r="AC2001" t="str">
        <f>IF(AA2001="",M2001,AA2001)</f>
        <v>sim</v>
      </c>
      <c r="AD2001" t="str">
        <f>IF(AB2001="",X2001,AB2001)</f>
        <v>sim</v>
      </c>
      <c r="AE2001" t="str">
        <f>IF(OR(Configuracao!B9="",Configuracao!B10=""),"aguardando limiar",IF(AND(K2001&gt;=Configuracao!B9,K2001/MAX(Reconciliacao!C2,1)&gt;=Configuracao!B10/100),"sim","não"))</f>
        <v>aguardando limiar</v>
      </c>
    </row>
    <row r="2002" spans="1:31" x14ac:dyDescent="0.25">
      <c r="A2002">
        <v>18814</v>
      </c>
      <c r="C2002" t="s">
        <v>1463</v>
      </c>
      <c r="D2002" t="s">
        <v>1464</v>
      </c>
      <c r="E2002" t="s">
        <v>486</v>
      </c>
      <c r="F2002" t="s">
        <v>158</v>
      </c>
      <c r="G2002" t="s">
        <v>157</v>
      </c>
      <c r="H2002" t="s">
        <v>156</v>
      </c>
      <c r="I2002" t="s">
        <v>439</v>
      </c>
      <c r="J2002" t="s">
        <v>35</v>
      </c>
      <c r="K2002" s="4">
        <v>3750</v>
      </c>
      <c r="L2002" s="4">
        <v>3750</v>
      </c>
      <c r="M2002" t="s">
        <v>44</v>
      </c>
      <c r="N2002" t="s">
        <v>77</v>
      </c>
      <c r="O2002" t="s">
        <v>99</v>
      </c>
      <c r="P2002" t="s">
        <v>99</v>
      </c>
      <c r="Q2002" t="s">
        <v>159</v>
      </c>
      <c r="R2002" t="s">
        <v>160</v>
      </c>
      <c r="S2002" t="s">
        <v>161</v>
      </c>
      <c r="T2002" t="s">
        <v>162</v>
      </c>
      <c r="U2002" t="s">
        <v>163</v>
      </c>
      <c r="V2002" t="s">
        <v>164</v>
      </c>
      <c r="W2002" t="s">
        <v>116</v>
      </c>
      <c r="X2002" t="s">
        <v>44</v>
      </c>
      <c r="Y2002" t="s">
        <v>99</v>
      </c>
      <c r="Z2002" t="s">
        <v>421</v>
      </c>
      <c r="AC2002" t="str">
        <f>IF(AA2002="",M2002,AA2002)</f>
        <v>sim</v>
      </c>
      <c r="AD2002" t="str">
        <f>IF(AB2002="",X2002,AB2002)</f>
        <v>sim</v>
      </c>
      <c r="AE2002" t="str">
        <f>IF(OR(Configuracao!B9="",Configuracao!B10=""),"aguardando limiar",IF(AND(K2002&gt;=Configuracao!B9,K2002/MAX(Reconciliacao!C2,1)&gt;=Configuracao!B10/100),"sim","não"))</f>
        <v>aguardando limiar</v>
      </c>
    </row>
    <row r="2003" spans="1:31" x14ac:dyDescent="0.25">
      <c r="A2003">
        <v>12946</v>
      </c>
      <c r="C2003" t="s">
        <v>1388</v>
      </c>
      <c r="D2003" t="s">
        <v>430</v>
      </c>
      <c r="E2003" t="s">
        <v>467</v>
      </c>
      <c r="F2003" t="s">
        <v>158</v>
      </c>
      <c r="G2003" t="s">
        <v>157</v>
      </c>
      <c r="H2003" t="s">
        <v>156</v>
      </c>
      <c r="I2003" t="s">
        <v>424</v>
      </c>
      <c r="J2003" t="s">
        <v>424</v>
      </c>
      <c r="K2003" s="4">
        <v>3800</v>
      </c>
      <c r="L2003" s="4">
        <v>3800</v>
      </c>
      <c r="M2003" t="s">
        <v>44</v>
      </c>
      <c r="N2003" t="s">
        <v>77</v>
      </c>
      <c r="O2003" t="s">
        <v>99</v>
      </c>
      <c r="P2003" t="s">
        <v>99</v>
      </c>
      <c r="Q2003" t="s">
        <v>159</v>
      </c>
      <c r="R2003" t="s">
        <v>160</v>
      </c>
      <c r="S2003" t="s">
        <v>161</v>
      </c>
      <c r="T2003" t="s">
        <v>162</v>
      </c>
      <c r="U2003" t="s">
        <v>163</v>
      </c>
      <c r="V2003" t="s">
        <v>164</v>
      </c>
      <c r="W2003" t="s">
        <v>116</v>
      </c>
      <c r="X2003" t="s">
        <v>44</v>
      </c>
      <c r="Y2003" t="s">
        <v>99</v>
      </c>
      <c r="Z2003" t="s">
        <v>421</v>
      </c>
      <c r="AC2003" t="str">
        <f>IF(AA2003="",M2003,AA2003)</f>
        <v>sim</v>
      </c>
      <c r="AD2003" t="str">
        <f>IF(AB2003="",X2003,AB2003)</f>
        <v>sim</v>
      </c>
      <c r="AE2003" t="str">
        <f>IF(OR(Configuracao!B9="",Configuracao!B10=""),"aguardando limiar",IF(AND(K2003&gt;=Configuracao!B9,K2003/MAX(Reconciliacao!C2,1)&gt;=Configuracao!B10/100),"sim","não"))</f>
        <v>aguardando limiar</v>
      </c>
    </row>
    <row r="2004" spans="1:31" x14ac:dyDescent="0.25">
      <c r="A2004">
        <v>14201</v>
      </c>
      <c r="C2004" t="s">
        <v>1388</v>
      </c>
      <c r="D2004" t="s">
        <v>430</v>
      </c>
      <c r="E2004" t="s">
        <v>467</v>
      </c>
      <c r="F2004" t="s">
        <v>158</v>
      </c>
      <c r="G2004" t="s">
        <v>157</v>
      </c>
      <c r="H2004" t="s">
        <v>156</v>
      </c>
      <c r="I2004" t="s">
        <v>420</v>
      </c>
      <c r="J2004" t="s">
        <v>454</v>
      </c>
      <c r="K2004" s="4">
        <v>3800</v>
      </c>
      <c r="L2004" s="4">
        <v>3800</v>
      </c>
      <c r="M2004" t="s">
        <v>44</v>
      </c>
      <c r="N2004" t="s">
        <v>77</v>
      </c>
      <c r="O2004" t="s">
        <v>99</v>
      </c>
      <c r="P2004" t="s">
        <v>99</v>
      </c>
      <c r="Q2004" t="s">
        <v>159</v>
      </c>
      <c r="R2004" t="s">
        <v>160</v>
      </c>
      <c r="S2004" t="s">
        <v>161</v>
      </c>
      <c r="T2004" t="s">
        <v>162</v>
      </c>
      <c r="U2004" t="s">
        <v>163</v>
      </c>
      <c r="V2004" t="s">
        <v>164</v>
      </c>
      <c r="W2004" t="s">
        <v>116</v>
      </c>
      <c r="X2004" t="s">
        <v>44</v>
      </c>
      <c r="Y2004" t="s">
        <v>99</v>
      </c>
      <c r="Z2004" t="s">
        <v>421</v>
      </c>
      <c r="AC2004" t="str">
        <f>IF(AA2004="",M2004,AA2004)</f>
        <v>sim</v>
      </c>
      <c r="AD2004" t="str">
        <f>IF(AB2004="",X2004,AB2004)</f>
        <v>sim</v>
      </c>
      <c r="AE2004" t="str">
        <f>IF(OR(Configuracao!B9="",Configuracao!B10=""),"aguardando limiar",IF(AND(K2004&gt;=Configuracao!B9,K2004/MAX(Reconciliacao!C2,1)&gt;=Configuracao!B10/100),"sim","não"))</f>
        <v>aguardando limiar</v>
      </c>
    </row>
    <row r="2005" spans="1:31" x14ac:dyDescent="0.25">
      <c r="A2005">
        <v>15975</v>
      </c>
      <c r="C2005" t="s">
        <v>1388</v>
      </c>
      <c r="D2005" t="s">
        <v>430</v>
      </c>
      <c r="E2005" t="s">
        <v>467</v>
      </c>
      <c r="F2005" t="s">
        <v>158</v>
      </c>
      <c r="G2005" t="s">
        <v>157</v>
      </c>
      <c r="H2005" t="s">
        <v>156</v>
      </c>
      <c r="I2005" t="s">
        <v>424</v>
      </c>
      <c r="J2005" t="s">
        <v>420</v>
      </c>
      <c r="K2005" s="4">
        <v>3800</v>
      </c>
      <c r="L2005" s="4">
        <v>3800</v>
      </c>
      <c r="M2005" t="s">
        <v>44</v>
      </c>
      <c r="N2005" t="s">
        <v>77</v>
      </c>
      <c r="O2005" t="s">
        <v>99</v>
      </c>
      <c r="P2005" t="s">
        <v>99</v>
      </c>
      <c r="Q2005" t="s">
        <v>159</v>
      </c>
      <c r="R2005" t="s">
        <v>160</v>
      </c>
      <c r="S2005" t="s">
        <v>161</v>
      </c>
      <c r="T2005" t="s">
        <v>162</v>
      </c>
      <c r="U2005" t="s">
        <v>163</v>
      </c>
      <c r="V2005" t="s">
        <v>164</v>
      </c>
      <c r="W2005" t="s">
        <v>116</v>
      </c>
      <c r="X2005" t="s">
        <v>44</v>
      </c>
      <c r="Y2005" t="s">
        <v>99</v>
      </c>
      <c r="Z2005" t="s">
        <v>421</v>
      </c>
      <c r="AC2005" t="str">
        <f>IF(AA2005="",M2005,AA2005)</f>
        <v>sim</v>
      </c>
      <c r="AD2005" t="str">
        <f>IF(AB2005="",X2005,AB2005)</f>
        <v>sim</v>
      </c>
      <c r="AE2005" t="str">
        <f>IF(OR(Configuracao!B9="",Configuracao!B10=""),"aguardando limiar",IF(AND(K2005&gt;=Configuracao!B9,K2005/MAX(Reconciliacao!C2,1)&gt;=Configuracao!B10/100),"sim","não"))</f>
        <v>aguardando limiar</v>
      </c>
    </row>
    <row r="2006" spans="1:31" x14ac:dyDescent="0.25">
      <c r="A2006">
        <v>16158</v>
      </c>
      <c r="C2006" t="s">
        <v>1388</v>
      </c>
      <c r="D2006" t="s">
        <v>430</v>
      </c>
      <c r="E2006" t="s">
        <v>467</v>
      </c>
      <c r="F2006" t="s">
        <v>158</v>
      </c>
      <c r="G2006" t="s">
        <v>157</v>
      </c>
      <c r="H2006" t="s">
        <v>156</v>
      </c>
      <c r="I2006" t="s">
        <v>454</v>
      </c>
      <c r="J2006" t="s">
        <v>461</v>
      </c>
      <c r="K2006" s="4">
        <v>3800</v>
      </c>
      <c r="L2006" s="4">
        <v>3800</v>
      </c>
      <c r="M2006" t="s">
        <v>44</v>
      </c>
      <c r="N2006" t="s">
        <v>77</v>
      </c>
      <c r="O2006" t="s">
        <v>99</v>
      </c>
      <c r="P2006" t="s">
        <v>99</v>
      </c>
      <c r="Q2006" t="s">
        <v>159</v>
      </c>
      <c r="R2006" t="s">
        <v>160</v>
      </c>
      <c r="S2006" t="s">
        <v>161</v>
      </c>
      <c r="T2006" t="s">
        <v>162</v>
      </c>
      <c r="U2006" t="s">
        <v>163</v>
      </c>
      <c r="V2006" t="s">
        <v>164</v>
      </c>
      <c r="W2006" t="s">
        <v>116</v>
      </c>
      <c r="X2006" t="s">
        <v>44</v>
      </c>
      <c r="Y2006" t="s">
        <v>99</v>
      </c>
      <c r="Z2006" t="s">
        <v>421</v>
      </c>
      <c r="AC2006" t="str">
        <f>IF(AA2006="",M2006,AA2006)</f>
        <v>sim</v>
      </c>
      <c r="AD2006" t="str">
        <f>IF(AB2006="",X2006,AB2006)</f>
        <v>sim</v>
      </c>
      <c r="AE2006" t="str">
        <f>IF(OR(Configuracao!B9="",Configuracao!B10=""),"aguardando limiar",IF(AND(K2006&gt;=Configuracao!B9,K2006/MAX(Reconciliacao!C2,1)&gt;=Configuracao!B10/100),"sim","não"))</f>
        <v>aguardando limiar</v>
      </c>
    </row>
    <row r="2007" spans="1:31" x14ac:dyDescent="0.25">
      <c r="A2007">
        <v>14216</v>
      </c>
      <c r="C2007" t="s">
        <v>1475</v>
      </c>
      <c r="D2007" t="s">
        <v>604</v>
      </c>
      <c r="E2007" t="s">
        <v>445</v>
      </c>
      <c r="F2007" t="s">
        <v>158</v>
      </c>
      <c r="G2007" t="s">
        <v>157</v>
      </c>
      <c r="H2007" t="s">
        <v>156</v>
      </c>
      <c r="I2007" t="s">
        <v>420</v>
      </c>
      <c r="J2007" t="s">
        <v>454</v>
      </c>
      <c r="K2007" s="4">
        <v>3821.69</v>
      </c>
      <c r="L2007" s="4">
        <v>3821.69</v>
      </c>
      <c r="M2007" t="s">
        <v>44</v>
      </c>
      <c r="N2007" t="s">
        <v>77</v>
      </c>
      <c r="O2007" t="s">
        <v>99</v>
      </c>
      <c r="P2007" t="s">
        <v>99</v>
      </c>
      <c r="Q2007" t="s">
        <v>159</v>
      </c>
      <c r="R2007" t="s">
        <v>160</v>
      </c>
      <c r="S2007" t="s">
        <v>161</v>
      </c>
      <c r="T2007" t="s">
        <v>162</v>
      </c>
      <c r="U2007" t="s">
        <v>163</v>
      </c>
      <c r="V2007" t="s">
        <v>164</v>
      </c>
      <c r="W2007" t="s">
        <v>116</v>
      </c>
      <c r="X2007" t="s">
        <v>44</v>
      </c>
      <c r="Y2007" t="s">
        <v>99</v>
      </c>
      <c r="Z2007" t="s">
        <v>421</v>
      </c>
      <c r="AC2007" t="str">
        <f>IF(AA2007="",M2007,AA2007)</f>
        <v>sim</v>
      </c>
      <c r="AD2007" t="str">
        <f>IF(AB2007="",X2007,AB2007)</f>
        <v>sim</v>
      </c>
      <c r="AE2007" t="str">
        <f>IF(OR(Configuracao!B9="",Configuracao!B10=""),"aguardando limiar",IF(AND(K2007&gt;=Configuracao!B9,K2007/MAX(Reconciliacao!C2,1)&gt;=Configuracao!B10/100),"sim","não"))</f>
        <v>aguardando limiar</v>
      </c>
    </row>
    <row r="2008" spans="1:31" x14ac:dyDescent="0.25">
      <c r="A2008">
        <v>15991</v>
      </c>
      <c r="C2008" t="s">
        <v>1475</v>
      </c>
      <c r="D2008" t="s">
        <v>604</v>
      </c>
      <c r="E2008" t="s">
        <v>445</v>
      </c>
      <c r="F2008" t="s">
        <v>158</v>
      </c>
      <c r="G2008" t="s">
        <v>157</v>
      </c>
      <c r="H2008" t="s">
        <v>156</v>
      </c>
      <c r="I2008" t="s">
        <v>424</v>
      </c>
      <c r="J2008" t="s">
        <v>420</v>
      </c>
      <c r="K2008" s="4">
        <v>3821.69</v>
      </c>
      <c r="L2008" s="4">
        <v>3821.69</v>
      </c>
      <c r="M2008" t="s">
        <v>44</v>
      </c>
      <c r="N2008" t="s">
        <v>77</v>
      </c>
      <c r="O2008" t="s">
        <v>99</v>
      </c>
      <c r="P2008" t="s">
        <v>99</v>
      </c>
      <c r="Q2008" t="s">
        <v>159</v>
      </c>
      <c r="R2008" t="s">
        <v>160</v>
      </c>
      <c r="S2008" t="s">
        <v>161</v>
      </c>
      <c r="T2008" t="s">
        <v>162</v>
      </c>
      <c r="U2008" t="s">
        <v>163</v>
      </c>
      <c r="V2008" t="s">
        <v>164</v>
      </c>
      <c r="W2008" t="s">
        <v>116</v>
      </c>
      <c r="X2008" t="s">
        <v>44</v>
      </c>
      <c r="Y2008" t="s">
        <v>99</v>
      </c>
      <c r="Z2008" t="s">
        <v>421</v>
      </c>
      <c r="AC2008" t="str">
        <f>IF(AA2008="",M2008,AA2008)</f>
        <v>sim</v>
      </c>
      <c r="AD2008" t="str">
        <f>IF(AB2008="",X2008,AB2008)</f>
        <v>sim</v>
      </c>
      <c r="AE2008" t="str">
        <f>IF(OR(Configuracao!B9="",Configuracao!B10=""),"aguardando limiar",IF(AND(K2008&gt;=Configuracao!B9,K2008/MAX(Reconciliacao!C2,1)&gt;=Configuracao!B10/100),"sim","não"))</f>
        <v>aguardando limiar</v>
      </c>
    </row>
    <row r="2009" spans="1:31" x14ac:dyDescent="0.25">
      <c r="A2009">
        <v>16177</v>
      </c>
      <c r="C2009" t="s">
        <v>1475</v>
      </c>
      <c r="D2009" t="s">
        <v>604</v>
      </c>
      <c r="E2009" t="s">
        <v>445</v>
      </c>
      <c r="F2009" t="s">
        <v>158</v>
      </c>
      <c r="G2009" t="s">
        <v>157</v>
      </c>
      <c r="H2009" t="s">
        <v>156</v>
      </c>
      <c r="I2009" t="s">
        <v>454</v>
      </c>
      <c r="J2009" t="s">
        <v>461</v>
      </c>
      <c r="K2009" s="4">
        <v>3821.69</v>
      </c>
      <c r="L2009" s="4">
        <v>3821.69</v>
      </c>
      <c r="M2009" t="s">
        <v>44</v>
      </c>
      <c r="N2009" t="s">
        <v>77</v>
      </c>
      <c r="O2009" t="s">
        <v>99</v>
      </c>
      <c r="P2009" t="s">
        <v>99</v>
      </c>
      <c r="Q2009" t="s">
        <v>159</v>
      </c>
      <c r="R2009" t="s">
        <v>160</v>
      </c>
      <c r="S2009" t="s">
        <v>161</v>
      </c>
      <c r="T2009" t="s">
        <v>162</v>
      </c>
      <c r="U2009" t="s">
        <v>163</v>
      </c>
      <c r="V2009" t="s">
        <v>164</v>
      </c>
      <c r="W2009" t="s">
        <v>116</v>
      </c>
      <c r="X2009" t="s">
        <v>44</v>
      </c>
      <c r="Y2009" t="s">
        <v>99</v>
      </c>
      <c r="Z2009" t="s">
        <v>421</v>
      </c>
      <c r="AC2009" t="str">
        <f>IF(AA2009="",M2009,AA2009)</f>
        <v>sim</v>
      </c>
      <c r="AD2009" t="str">
        <f>IF(AB2009="",X2009,AB2009)</f>
        <v>sim</v>
      </c>
      <c r="AE2009" t="str">
        <f>IF(OR(Configuracao!B9="",Configuracao!B10=""),"aguardando limiar",IF(AND(K2009&gt;=Configuracao!B9,K2009/MAX(Reconciliacao!C2,1)&gt;=Configuracao!B10/100),"sim","não"))</f>
        <v>aguardando limiar</v>
      </c>
    </row>
    <row r="2010" spans="1:31" x14ac:dyDescent="0.25">
      <c r="A2010">
        <v>17258</v>
      </c>
      <c r="C2010" t="s">
        <v>1472</v>
      </c>
      <c r="D2010" t="s">
        <v>1473</v>
      </c>
      <c r="E2010" t="s">
        <v>465</v>
      </c>
      <c r="F2010" t="s">
        <v>158</v>
      </c>
      <c r="G2010" t="s">
        <v>157</v>
      </c>
      <c r="H2010" t="s">
        <v>156</v>
      </c>
      <c r="I2010" t="s">
        <v>461</v>
      </c>
      <c r="J2010" t="s">
        <v>442</v>
      </c>
      <c r="K2010" s="4">
        <v>3821.69</v>
      </c>
      <c r="L2010" s="4">
        <v>3821.69</v>
      </c>
      <c r="M2010" t="s">
        <v>44</v>
      </c>
      <c r="N2010" t="s">
        <v>77</v>
      </c>
      <c r="O2010" t="s">
        <v>99</v>
      </c>
      <c r="P2010" t="s">
        <v>99</v>
      </c>
      <c r="Q2010" t="s">
        <v>159</v>
      </c>
      <c r="R2010" t="s">
        <v>160</v>
      </c>
      <c r="S2010" t="s">
        <v>161</v>
      </c>
      <c r="T2010" t="s">
        <v>162</v>
      </c>
      <c r="U2010" t="s">
        <v>163</v>
      </c>
      <c r="V2010" t="s">
        <v>164</v>
      </c>
      <c r="W2010" t="s">
        <v>116</v>
      </c>
      <c r="X2010" t="s">
        <v>44</v>
      </c>
      <c r="Y2010" t="s">
        <v>99</v>
      </c>
      <c r="Z2010" t="s">
        <v>421</v>
      </c>
      <c r="AC2010" t="str">
        <f>IF(AA2010="",M2010,AA2010)</f>
        <v>sim</v>
      </c>
      <c r="AD2010" t="str">
        <f>IF(AB2010="",X2010,AB2010)</f>
        <v>sim</v>
      </c>
      <c r="AE2010" t="str">
        <f>IF(OR(Configuracao!B9="",Configuracao!B10=""),"aguardando limiar",IF(AND(K2010&gt;=Configuracao!B9,K2010/MAX(Reconciliacao!C2,1)&gt;=Configuracao!B10/100),"sim","não"))</f>
        <v>aguardando limiar</v>
      </c>
    </row>
    <row r="2011" spans="1:31" x14ac:dyDescent="0.25">
      <c r="A2011">
        <v>17267</v>
      </c>
      <c r="C2011" t="s">
        <v>1403</v>
      </c>
      <c r="D2011" t="s">
        <v>1404</v>
      </c>
      <c r="E2011" t="s">
        <v>525</v>
      </c>
      <c r="F2011" t="s">
        <v>158</v>
      </c>
      <c r="G2011" t="s">
        <v>157</v>
      </c>
      <c r="H2011" t="s">
        <v>156</v>
      </c>
      <c r="I2011" t="s">
        <v>461</v>
      </c>
      <c r="J2011" t="s">
        <v>442</v>
      </c>
      <c r="K2011" s="4">
        <v>3821.69</v>
      </c>
      <c r="L2011" s="4">
        <v>3821.69</v>
      </c>
      <c r="M2011" t="s">
        <v>44</v>
      </c>
      <c r="N2011" t="s">
        <v>77</v>
      </c>
      <c r="O2011" t="s">
        <v>99</v>
      </c>
      <c r="P2011" t="s">
        <v>99</v>
      </c>
      <c r="Q2011" t="s">
        <v>159</v>
      </c>
      <c r="R2011" t="s">
        <v>160</v>
      </c>
      <c r="S2011" t="s">
        <v>161</v>
      </c>
      <c r="T2011" t="s">
        <v>162</v>
      </c>
      <c r="U2011" t="s">
        <v>163</v>
      </c>
      <c r="V2011" t="s">
        <v>164</v>
      </c>
      <c r="W2011" t="s">
        <v>116</v>
      </c>
      <c r="X2011" t="s">
        <v>44</v>
      </c>
      <c r="Y2011" t="s">
        <v>99</v>
      </c>
      <c r="Z2011" t="s">
        <v>421</v>
      </c>
      <c r="AC2011" t="str">
        <f>IF(AA2011="",M2011,AA2011)</f>
        <v>sim</v>
      </c>
      <c r="AD2011" t="str">
        <f>IF(AB2011="",X2011,AB2011)</f>
        <v>sim</v>
      </c>
      <c r="AE2011" t="str">
        <f>IF(OR(Configuracao!B9="",Configuracao!B10=""),"aguardando limiar",IF(AND(K2011&gt;=Configuracao!B9,K2011/MAX(Reconciliacao!C2,1)&gt;=Configuracao!B10/100),"sim","não"))</f>
        <v>aguardando limiar</v>
      </c>
    </row>
    <row r="2012" spans="1:31" x14ac:dyDescent="0.25">
      <c r="A2012">
        <v>17270</v>
      </c>
      <c r="C2012" t="s">
        <v>1475</v>
      </c>
      <c r="D2012" t="s">
        <v>604</v>
      </c>
      <c r="E2012" t="s">
        <v>445</v>
      </c>
      <c r="F2012" t="s">
        <v>158</v>
      </c>
      <c r="G2012" t="s">
        <v>157</v>
      </c>
      <c r="H2012" t="s">
        <v>156</v>
      </c>
      <c r="I2012" t="s">
        <v>461</v>
      </c>
      <c r="J2012" t="s">
        <v>442</v>
      </c>
      <c r="K2012" s="4">
        <v>3821.69</v>
      </c>
      <c r="L2012" s="4">
        <v>3821.69</v>
      </c>
      <c r="M2012" t="s">
        <v>44</v>
      </c>
      <c r="N2012" t="s">
        <v>77</v>
      </c>
      <c r="O2012" t="s">
        <v>99</v>
      </c>
      <c r="P2012" t="s">
        <v>99</v>
      </c>
      <c r="Q2012" t="s">
        <v>159</v>
      </c>
      <c r="R2012" t="s">
        <v>160</v>
      </c>
      <c r="S2012" t="s">
        <v>161</v>
      </c>
      <c r="T2012" t="s">
        <v>162</v>
      </c>
      <c r="U2012" t="s">
        <v>163</v>
      </c>
      <c r="V2012" t="s">
        <v>164</v>
      </c>
      <c r="W2012" t="s">
        <v>116</v>
      </c>
      <c r="X2012" t="s">
        <v>44</v>
      </c>
      <c r="Y2012" t="s">
        <v>99</v>
      </c>
      <c r="Z2012" t="s">
        <v>421</v>
      </c>
      <c r="AC2012" t="str">
        <f>IF(AA2012="",M2012,AA2012)</f>
        <v>sim</v>
      </c>
      <c r="AD2012" t="str">
        <f>IF(AB2012="",X2012,AB2012)</f>
        <v>sim</v>
      </c>
      <c r="AE2012" t="str">
        <f>IF(OR(Configuracao!B9="",Configuracao!B10=""),"aguardando limiar",IF(AND(K2012&gt;=Configuracao!B9,K2012/MAX(Reconciliacao!C2,1)&gt;=Configuracao!B10/100),"sim","não"))</f>
        <v>aguardando limiar</v>
      </c>
    </row>
    <row r="2013" spans="1:31" x14ac:dyDescent="0.25">
      <c r="A2013">
        <v>17947</v>
      </c>
      <c r="C2013" t="s">
        <v>1472</v>
      </c>
      <c r="D2013" t="s">
        <v>1473</v>
      </c>
      <c r="E2013" t="s">
        <v>465</v>
      </c>
      <c r="F2013" t="s">
        <v>158</v>
      </c>
      <c r="G2013" t="s">
        <v>157</v>
      </c>
      <c r="H2013" t="s">
        <v>156</v>
      </c>
      <c r="I2013" t="s">
        <v>442</v>
      </c>
      <c r="J2013" t="s">
        <v>439</v>
      </c>
      <c r="K2013" s="4">
        <v>3821.69</v>
      </c>
      <c r="L2013" s="4">
        <v>3821.69</v>
      </c>
      <c r="M2013" t="s">
        <v>44</v>
      </c>
      <c r="N2013" t="s">
        <v>77</v>
      </c>
      <c r="O2013" t="s">
        <v>99</v>
      </c>
      <c r="P2013" t="s">
        <v>99</v>
      </c>
      <c r="Q2013" t="s">
        <v>159</v>
      </c>
      <c r="R2013" t="s">
        <v>160</v>
      </c>
      <c r="S2013" t="s">
        <v>161</v>
      </c>
      <c r="T2013" t="s">
        <v>162</v>
      </c>
      <c r="U2013" t="s">
        <v>163</v>
      </c>
      <c r="V2013" t="s">
        <v>164</v>
      </c>
      <c r="W2013" t="s">
        <v>116</v>
      </c>
      <c r="X2013" t="s">
        <v>44</v>
      </c>
      <c r="Y2013" t="s">
        <v>99</v>
      </c>
      <c r="Z2013" t="s">
        <v>421</v>
      </c>
      <c r="AC2013" t="str">
        <f>IF(AA2013="",M2013,AA2013)</f>
        <v>sim</v>
      </c>
      <c r="AD2013" t="str">
        <f>IF(AB2013="",X2013,AB2013)</f>
        <v>sim</v>
      </c>
      <c r="AE2013" t="str">
        <f>IF(OR(Configuracao!B9="",Configuracao!B10=""),"aguardando limiar",IF(AND(K2013&gt;=Configuracao!B9,K2013/MAX(Reconciliacao!C2,1)&gt;=Configuracao!B10/100),"sim","não"))</f>
        <v>aguardando limiar</v>
      </c>
    </row>
    <row r="2014" spans="1:31" x14ac:dyDescent="0.25">
      <c r="A2014">
        <v>17954</v>
      </c>
      <c r="C2014" t="s">
        <v>1403</v>
      </c>
      <c r="D2014" t="s">
        <v>1404</v>
      </c>
      <c r="E2014" t="s">
        <v>525</v>
      </c>
      <c r="F2014" t="s">
        <v>158</v>
      </c>
      <c r="G2014" t="s">
        <v>157</v>
      </c>
      <c r="H2014" t="s">
        <v>156</v>
      </c>
      <c r="I2014" t="s">
        <v>442</v>
      </c>
      <c r="J2014" t="s">
        <v>439</v>
      </c>
      <c r="K2014" s="4">
        <v>3821.69</v>
      </c>
      <c r="L2014" s="4">
        <v>3821.69</v>
      </c>
      <c r="M2014" t="s">
        <v>44</v>
      </c>
      <c r="N2014" t="s">
        <v>77</v>
      </c>
      <c r="O2014" t="s">
        <v>99</v>
      </c>
      <c r="P2014" t="s">
        <v>99</v>
      </c>
      <c r="Q2014" t="s">
        <v>159</v>
      </c>
      <c r="R2014" t="s">
        <v>160</v>
      </c>
      <c r="S2014" t="s">
        <v>161</v>
      </c>
      <c r="T2014" t="s">
        <v>162</v>
      </c>
      <c r="U2014" t="s">
        <v>163</v>
      </c>
      <c r="V2014" t="s">
        <v>164</v>
      </c>
      <c r="W2014" t="s">
        <v>116</v>
      </c>
      <c r="X2014" t="s">
        <v>44</v>
      </c>
      <c r="Y2014" t="s">
        <v>99</v>
      </c>
      <c r="Z2014" t="s">
        <v>421</v>
      </c>
      <c r="AC2014" t="str">
        <f>IF(AA2014="",M2014,AA2014)</f>
        <v>sim</v>
      </c>
      <c r="AD2014" t="str">
        <f>IF(AB2014="",X2014,AB2014)</f>
        <v>sim</v>
      </c>
      <c r="AE2014" t="str">
        <f>IF(OR(Configuracao!B9="",Configuracao!B10=""),"aguardando limiar",IF(AND(K2014&gt;=Configuracao!B9,K2014/MAX(Reconciliacao!C2,1)&gt;=Configuracao!B10/100),"sim","não"))</f>
        <v>aguardando limiar</v>
      </c>
    </row>
    <row r="2015" spans="1:31" x14ac:dyDescent="0.25">
      <c r="A2015">
        <v>17957</v>
      </c>
      <c r="C2015" t="s">
        <v>1475</v>
      </c>
      <c r="D2015" t="s">
        <v>604</v>
      </c>
      <c r="E2015" t="s">
        <v>445</v>
      </c>
      <c r="F2015" t="s">
        <v>158</v>
      </c>
      <c r="G2015" t="s">
        <v>157</v>
      </c>
      <c r="H2015" t="s">
        <v>156</v>
      </c>
      <c r="I2015" t="s">
        <v>442</v>
      </c>
      <c r="J2015" t="s">
        <v>439</v>
      </c>
      <c r="K2015" s="4">
        <v>3821.69</v>
      </c>
      <c r="L2015" s="4">
        <v>3821.69</v>
      </c>
      <c r="M2015" t="s">
        <v>44</v>
      </c>
      <c r="N2015" t="s">
        <v>77</v>
      </c>
      <c r="O2015" t="s">
        <v>99</v>
      </c>
      <c r="P2015" t="s">
        <v>99</v>
      </c>
      <c r="Q2015" t="s">
        <v>159</v>
      </c>
      <c r="R2015" t="s">
        <v>160</v>
      </c>
      <c r="S2015" t="s">
        <v>161</v>
      </c>
      <c r="T2015" t="s">
        <v>162</v>
      </c>
      <c r="U2015" t="s">
        <v>163</v>
      </c>
      <c r="V2015" t="s">
        <v>164</v>
      </c>
      <c r="W2015" t="s">
        <v>116</v>
      </c>
      <c r="X2015" t="s">
        <v>44</v>
      </c>
      <c r="Y2015" t="s">
        <v>99</v>
      </c>
      <c r="Z2015" t="s">
        <v>421</v>
      </c>
      <c r="AC2015" t="str">
        <f>IF(AA2015="",M2015,AA2015)</f>
        <v>sim</v>
      </c>
      <c r="AD2015" t="str">
        <f>IF(AB2015="",X2015,AB2015)</f>
        <v>sim</v>
      </c>
      <c r="AE2015" t="str">
        <f>IF(OR(Configuracao!B9="",Configuracao!B10=""),"aguardando limiar",IF(AND(K2015&gt;=Configuracao!B9,K2015/MAX(Reconciliacao!C2,1)&gt;=Configuracao!B10/100),"sim","não"))</f>
        <v>aguardando limiar</v>
      </c>
    </row>
    <row r="2016" spans="1:31" x14ac:dyDescent="0.25">
      <c r="A2016">
        <v>17961</v>
      </c>
      <c r="C2016" t="s">
        <v>1414</v>
      </c>
      <c r="D2016" t="s">
        <v>1415</v>
      </c>
      <c r="E2016" t="s">
        <v>467</v>
      </c>
      <c r="F2016" t="s">
        <v>158</v>
      </c>
      <c r="G2016" t="s">
        <v>157</v>
      </c>
      <c r="H2016" t="s">
        <v>156</v>
      </c>
      <c r="I2016" t="s">
        <v>442</v>
      </c>
      <c r="J2016" t="s">
        <v>439</v>
      </c>
      <c r="K2016" s="4">
        <v>3821.69</v>
      </c>
      <c r="L2016" s="4">
        <v>3821.69</v>
      </c>
      <c r="M2016" t="s">
        <v>44</v>
      </c>
      <c r="N2016" t="s">
        <v>77</v>
      </c>
      <c r="O2016" t="s">
        <v>99</v>
      </c>
      <c r="P2016" t="s">
        <v>99</v>
      </c>
      <c r="Q2016" t="s">
        <v>159</v>
      </c>
      <c r="R2016" t="s">
        <v>160</v>
      </c>
      <c r="S2016" t="s">
        <v>161</v>
      </c>
      <c r="T2016" t="s">
        <v>162</v>
      </c>
      <c r="U2016" t="s">
        <v>163</v>
      </c>
      <c r="V2016" t="s">
        <v>164</v>
      </c>
      <c r="W2016" t="s">
        <v>116</v>
      </c>
      <c r="X2016" t="s">
        <v>44</v>
      </c>
      <c r="Y2016" t="s">
        <v>99</v>
      </c>
      <c r="Z2016" t="s">
        <v>421</v>
      </c>
      <c r="AC2016" t="str">
        <f>IF(AA2016="",M2016,AA2016)</f>
        <v>sim</v>
      </c>
      <c r="AD2016" t="str">
        <f>IF(AB2016="",X2016,AB2016)</f>
        <v>sim</v>
      </c>
      <c r="AE2016" t="str">
        <f>IF(OR(Configuracao!B9="",Configuracao!B10=""),"aguardando limiar",IF(AND(K2016&gt;=Configuracao!B9,K2016/MAX(Reconciliacao!C2,1)&gt;=Configuracao!B10/100),"sim","não"))</f>
        <v>aguardando limiar</v>
      </c>
    </row>
    <row r="2017" spans="1:31" x14ac:dyDescent="0.25">
      <c r="A2017">
        <v>18791</v>
      </c>
      <c r="C2017" t="s">
        <v>1472</v>
      </c>
      <c r="D2017" t="s">
        <v>1473</v>
      </c>
      <c r="E2017" t="s">
        <v>465</v>
      </c>
      <c r="F2017" t="s">
        <v>158</v>
      </c>
      <c r="G2017" t="s">
        <v>157</v>
      </c>
      <c r="H2017" t="s">
        <v>156</v>
      </c>
      <c r="I2017" t="s">
        <v>439</v>
      </c>
      <c r="J2017" t="s">
        <v>35</v>
      </c>
      <c r="K2017" s="4">
        <v>3821.69</v>
      </c>
      <c r="L2017" s="4">
        <v>3821.69</v>
      </c>
      <c r="M2017" t="s">
        <v>44</v>
      </c>
      <c r="N2017" t="s">
        <v>77</v>
      </c>
      <c r="O2017" t="s">
        <v>99</v>
      </c>
      <c r="P2017" t="s">
        <v>99</v>
      </c>
      <c r="Q2017" t="s">
        <v>159</v>
      </c>
      <c r="R2017" t="s">
        <v>160</v>
      </c>
      <c r="S2017" t="s">
        <v>161</v>
      </c>
      <c r="T2017" t="s">
        <v>162</v>
      </c>
      <c r="U2017" t="s">
        <v>163</v>
      </c>
      <c r="V2017" t="s">
        <v>164</v>
      </c>
      <c r="W2017" t="s">
        <v>116</v>
      </c>
      <c r="X2017" t="s">
        <v>44</v>
      </c>
      <c r="Y2017" t="s">
        <v>99</v>
      </c>
      <c r="Z2017" t="s">
        <v>421</v>
      </c>
      <c r="AC2017" t="str">
        <f>IF(AA2017="",M2017,AA2017)</f>
        <v>sim</v>
      </c>
      <c r="AD2017" t="str">
        <f>IF(AB2017="",X2017,AB2017)</f>
        <v>sim</v>
      </c>
      <c r="AE2017" t="str">
        <f>IF(OR(Configuracao!B9="",Configuracao!B10=""),"aguardando limiar",IF(AND(K2017&gt;=Configuracao!B9,K2017/MAX(Reconciliacao!C2,1)&gt;=Configuracao!B10/100),"sim","não"))</f>
        <v>aguardando limiar</v>
      </c>
    </row>
    <row r="2018" spans="1:31" x14ac:dyDescent="0.25">
      <c r="A2018">
        <v>18797</v>
      </c>
      <c r="C2018" t="s">
        <v>1403</v>
      </c>
      <c r="D2018" t="s">
        <v>1404</v>
      </c>
      <c r="E2018" t="s">
        <v>525</v>
      </c>
      <c r="F2018" t="s">
        <v>158</v>
      </c>
      <c r="G2018" t="s">
        <v>157</v>
      </c>
      <c r="H2018" t="s">
        <v>156</v>
      </c>
      <c r="I2018" t="s">
        <v>439</v>
      </c>
      <c r="J2018" t="s">
        <v>35</v>
      </c>
      <c r="K2018" s="4">
        <v>3821.69</v>
      </c>
      <c r="L2018" s="4">
        <v>3821.69</v>
      </c>
      <c r="M2018" t="s">
        <v>44</v>
      </c>
      <c r="N2018" t="s">
        <v>77</v>
      </c>
      <c r="O2018" t="s">
        <v>99</v>
      </c>
      <c r="P2018" t="s">
        <v>99</v>
      </c>
      <c r="Q2018" t="s">
        <v>159</v>
      </c>
      <c r="R2018" t="s">
        <v>160</v>
      </c>
      <c r="S2018" t="s">
        <v>161</v>
      </c>
      <c r="T2018" t="s">
        <v>162</v>
      </c>
      <c r="U2018" t="s">
        <v>163</v>
      </c>
      <c r="V2018" t="s">
        <v>164</v>
      </c>
      <c r="W2018" t="s">
        <v>116</v>
      </c>
      <c r="X2018" t="s">
        <v>44</v>
      </c>
      <c r="Y2018" t="s">
        <v>99</v>
      </c>
      <c r="Z2018" t="s">
        <v>421</v>
      </c>
      <c r="AC2018" t="str">
        <f>IF(AA2018="",M2018,AA2018)</f>
        <v>sim</v>
      </c>
      <c r="AD2018" t="str">
        <f>IF(AB2018="",X2018,AB2018)</f>
        <v>sim</v>
      </c>
      <c r="AE2018" t="str">
        <f>IF(OR(Configuracao!B9="",Configuracao!B10=""),"aguardando limiar",IF(AND(K2018&gt;=Configuracao!B9,K2018/MAX(Reconciliacao!C2,1)&gt;=Configuracao!B10/100),"sim","não"))</f>
        <v>aguardando limiar</v>
      </c>
    </row>
    <row r="2019" spans="1:31" x14ac:dyDescent="0.25">
      <c r="A2019">
        <v>18800</v>
      </c>
      <c r="C2019" t="s">
        <v>1475</v>
      </c>
      <c r="D2019" t="s">
        <v>604</v>
      </c>
      <c r="E2019" t="s">
        <v>445</v>
      </c>
      <c r="F2019" t="s">
        <v>158</v>
      </c>
      <c r="G2019" t="s">
        <v>157</v>
      </c>
      <c r="H2019" t="s">
        <v>156</v>
      </c>
      <c r="I2019" t="s">
        <v>439</v>
      </c>
      <c r="J2019" t="s">
        <v>35</v>
      </c>
      <c r="K2019" s="4">
        <v>3821.69</v>
      </c>
      <c r="L2019" s="4">
        <v>3821.69</v>
      </c>
      <c r="M2019" t="s">
        <v>44</v>
      </c>
      <c r="N2019" t="s">
        <v>77</v>
      </c>
      <c r="O2019" t="s">
        <v>99</v>
      </c>
      <c r="P2019" t="s">
        <v>99</v>
      </c>
      <c r="Q2019" t="s">
        <v>159</v>
      </c>
      <c r="R2019" t="s">
        <v>160</v>
      </c>
      <c r="S2019" t="s">
        <v>161</v>
      </c>
      <c r="T2019" t="s">
        <v>162</v>
      </c>
      <c r="U2019" t="s">
        <v>163</v>
      </c>
      <c r="V2019" t="s">
        <v>164</v>
      </c>
      <c r="W2019" t="s">
        <v>116</v>
      </c>
      <c r="X2019" t="s">
        <v>44</v>
      </c>
      <c r="Y2019" t="s">
        <v>99</v>
      </c>
      <c r="Z2019" t="s">
        <v>421</v>
      </c>
      <c r="AC2019" t="str">
        <f>IF(AA2019="",M2019,AA2019)</f>
        <v>sim</v>
      </c>
      <c r="AD2019" t="str">
        <f>IF(AB2019="",X2019,AB2019)</f>
        <v>sim</v>
      </c>
      <c r="AE2019" t="str">
        <f>IF(OR(Configuracao!B9="",Configuracao!B10=""),"aguardando limiar",IF(AND(K2019&gt;=Configuracao!B9,K2019/MAX(Reconciliacao!C2,1)&gt;=Configuracao!B10/100),"sim","não"))</f>
        <v>aguardando limiar</v>
      </c>
    </row>
    <row r="2020" spans="1:31" x14ac:dyDescent="0.25">
      <c r="A2020">
        <v>16174</v>
      </c>
      <c r="C2020" t="s">
        <v>1403</v>
      </c>
      <c r="D2020" t="s">
        <v>1404</v>
      </c>
      <c r="E2020" t="s">
        <v>525</v>
      </c>
      <c r="F2020" t="s">
        <v>158</v>
      </c>
      <c r="G2020" t="s">
        <v>157</v>
      </c>
      <c r="H2020" t="s">
        <v>156</v>
      </c>
      <c r="I2020" t="s">
        <v>454</v>
      </c>
      <c r="J2020" t="s">
        <v>461</v>
      </c>
      <c r="K2020" s="4">
        <v>3974.96</v>
      </c>
      <c r="L2020" s="4">
        <v>3974.96</v>
      </c>
      <c r="M2020" t="s">
        <v>44</v>
      </c>
      <c r="N2020" t="s">
        <v>77</v>
      </c>
      <c r="O2020" t="s">
        <v>99</v>
      </c>
      <c r="P2020" t="s">
        <v>99</v>
      </c>
      <c r="Q2020" t="s">
        <v>159</v>
      </c>
      <c r="R2020" t="s">
        <v>160</v>
      </c>
      <c r="S2020" t="s">
        <v>161</v>
      </c>
      <c r="T2020" t="s">
        <v>162</v>
      </c>
      <c r="U2020" t="s">
        <v>163</v>
      </c>
      <c r="V2020" t="s">
        <v>164</v>
      </c>
      <c r="W2020" t="s">
        <v>116</v>
      </c>
      <c r="X2020" t="s">
        <v>44</v>
      </c>
      <c r="Y2020" t="s">
        <v>99</v>
      </c>
      <c r="Z2020" t="s">
        <v>421</v>
      </c>
      <c r="AC2020" t="str">
        <f>IF(AA2020="",M2020,AA2020)</f>
        <v>sim</v>
      </c>
      <c r="AD2020" t="str">
        <f>IF(AB2020="",X2020,AB2020)</f>
        <v>sim</v>
      </c>
      <c r="AE2020" t="str">
        <f>IF(OR(Configuracao!B9="",Configuracao!B10=""),"aguardando limiar",IF(AND(K2020&gt;=Configuracao!B9,K2020/MAX(Reconciliacao!C2,1)&gt;=Configuracao!B10/100),"sim","não"))</f>
        <v>aguardando limiar</v>
      </c>
    </row>
    <row r="2021" spans="1:31" x14ac:dyDescent="0.25">
      <c r="A2021">
        <v>12960</v>
      </c>
      <c r="C2021" t="s">
        <v>1403</v>
      </c>
      <c r="D2021" t="s">
        <v>1404</v>
      </c>
      <c r="E2021" t="s">
        <v>525</v>
      </c>
      <c r="F2021" t="s">
        <v>158</v>
      </c>
      <c r="G2021" t="s">
        <v>157</v>
      </c>
      <c r="H2021" t="s">
        <v>156</v>
      </c>
      <c r="I2021" t="s">
        <v>424</v>
      </c>
      <c r="J2021" t="s">
        <v>424</v>
      </c>
      <c r="K2021" s="4">
        <v>4000</v>
      </c>
      <c r="L2021" s="4">
        <v>4000</v>
      </c>
      <c r="M2021" t="s">
        <v>44</v>
      </c>
      <c r="N2021" t="s">
        <v>77</v>
      </c>
      <c r="O2021" t="s">
        <v>99</v>
      </c>
      <c r="P2021" t="s">
        <v>99</v>
      </c>
      <c r="Q2021" t="s">
        <v>159</v>
      </c>
      <c r="R2021" t="s">
        <v>160</v>
      </c>
      <c r="S2021" t="s">
        <v>161</v>
      </c>
      <c r="T2021" t="s">
        <v>162</v>
      </c>
      <c r="U2021" t="s">
        <v>163</v>
      </c>
      <c r="V2021" t="s">
        <v>164</v>
      </c>
      <c r="W2021" t="s">
        <v>116</v>
      </c>
      <c r="X2021" t="s">
        <v>44</v>
      </c>
      <c r="Y2021" t="s">
        <v>99</v>
      </c>
      <c r="Z2021" t="s">
        <v>421</v>
      </c>
      <c r="AC2021" t="str">
        <f>IF(AA2021="",M2021,AA2021)</f>
        <v>sim</v>
      </c>
      <c r="AD2021" t="str">
        <f>IF(AB2021="",X2021,AB2021)</f>
        <v>sim</v>
      </c>
      <c r="AE2021" t="str">
        <f>IF(OR(Configuracao!B9="",Configuracao!B10=""),"aguardando limiar",IF(AND(K2021&gt;=Configuracao!B9,K2021/MAX(Reconciliacao!C2,1)&gt;=Configuracao!B10/100),"sim","não"))</f>
        <v>aguardando limiar</v>
      </c>
    </row>
    <row r="2022" spans="1:31" x14ac:dyDescent="0.25">
      <c r="A2022">
        <v>12964</v>
      </c>
      <c r="D2022" t="s">
        <v>1474</v>
      </c>
      <c r="E2022" t="s">
        <v>224</v>
      </c>
      <c r="F2022" t="s">
        <v>158</v>
      </c>
      <c r="G2022" t="s">
        <v>157</v>
      </c>
      <c r="H2022" t="s">
        <v>156</v>
      </c>
      <c r="I2022" t="s">
        <v>424</v>
      </c>
      <c r="J2022" t="s">
        <v>424</v>
      </c>
      <c r="K2022" s="4">
        <v>4000</v>
      </c>
      <c r="L2022" s="4">
        <v>4000</v>
      </c>
      <c r="M2022" t="s">
        <v>44</v>
      </c>
      <c r="N2022" t="s">
        <v>77</v>
      </c>
      <c r="O2022" t="s">
        <v>99</v>
      </c>
      <c r="P2022" t="s">
        <v>99</v>
      </c>
      <c r="Q2022" t="s">
        <v>159</v>
      </c>
      <c r="R2022" t="s">
        <v>160</v>
      </c>
      <c r="S2022" t="s">
        <v>161</v>
      </c>
      <c r="T2022" t="s">
        <v>162</v>
      </c>
      <c r="U2022" t="s">
        <v>163</v>
      </c>
      <c r="V2022" t="s">
        <v>164</v>
      </c>
      <c r="W2022" t="s">
        <v>116</v>
      </c>
      <c r="X2022" t="s">
        <v>44</v>
      </c>
      <c r="Y2022" t="s">
        <v>99</v>
      </c>
      <c r="Z2022" t="s">
        <v>421</v>
      </c>
      <c r="AC2022" t="str">
        <f>IF(AA2022="",M2022,AA2022)</f>
        <v>sim</v>
      </c>
      <c r="AD2022" t="str">
        <f>IF(AB2022="",X2022,AB2022)</f>
        <v>sim</v>
      </c>
      <c r="AE2022" t="str">
        <f>IF(OR(Configuracao!B9="",Configuracao!B10=""),"aguardando limiar",IF(AND(K2022&gt;=Configuracao!B9,K2022/MAX(Reconciliacao!C2,1)&gt;=Configuracao!B10/100),"sim","não"))</f>
        <v>aguardando limiar</v>
      </c>
    </row>
    <row r="2023" spans="1:31" x14ac:dyDescent="0.25">
      <c r="A2023">
        <v>12966</v>
      </c>
      <c r="C2023" t="s">
        <v>1405</v>
      </c>
      <c r="D2023" t="s">
        <v>870</v>
      </c>
      <c r="E2023" t="s">
        <v>445</v>
      </c>
      <c r="F2023" t="s">
        <v>158</v>
      </c>
      <c r="G2023" t="s">
        <v>157</v>
      </c>
      <c r="H2023" t="s">
        <v>156</v>
      </c>
      <c r="I2023" t="s">
        <v>424</v>
      </c>
      <c r="J2023" t="s">
        <v>424</v>
      </c>
      <c r="K2023" s="4">
        <v>4000</v>
      </c>
      <c r="L2023" s="4">
        <v>4000</v>
      </c>
      <c r="M2023" t="s">
        <v>44</v>
      </c>
      <c r="N2023" t="s">
        <v>77</v>
      </c>
      <c r="O2023" t="s">
        <v>99</v>
      </c>
      <c r="P2023" t="s">
        <v>99</v>
      </c>
      <c r="Q2023" t="s">
        <v>159</v>
      </c>
      <c r="R2023" t="s">
        <v>160</v>
      </c>
      <c r="S2023" t="s">
        <v>161</v>
      </c>
      <c r="T2023" t="s">
        <v>162</v>
      </c>
      <c r="U2023" t="s">
        <v>163</v>
      </c>
      <c r="V2023" t="s">
        <v>164</v>
      </c>
      <c r="W2023" t="s">
        <v>116</v>
      </c>
      <c r="X2023" t="s">
        <v>44</v>
      </c>
      <c r="Y2023" t="s">
        <v>99</v>
      </c>
      <c r="Z2023" t="s">
        <v>421</v>
      </c>
      <c r="AC2023" t="str">
        <f>IF(AA2023="",M2023,AA2023)</f>
        <v>sim</v>
      </c>
      <c r="AD2023" t="str">
        <f>IF(AB2023="",X2023,AB2023)</f>
        <v>sim</v>
      </c>
      <c r="AE2023" t="str">
        <f>IF(OR(Configuracao!B9="",Configuracao!B10=""),"aguardando limiar",IF(AND(K2023&gt;=Configuracao!B9,K2023/MAX(Reconciliacao!C2,1)&gt;=Configuracao!B10/100),"sim","não"))</f>
        <v>aguardando limiar</v>
      </c>
    </row>
    <row r="2024" spans="1:31" x14ac:dyDescent="0.25">
      <c r="A2024">
        <v>14213</v>
      </c>
      <c r="C2024" t="s">
        <v>1403</v>
      </c>
      <c r="D2024" t="s">
        <v>1404</v>
      </c>
      <c r="E2024" t="s">
        <v>525</v>
      </c>
      <c r="F2024" t="s">
        <v>158</v>
      </c>
      <c r="G2024" t="s">
        <v>157</v>
      </c>
      <c r="H2024" t="s">
        <v>156</v>
      </c>
      <c r="I2024" t="s">
        <v>420</v>
      </c>
      <c r="J2024" t="s">
        <v>454</v>
      </c>
      <c r="K2024" s="4">
        <v>4000</v>
      </c>
      <c r="L2024" s="4">
        <v>4000</v>
      </c>
      <c r="M2024" t="s">
        <v>44</v>
      </c>
      <c r="N2024" t="s">
        <v>77</v>
      </c>
      <c r="O2024" t="s">
        <v>99</v>
      </c>
      <c r="P2024" t="s">
        <v>99</v>
      </c>
      <c r="Q2024" t="s">
        <v>159</v>
      </c>
      <c r="R2024" t="s">
        <v>160</v>
      </c>
      <c r="S2024" t="s">
        <v>161</v>
      </c>
      <c r="T2024" t="s">
        <v>162</v>
      </c>
      <c r="U2024" t="s">
        <v>163</v>
      </c>
      <c r="V2024" t="s">
        <v>164</v>
      </c>
      <c r="W2024" t="s">
        <v>116</v>
      </c>
      <c r="X2024" t="s">
        <v>44</v>
      </c>
      <c r="Y2024" t="s">
        <v>99</v>
      </c>
      <c r="Z2024" t="s">
        <v>421</v>
      </c>
      <c r="AC2024" t="str">
        <f>IF(AA2024="",M2024,AA2024)</f>
        <v>sim</v>
      </c>
      <c r="AD2024" t="str">
        <f>IF(AB2024="",X2024,AB2024)</f>
        <v>sim</v>
      </c>
      <c r="AE2024" t="str">
        <f>IF(OR(Configuracao!B9="",Configuracao!B10=""),"aguardando limiar",IF(AND(K2024&gt;=Configuracao!B9,K2024/MAX(Reconciliacao!C2,1)&gt;=Configuracao!B10/100),"sim","não"))</f>
        <v>aguardando limiar</v>
      </c>
    </row>
    <row r="2025" spans="1:31" x14ac:dyDescent="0.25">
      <c r="A2025">
        <v>14214</v>
      </c>
      <c r="C2025" t="s">
        <v>1405</v>
      </c>
      <c r="D2025" t="s">
        <v>870</v>
      </c>
      <c r="E2025" t="s">
        <v>445</v>
      </c>
      <c r="F2025" t="s">
        <v>158</v>
      </c>
      <c r="G2025" t="s">
        <v>157</v>
      </c>
      <c r="H2025" t="s">
        <v>156</v>
      </c>
      <c r="I2025" t="s">
        <v>420</v>
      </c>
      <c r="J2025" t="s">
        <v>454</v>
      </c>
      <c r="K2025" s="4">
        <v>4000</v>
      </c>
      <c r="L2025" s="4">
        <v>4000</v>
      </c>
      <c r="M2025" t="s">
        <v>44</v>
      </c>
      <c r="N2025" t="s">
        <v>77</v>
      </c>
      <c r="O2025" t="s">
        <v>99</v>
      </c>
      <c r="P2025" t="s">
        <v>99</v>
      </c>
      <c r="Q2025" t="s">
        <v>159</v>
      </c>
      <c r="R2025" t="s">
        <v>160</v>
      </c>
      <c r="S2025" t="s">
        <v>161</v>
      </c>
      <c r="T2025" t="s">
        <v>162</v>
      </c>
      <c r="U2025" t="s">
        <v>163</v>
      </c>
      <c r="V2025" t="s">
        <v>164</v>
      </c>
      <c r="W2025" t="s">
        <v>116</v>
      </c>
      <c r="X2025" t="s">
        <v>44</v>
      </c>
      <c r="Y2025" t="s">
        <v>99</v>
      </c>
      <c r="Z2025" t="s">
        <v>421</v>
      </c>
      <c r="AC2025" t="str">
        <f>IF(AA2025="",M2025,AA2025)</f>
        <v>sim</v>
      </c>
      <c r="AD2025" t="str">
        <f>IF(AB2025="",X2025,AB2025)</f>
        <v>sim</v>
      </c>
      <c r="AE2025" t="str">
        <f>IF(OR(Configuracao!B9="",Configuracao!B10=""),"aguardando limiar",IF(AND(K2025&gt;=Configuracao!B9,K2025/MAX(Reconciliacao!C2,1)&gt;=Configuracao!B10/100),"sim","não"))</f>
        <v>aguardando limiar</v>
      </c>
    </row>
    <row r="2026" spans="1:31" x14ac:dyDescent="0.25">
      <c r="A2026">
        <v>15987</v>
      </c>
      <c r="C2026" t="s">
        <v>1476</v>
      </c>
      <c r="D2026" t="s">
        <v>1474</v>
      </c>
      <c r="E2026" t="s">
        <v>224</v>
      </c>
      <c r="F2026" t="s">
        <v>158</v>
      </c>
      <c r="G2026" t="s">
        <v>157</v>
      </c>
      <c r="H2026" t="s">
        <v>156</v>
      </c>
      <c r="I2026" t="s">
        <v>424</v>
      </c>
      <c r="J2026" t="s">
        <v>420</v>
      </c>
      <c r="K2026" s="4">
        <v>4000</v>
      </c>
      <c r="L2026" s="4">
        <v>4000</v>
      </c>
      <c r="M2026" t="s">
        <v>44</v>
      </c>
      <c r="N2026" t="s">
        <v>77</v>
      </c>
      <c r="O2026" t="s">
        <v>99</v>
      </c>
      <c r="P2026" t="s">
        <v>99</v>
      </c>
      <c r="Q2026" t="s">
        <v>159</v>
      </c>
      <c r="R2026" t="s">
        <v>160</v>
      </c>
      <c r="S2026" t="s">
        <v>161</v>
      </c>
      <c r="T2026" t="s">
        <v>162</v>
      </c>
      <c r="U2026" t="s">
        <v>163</v>
      </c>
      <c r="V2026" t="s">
        <v>164</v>
      </c>
      <c r="W2026" t="s">
        <v>116</v>
      </c>
      <c r="X2026" t="s">
        <v>44</v>
      </c>
      <c r="Y2026" t="s">
        <v>99</v>
      </c>
      <c r="Z2026" t="s">
        <v>421</v>
      </c>
      <c r="AC2026" t="str">
        <f>IF(AA2026="",M2026,AA2026)</f>
        <v>sim</v>
      </c>
      <c r="AD2026" t="str">
        <f>IF(AB2026="",X2026,AB2026)</f>
        <v>sim</v>
      </c>
      <c r="AE2026" t="str">
        <f>IF(OR(Configuracao!B9="",Configuracao!B10=""),"aguardando limiar",IF(AND(K2026&gt;=Configuracao!B9,K2026/MAX(Reconciliacao!C2,1)&gt;=Configuracao!B10/100),"sim","não"))</f>
        <v>aguardando limiar</v>
      </c>
    </row>
    <row r="2027" spans="1:31" x14ac:dyDescent="0.25">
      <c r="A2027">
        <v>15988</v>
      </c>
      <c r="C2027" t="s">
        <v>1403</v>
      </c>
      <c r="D2027" t="s">
        <v>1404</v>
      </c>
      <c r="E2027" t="s">
        <v>525</v>
      </c>
      <c r="F2027" t="s">
        <v>158</v>
      </c>
      <c r="G2027" t="s">
        <v>157</v>
      </c>
      <c r="H2027" t="s">
        <v>156</v>
      </c>
      <c r="I2027" t="s">
        <v>424</v>
      </c>
      <c r="J2027" t="s">
        <v>420</v>
      </c>
      <c r="K2027" s="4">
        <v>4000</v>
      </c>
      <c r="L2027" s="4">
        <v>4000</v>
      </c>
      <c r="M2027" t="s">
        <v>44</v>
      </c>
      <c r="N2027" t="s">
        <v>77</v>
      </c>
      <c r="O2027" t="s">
        <v>99</v>
      </c>
      <c r="P2027" t="s">
        <v>99</v>
      </c>
      <c r="Q2027" t="s">
        <v>159</v>
      </c>
      <c r="R2027" t="s">
        <v>160</v>
      </c>
      <c r="S2027" t="s">
        <v>161</v>
      </c>
      <c r="T2027" t="s">
        <v>162</v>
      </c>
      <c r="U2027" t="s">
        <v>163</v>
      </c>
      <c r="V2027" t="s">
        <v>164</v>
      </c>
      <c r="W2027" t="s">
        <v>116</v>
      </c>
      <c r="X2027" t="s">
        <v>44</v>
      </c>
      <c r="Y2027" t="s">
        <v>99</v>
      </c>
      <c r="Z2027" t="s">
        <v>421</v>
      </c>
      <c r="AC2027" t="str">
        <f>IF(AA2027="",M2027,AA2027)</f>
        <v>sim</v>
      </c>
      <c r="AD2027" t="str">
        <f>IF(AB2027="",X2027,AB2027)</f>
        <v>sim</v>
      </c>
      <c r="AE2027" t="str">
        <f>IF(OR(Configuracao!B9="",Configuracao!B10=""),"aguardando limiar",IF(AND(K2027&gt;=Configuracao!B9,K2027/MAX(Reconciliacao!C2,1)&gt;=Configuracao!B10/100),"sim","não"))</f>
        <v>aguardando limiar</v>
      </c>
    </row>
    <row r="2028" spans="1:31" x14ac:dyDescent="0.25">
      <c r="A2028">
        <v>15989</v>
      </c>
      <c r="C2028" t="s">
        <v>1405</v>
      </c>
      <c r="D2028" t="s">
        <v>870</v>
      </c>
      <c r="E2028" t="s">
        <v>445</v>
      </c>
      <c r="F2028" t="s">
        <v>158</v>
      </c>
      <c r="G2028" t="s">
        <v>157</v>
      </c>
      <c r="H2028" t="s">
        <v>156</v>
      </c>
      <c r="I2028" t="s">
        <v>424</v>
      </c>
      <c r="J2028" t="s">
        <v>420</v>
      </c>
      <c r="K2028" s="4">
        <v>4000</v>
      </c>
      <c r="L2028" s="4">
        <v>4000</v>
      </c>
      <c r="M2028" t="s">
        <v>44</v>
      </c>
      <c r="N2028" t="s">
        <v>77</v>
      </c>
      <c r="O2028" t="s">
        <v>99</v>
      </c>
      <c r="P2028" t="s">
        <v>99</v>
      </c>
      <c r="Q2028" t="s">
        <v>159</v>
      </c>
      <c r="R2028" t="s">
        <v>160</v>
      </c>
      <c r="S2028" t="s">
        <v>161</v>
      </c>
      <c r="T2028" t="s">
        <v>162</v>
      </c>
      <c r="U2028" t="s">
        <v>163</v>
      </c>
      <c r="V2028" t="s">
        <v>164</v>
      </c>
      <c r="W2028" t="s">
        <v>116</v>
      </c>
      <c r="X2028" t="s">
        <v>44</v>
      </c>
      <c r="Y2028" t="s">
        <v>99</v>
      </c>
      <c r="Z2028" t="s">
        <v>421</v>
      </c>
      <c r="AC2028" t="str">
        <f>IF(AA2028="",M2028,AA2028)</f>
        <v>sim</v>
      </c>
      <c r="AD2028" t="str">
        <f>IF(AB2028="",X2028,AB2028)</f>
        <v>sim</v>
      </c>
      <c r="AE2028" t="str">
        <f>IF(OR(Configuracao!B9="",Configuracao!B10=""),"aguardando limiar",IF(AND(K2028&gt;=Configuracao!B9,K2028/MAX(Reconciliacao!C2,1)&gt;=Configuracao!B10/100),"sim","não"))</f>
        <v>aguardando limiar</v>
      </c>
    </row>
    <row r="2029" spans="1:31" x14ac:dyDescent="0.25">
      <c r="A2029">
        <v>16175</v>
      </c>
      <c r="C2029" t="s">
        <v>1405</v>
      </c>
      <c r="D2029" t="s">
        <v>870</v>
      </c>
      <c r="E2029" t="s">
        <v>445</v>
      </c>
      <c r="F2029" t="s">
        <v>158</v>
      </c>
      <c r="G2029" t="s">
        <v>157</v>
      </c>
      <c r="H2029" t="s">
        <v>156</v>
      </c>
      <c r="I2029" t="s">
        <v>454</v>
      </c>
      <c r="J2029" t="s">
        <v>461</v>
      </c>
      <c r="K2029" s="4">
        <v>4000</v>
      </c>
      <c r="L2029" s="4">
        <v>4000</v>
      </c>
      <c r="M2029" t="s">
        <v>44</v>
      </c>
      <c r="N2029" t="s">
        <v>77</v>
      </c>
      <c r="O2029" t="s">
        <v>99</v>
      </c>
      <c r="P2029" t="s">
        <v>99</v>
      </c>
      <c r="Q2029" t="s">
        <v>159</v>
      </c>
      <c r="R2029" t="s">
        <v>160</v>
      </c>
      <c r="S2029" t="s">
        <v>161</v>
      </c>
      <c r="T2029" t="s">
        <v>162</v>
      </c>
      <c r="U2029" t="s">
        <v>163</v>
      </c>
      <c r="V2029" t="s">
        <v>164</v>
      </c>
      <c r="W2029" t="s">
        <v>116</v>
      </c>
      <c r="X2029" t="s">
        <v>44</v>
      </c>
      <c r="Y2029" t="s">
        <v>99</v>
      </c>
      <c r="Z2029" t="s">
        <v>421</v>
      </c>
      <c r="AC2029" t="str">
        <f>IF(AA2029="",M2029,AA2029)</f>
        <v>sim</v>
      </c>
      <c r="AD2029" t="str">
        <f>IF(AB2029="",X2029,AB2029)</f>
        <v>sim</v>
      </c>
      <c r="AE2029" t="str">
        <f>IF(OR(Configuracao!B9="",Configuracao!B10=""),"aguardando limiar",IF(AND(K2029&gt;=Configuracao!B9,K2029/MAX(Reconciliacao!C2,1)&gt;=Configuracao!B10/100),"sim","não"))</f>
        <v>aguardando limiar</v>
      </c>
    </row>
    <row r="2030" spans="1:31" x14ac:dyDescent="0.25">
      <c r="A2030">
        <v>17268</v>
      </c>
      <c r="C2030" t="s">
        <v>1405</v>
      </c>
      <c r="D2030" t="s">
        <v>870</v>
      </c>
      <c r="E2030" t="s">
        <v>445</v>
      </c>
      <c r="F2030" t="s">
        <v>158</v>
      </c>
      <c r="G2030" t="s">
        <v>157</v>
      </c>
      <c r="H2030" t="s">
        <v>156</v>
      </c>
      <c r="I2030" t="s">
        <v>461</v>
      </c>
      <c r="J2030" t="s">
        <v>442</v>
      </c>
      <c r="K2030" s="4">
        <v>4000</v>
      </c>
      <c r="L2030" s="4">
        <v>4000</v>
      </c>
      <c r="M2030" t="s">
        <v>44</v>
      </c>
      <c r="N2030" t="s">
        <v>77</v>
      </c>
      <c r="O2030" t="s">
        <v>99</v>
      </c>
      <c r="P2030" t="s">
        <v>99</v>
      </c>
      <c r="Q2030" t="s">
        <v>159</v>
      </c>
      <c r="R2030" t="s">
        <v>160</v>
      </c>
      <c r="S2030" t="s">
        <v>161</v>
      </c>
      <c r="T2030" t="s">
        <v>162</v>
      </c>
      <c r="U2030" t="s">
        <v>163</v>
      </c>
      <c r="V2030" t="s">
        <v>164</v>
      </c>
      <c r="W2030" t="s">
        <v>116</v>
      </c>
      <c r="X2030" t="s">
        <v>44</v>
      </c>
      <c r="Y2030" t="s">
        <v>99</v>
      </c>
      <c r="Z2030" t="s">
        <v>421</v>
      </c>
      <c r="AC2030" t="str">
        <f>IF(AA2030="",M2030,AA2030)</f>
        <v>sim</v>
      </c>
      <c r="AD2030" t="str">
        <f>IF(AB2030="",X2030,AB2030)</f>
        <v>sim</v>
      </c>
      <c r="AE2030" t="str">
        <f>IF(OR(Configuracao!B9="",Configuracao!B10=""),"aguardando limiar",IF(AND(K2030&gt;=Configuracao!B9,K2030/MAX(Reconciliacao!C2,1)&gt;=Configuracao!B10/100),"sim","não"))</f>
        <v>aguardando limiar</v>
      </c>
    </row>
    <row r="2031" spans="1:31" x14ac:dyDescent="0.25">
      <c r="A2031">
        <v>17955</v>
      </c>
      <c r="C2031" t="s">
        <v>1405</v>
      </c>
      <c r="D2031" t="s">
        <v>870</v>
      </c>
      <c r="E2031" t="s">
        <v>445</v>
      </c>
      <c r="F2031" t="s">
        <v>158</v>
      </c>
      <c r="G2031" t="s">
        <v>157</v>
      </c>
      <c r="H2031" t="s">
        <v>156</v>
      </c>
      <c r="I2031" t="s">
        <v>442</v>
      </c>
      <c r="J2031" t="s">
        <v>439</v>
      </c>
      <c r="K2031" s="4">
        <v>4000</v>
      </c>
      <c r="L2031" s="4">
        <v>4000</v>
      </c>
      <c r="M2031" t="s">
        <v>44</v>
      </c>
      <c r="N2031" t="s">
        <v>77</v>
      </c>
      <c r="O2031" t="s">
        <v>99</v>
      </c>
      <c r="P2031" t="s">
        <v>99</v>
      </c>
      <c r="Q2031" t="s">
        <v>159</v>
      </c>
      <c r="R2031" t="s">
        <v>160</v>
      </c>
      <c r="S2031" t="s">
        <v>161</v>
      </c>
      <c r="T2031" t="s">
        <v>162</v>
      </c>
      <c r="U2031" t="s">
        <v>163</v>
      </c>
      <c r="V2031" t="s">
        <v>164</v>
      </c>
      <c r="W2031" t="s">
        <v>116</v>
      </c>
      <c r="X2031" t="s">
        <v>44</v>
      </c>
      <c r="Y2031" t="s">
        <v>99</v>
      </c>
      <c r="Z2031" t="s">
        <v>421</v>
      </c>
      <c r="AC2031" t="str">
        <f>IF(AA2031="",M2031,AA2031)</f>
        <v>sim</v>
      </c>
      <c r="AD2031" t="str">
        <f>IF(AB2031="",X2031,AB2031)</f>
        <v>sim</v>
      </c>
      <c r="AE2031" t="str">
        <f>IF(OR(Configuracao!B9="",Configuracao!B10=""),"aguardando limiar",IF(AND(K2031&gt;=Configuracao!B9,K2031/MAX(Reconciliacao!C2,1)&gt;=Configuracao!B10/100),"sim","não"))</f>
        <v>aguardando limiar</v>
      </c>
    </row>
    <row r="2032" spans="1:31" x14ac:dyDescent="0.25">
      <c r="A2032">
        <v>18798</v>
      </c>
      <c r="C2032" t="s">
        <v>1405</v>
      </c>
      <c r="D2032" t="s">
        <v>870</v>
      </c>
      <c r="E2032" t="s">
        <v>445</v>
      </c>
      <c r="F2032" t="s">
        <v>158</v>
      </c>
      <c r="G2032" t="s">
        <v>157</v>
      </c>
      <c r="H2032" t="s">
        <v>156</v>
      </c>
      <c r="I2032" t="s">
        <v>439</v>
      </c>
      <c r="J2032" t="s">
        <v>35</v>
      </c>
      <c r="K2032" s="4">
        <v>4000</v>
      </c>
      <c r="L2032" s="4">
        <v>4000</v>
      </c>
      <c r="M2032" t="s">
        <v>44</v>
      </c>
      <c r="N2032" t="s">
        <v>77</v>
      </c>
      <c r="O2032" t="s">
        <v>99</v>
      </c>
      <c r="P2032" t="s">
        <v>99</v>
      </c>
      <c r="Q2032" t="s">
        <v>159</v>
      </c>
      <c r="R2032" t="s">
        <v>160</v>
      </c>
      <c r="S2032" t="s">
        <v>161</v>
      </c>
      <c r="T2032" t="s">
        <v>162</v>
      </c>
      <c r="U2032" t="s">
        <v>163</v>
      </c>
      <c r="V2032" t="s">
        <v>164</v>
      </c>
      <c r="W2032" t="s">
        <v>116</v>
      </c>
      <c r="X2032" t="s">
        <v>44</v>
      </c>
      <c r="Y2032" t="s">
        <v>99</v>
      </c>
      <c r="Z2032" t="s">
        <v>421</v>
      </c>
      <c r="AC2032" t="str">
        <f>IF(AA2032="",M2032,AA2032)</f>
        <v>sim</v>
      </c>
      <c r="AD2032" t="str">
        <f>IF(AB2032="",X2032,AB2032)</f>
        <v>sim</v>
      </c>
      <c r="AE2032" t="str">
        <f>IF(OR(Configuracao!B9="",Configuracao!B10=""),"aguardando limiar",IF(AND(K2032&gt;=Configuracao!B9,K2032/MAX(Reconciliacao!C2,1)&gt;=Configuracao!B10/100),"sim","não"))</f>
        <v>aguardando limiar</v>
      </c>
    </row>
    <row r="2033" spans="1:31" x14ac:dyDescent="0.25">
      <c r="A2033">
        <v>17937</v>
      </c>
      <c r="C2033" t="s">
        <v>1388</v>
      </c>
      <c r="D2033" t="s">
        <v>430</v>
      </c>
      <c r="E2033" t="s">
        <v>467</v>
      </c>
      <c r="F2033" t="s">
        <v>158</v>
      </c>
      <c r="G2033" t="s">
        <v>157</v>
      </c>
      <c r="H2033" t="s">
        <v>156</v>
      </c>
      <c r="I2033" t="s">
        <v>442</v>
      </c>
      <c r="J2033" t="s">
        <v>439</v>
      </c>
      <c r="K2033" s="4">
        <v>4021.69</v>
      </c>
      <c r="L2033" s="4">
        <v>4021.69</v>
      </c>
      <c r="M2033" t="s">
        <v>44</v>
      </c>
      <c r="N2033" t="s">
        <v>77</v>
      </c>
      <c r="O2033" t="s">
        <v>99</v>
      </c>
      <c r="P2033" t="s">
        <v>99</v>
      </c>
      <c r="Q2033" t="s">
        <v>159</v>
      </c>
      <c r="R2033" t="s">
        <v>160</v>
      </c>
      <c r="S2033" t="s">
        <v>161</v>
      </c>
      <c r="T2033" t="s">
        <v>162</v>
      </c>
      <c r="U2033" t="s">
        <v>163</v>
      </c>
      <c r="V2033" t="s">
        <v>164</v>
      </c>
      <c r="W2033" t="s">
        <v>116</v>
      </c>
      <c r="X2033" t="s">
        <v>44</v>
      </c>
      <c r="Y2033" t="s">
        <v>99</v>
      </c>
      <c r="Z2033" t="s">
        <v>421</v>
      </c>
      <c r="AC2033" t="str">
        <f>IF(AA2033="",M2033,AA2033)</f>
        <v>sim</v>
      </c>
      <c r="AD2033" t="str">
        <f>IF(AB2033="",X2033,AB2033)</f>
        <v>sim</v>
      </c>
      <c r="AE2033" t="str">
        <f>IF(OR(Configuracao!B9="",Configuracao!B10=""),"aguardando limiar",IF(AND(K2033&gt;=Configuracao!B9,K2033/MAX(Reconciliacao!C2,1)&gt;=Configuracao!B10/100),"sim","não"))</f>
        <v>aguardando limiar</v>
      </c>
    </row>
    <row r="2034" spans="1:31" x14ac:dyDescent="0.25">
      <c r="A2034">
        <v>17280</v>
      </c>
      <c r="C2034" t="s">
        <v>1429</v>
      </c>
      <c r="D2034" t="s">
        <v>914</v>
      </c>
      <c r="E2034" t="s">
        <v>511</v>
      </c>
      <c r="F2034" t="s">
        <v>158</v>
      </c>
      <c r="G2034" t="s">
        <v>157</v>
      </c>
      <c r="H2034" t="s">
        <v>156</v>
      </c>
      <c r="I2034" t="s">
        <v>461</v>
      </c>
      <c r="J2034" t="s">
        <v>442</v>
      </c>
      <c r="K2034" s="4">
        <v>4116.08</v>
      </c>
      <c r="L2034" s="4">
        <v>4116.08</v>
      </c>
      <c r="M2034" t="s">
        <v>44</v>
      </c>
      <c r="N2034" t="s">
        <v>77</v>
      </c>
      <c r="O2034" t="s">
        <v>99</v>
      </c>
      <c r="P2034" t="s">
        <v>99</v>
      </c>
      <c r="Q2034" t="s">
        <v>159</v>
      </c>
      <c r="R2034" t="s">
        <v>160</v>
      </c>
      <c r="S2034" t="s">
        <v>161</v>
      </c>
      <c r="T2034" t="s">
        <v>162</v>
      </c>
      <c r="U2034" t="s">
        <v>163</v>
      </c>
      <c r="V2034" t="s">
        <v>164</v>
      </c>
      <c r="W2034" t="s">
        <v>116</v>
      </c>
      <c r="X2034" t="s">
        <v>44</v>
      </c>
      <c r="Y2034" t="s">
        <v>99</v>
      </c>
      <c r="Z2034" t="s">
        <v>421</v>
      </c>
      <c r="AC2034" t="str">
        <f>IF(AA2034="",M2034,AA2034)</f>
        <v>sim</v>
      </c>
      <c r="AD2034" t="str">
        <f>IF(AB2034="",X2034,AB2034)</f>
        <v>sim</v>
      </c>
      <c r="AE2034" t="str">
        <f>IF(OR(Configuracao!B9="",Configuracao!B10=""),"aguardando limiar",IF(AND(K2034&gt;=Configuracao!B9,K2034/MAX(Reconciliacao!C2,1)&gt;=Configuracao!B10/100),"sim","não"))</f>
        <v>aguardando limiar</v>
      </c>
    </row>
    <row r="2035" spans="1:31" x14ac:dyDescent="0.25">
      <c r="A2035">
        <v>17967</v>
      </c>
      <c r="C2035" t="s">
        <v>1429</v>
      </c>
      <c r="D2035" t="s">
        <v>914</v>
      </c>
      <c r="E2035" t="s">
        <v>511</v>
      </c>
      <c r="F2035" t="s">
        <v>158</v>
      </c>
      <c r="G2035" t="s">
        <v>157</v>
      </c>
      <c r="H2035" t="s">
        <v>156</v>
      </c>
      <c r="I2035" t="s">
        <v>442</v>
      </c>
      <c r="J2035" t="s">
        <v>439</v>
      </c>
      <c r="K2035" s="4">
        <v>4116.08</v>
      </c>
      <c r="L2035" s="4">
        <v>4116.08</v>
      </c>
      <c r="M2035" t="s">
        <v>44</v>
      </c>
      <c r="N2035" t="s">
        <v>77</v>
      </c>
      <c r="O2035" t="s">
        <v>99</v>
      </c>
      <c r="P2035" t="s">
        <v>99</v>
      </c>
      <c r="Q2035" t="s">
        <v>159</v>
      </c>
      <c r="R2035" t="s">
        <v>160</v>
      </c>
      <c r="S2035" t="s">
        <v>161</v>
      </c>
      <c r="T2035" t="s">
        <v>162</v>
      </c>
      <c r="U2035" t="s">
        <v>163</v>
      </c>
      <c r="V2035" t="s">
        <v>164</v>
      </c>
      <c r="W2035" t="s">
        <v>116</v>
      </c>
      <c r="X2035" t="s">
        <v>44</v>
      </c>
      <c r="Y2035" t="s">
        <v>99</v>
      </c>
      <c r="Z2035" t="s">
        <v>421</v>
      </c>
      <c r="AC2035" t="str">
        <f>IF(AA2035="",M2035,AA2035)</f>
        <v>sim</v>
      </c>
      <c r="AD2035" t="str">
        <f>IF(AB2035="",X2035,AB2035)</f>
        <v>sim</v>
      </c>
      <c r="AE2035" t="str">
        <f>IF(OR(Configuracao!B9="",Configuracao!B10=""),"aguardando limiar",IF(AND(K2035&gt;=Configuracao!B9,K2035/MAX(Reconciliacao!C2,1)&gt;=Configuracao!B10/100),"sim","não"))</f>
        <v>aguardando limiar</v>
      </c>
    </row>
    <row r="2036" spans="1:31" x14ac:dyDescent="0.25">
      <c r="A2036">
        <v>12948</v>
      </c>
      <c r="C2036" t="s">
        <v>1390</v>
      </c>
      <c r="D2036" t="s">
        <v>1391</v>
      </c>
      <c r="E2036" t="s">
        <v>467</v>
      </c>
      <c r="F2036" t="s">
        <v>158</v>
      </c>
      <c r="G2036" t="s">
        <v>157</v>
      </c>
      <c r="H2036" t="s">
        <v>156</v>
      </c>
      <c r="I2036" t="s">
        <v>424</v>
      </c>
      <c r="J2036" t="s">
        <v>424</v>
      </c>
      <c r="K2036" s="4">
        <v>4200</v>
      </c>
      <c r="L2036" s="4">
        <v>4200</v>
      </c>
      <c r="M2036" t="s">
        <v>44</v>
      </c>
      <c r="N2036" t="s">
        <v>77</v>
      </c>
      <c r="O2036" t="s">
        <v>99</v>
      </c>
      <c r="P2036" t="s">
        <v>99</v>
      </c>
      <c r="Q2036" t="s">
        <v>159</v>
      </c>
      <c r="R2036" t="s">
        <v>160</v>
      </c>
      <c r="S2036" t="s">
        <v>161</v>
      </c>
      <c r="T2036" t="s">
        <v>162</v>
      </c>
      <c r="U2036" t="s">
        <v>163</v>
      </c>
      <c r="V2036" t="s">
        <v>164</v>
      </c>
      <c r="W2036" t="s">
        <v>116</v>
      </c>
      <c r="X2036" t="s">
        <v>44</v>
      </c>
      <c r="Y2036" t="s">
        <v>99</v>
      </c>
      <c r="Z2036" t="s">
        <v>421</v>
      </c>
      <c r="AC2036" t="str">
        <f>IF(AA2036="",M2036,AA2036)</f>
        <v>sim</v>
      </c>
      <c r="AD2036" t="str">
        <f>IF(AB2036="",X2036,AB2036)</f>
        <v>sim</v>
      </c>
      <c r="AE2036" t="str">
        <f>IF(OR(Configuracao!B9="",Configuracao!B10=""),"aguardando limiar",IF(AND(K2036&gt;=Configuracao!B9,K2036/MAX(Reconciliacao!C2,1)&gt;=Configuracao!B10/100),"sim","não"))</f>
        <v>aguardando limiar</v>
      </c>
    </row>
    <row r="2037" spans="1:31" x14ac:dyDescent="0.25">
      <c r="A2037">
        <v>12983</v>
      </c>
      <c r="C2037" t="s">
        <v>1434</v>
      </c>
      <c r="D2037" t="s">
        <v>1435</v>
      </c>
      <c r="E2037" t="s">
        <v>467</v>
      </c>
      <c r="F2037" t="s">
        <v>158</v>
      </c>
      <c r="G2037" t="s">
        <v>157</v>
      </c>
      <c r="H2037" t="s">
        <v>156</v>
      </c>
      <c r="I2037" t="s">
        <v>424</v>
      </c>
      <c r="J2037" t="s">
        <v>424</v>
      </c>
      <c r="K2037" s="4">
        <v>4200</v>
      </c>
      <c r="L2037" s="4">
        <v>4200</v>
      </c>
      <c r="M2037" t="s">
        <v>44</v>
      </c>
      <c r="N2037" t="s">
        <v>77</v>
      </c>
      <c r="O2037" t="s">
        <v>99</v>
      </c>
      <c r="P2037" t="s">
        <v>99</v>
      </c>
      <c r="Q2037" t="s">
        <v>159</v>
      </c>
      <c r="R2037" t="s">
        <v>160</v>
      </c>
      <c r="S2037" t="s">
        <v>161</v>
      </c>
      <c r="T2037" t="s">
        <v>162</v>
      </c>
      <c r="U2037" t="s">
        <v>163</v>
      </c>
      <c r="V2037" t="s">
        <v>164</v>
      </c>
      <c r="W2037" t="s">
        <v>116</v>
      </c>
      <c r="X2037" t="s">
        <v>44</v>
      </c>
      <c r="Y2037" t="s">
        <v>99</v>
      </c>
      <c r="Z2037" t="s">
        <v>421</v>
      </c>
      <c r="AC2037" t="str">
        <f>IF(AA2037="",M2037,AA2037)</f>
        <v>sim</v>
      </c>
      <c r="AD2037" t="str">
        <f>IF(AB2037="",X2037,AB2037)</f>
        <v>sim</v>
      </c>
      <c r="AE2037" t="str">
        <f>IF(OR(Configuracao!B9="",Configuracao!B10=""),"aguardando limiar",IF(AND(K2037&gt;=Configuracao!B9,K2037/MAX(Reconciliacao!C2,1)&gt;=Configuracao!B10/100),"sim","não"))</f>
        <v>aguardando limiar</v>
      </c>
    </row>
    <row r="2038" spans="1:31" x14ac:dyDescent="0.25">
      <c r="A2038">
        <v>15977</v>
      </c>
      <c r="C2038" t="s">
        <v>1390</v>
      </c>
      <c r="D2038" t="s">
        <v>1391</v>
      </c>
      <c r="E2038" t="s">
        <v>467</v>
      </c>
      <c r="F2038" t="s">
        <v>158</v>
      </c>
      <c r="G2038" t="s">
        <v>157</v>
      </c>
      <c r="H2038" t="s">
        <v>156</v>
      </c>
      <c r="I2038" t="s">
        <v>424</v>
      </c>
      <c r="J2038" t="s">
        <v>420</v>
      </c>
      <c r="K2038" s="4">
        <v>4200</v>
      </c>
      <c r="L2038" s="4">
        <v>4200</v>
      </c>
      <c r="M2038" t="s">
        <v>44</v>
      </c>
      <c r="N2038" t="s">
        <v>77</v>
      </c>
      <c r="O2038" t="s">
        <v>99</v>
      </c>
      <c r="P2038" t="s">
        <v>99</v>
      </c>
      <c r="Q2038" t="s">
        <v>159</v>
      </c>
      <c r="R2038" t="s">
        <v>160</v>
      </c>
      <c r="S2038" t="s">
        <v>161</v>
      </c>
      <c r="T2038" t="s">
        <v>162</v>
      </c>
      <c r="U2038" t="s">
        <v>163</v>
      </c>
      <c r="V2038" t="s">
        <v>164</v>
      </c>
      <c r="W2038" t="s">
        <v>116</v>
      </c>
      <c r="X2038" t="s">
        <v>44</v>
      </c>
      <c r="Y2038" t="s">
        <v>99</v>
      </c>
      <c r="Z2038" t="s">
        <v>421</v>
      </c>
      <c r="AC2038" t="str">
        <f>IF(AA2038="",M2038,AA2038)</f>
        <v>sim</v>
      </c>
      <c r="AD2038" t="str">
        <f>IF(AB2038="",X2038,AB2038)</f>
        <v>sim</v>
      </c>
      <c r="AE2038" t="str">
        <f>IF(OR(Configuracao!B9="",Configuracao!B10=""),"aguardando limiar",IF(AND(K2038&gt;=Configuracao!B9,K2038/MAX(Reconciliacao!C2,1)&gt;=Configuracao!B10/100),"sim","não"))</f>
        <v>aguardando limiar</v>
      </c>
    </row>
    <row r="2039" spans="1:31" x14ac:dyDescent="0.25">
      <c r="A2039">
        <v>15981</v>
      </c>
      <c r="C2039" t="s">
        <v>1477</v>
      </c>
      <c r="D2039" t="s">
        <v>1478</v>
      </c>
      <c r="E2039" t="s">
        <v>525</v>
      </c>
      <c r="F2039" t="s">
        <v>158</v>
      </c>
      <c r="G2039" t="s">
        <v>157</v>
      </c>
      <c r="H2039" t="s">
        <v>156</v>
      </c>
      <c r="I2039" t="s">
        <v>424</v>
      </c>
      <c r="J2039" t="s">
        <v>420</v>
      </c>
      <c r="K2039" s="4">
        <v>4200</v>
      </c>
      <c r="L2039" s="4">
        <v>4200</v>
      </c>
      <c r="M2039" t="s">
        <v>44</v>
      </c>
      <c r="N2039" t="s">
        <v>77</v>
      </c>
      <c r="O2039" t="s">
        <v>99</v>
      </c>
      <c r="P2039" t="s">
        <v>99</v>
      </c>
      <c r="Q2039" t="s">
        <v>159</v>
      </c>
      <c r="R2039" t="s">
        <v>160</v>
      </c>
      <c r="S2039" t="s">
        <v>161</v>
      </c>
      <c r="T2039" t="s">
        <v>162</v>
      </c>
      <c r="U2039" t="s">
        <v>163</v>
      </c>
      <c r="V2039" t="s">
        <v>164</v>
      </c>
      <c r="W2039" t="s">
        <v>116</v>
      </c>
      <c r="X2039" t="s">
        <v>44</v>
      </c>
      <c r="Y2039" t="s">
        <v>99</v>
      </c>
      <c r="Z2039" t="s">
        <v>421</v>
      </c>
      <c r="AC2039" t="str">
        <f>IF(AA2039="",M2039,AA2039)</f>
        <v>sim</v>
      </c>
      <c r="AD2039" t="str">
        <f>IF(AB2039="",X2039,AB2039)</f>
        <v>sim</v>
      </c>
      <c r="AE2039" t="str">
        <f>IF(OR(Configuracao!B9="",Configuracao!B10=""),"aguardando limiar",IF(AND(K2039&gt;=Configuracao!B9,K2039/MAX(Reconciliacao!C2,1)&gt;=Configuracao!B10/100),"sim","não"))</f>
        <v>aguardando limiar</v>
      </c>
    </row>
    <row r="2040" spans="1:31" x14ac:dyDescent="0.25">
      <c r="A2040">
        <v>16005</v>
      </c>
      <c r="C2040" t="s">
        <v>1434</v>
      </c>
      <c r="D2040" t="s">
        <v>1435</v>
      </c>
      <c r="E2040" t="s">
        <v>467</v>
      </c>
      <c r="F2040" t="s">
        <v>158</v>
      </c>
      <c r="G2040" t="s">
        <v>157</v>
      </c>
      <c r="H2040" t="s">
        <v>156</v>
      </c>
      <c r="I2040" t="s">
        <v>424</v>
      </c>
      <c r="J2040" t="s">
        <v>420</v>
      </c>
      <c r="K2040" s="4">
        <v>4200</v>
      </c>
      <c r="L2040" s="4">
        <v>4200</v>
      </c>
      <c r="M2040" t="s">
        <v>44</v>
      </c>
      <c r="N2040" t="s">
        <v>77</v>
      </c>
      <c r="O2040" t="s">
        <v>99</v>
      </c>
      <c r="P2040" t="s">
        <v>99</v>
      </c>
      <c r="Q2040" t="s">
        <v>159</v>
      </c>
      <c r="R2040" t="s">
        <v>160</v>
      </c>
      <c r="S2040" t="s">
        <v>161</v>
      </c>
      <c r="T2040" t="s">
        <v>162</v>
      </c>
      <c r="U2040" t="s">
        <v>163</v>
      </c>
      <c r="V2040" t="s">
        <v>164</v>
      </c>
      <c r="W2040" t="s">
        <v>116</v>
      </c>
      <c r="X2040" t="s">
        <v>44</v>
      </c>
      <c r="Y2040" t="s">
        <v>99</v>
      </c>
      <c r="Z2040" t="s">
        <v>421</v>
      </c>
      <c r="AC2040" t="str">
        <f>IF(AA2040="",M2040,AA2040)</f>
        <v>sim</v>
      </c>
      <c r="AD2040" t="str">
        <f>IF(AB2040="",X2040,AB2040)</f>
        <v>sim</v>
      </c>
      <c r="AE2040" t="str">
        <f>IF(OR(Configuracao!B9="",Configuracao!B10=""),"aguardando limiar",IF(AND(K2040&gt;=Configuracao!B9,K2040/MAX(Reconciliacao!C2,1)&gt;=Configuracao!B10/100),"sim","não"))</f>
        <v>aguardando limiar</v>
      </c>
    </row>
    <row r="2041" spans="1:31" x14ac:dyDescent="0.25">
      <c r="A2041">
        <v>12979</v>
      </c>
      <c r="C2041" t="s">
        <v>1429</v>
      </c>
      <c r="D2041" t="s">
        <v>914</v>
      </c>
      <c r="E2041" t="s">
        <v>511</v>
      </c>
      <c r="F2041" t="s">
        <v>158</v>
      </c>
      <c r="G2041" t="s">
        <v>157</v>
      </c>
      <c r="H2041" t="s">
        <v>156</v>
      </c>
      <c r="I2041" t="s">
        <v>424</v>
      </c>
      <c r="J2041" t="s">
        <v>424</v>
      </c>
      <c r="K2041" s="4">
        <v>4294.39</v>
      </c>
      <c r="L2041" s="4">
        <v>4294.39</v>
      </c>
      <c r="M2041" t="s">
        <v>44</v>
      </c>
      <c r="N2041" t="s">
        <v>77</v>
      </c>
      <c r="O2041" t="s">
        <v>99</v>
      </c>
      <c r="P2041" t="s">
        <v>99</v>
      </c>
      <c r="Q2041" t="s">
        <v>159</v>
      </c>
      <c r="R2041" t="s">
        <v>160</v>
      </c>
      <c r="S2041" t="s">
        <v>161</v>
      </c>
      <c r="T2041" t="s">
        <v>162</v>
      </c>
      <c r="U2041" t="s">
        <v>163</v>
      </c>
      <c r="V2041" t="s">
        <v>164</v>
      </c>
      <c r="W2041" t="s">
        <v>116</v>
      </c>
      <c r="X2041" t="s">
        <v>44</v>
      </c>
      <c r="Y2041" t="s">
        <v>99</v>
      </c>
      <c r="Z2041" t="s">
        <v>421</v>
      </c>
      <c r="AC2041" t="str">
        <f>IF(AA2041="",M2041,AA2041)</f>
        <v>sim</v>
      </c>
      <c r="AD2041" t="str">
        <f>IF(AB2041="",X2041,AB2041)</f>
        <v>sim</v>
      </c>
      <c r="AE2041" t="str">
        <f>IF(OR(Configuracao!B9="",Configuracao!B10=""),"aguardando limiar",IF(AND(K2041&gt;=Configuracao!B9,K2041/MAX(Reconciliacao!C2,1)&gt;=Configuracao!B10/100),"sim","não"))</f>
        <v>aguardando limiar</v>
      </c>
    </row>
    <row r="2042" spans="1:31" x14ac:dyDescent="0.25">
      <c r="A2042">
        <v>14226</v>
      </c>
      <c r="C2042" t="s">
        <v>1429</v>
      </c>
      <c r="D2042" t="s">
        <v>914</v>
      </c>
      <c r="E2042" t="s">
        <v>511</v>
      </c>
      <c r="F2042" t="s">
        <v>158</v>
      </c>
      <c r="G2042" t="s">
        <v>157</v>
      </c>
      <c r="H2042" t="s">
        <v>156</v>
      </c>
      <c r="I2042" t="s">
        <v>420</v>
      </c>
      <c r="J2042" t="s">
        <v>454</v>
      </c>
      <c r="K2042" s="4">
        <v>4294.39</v>
      </c>
      <c r="L2042" s="4">
        <v>4294.39</v>
      </c>
      <c r="M2042" t="s">
        <v>44</v>
      </c>
      <c r="N2042" t="s">
        <v>77</v>
      </c>
      <c r="O2042" t="s">
        <v>99</v>
      </c>
      <c r="P2042" t="s">
        <v>99</v>
      </c>
      <c r="Q2042" t="s">
        <v>159</v>
      </c>
      <c r="R2042" t="s">
        <v>160</v>
      </c>
      <c r="S2042" t="s">
        <v>161</v>
      </c>
      <c r="T2042" t="s">
        <v>162</v>
      </c>
      <c r="U2042" t="s">
        <v>163</v>
      </c>
      <c r="V2042" t="s">
        <v>164</v>
      </c>
      <c r="W2042" t="s">
        <v>116</v>
      </c>
      <c r="X2042" t="s">
        <v>44</v>
      </c>
      <c r="Y2042" t="s">
        <v>99</v>
      </c>
      <c r="Z2042" t="s">
        <v>421</v>
      </c>
      <c r="AC2042" t="str">
        <f>IF(AA2042="",M2042,AA2042)</f>
        <v>sim</v>
      </c>
      <c r="AD2042" t="str">
        <f>IF(AB2042="",X2042,AB2042)</f>
        <v>sim</v>
      </c>
      <c r="AE2042" t="str">
        <f>IF(OR(Configuracao!B9="",Configuracao!B10=""),"aguardando limiar",IF(AND(K2042&gt;=Configuracao!B9,K2042/MAX(Reconciliacao!C2,1)&gt;=Configuracao!B10/100),"sim","não"))</f>
        <v>aguardando limiar</v>
      </c>
    </row>
    <row r="2043" spans="1:31" x14ac:dyDescent="0.25">
      <c r="A2043">
        <v>16001</v>
      </c>
      <c r="C2043" t="s">
        <v>1429</v>
      </c>
      <c r="D2043" t="s">
        <v>914</v>
      </c>
      <c r="E2043" t="s">
        <v>511</v>
      </c>
      <c r="F2043" t="s">
        <v>158</v>
      </c>
      <c r="G2043" t="s">
        <v>157</v>
      </c>
      <c r="H2043" t="s">
        <v>156</v>
      </c>
      <c r="I2043" t="s">
        <v>424</v>
      </c>
      <c r="J2043" t="s">
        <v>420</v>
      </c>
      <c r="K2043" s="4">
        <v>4294.39</v>
      </c>
      <c r="L2043" s="4">
        <v>4294.39</v>
      </c>
      <c r="M2043" t="s">
        <v>44</v>
      </c>
      <c r="N2043" t="s">
        <v>77</v>
      </c>
      <c r="O2043" t="s">
        <v>99</v>
      </c>
      <c r="P2043" t="s">
        <v>99</v>
      </c>
      <c r="Q2043" t="s">
        <v>159</v>
      </c>
      <c r="R2043" t="s">
        <v>160</v>
      </c>
      <c r="S2043" t="s">
        <v>161</v>
      </c>
      <c r="T2043" t="s">
        <v>162</v>
      </c>
      <c r="U2043" t="s">
        <v>163</v>
      </c>
      <c r="V2043" t="s">
        <v>164</v>
      </c>
      <c r="W2043" t="s">
        <v>116</v>
      </c>
      <c r="X2043" t="s">
        <v>44</v>
      </c>
      <c r="Y2043" t="s">
        <v>99</v>
      </c>
      <c r="Z2043" t="s">
        <v>421</v>
      </c>
      <c r="AC2043" t="str">
        <f>IF(AA2043="",M2043,AA2043)</f>
        <v>sim</v>
      </c>
      <c r="AD2043" t="str">
        <f>IF(AB2043="",X2043,AB2043)</f>
        <v>sim</v>
      </c>
      <c r="AE2043" t="str">
        <f>IF(OR(Configuracao!B9="",Configuracao!B10=""),"aguardando limiar",IF(AND(K2043&gt;=Configuracao!B9,K2043/MAX(Reconciliacao!C2,1)&gt;=Configuracao!B10/100),"sim","não"))</f>
        <v>aguardando limiar</v>
      </c>
    </row>
    <row r="2044" spans="1:31" x14ac:dyDescent="0.25">
      <c r="A2044">
        <v>16187</v>
      </c>
      <c r="C2044" t="s">
        <v>1429</v>
      </c>
      <c r="D2044" t="s">
        <v>914</v>
      </c>
      <c r="E2044" t="s">
        <v>511</v>
      </c>
      <c r="F2044" t="s">
        <v>158</v>
      </c>
      <c r="G2044" t="s">
        <v>157</v>
      </c>
      <c r="H2044" t="s">
        <v>156</v>
      </c>
      <c r="I2044" t="s">
        <v>454</v>
      </c>
      <c r="J2044" t="s">
        <v>461</v>
      </c>
      <c r="K2044" s="4">
        <v>4294.39</v>
      </c>
      <c r="L2044" s="4">
        <v>4294.39</v>
      </c>
      <c r="M2044" t="s">
        <v>44</v>
      </c>
      <c r="N2044" t="s">
        <v>77</v>
      </c>
      <c r="O2044" t="s">
        <v>99</v>
      </c>
      <c r="P2044" t="s">
        <v>99</v>
      </c>
      <c r="Q2044" t="s">
        <v>159</v>
      </c>
      <c r="R2044" t="s">
        <v>160</v>
      </c>
      <c r="S2044" t="s">
        <v>161</v>
      </c>
      <c r="T2044" t="s">
        <v>162</v>
      </c>
      <c r="U2044" t="s">
        <v>163</v>
      </c>
      <c r="V2044" t="s">
        <v>164</v>
      </c>
      <c r="W2044" t="s">
        <v>116</v>
      </c>
      <c r="X2044" t="s">
        <v>44</v>
      </c>
      <c r="Y2044" t="s">
        <v>99</v>
      </c>
      <c r="Z2044" t="s">
        <v>421</v>
      </c>
      <c r="AC2044" t="str">
        <f>IF(AA2044="",M2044,AA2044)</f>
        <v>sim</v>
      </c>
      <c r="AD2044" t="str">
        <f>IF(AB2044="",X2044,AB2044)</f>
        <v>sim</v>
      </c>
      <c r="AE2044" t="str">
        <f>IF(OR(Configuracao!B9="",Configuracao!B10=""),"aguardando limiar",IF(AND(K2044&gt;=Configuracao!B9,K2044/MAX(Reconciliacao!C2,1)&gt;=Configuracao!B10/100),"sim","não"))</f>
        <v>aguardando limiar</v>
      </c>
    </row>
    <row r="2045" spans="1:31" x14ac:dyDescent="0.25">
      <c r="A2045">
        <v>18781</v>
      </c>
      <c r="C2045" t="s">
        <v>1388</v>
      </c>
      <c r="D2045" t="s">
        <v>430</v>
      </c>
      <c r="E2045" t="s">
        <v>467</v>
      </c>
      <c r="F2045" t="s">
        <v>158</v>
      </c>
      <c r="G2045" t="s">
        <v>157</v>
      </c>
      <c r="H2045" t="s">
        <v>156</v>
      </c>
      <c r="I2045" t="s">
        <v>439</v>
      </c>
      <c r="J2045" t="s">
        <v>35</v>
      </c>
      <c r="K2045" s="4">
        <v>4321.69</v>
      </c>
      <c r="L2045" s="4">
        <v>4321.69</v>
      </c>
      <c r="M2045" t="s">
        <v>44</v>
      </c>
      <c r="N2045" t="s">
        <v>77</v>
      </c>
      <c r="O2045" t="s">
        <v>99</v>
      </c>
      <c r="P2045" t="s">
        <v>99</v>
      </c>
      <c r="Q2045" t="s">
        <v>159</v>
      </c>
      <c r="R2045" t="s">
        <v>160</v>
      </c>
      <c r="S2045" t="s">
        <v>161</v>
      </c>
      <c r="T2045" t="s">
        <v>162</v>
      </c>
      <c r="U2045" t="s">
        <v>163</v>
      </c>
      <c r="V2045" t="s">
        <v>164</v>
      </c>
      <c r="W2045" t="s">
        <v>116</v>
      </c>
      <c r="X2045" t="s">
        <v>44</v>
      </c>
      <c r="Y2045" t="s">
        <v>99</v>
      </c>
      <c r="Z2045" t="s">
        <v>421</v>
      </c>
      <c r="AC2045" t="str">
        <f>IF(AA2045="",M2045,AA2045)</f>
        <v>sim</v>
      </c>
      <c r="AD2045" t="str">
        <f>IF(AB2045="",X2045,AB2045)</f>
        <v>sim</v>
      </c>
      <c r="AE2045" t="str">
        <f>IF(OR(Configuracao!B9="",Configuracao!B10=""),"aguardando limiar",IF(AND(K2045&gt;=Configuracao!B9,K2045/MAX(Reconciliacao!C2,1)&gt;=Configuracao!B10/100),"sim","não"))</f>
        <v>aguardando limiar</v>
      </c>
    </row>
    <row r="2046" spans="1:31" x14ac:dyDescent="0.25">
      <c r="A2046">
        <v>18804</v>
      </c>
      <c r="C2046" t="s">
        <v>1414</v>
      </c>
      <c r="D2046" t="s">
        <v>1415</v>
      </c>
      <c r="E2046" t="s">
        <v>467</v>
      </c>
      <c r="F2046" t="s">
        <v>158</v>
      </c>
      <c r="G2046" t="s">
        <v>157</v>
      </c>
      <c r="H2046" t="s">
        <v>156</v>
      </c>
      <c r="I2046" t="s">
        <v>439</v>
      </c>
      <c r="J2046" t="s">
        <v>35</v>
      </c>
      <c r="K2046" s="4">
        <v>4321.69</v>
      </c>
      <c r="L2046" s="4">
        <v>4321.69</v>
      </c>
      <c r="M2046" t="s">
        <v>44</v>
      </c>
      <c r="N2046" t="s">
        <v>77</v>
      </c>
      <c r="O2046" t="s">
        <v>99</v>
      </c>
      <c r="P2046" t="s">
        <v>99</v>
      </c>
      <c r="Q2046" t="s">
        <v>159</v>
      </c>
      <c r="R2046" t="s">
        <v>160</v>
      </c>
      <c r="S2046" t="s">
        <v>161</v>
      </c>
      <c r="T2046" t="s">
        <v>162</v>
      </c>
      <c r="U2046" t="s">
        <v>163</v>
      </c>
      <c r="V2046" t="s">
        <v>164</v>
      </c>
      <c r="W2046" t="s">
        <v>116</v>
      </c>
      <c r="X2046" t="s">
        <v>44</v>
      </c>
      <c r="Y2046" t="s">
        <v>99</v>
      </c>
      <c r="Z2046" t="s">
        <v>421</v>
      </c>
      <c r="AC2046" t="str">
        <f>IF(AA2046="",M2046,AA2046)</f>
        <v>sim</v>
      </c>
      <c r="AD2046" t="str">
        <f>IF(AB2046="",X2046,AB2046)</f>
        <v>sim</v>
      </c>
      <c r="AE2046" t="str">
        <f>IF(OR(Configuracao!B9="",Configuracao!B10=""),"aguardando limiar",IF(AND(K2046&gt;=Configuracao!B9,K2046/MAX(Reconciliacao!C2,1)&gt;=Configuracao!B10/100),"sim","não"))</f>
        <v>aguardando limiar</v>
      </c>
    </row>
    <row r="2047" spans="1:31" x14ac:dyDescent="0.25">
      <c r="A2047">
        <v>14237</v>
      </c>
      <c r="D2047" t="s">
        <v>1474</v>
      </c>
      <c r="E2047" t="s">
        <v>224</v>
      </c>
      <c r="F2047" t="s">
        <v>158</v>
      </c>
      <c r="G2047" t="s">
        <v>157</v>
      </c>
      <c r="H2047" t="s">
        <v>156</v>
      </c>
      <c r="I2047" t="s">
        <v>420</v>
      </c>
      <c r="J2047" t="s">
        <v>454</v>
      </c>
      <c r="K2047" s="4">
        <v>4500</v>
      </c>
      <c r="L2047" s="4">
        <v>4500</v>
      </c>
      <c r="M2047" t="s">
        <v>44</v>
      </c>
      <c r="N2047" t="s">
        <v>77</v>
      </c>
      <c r="O2047" t="s">
        <v>99</v>
      </c>
      <c r="P2047" t="s">
        <v>99</v>
      </c>
      <c r="Q2047" t="s">
        <v>159</v>
      </c>
      <c r="R2047" t="s">
        <v>160</v>
      </c>
      <c r="S2047" t="s">
        <v>161</v>
      </c>
      <c r="T2047" t="s">
        <v>162</v>
      </c>
      <c r="U2047" t="s">
        <v>163</v>
      </c>
      <c r="V2047" t="s">
        <v>164</v>
      </c>
      <c r="W2047" t="s">
        <v>116</v>
      </c>
      <c r="X2047" t="s">
        <v>44</v>
      </c>
      <c r="Y2047" t="s">
        <v>99</v>
      </c>
      <c r="Z2047" t="s">
        <v>421</v>
      </c>
      <c r="AC2047" t="str">
        <f>IF(AA2047="",M2047,AA2047)</f>
        <v>sim</v>
      </c>
      <c r="AD2047" t="str">
        <f>IF(AB2047="",X2047,AB2047)</f>
        <v>sim</v>
      </c>
      <c r="AE2047" t="str">
        <f>IF(OR(Configuracao!B9="",Configuracao!B10=""),"aguardando limiar",IF(AND(K2047&gt;=Configuracao!B9,K2047/MAX(Reconciliacao!C2,1)&gt;=Configuracao!B10/100),"sim","não"))</f>
        <v>aguardando limiar</v>
      </c>
    </row>
    <row r="2048" spans="1:31" x14ac:dyDescent="0.25">
      <c r="A2048">
        <v>17263</v>
      </c>
      <c r="C2048" t="s">
        <v>1398</v>
      </c>
      <c r="D2048" t="s">
        <v>1399</v>
      </c>
      <c r="E2048" t="s">
        <v>467</v>
      </c>
      <c r="F2048" t="s">
        <v>158</v>
      </c>
      <c r="G2048" t="s">
        <v>157</v>
      </c>
      <c r="H2048" t="s">
        <v>156</v>
      </c>
      <c r="I2048" t="s">
        <v>461</v>
      </c>
      <c r="J2048" t="s">
        <v>442</v>
      </c>
      <c r="K2048" s="4">
        <v>4921.69</v>
      </c>
      <c r="L2048" s="4">
        <v>4921.69</v>
      </c>
      <c r="M2048" t="s">
        <v>44</v>
      </c>
      <c r="N2048" t="s">
        <v>77</v>
      </c>
      <c r="O2048" t="s">
        <v>99</v>
      </c>
      <c r="P2048" t="s">
        <v>99</v>
      </c>
      <c r="Q2048" t="s">
        <v>159</v>
      </c>
      <c r="R2048" t="s">
        <v>160</v>
      </c>
      <c r="S2048" t="s">
        <v>161</v>
      </c>
      <c r="T2048" t="s">
        <v>162</v>
      </c>
      <c r="U2048" t="s">
        <v>163</v>
      </c>
      <c r="V2048" t="s">
        <v>164</v>
      </c>
      <c r="W2048" t="s">
        <v>116</v>
      </c>
      <c r="X2048" t="s">
        <v>44</v>
      </c>
      <c r="Y2048" t="s">
        <v>99</v>
      </c>
      <c r="Z2048" t="s">
        <v>421</v>
      </c>
      <c r="AC2048" t="str">
        <f>IF(AA2048="",M2048,AA2048)</f>
        <v>sim</v>
      </c>
      <c r="AD2048" t="str">
        <f>IF(AB2048="",X2048,AB2048)</f>
        <v>sim</v>
      </c>
      <c r="AE2048" t="str">
        <f>IF(OR(Configuracao!B9="",Configuracao!B10=""),"aguardando limiar",IF(AND(K2048&gt;=Configuracao!B9,K2048/MAX(Reconciliacao!C2,1)&gt;=Configuracao!B10/100),"sim","não"))</f>
        <v>aguardando limiar</v>
      </c>
    </row>
    <row r="2049" spans="1:31" x14ac:dyDescent="0.25">
      <c r="A2049">
        <v>17951</v>
      </c>
      <c r="C2049" t="s">
        <v>1398</v>
      </c>
      <c r="D2049" t="s">
        <v>1399</v>
      </c>
      <c r="E2049" t="s">
        <v>467</v>
      </c>
      <c r="F2049" t="s">
        <v>158</v>
      </c>
      <c r="G2049" t="s">
        <v>157</v>
      </c>
      <c r="H2049" t="s">
        <v>156</v>
      </c>
      <c r="I2049" t="s">
        <v>442</v>
      </c>
      <c r="J2049" t="s">
        <v>439</v>
      </c>
      <c r="K2049" s="4">
        <v>4921.69</v>
      </c>
      <c r="L2049" s="4">
        <v>4921.69</v>
      </c>
      <c r="M2049" t="s">
        <v>44</v>
      </c>
      <c r="N2049" t="s">
        <v>77</v>
      </c>
      <c r="O2049" t="s">
        <v>99</v>
      </c>
      <c r="P2049" t="s">
        <v>99</v>
      </c>
      <c r="Q2049" t="s">
        <v>159</v>
      </c>
      <c r="R2049" t="s">
        <v>160</v>
      </c>
      <c r="S2049" t="s">
        <v>161</v>
      </c>
      <c r="T2049" t="s">
        <v>162</v>
      </c>
      <c r="U2049" t="s">
        <v>163</v>
      </c>
      <c r="V2049" t="s">
        <v>164</v>
      </c>
      <c r="W2049" t="s">
        <v>116</v>
      </c>
      <c r="X2049" t="s">
        <v>44</v>
      </c>
      <c r="Y2049" t="s">
        <v>99</v>
      </c>
      <c r="Z2049" t="s">
        <v>421</v>
      </c>
      <c r="AC2049" t="str">
        <f>IF(AA2049="",M2049,AA2049)</f>
        <v>sim</v>
      </c>
      <c r="AD2049" t="str">
        <f>IF(AB2049="",X2049,AB2049)</f>
        <v>sim</v>
      </c>
      <c r="AE2049" t="str">
        <f>IF(OR(Configuracao!B9="",Configuracao!B10=""),"aguardando limiar",IF(AND(K2049&gt;=Configuracao!B9,K2049/MAX(Reconciliacao!C2,1)&gt;=Configuracao!B10/100),"sim","não"))</f>
        <v>aguardando limiar</v>
      </c>
    </row>
    <row r="2050" spans="1:31" x14ac:dyDescent="0.25">
      <c r="A2050">
        <v>18794</v>
      </c>
      <c r="C2050" t="s">
        <v>1398</v>
      </c>
      <c r="D2050" t="s">
        <v>1399</v>
      </c>
      <c r="E2050" t="s">
        <v>467</v>
      </c>
      <c r="F2050" t="s">
        <v>158</v>
      </c>
      <c r="G2050" t="s">
        <v>157</v>
      </c>
      <c r="H2050" t="s">
        <v>156</v>
      </c>
      <c r="I2050" t="s">
        <v>439</v>
      </c>
      <c r="J2050" t="s">
        <v>35</v>
      </c>
      <c r="K2050" s="4">
        <v>4921.69</v>
      </c>
      <c r="L2050" s="4">
        <v>4921.69</v>
      </c>
      <c r="M2050" t="s">
        <v>44</v>
      </c>
      <c r="N2050" t="s">
        <v>77</v>
      </c>
      <c r="O2050" t="s">
        <v>99</v>
      </c>
      <c r="P2050" t="s">
        <v>99</v>
      </c>
      <c r="Q2050" t="s">
        <v>159</v>
      </c>
      <c r="R2050" t="s">
        <v>160</v>
      </c>
      <c r="S2050" t="s">
        <v>161</v>
      </c>
      <c r="T2050" t="s">
        <v>162</v>
      </c>
      <c r="U2050" t="s">
        <v>163</v>
      </c>
      <c r="V2050" t="s">
        <v>164</v>
      </c>
      <c r="W2050" t="s">
        <v>116</v>
      </c>
      <c r="X2050" t="s">
        <v>44</v>
      </c>
      <c r="Y2050" t="s">
        <v>99</v>
      </c>
      <c r="Z2050" t="s">
        <v>421</v>
      </c>
      <c r="AC2050" t="str">
        <f>IF(AA2050="",M2050,AA2050)</f>
        <v>sim</v>
      </c>
      <c r="AD2050" t="str">
        <f>IF(AB2050="",X2050,AB2050)</f>
        <v>sim</v>
      </c>
      <c r="AE2050" t="str">
        <f>IF(OR(Configuracao!B9="",Configuracao!B10=""),"aguardando limiar",IF(AND(K2050&gt;=Configuracao!B9,K2050/MAX(Reconciliacao!C2,1)&gt;=Configuracao!B10/100),"sim","não"))</f>
        <v>aguardando limiar</v>
      </c>
    </row>
    <row r="2051" spans="1:31" x14ac:dyDescent="0.25">
      <c r="A2051">
        <v>16173</v>
      </c>
      <c r="C2051" t="s">
        <v>1476</v>
      </c>
      <c r="D2051" t="s">
        <v>1474</v>
      </c>
      <c r="E2051" t="s">
        <v>224</v>
      </c>
      <c r="F2051" t="s">
        <v>158</v>
      </c>
      <c r="G2051" t="s">
        <v>157</v>
      </c>
      <c r="H2051" t="s">
        <v>156</v>
      </c>
      <c r="I2051" t="s">
        <v>454</v>
      </c>
      <c r="J2051" t="s">
        <v>461</v>
      </c>
      <c r="K2051" s="4">
        <v>5000</v>
      </c>
      <c r="L2051" s="4">
        <v>5000</v>
      </c>
      <c r="M2051" t="s">
        <v>44</v>
      </c>
      <c r="N2051" t="s">
        <v>77</v>
      </c>
      <c r="O2051" t="s">
        <v>99</v>
      </c>
      <c r="P2051" t="s">
        <v>99</v>
      </c>
      <c r="Q2051" t="s">
        <v>159</v>
      </c>
      <c r="R2051" t="s">
        <v>160</v>
      </c>
      <c r="S2051" t="s">
        <v>161</v>
      </c>
      <c r="T2051" t="s">
        <v>162</v>
      </c>
      <c r="U2051" t="s">
        <v>163</v>
      </c>
      <c r="V2051" t="s">
        <v>164</v>
      </c>
      <c r="W2051" t="s">
        <v>116</v>
      </c>
      <c r="X2051" t="s">
        <v>44</v>
      </c>
      <c r="Y2051" t="s">
        <v>99</v>
      </c>
      <c r="Z2051" t="s">
        <v>421</v>
      </c>
      <c r="AC2051" t="str">
        <f>IF(AA2051="",M2051,AA2051)</f>
        <v>sim</v>
      </c>
      <c r="AD2051" t="str">
        <f>IF(AB2051="",X2051,AB2051)</f>
        <v>sim</v>
      </c>
      <c r="AE2051" t="str">
        <f>IF(OR(Configuracao!B9="",Configuracao!B10=""),"aguardando limiar",IF(AND(K2051&gt;=Configuracao!B9,K2051/MAX(Reconciliacao!C2,1)&gt;=Configuracao!B10/100),"sim","não"))</f>
        <v>aguardando limiar</v>
      </c>
    </row>
    <row r="2052" spans="1:31" x14ac:dyDescent="0.25">
      <c r="A2052">
        <v>17250</v>
      </c>
      <c r="C2052" t="s">
        <v>1390</v>
      </c>
      <c r="D2052" t="s">
        <v>1391</v>
      </c>
      <c r="E2052" t="s">
        <v>467</v>
      </c>
      <c r="F2052" t="s">
        <v>158</v>
      </c>
      <c r="G2052" t="s">
        <v>157</v>
      </c>
      <c r="H2052" t="s">
        <v>156</v>
      </c>
      <c r="I2052" t="s">
        <v>461</v>
      </c>
      <c r="J2052" t="s">
        <v>442</v>
      </c>
      <c r="K2052" s="4">
        <v>5021.69</v>
      </c>
      <c r="L2052" s="4">
        <v>5021.69</v>
      </c>
      <c r="M2052" t="s">
        <v>44</v>
      </c>
      <c r="N2052" t="s">
        <v>77</v>
      </c>
      <c r="O2052" t="s">
        <v>99</v>
      </c>
      <c r="P2052" t="s">
        <v>99</v>
      </c>
      <c r="Q2052" t="s">
        <v>159</v>
      </c>
      <c r="R2052" t="s">
        <v>160</v>
      </c>
      <c r="S2052" t="s">
        <v>161</v>
      </c>
      <c r="T2052" t="s">
        <v>162</v>
      </c>
      <c r="U2052" t="s">
        <v>163</v>
      </c>
      <c r="V2052" t="s">
        <v>164</v>
      </c>
      <c r="W2052" t="s">
        <v>116</v>
      </c>
      <c r="X2052" t="s">
        <v>44</v>
      </c>
      <c r="Y2052" t="s">
        <v>99</v>
      </c>
      <c r="Z2052" t="s">
        <v>421</v>
      </c>
      <c r="AC2052" t="str">
        <f>IF(AA2052="",M2052,AA2052)</f>
        <v>sim</v>
      </c>
      <c r="AD2052" t="str">
        <f>IF(AB2052="",X2052,AB2052)</f>
        <v>sim</v>
      </c>
      <c r="AE2052" t="str">
        <f>IF(OR(Configuracao!B9="",Configuracao!B10=""),"aguardando limiar",IF(AND(K2052&gt;=Configuracao!B9,K2052/MAX(Reconciliacao!C2,1)&gt;=Configuracao!B10/100),"sim","não"))</f>
        <v>aguardando limiar</v>
      </c>
    </row>
    <row r="2053" spans="1:31" x14ac:dyDescent="0.25">
      <c r="A2053">
        <v>17284</v>
      </c>
      <c r="C2053" t="s">
        <v>1434</v>
      </c>
      <c r="D2053" t="s">
        <v>1435</v>
      </c>
      <c r="E2053" t="s">
        <v>467</v>
      </c>
      <c r="F2053" t="s">
        <v>158</v>
      </c>
      <c r="G2053" t="s">
        <v>157</v>
      </c>
      <c r="H2053" t="s">
        <v>156</v>
      </c>
      <c r="I2053" t="s">
        <v>461</v>
      </c>
      <c r="J2053" t="s">
        <v>442</v>
      </c>
      <c r="K2053" s="4">
        <v>5021.69</v>
      </c>
      <c r="L2053" s="4">
        <v>5021.69</v>
      </c>
      <c r="M2053" t="s">
        <v>44</v>
      </c>
      <c r="N2053" t="s">
        <v>77</v>
      </c>
      <c r="O2053" t="s">
        <v>99</v>
      </c>
      <c r="P2053" t="s">
        <v>99</v>
      </c>
      <c r="Q2053" t="s">
        <v>159</v>
      </c>
      <c r="R2053" t="s">
        <v>160</v>
      </c>
      <c r="S2053" t="s">
        <v>161</v>
      </c>
      <c r="T2053" t="s">
        <v>162</v>
      </c>
      <c r="U2053" t="s">
        <v>163</v>
      </c>
      <c r="V2053" t="s">
        <v>164</v>
      </c>
      <c r="W2053" t="s">
        <v>116</v>
      </c>
      <c r="X2053" t="s">
        <v>44</v>
      </c>
      <c r="Y2053" t="s">
        <v>99</v>
      </c>
      <c r="Z2053" t="s">
        <v>421</v>
      </c>
      <c r="AC2053" t="str">
        <f>IF(AA2053="",M2053,AA2053)</f>
        <v>sim</v>
      </c>
      <c r="AD2053" t="str">
        <f>IF(AB2053="",X2053,AB2053)</f>
        <v>sim</v>
      </c>
      <c r="AE2053" t="str">
        <f>IF(OR(Configuracao!B9="",Configuracao!B10=""),"aguardando limiar",IF(AND(K2053&gt;=Configuracao!B9,K2053/MAX(Reconciliacao!C2,1)&gt;=Configuracao!B10/100),"sim","não"))</f>
        <v>aguardando limiar</v>
      </c>
    </row>
    <row r="2054" spans="1:31" x14ac:dyDescent="0.25">
      <c r="A2054">
        <v>17940</v>
      </c>
      <c r="C2054" t="s">
        <v>1390</v>
      </c>
      <c r="D2054" t="s">
        <v>1391</v>
      </c>
      <c r="E2054" t="s">
        <v>467</v>
      </c>
      <c r="F2054" t="s">
        <v>158</v>
      </c>
      <c r="G2054" t="s">
        <v>157</v>
      </c>
      <c r="H2054" t="s">
        <v>156</v>
      </c>
      <c r="I2054" t="s">
        <v>442</v>
      </c>
      <c r="J2054" t="s">
        <v>439</v>
      </c>
      <c r="K2054" s="4">
        <v>5021.69</v>
      </c>
      <c r="L2054" s="4">
        <v>5021.69</v>
      </c>
      <c r="M2054" t="s">
        <v>44</v>
      </c>
      <c r="N2054" t="s">
        <v>77</v>
      </c>
      <c r="O2054" t="s">
        <v>99</v>
      </c>
      <c r="P2054" t="s">
        <v>99</v>
      </c>
      <c r="Q2054" t="s">
        <v>159</v>
      </c>
      <c r="R2054" t="s">
        <v>160</v>
      </c>
      <c r="S2054" t="s">
        <v>161</v>
      </c>
      <c r="T2054" t="s">
        <v>162</v>
      </c>
      <c r="U2054" t="s">
        <v>163</v>
      </c>
      <c r="V2054" t="s">
        <v>164</v>
      </c>
      <c r="W2054" t="s">
        <v>116</v>
      </c>
      <c r="X2054" t="s">
        <v>44</v>
      </c>
      <c r="Y2054" t="s">
        <v>99</v>
      </c>
      <c r="Z2054" t="s">
        <v>421</v>
      </c>
      <c r="AC2054" t="str">
        <f>IF(AA2054="",M2054,AA2054)</f>
        <v>sim</v>
      </c>
      <c r="AD2054" t="str">
        <f>IF(AB2054="",X2054,AB2054)</f>
        <v>sim</v>
      </c>
      <c r="AE2054" t="str">
        <f>IF(OR(Configuracao!B9="",Configuracao!B10=""),"aguardando limiar",IF(AND(K2054&gt;=Configuracao!B9,K2054/MAX(Reconciliacao!C2,1)&gt;=Configuracao!B10/100),"sim","não"))</f>
        <v>aguardando limiar</v>
      </c>
    </row>
    <row r="2055" spans="1:31" x14ac:dyDescent="0.25">
      <c r="A2055">
        <v>17970</v>
      </c>
      <c r="C2055" t="s">
        <v>1434</v>
      </c>
      <c r="D2055" t="s">
        <v>1435</v>
      </c>
      <c r="E2055" t="s">
        <v>467</v>
      </c>
      <c r="F2055" t="s">
        <v>158</v>
      </c>
      <c r="G2055" t="s">
        <v>157</v>
      </c>
      <c r="H2055" t="s">
        <v>156</v>
      </c>
      <c r="I2055" t="s">
        <v>442</v>
      </c>
      <c r="J2055" t="s">
        <v>439</v>
      </c>
      <c r="K2055" s="4">
        <v>5021.69</v>
      </c>
      <c r="L2055" s="4">
        <v>5021.69</v>
      </c>
      <c r="M2055" t="s">
        <v>44</v>
      </c>
      <c r="N2055" t="s">
        <v>77</v>
      </c>
      <c r="O2055" t="s">
        <v>99</v>
      </c>
      <c r="P2055" t="s">
        <v>99</v>
      </c>
      <c r="Q2055" t="s">
        <v>159</v>
      </c>
      <c r="R2055" t="s">
        <v>160</v>
      </c>
      <c r="S2055" t="s">
        <v>161</v>
      </c>
      <c r="T2055" t="s">
        <v>162</v>
      </c>
      <c r="U2055" t="s">
        <v>163</v>
      </c>
      <c r="V2055" t="s">
        <v>164</v>
      </c>
      <c r="W2055" t="s">
        <v>116</v>
      </c>
      <c r="X2055" t="s">
        <v>44</v>
      </c>
      <c r="Y2055" t="s">
        <v>99</v>
      </c>
      <c r="Z2055" t="s">
        <v>421</v>
      </c>
      <c r="AC2055" t="str">
        <f>IF(AA2055="",M2055,AA2055)</f>
        <v>sim</v>
      </c>
      <c r="AD2055" t="str">
        <f>IF(AB2055="",X2055,AB2055)</f>
        <v>sim</v>
      </c>
      <c r="AE2055" t="str">
        <f>IF(OR(Configuracao!B9="",Configuracao!B10=""),"aguardando limiar",IF(AND(K2055&gt;=Configuracao!B9,K2055/MAX(Reconciliacao!C2,1)&gt;=Configuracao!B10/100),"sim","não"))</f>
        <v>aguardando limiar</v>
      </c>
    </row>
    <row r="2056" spans="1:31" x14ac:dyDescent="0.25">
      <c r="A2056">
        <v>18784</v>
      </c>
      <c r="C2056" t="s">
        <v>1390</v>
      </c>
      <c r="D2056" t="s">
        <v>1391</v>
      </c>
      <c r="E2056" t="s">
        <v>467</v>
      </c>
      <c r="F2056" t="s">
        <v>158</v>
      </c>
      <c r="G2056" t="s">
        <v>157</v>
      </c>
      <c r="H2056" t="s">
        <v>156</v>
      </c>
      <c r="I2056" t="s">
        <v>439</v>
      </c>
      <c r="J2056" t="s">
        <v>35</v>
      </c>
      <c r="K2056" s="4">
        <v>5021.69</v>
      </c>
      <c r="L2056" s="4">
        <v>5021.69</v>
      </c>
      <c r="M2056" t="s">
        <v>44</v>
      </c>
      <c r="N2056" t="s">
        <v>77</v>
      </c>
      <c r="O2056" t="s">
        <v>99</v>
      </c>
      <c r="P2056" t="s">
        <v>99</v>
      </c>
      <c r="Q2056" t="s">
        <v>159</v>
      </c>
      <c r="R2056" t="s">
        <v>160</v>
      </c>
      <c r="S2056" t="s">
        <v>161</v>
      </c>
      <c r="T2056" t="s">
        <v>162</v>
      </c>
      <c r="U2056" t="s">
        <v>163</v>
      </c>
      <c r="V2056" t="s">
        <v>164</v>
      </c>
      <c r="W2056" t="s">
        <v>116</v>
      </c>
      <c r="X2056" t="s">
        <v>44</v>
      </c>
      <c r="Y2056" t="s">
        <v>99</v>
      </c>
      <c r="Z2056" t="s">
        <v>421</v>
      </c>
      <c r="AC2056" t="str">
        <f>IF(AA2056="",M2056,AA2056)</f>
        <v>sim</v>
      </c>
      <c r="AD2056" t="str">
        <f>IF(AB2056="",X2056,AB2056)</f>
        <v>sim</v>
      </c>
      <c r="AE2056" t="str">
        <f>IF(OR(Configuracao!B9="",Configuracao!B10=""),"aguardando limiar",IF(AND(K2056&gt;=Configuracao!B9,K2056/MAX(Reconciliacao!C2,1)&gt;=Configuracao!B10/100),"sim","não"))</f>
        <v>aguardando limiar</v>
      </c>
    </row>
    <row r="2057" spans="1:31" x14ac:dyDescent="0.25">
      <c r="A2057">
        <v>18813</v>
      </c>
      <c r="C2057" t="s">
        <v>1434</v>
      </c>
      <c r="D2057" t="s">
        <v>1435</v>
      </c>
      <c r="E2057" t="s">
        <v>467</v>
      </c>
      <c r="F2057" t="s">
        <v>158</v>
      </c>
      <c r="G2057" t="s">
        <v>157</v>
      </c>
      <c r="H2057" t="s">
        <v>156</v>
      </c>
      <c r="I2057" t="s">
        <v>439</v>
      </c>
      <c r="J2057" t="s">
        <v>35</v>
      </c>
      <c r="K2057" s="4">
        <v>5021.69</v>
      </c>
      <c r="L2057" s="4">
        <v>5021.69</v>
      </c>
      <c r="M2057" t="s">
        <v>44</v>
      </c>
      <c r="N2057" t="s">
        <v>77</v>
      </c>
      <c r="O2057" t="s">
        <v>99</v>
      </c>
      <c r="P2057" t="s">
        <v>99</v>
      </c>
      <c r="Q2057" t="s">
        <v>159</v>
      </c>
      <c r="R2057" t="s">
        <v>160</v>
      </c>
      <c r="S2057" t="s">
        <v>161</v>
      </c>
      <c r="T2057" t="s">
        <v>162</v>
      </c>
      <c r="U2057" t="s">
        <v>163</v>
      </c>
      <c r="V2057" t="s">
        <v>164</v>
      </c>
      <c r="W2057" t="s">
        <v>116</v>
      </c>
      <c r="X2057" t="s">
        <v>44</v>
      </c>
      <c r="Y2057" t="s">
        <v>99</v>
      </c>
      <c r="Z2057" t="s">
        <v>421</v>
      </c>
      <c r="AC2057" t="str">
        <f>IF(AA2057="",M2057,AA2057)</f>
        <v>sim</v>
      </c>
      <c r="AD2057" t="str">
        <f>IF(AB2057="",X2057,AB2057)</f>
        <v>sim</v>
      </c>
      <c r="AE2057" t="str">
        <f>IF(OR(Configuracao!B9="",Configuracao!B10=""),"aguardando limiar",IF(AND(K2057&gt;=Configuracao!B9,K2057/MAX(Reconciliacao!C2,1)&gt;=Configuracao!B10/100),"sim","não"))</f>
        <v>aguardando limiar</v>
      </c>
    </row>
    <row r="2058" spans="1:31" x14ac:dyDescent="0.25">
      <c r="A2058">
        <v>12956</v>
      </c>
      <c r="C2058" t="s">
        <v>1398</v>
      </c>
      <c r="D2058" t="s">
        <v>1399</v>
      </c>
      <c r="E2058" t="s">
        <v>467</v>
      </c>
      <c r="F2058" t="s">
        <v>158</v>
      </c>
      <c r="G2058" t="s">
        <v>157</v>
      </c>
      <c r="H2058" t="s">
        <v>156</v>
      </c>
      <c r="I2058" t="s">
        <v>424</v>
      </c>
      <c r="J2058" t="s">
        <v>424</v>
      </c>
      <c r="K2058" s="4">
        <v>5100</v>
      </c>
      <c r="L2058" s="4">
        <v>5100</v>
      </c>
      <c r="M2058" t="s">
        <v>44</v>
      </c>
      <c r="N2058" t="s">
        <v>77</v>
      </c>
      <c r="O2058" t="s">
        <v>99</v>
      </c>
      <c r="P2058" t="s">
        <v>99</v>
      </c>
      <c r="Q2058" t="s">
        <v>159</v>
      </c>
      <c r="R2058" t="s">
        <v>160</v>
      </c>
      <c r="S2058" t="s">
        <v>161</v>
      </c>
      <c r="T2058" t="s">
        <v>162</v>
      </c>
      <c r="U2058" t="s">
        <v>163</v>
      </c>
      <c r="V2058" t="s">
        <v>164</v>
      </c>
      <c r="W2058" t="s">
        <v>116</v>
      </c>
      <c r="X2058" t="s">
        <v>44</v>
      </c>
      <c r="Y2058" t="s">
        <v>99</v>
      </c>
      <c r="Z2058" t="s">
        <v>421</v>
      </c>
      <c r="AC2058" t="str">
        <f>IF(AA2058="",M2058,AA2058)</f>
        <v>sim</v>
      </c>
      <c r="AD2058" t="str">
        <f>IF(AB2058="",X2058,AB2058)</f>
        <v>sim</v>
      </c>
      <c r="AE2058" t="str">
        <f>IF(OR(Configuracao!B9="",Configuracao!B10=""),"aguardando limiar",IF(AND(K2058&gt;=Configuracao!B9,K2058/MAX(Reconciliacao!C2,1)&gt;=Configuracao!B10/100),"sim","não"))</f>
        <v>aguardando limiar</v>
      </c>
    </row>
    <row r="2059" spans="1:31" x14ac:dyDescent="0.25">
      <c r="A2059">
        <v>14211</v>
      </c>
      <c r="C2059" t="s">
        <v>1398</v>
      </c>
      <c r="D2059" t="s">
        <v>1399</v>
      </c>
      <c r="E2059" t="s">
        <v>467</v>
      </c>
      <c r="F2059" t="s">
        <v>158</v>
      </c>
      <c r="G2059" t="s">
        <v>157</v>
      </c>
      <c r="H2059" t="s">
        <v>156</v>
      </c>
      <c r="I2059" t="s">
        <v>420</v>
      </c>
      <c r="J2059" t="s">
        <v>454</v>
      </c>
      <c r="K2059" s="4">
        <v>5100</v>
      </c>
      <c r="L2059" s="4">
        <v>5100</v>
      </c>
      <c r="M2059" t="s">
        <v>44</v>
      </c>
      <c r="N2059" t="s">
        <v>77</v>
      </c>
      <c r="O2059" t="s">
        <v>99</v>
      </c>
      <c r="P2059" t="s">
        <v>99</v>
      </c>
      <c r="Q2059" t="s">
        <v>159</v>
      </c>
      <c r="R2059" t="s">
        <v>160</v>
      </c>
      <c r="S2059" t="s">
        <v>161</v>
      </c>
      <c r="T2059" t="s">
        <v>162</v>
      </c>
      <c r="U2059" t="s">
        <v>163</v>
      </c>
      <c r="V2059" t="s">
        <v>164</v>
      </c>
      <c r="W2059" t="s">
        <v>116</v>
      </c>
      <c r="X2059" t="s">
        <v>44</v>
      </c>
      <c r="Y2059" t="s">
        <v>99</v>
      </c>
      <c r="Z2059" t="s">
        <v>421</v>
      </c>
      <c r="AC2059" t="str">
        <f>IF(AA2059="",M2059,AA2059)</f>
        <v>sim</v>
      </c>
      <c r="AD2059" t="str">
        <f>IF(AB2059="",X2059,AB2059)</f>
        <v>sim</v>
      </c>
      <c r="AE2059" t="str">
        <f>IF(OR(Configuracao!B9="",Configuracao!B10=""),"aguardando limiar",IF(AND(K2059&gt;=Configuracao!B9,K2059/MAX(Reconciliacao!C2,1)&gt;=Configuracao!B10/100),"sim","não"))</f>
        <v>aguardando limiar</v>
      </c>
    </row>
    <row r="2060" spans="1:31" x14ac:dyDescent="0.25">
      <c r="A2060">
        <v>15985</v>
      </c>
      <c r="C2060" t="s">
        <v>1398</v>
      </c>
      <c r="D2060" t="s">
        <v>1399</v>
      </c>
      <c r="E2060" t="s">
        <v>467</v>
      </c>
      <c r="F2060" t="s">
        <v>158</v>
      </c>
      <c r="G2060" t="s">
        <v>157</v>
      </c>
      <c r="H2060" t="s">
        <v>156</v>
      </c>
      <c r="I2060" t="s">
        <v>424</v>
      </c>
      <c r="J2060" t="s">
        <v>420</v>
      </c>
      <c r="K2060" s="4">
        <v>5100</v>
      </c>
      <c r="L2060" s="4">
        <v>5100</v>
      </c>
      <c r="M2060" t="s">
        <v>44</v>
      </c>
      <c r="N2060" t="s">
        <v>77</v>
      </c>
      <c r="O2060" t="s">
        <v>99</v>
      </c>
      <c r="P2060" t="s">
        <v>99</v>
      </c>
      <c r="Q2060" t="s">
        <v>159</v>
      </c>
      <c r="R2060" t="s">
        <v>160</v>
      </c>
      <c r="S2060" t="s">
        <v>161</v>
      </c>
      <c r="T2060" t="s">
        <v>162</v>
      </c>
      <c r="U2060" t="s">
        <v>163</v>
      </c>
      <c r="V2060" t="s">
        <v>164</v>
      </c>
      <c r="W2060" t="s">
        <v>116</v>
      </c>
      <c r="X2060" t="s">
        <v>44</v>
      </c>
      <c r="Y2060" t="s">
        <v>99</v>
      </c>
      <c r="Z2060" t="s">
        <v>421</v>
      </c>
      <c r="AC2060" t="str">
        <f>IF(AA2060="",M2060,AA2060)</f>
        <v>sim</v>
      </c>
      <c r="AD2060" t="str">
        <f>IF(AB2060="",X2060,AB2060)</f>
        <v>sim</v>
      </c>
      <c r="AE2060" t="str">
        <f>IF(OR(Configuracao!B9="",Configuracao!B10=""),"aguardando limiar",IF(AND(K2060&gt;=Configuracao!B9,K2060/MAX(Reconciliacao!C2,1)&gt;=Configuracao!B10/100),"sim","não"))</f>
        <v>aguardando limiar</v>
      </c>
    </row>
    <row r="2061" spans="1:31" x14ac:dyDescent="0.25">
      <c r="A2061">
        <v>16171</v>
      </c>
      <c r="C2061" t="s">
        <v>1398</v>
      </c>
      <c r="D2061" t="s">
        <v>1399</v>
      </c>
      <c r="E2061" t="s">
        <v>467</v>
      </c>
      <c r="F2061" t="s">
        <v>158</v>
      </c>
      <c r="G2061" t="s">
        <v>157</v>
      </c>
      <c r="H2061" t="s">
        <v>156</v>
      </c>
      <c r="I2061" t="s">
        <v>454</v>
      </c>
      <c r="J2061" t="s">
        <v>461</v>
      </c>
      <c r="K2061" s="4">
        <v>5100</v>
      </c>
      <c r="L2061" s="4">
        <v>5100</v>
      </c>
      <c r="M2061" t="s">
        <v>44</v>
      </c>
      <c r="N2061" t="s">
        <v>77</v>
      </c>
      <c r="O2061" t="s">
        <v>99</v>
      </c>
      <c r="P2061" t="s">
        <v>99</v>
      </c>
      <c r="Q2061" t="s">
        <v>159</v>
      </c>
      <c r="R2061" t="s">
        <v>160</v>
      </c>
      <c r="S2061" t="s">
        <v>161</v>
      </c>
      <c r="T2061" t="s">
        <v>162</v>
      </c>
      <c r="U2061" t="s">
        <v>163</v>
      </c>
      <c r="V2061" t="s">
        <v>164</v>
      </c>
      <c r="W2061" t="s">
        <v>116</v>
      </c>
      <c r="X2061" t="s">
        <v>44</v>
      </c>
      <c r="Y2061" t="s">
        <v>99</v>
      </c>
      <c r="Z2061" t="s">
        <v>421</v>
      </c>
      <c r="AC2061" t="str">
        <f>IF(AA2061="",M2061,AA2061)</f>
        <v>sim</v>
      </c>
      <c r="AD2061" t="str">
        <f>IF(AB2061="",X2061,AB2061)</f>
        <v>sim</v>
      </c>
      <c r="AE2061" t="str">
        <f>IF(OR(Configuracao!B9="",Configuracao!B10=""),"aguardando limiar",IF(AND(K2061&gt;=Configuracao!B9,K2061/MAX(Reconciliacao!C2,1)&gt;=Configuracao!B10/100),"sim","não"))</f>
        <v>aguardando limiar</v>
      </c>
    </row>
    <row r="2062" spans="1:31" x14ac:dyDescent="0.25">
      <c r="A2062">
        <v>14203</v>
      </c>
      <c r="C2062" t="s">
        <v>1390</v>
      </c>
      <c r="D2062" t="s">
        <v>1391</v>
      </c>
      <c r="E2062" t="s">
        <v>467</v>
      </c>
      <c r="F2062" t="s">
        <v>158</v>
      </c>
      <c r="G2062" t="s">
        <v>157</v>
      </c>
      <c r="H2062" t="s">
        <v>156</v>
      </c>
      <c r="I2062" t="s">
        <v>420</v>
      </c>
      <c r="J2062" t="s">
        <v>454</v>
      </c>
      <c r="K2062" s="4">
        <v>5200</v>
      </c>
      <c r="L2062" s="4">
        <v>5200</v>
      </c>
      <c r="M2062" t="s">
        <v>44</v>
      </c>
      <c r="N2062" t="s">
        <v>77</v>
      </c>
      <c r="O2062" t="s">
        <v>99</v>
      </c>
      <c r="P2062" t="s">
        <v>99</v>
      </c>
      <c r="Q2062" t="s">
        <v>159</v>
      </c>
      <c r="R2062" t="s">
        <v>160</v>
      </c>
      <c r="S2062" t="s">
        <v>161</v>
      </c>
      <c r="T2062" t="s">
        <v>162</v>
      </c>
      <c r="U2062" t="s">
        <v>163</v>
      </c>
      <c r="V2062" t="s">
        <v>164</v>
      </c>
      <c r="W2062" t="s">
        <v>116</v>
      </c>
      <c r="X2062" t="s">
        <v>44</v>
      </c>
      <c r="Y2062" t="s">
        <v>99</v>
      </c>
      <c r="Z2062" t="s">
        <v>421</v>
      </c>
      <c r="AC2062" t="str">
        <f>IF(AA2062="",M2062,AA2062)</f>
        <v>sim</v>
      </c>
      <c r="AD2062" t="str">
        <f>IF(AB2062="",X2062,AB2062)</f>
        <v>sim</v>
      </c>
      <c r="AE2062" t="str">
        <f>IF(OR(Configuracao!B9="",Configuracao!B10=""),"aguardando limiar",IF(AND(K2062&gt;=Configuracao!B9,K2062/MAX(Reconciliacao!C2,1)&gt;=Configuracao!B10/100),"sim","não"))</f>
        <v>aguardando limiar</v>
      </c>
    </row>
    <row r="2063" spans="1:31" x14ac:dyDescent="0.25">
      <c r="A2063">
        <v>14230</v>
      </c>
      <c r="C2063" t="s">
        <v>1434</v>
      </c>
      <c r="D2063" t="s">
        <v>1435</v>
      </c>
      <c r="E2063" t="s">
        <v>467</v>
      </c>
      <c r="F2063" t="s">
        <v>158</v>
      </c>
      <c r="G2063" t="s">
        <v>157</v>
      </c>
      <c r="H2063" t="s">
        <v>156</v>
      </c>
      <c r="I2063" t="s">
        <v>420</v>
      </c>
      <c r="J2063" t="s">
        <v>454</v>
      </c>
      <c r="K2063" s="4">
        <v>5200</v>
      </c>
      <c r="L2063" s="4">
        <v>5200</v>
      </c>
      <c r="M2063" t="s">
        <v>44</v>
      </c>
      <c r="N2063" t="s">
        <v>77</v>
      </c>
      <c r="O2063" t="s">
        <v>99</v>
      </c>
      <c r="P2063" t="s">
        <v>99</v>
      </c>
      <c r="Q2063" t="s">
        <v>159</v>
      </c>
      <c r="R2063" t="s">
        <v>160</v>
      </c>
      <c r="S2063" t="s">
        <v>161</v>
      </c>
      <c r="T2063" t="s">
        <v>162</v>
      </c>
      <c r="U2063" t="s">
        <v>163</v>
      </c>
      <c r="V2063" t="s">
        <v>164</v>
      </c>
      <c r="W2063" t="s">
        <v>116</v>
      </c>
      <c r="X2063" t="s">
        <v>44</v>
      </c>
      <c r="Y2063" t="s">
        <v>99</v>
      </c>
      <c r="Z2063" t="s">
        <v>421</v>
      </c>
      <c r="AC2063" t="str">
        <f>IF(AA2063="",M2063,AA2063)</f>
        <v>sim</v>
      </c>
      <c r="AD2063" t="str">
        <f>IF(AB2063="",X2063,AB2063)</f>
        <v>sim</v>
      </c>
      <c r="AE2063" t="str">
        <f>IF(OR(Configuracao!B9="",Configuracao!B10=""),"aguardando limiar",IF(AND(K2063&gt;=Configuracao!B9,K2063/MAX(Reconciliacao!C2,1)&gt;=Configuracao!B10/100),"sim","não"))</f>
        <v>aguardando limiar</v>
      </c>
    </row>
    <row r="2064" spans="1:31" x14ac:dyDescent="0.25">
      <c r="A2064">
        <v>16160</v>
      </c>
      <c r="C2064" t="s">
        <v>1390</v>
      </c>
      <c r="D2064" t="s">
        <v>1391</v>
      </c>
      <c r="E2064" t="s">
        <v>467</v>
      </c>
      <c r="F2064" t="s">
        <v>158</v>
      </c>
      <c r="G2064" t="s">
        <v>157</v>
      </c>
      <c r="H2064" t="s">
        <v>156</v>
      </c>
      <c r="I2064" t="s">
        <v>454</v>
      </c>
      <c r="J2064" t="s">
        <v>461</v>
      </c>
      <c r="K2064" s="4">
        <v>5200</v>
      </c>
      <c r="L2064" s="4">
        <v>5200</v>
      </c>
      <c r="M2064" t="s">
        <v>44</v>
      </c>
      <c r="N2064" t="s">
        <v>77</v>
      </c>
      <c r="O2064" t="s">
        <v>99</v>
      </c>
      <c r="P2064" t="s">
        <v>99</v>
      </c>
      <c r="Q2064" t="s">
        <v>159</v>
      </c>
      <c r="R2064" t="s">
        <v>160</v>
      </c>
      <c r="S2064" t="s">
        <v>161</v>
      </c>
      <c r="T2064" t="s">
        <v>162</v>
      </c>
      <c r="U2064" t="s">
        <v>163</v>
      </c>
      <c r="V2064" t="s">
        <v>164</v>
      </c>
      <c r="W2064" t="s">
        <v>116</v>
      </c>
      <c r="X2064" t="s">
        <v>44</v>
      </c>
      <c r="Y2064" t="s">
        <v>99</v>
      </c>
      <c r="Z2064" t="s">
        <v>421</v>
      </c>
      <c r="AC2064" t="str">
        <f>IF(AA2064="",M2064,AA2064)</f>
        <v>sim</v>
      </c>
      <c r="AD2064" t="str">
        <f>IF(AB2064="",X2064,AB2064)</f>
        <v>sim</v>
      </c>
      <c r="AE2064" t="str">
        <f>IF(OR(Configuracao!B9="",Configuracao!B10=""),"aguardando limiar",IF(AND(K2064&gt;=Configuracao!B9,K2064/MAX(Reconciliacao!C2,1)&gt;=Configuracao!B10/100),"sim","não"))</f>
        <v>aguardando limiar</v>
      </c>
    </row>
    <row r="2065" spans="1:31" x14ac:dyDescent="0.25">
      <c r="A2065">
        <v>16191</v>
      </c>
      <c r="C2065" t="s">
        <v>1434</v>
      </c>
      <c r="D2065" t="s">
        <v>1435</v>
      </c>
      <c r="E2065" t="s">
        <v>467</v>
      </c>
      <c r="F2065" t="s">
        <v>158</v>
      </c>
      <c r="G2065" t="s">
        <v>157</v>
      </c>
      <c r="H2065" t="s">
        <v>156</v>
      </c>
      <c r="I2065" t="s">
        <v>454</v>
      </c>
      <c r="J2065" t="s">
        <v>461</v>
      </c>
      <c r="K2065" s="4">
        <v>5200</v>
      </c>
      <c r="L2065" s="4">
        <v>5200</v>
      </c>
      <c r="M2065" t="s">
        <v>44</v>
      </c>
      <c r="N2065" t="s">
        <v>77</v>
      </c>
      <c r="O2065" t="s">
        <v>99</v>
      </c>
      <c r="P2065" t="s">
        <v>99</v>
      </c>
      <c r="Q2065" t="s">
        <v>159</v>
      </c>
      <c r="R2065" t="s">
        <v>160</v>
      </c>
      <c r="S2065" t="s">
        <v>161</v>
      </c>
      <c r="T2065" t="s">
        <v>162</v>
      </c>
      <c r="U2065" t="s">
        <v>163</v>
      </c>
      <c r="V2065" t="s">
        <v>164</v>
      </c>
      <c r="W2065" t="s">
        <v>116</v>
      </c>
      <c r="X2065" t="s">
        <v>44</v>
      </c>
      <c r="Y2065" t="s">
        <v>99</v>
      </c>
      <c r="Z2065" t="s">
        <v>421</v>
      </c>
      <c r="AC2065" t="str">
        <f>IF(AA2065="",M2065,AA2065)</f>
        <v>sim</v>
      </c>
      <c r="AD2065" t="str">
        <f>IF(AB2065="",X2065,AB2065)</f>
        <v>sim</v>
      </c>
      <c r="AE2065" t="str">
        <f>IF(OR(Configuracao!B9="",Configuracao!B10=""),"aguardando limiar",IF(AND(K2065&gt;=Configuracao!B9,K2065/MAX(Reconciliacao!C2,1)&gt;=Configuracao!B10/100),"sim","não"))</f>
        <v>aguardando limiar</v>
      </c>
    </row>
    <row r="2066" spans="1:31" x14ac:dyDescent="0.25">
      <c r="A2066">
        <v>17252</v>
      </c>
      <c r="C2066" t="s">
        <v>1465</v>
      </c>
      <c r="D2066" t="s">
        <v>1466</v>
      </c>
      <c r="E2066" t="s">
        <v>467</v>
      </c>
      <c r="F2066" t="s">
        <v>158</v>
      </c>
      <c r="G2066" t="s">
        <v>157</v>
      </c>
      <c r="H2066" t="s">
        <v>156</v>
      </c>
      <c r="I2066" t="s">
        <v>461</v>
      </c>
      <c r="J2066" t="s">
        <v>442</v>
      </c>
      <c r="K2066" s="4">
        <v>5200</v>
      </c>
      <c r="L2066" s="4">
        <v>5200</v>
      </c>
      <c r="M2066" t="s">
        <v>44</v>
      </c>
      <c r="N2066" t="s">
        <v>77</v>
      </c>
      <c r="O2066" t="s">
        <v>99</v>
      </c>
      <c r="P2066" t="s">
        <v>99</v>
      </c>
      <c r="Q2066" t="s">
        <v>159</v>
      </c>
      <c r="R2066" t="s">
        <v>160</v>
      </c>
      <c r="S2066" t="s">
        <v>161</v>
      </c>
      <c r="T2066" t="s">
        <v>162</v>
      </c>
      <c r="U2066" t="s">
        <v>163</v>
      </c>
      <c r="V2066" t="s">
        <v>164</v>
      </c>
      <c r="W2066" t="s">
        <v>116</v>
      </c>
      <c r="X2066" t="s">
        <v>44</v>
      </c>
      <c r="Y2066" t="s">
        <v>99</v>
      </c>
      <c r="Z2066" t="s">
        <v>421</v>
      </c>
      <c r="AC2066" t="str">
        <f>IF(AA2066="",M2066,AA2066)</f>
        <v>sim</v>
      </c>
      <c r="AD2066" t="str">
        <f>IF(AB2066="",X2066,AB2066)</f>
        <v>sim</v>
      </c>
      <c r="AE2066" t="str">
        <f>IF(OR(Configuracao!B9="",Configuracao!B10=""),"aguardando limiar",IF(AND(K2066&gt;=Configuracao!B9,K2066/MAX(Reconciliacao!C2,1)&gt;=Configuracao!B10/100),"sim","não"))</f>
        <v>aguardando limiar</v>
      </c>
    </row>
    <row r="2067" spans="1:31" x14ac:dyDescent="0.25">
      <c r="A2067">
        <v>17942</v>
      </c>
      <c r="C2067" t="s">
        <v>1465</v>
      </c>
      <c r="D2067" t="s">
        <v>1466</v>
      </c>
      <c r="E2067" t="s">
        <v>467</v>
      </c>
      <c r="F2067" t="s">
        <v>158</v>
      </c>
      <c r="G2067" t="s">
        <v>157</v>
      </c>
      <c r="H2067" t="s">
        <v>156</v>
      </c>
      <c r="I2067" t="s">
        <v>442</v>
      </c>
      <c r="J2067" t="s">
        <v>439</v>
      </c>
      <c r="K2067" s="4">
        <v>5200</v>
      </c>
      <c r="L2067" s="4">
        <v>5200</v>
      </c>
      <c r="M2067" t="s">
        <v>44</v>
      </c>
      <c r="N2067" t="s">
        <v>77</v>
      </c>
      <c r="O2067" t="s">
        <v>99</v>
      </c>
      <c r="P2067" t="s">
        <v>99</v>
      </c>
      <c r="Q2067" t="s">
        <v>159</v>
      </c>
      <c r="R2067" t="s">
        <v>160</v>
      </c>
      <c r="S2067" t="s">
        <v>161</v>
      </c>
      <c r="T2067" t="s">
        <v>162</v>
      </c>
      <c r="U2067" t="s">
        <v>163</v>
      </c>
      <c r="V2067" t="s">
        <v>164</v>
      </c>
      <c r="W2067" t="s">
        <v>116</v>
      </c>
      <c r="X2067" t="s">
        <v>44</v>
      </c>
      <c r="Y2067" t="s">
        <v>99</v>
      </c>
      <c r="Z2067" t="s">
        <v>421</v>
      </c>
      <c r="AC2067" t="str">
        <f>IF(AA2067="",M2067,AA2067)</f>
        <v>sim</v>
      </c>
      <c r="AD2067" t="str">
        <f>IF(AB2067="",X2067,AB2067)</f>
        <v>sim</v>
      </c>
      <c r="AE2067" t="str">
        <f>IF(OR(Configuracao!B9="",Configuracao!B10=""),"aguardando limiar",IF(AND(K2067&gt;=Configuracao!B9,K2067/MAX(Reconciliacao!C2,1)&gt;=Configuracao!B10/100),"sim","não"))</f>
        <v>aguardando limiar</v>
      </c>
    </row>
    <row r="2068" spans="1:31" x14ac:dyDescent="0.25">
      <c r="A2068">
        <v>12987</v>
      </c>
      <c r="C2068" t="s">
        <v>1438</v>
      </c>
      <c r="D2068" t="s">
        <v>979</v>
      </c>
      <c r="E2068" t="s">
        <v>467</v>
      </c>
      <c r="F2068" t="s">
        <v>158</v>
      </c>
      <c r="G2068" t="s">
        <v>157</v>
      </c>
      <c r="H2068" t="s">
        <v>156</v>
      </c>
      <c r="I2068" t="s">
        <v>424</v>
      </c>
      <c r="J2068" t="s">
        <v>424</v>
      </c>
      <c r="K2068" s="4">
        <v>5300</v>
      </c>
      <c r="L2068" s="4">
        <v>5300</v>
      </c>
      <c r="M2068" t="s">
        <v>44</v>
      </c>
      <c r="N2068" t="s">
        <v>77</v>
      </c>
      <c r="O2068" t="s">
        <v>99</v>
      </c>
      <c r="P2068" t="s">
        <v>99</v>
      </c>
      <c r="Q2068" t="s">
        <v>159</v>
      </c>
      <c r="R2068" t="s">
        <v>160</v>
      </c>
      <c r="S2068" t="s">
        <v>161</v>
      </c>
      <c r="T2068" t="s">
        <v>162</v>
      </c>
      <c r="U2068" t="s">
        <v>163</v>
      </c>
      <c r="V2068" t="s">
        <v>164</v>
      </c>
      <c r="W2068" t="s">
        <v>116</v>
      </c>
      <c r="X2068" t="s">
        <v>44</v>
      </c>
      <c r="Y2068" t="s">
        <v>99</v>
      </c>
      <c r="Z2068" t="s">
        <v>421</v>
      </c>
      <c r="AC2068" t="str">
        <f>IF(AA2068="",M2068,AA2068)</f>
        <v>sim</v>
      </c>
      <c r="AD2068" t="str">
        <f>IF(AB2068="",X2068,AB2068)</f>
        <v>sim</v>
      </c>
      <c r="AE2068" t="str">
        <f>IF(OR(Configuracao!B9="",Configuracao!B10=""),"aguardando limiar",IF(AND(K2068&gt;=Configuracao!B9,K2068/MAX(Reconciliacao!C2,1)&gt;=Configuracao!B10/100),"sim","não"))</f>
        <v>aguardando limiar</v>
      </c>
    </row>
    <row r="2069" spans="1:31" x14ac:dyDescent="0.25">
      <c r="A2069">
        <v>16009</v>
      </c>
      <c r="C2069" t="s">
        <v>1438</v>
      </c>
      <c r="D2069" t="s">
        <v>979</v>
      </c>
      <c r="E2069" t="s">
        <v>467</v>
      </c>
      <c r="F2069" t="s">
        <v>158</v>
      </c>
      <c r="G2069" t="s">
        <v>157</v>
      </c>
      <c r="H2069" t="s">
        <v>156</v>
      </c>
      <c r="I2069" t="s">
        <v>424</v>
      </c>
      <c r="J2069" t="s">
        <v>420</v>
      </c>
      <c r="K2069" s="4">
        <v>5300</v>
      </c>
      <c r="L2069" s="4">
        <v>5300</v>
      </c>
      <c r="M2069" t="s">
        <v>44</v>
      </c>
      <c r="N2069" t="s">
        <v>77</v>
      </c>
      <c r="O2069" t="s">
        <v>99</v>
      </c>
      <c r="P2069" t="s">
        <v>99</v>
      </c>
      <c r="Q2069" t="s">
        <v>159</v>
      </c>
      <c r="R2069" t="s">
        <v>160</v>
      </c>
      <c r="S2069" t="s">
        <v>161</v>
      </c>
      <c r="T2069" t="s">
        <v>162</v>
      </c>
      <c r="U2069" t="s">
        <v>163</v>
      </c>
      <c r="V2069" t="s">
        <v>164</v>
      </c>
      <c r="W2069" t="s">
        <v>116</v>
      </c>
      <c r="X2069" t="s">
        <v>44</v>
      </c>
      <c r="Y2069" t="s">
        <v>99</v>
      </c>
      <c r="Z2069" t="s">
        <v>421</v>
      </c>
      <c r="AC2069" t="str">
        <f>IF(AA2069="",M2069,AA2069)</f>
        <v>sim</v>
      </c>
      <c r="AD2069" t="str">
        <f>IF(AB2069="",X2069,AB2069)</f>
        <v>sim</v>
      </c>
      <c r="AE2069" t="str">
        <f>IF(OR(Configuracao!B9="",Configuracao!B10=""),"aguardando limiar",IF(AND(K2069&gt;=Configuracao!B9,K2069/MAX(Reconciliacao!C2,1)&gt;=Configuracao!B10/100),"sim","não"))</f>
        <v>aguardando limiar</v>
      </c>
    </row>
    <row r="2070" spans="1:31" x14ac:dyDescent="0.25">
      <c r="A2070">
        <v>18824</v>
      </c>
      <c r="C2070" t="s">
        <v>1436</v>
      </c>
      <c r="D2070" t="s">
        <v>592</v>
      </c>
      <c r="E2070" t="s">
        <v>486</v>
      </c>
      <c r="F2070" t="s">
        <v>158</v>
      </c>
      <c r="G2070" t="s">
        <v>157</v>
      </c>
      <c r="H2070" t="s">
        <v>156</v>
      </c>
      <c r="I2070" t="s">
        <v>439</v>
      </c>
      <c r="J2070" t="s">
        <v>35</v>
      </c>
      <c r="K2070" s="4">
        <v>5410.84</v>
      </c>
      <c r="L2070" s="4">
        <v>5410.84</v>
      </c>
      <c r="M2070" t="s">
        <v>44</v>
      </c>
      <c r="N2070" t="s">
        <v>77</v>
      </c>
      <c r="O2070" t="s">
        <v>99</v>
      </c>
      <c r="P2070" t="s">
        <v>99</v>
      </c>
      <c r="Q2070" t="s">
        <v>159</v>
      </c>
      <c r="R2070" t="s">
        <v>160</v>
      </c>
      <c r="S2070" t="s">
        <v>161</v>
      </c>
      <c r="T2070" t="s">
        <v>162</v>
      </c>
      <c r="U2070" t="s">
        <v>163</v>
      </c>
      <c r="V2070" t="s">
        <v>164</v>
      </c>
      <c r="W2070" t="s">
        <v>116</v>
      </c>
      <c r="X2070" t="s">
        <v>44</v>
      </c>
      <c r="Y2070" t="s">
        <v>99</v>
      </c>
      <c r="Z2070" t="s">
        <v>421</v>
      </c>
      <c r="AC2070" t="str">
        <f>IF(AA2070="",M2070,AA2070)</f>
        <v>sim</v>
      </c>
      <c r="AD2070" t="str">
        <f>IF(AB2070="",X2070,AB2070)</f>
        <v>sim</v>
      </c>
      <c r="AE2070" t="str">
        <f>IF(OR(Configuracao!B9="",Configuracao!B10=""),"aguardando limiar",IF(AND(K2070&gt;=Configuracao!B9,K2070/MAX(Reconciliacao!C2,1)&gt;=Configuracao!B10/100),"sim","não"))</f>
        <v>aguardando limiar</v>
      </c>
    </row>
    <row r="2071" spans="1:31" x14ac:dyDescent="0.25">
      <c r="A2071">
        <v>18815</v>
      </c>
      <c r="C2071" t="s">
        <v>1436</v>
      </c>
      <c r="D2071" t="s">
        <v>592</v>
      </c>
      <c r="E2071" t="s">
        <v>445</v>
      </c>
      <c r="F2071" t="s">
        <v>158</v>
      </c>
      <c r="G2071" t="s">
        <v>157</v>
      </c>
      <c r="H2071" t="s">
        <v>156</v>
      </c>
      <c r="I2071" t="s">
        <v>439</v>
      </c>
      <c r="J2071" t="s">
        <v>35</v>
      </c>
      <c r="K2071" s="4">
        <v>5410.85</v>
      </c>
      <c r="L2071" s="4">
        <v>5410.85</v>
      </c>
      <c r="M2071" t="s">
        <v>44</v>
      </c>
      <c r="N2071" t="s">
        <v>77</v>
      </c>
      <c r="O2071" t="s">
        <v>99</v>
      </c>
      <c r="P2071" t="s">
        <v>99</v>
      </c>
      <c r="Q2071" t="s">
        <v>159</v>
      </c>
      <c r="R2071" t="s">
        <v>160</v>
      </c>
      <c r="S2071" t="s">
        <v>161</v>
      </c>
      <c r="T2071" t="s">
        <v>162</v>
      </c>
      <c r="U2071" t="s">
        <v>163</v>
      </c>
      <c r="V2071" t="s">
        <v>164</v>
      </c>
      <c r="W2071" t="s">
        <v>116</v>
      </c>
      <c r="X2071" t="s">
        <v>44</v>
      </c>
      <c r="Y2071" t="s">
        <v>99</v>
      </c>
      <c r="Z2071" t="s">
        <v>421</v>
      </c>
      <c r="AC2071" t="str">
        <f>IF(AA2071="",M2071,AA2071)</f>
        <v>sim</v>
      </c>
      <c r="AD2071" t="str">
        <f>IF(AB2071="",X2071,AB2071)</f>
        <v>sim</v>
      </c>
      <c r="AE2071" t="str">
        <f>IF(OR(Configuracao!B9="",Configuracao!B10=""),"aguardando limiar",IF(AND(K2071&gt;=Configuracao!B9,K2071/MAX(Reconciliacao!C2,1)&gt;=Configuracao!B10/100),"sim","não"))</f>
        <v>aguardando limiar</v>
      </c>
    </row>
    <row r="2072" spans="1:31" x14ac:dyDescent="0.25">
      <c r="A2072">
        <v>12950</v>
      </c>
      <c r="C2072" t="s">
        <v>1393</v>
      </c>
      <c r="D2072" t="s">
        <v>917</v>
      </c>
      <c r="E2072" t="s">
        <v>511</v>
      </c>
      <c r="F2072" t="s">
        <v>158</v>
      </c>
      <c r="G2072" t="s">
        <v>157</v>
      </c>
      <c r="H2072" t="s">
        <v>156</v>
      </c>
      <c r="I2072" t="s">
        <v>424</v>
      </c>
      <c r="J2072" t="s">
        <v>424</v>
      </c>
      <c r="K2072" s="4">
        <v>5500</v>
      </c>
      <c r="L2072" s="4">
        <v>5500</v>
      </c>
      <c r="M2072" t="s">
        <v>44</v>
      </c>
      <c r="N2072" t="s">
        <v>77</v>
      </c>
      <c r="O2072" t="s">
        <v>99</v>
      </c>
      <c r="P2072" t="s">
        <v>99</v>
      </c>
      <c r="Q2072" t="s">
        <v>159</v>
      </c>
      <c r="R2072" t="s">
        <v>160</v>
      </c>
      <c r="S2072" t="s">
        <v>161</v>
      </c>
      <c r="T2072" t="s">
        <v>162</v>
      </c>
      <c r="U2072" t="s">
        <v>163</v>
      </c>
      <c r="V2072" t="s">
        <v>164</v>
      </c>
      <c r="W2072" t="s">
        <v>116</v>
      </c>
      <c r="X2072" t="s">
        <v>44</v>
      </c>
      <c r="Y2072" t="s">
        <v>99</v>
      </c>
      <c r="Z2072" t="s">
        <v>421</v>
      </c>
      <c r="AC2072" t="str">
        <f>IF(AA2072="",M2072,AA2072)</f>
        <v>sim</v>
      </c>
      <c r="AD2072" t="str">
        <f>IF(AB2072="",X2072,AB2072)</f>
        <v>sim</v>
      </c>
      <c r="AE2072" t="str">
        <f>IF(OR(Configuracao!B9="",Configuracao!B10=""),"aguardando limiar",IF(AND(K2072&gt;=Configuracao!B9,K2072/MAX(Reconciliacao!C2,1)&gt;=Configuracao!B10/100),"sim","não"))</f>
        <v>aguardando limiar</v>
      </c>
    </row>
    <row r="2073" spans="1:31" x14ac:dyDescent="0.25">
      <c r="A2073">
        <v>12974</v>
      </c>
      <c r="C2073" t="s">
        <v>1420</v>
      </c>
      <c r="D2073" t="s">
        <v>1421</v>
      </c>
      <c r="E2073" t="s">
        <v>465</v>
      </c>
      <c r="F2073" t="s">
        <v>158</v>
      </c>
      <c r="G2073" t="s">
        <v>157</v>
      </c>
      <c r="H2073" t="s">
        <v>156</v>
      </c>
      <c r="I2073" t="s">
        <v>424</v>
      </c>
      <c r="J2073" t="s">
        <v>424</v>
      </c>
      <c r="K2073" s="4">
        <v>5500</v>
      </c>
      <c r="L2073" s="4">
        <v>5500</v>
      </c>
      <c r="M2073" t="s">
        <v>44</v>
      </c>
      <c r="N2073" t="s">
        <v>77</v>
      </c>
      <c r="O2073" t="s">
        <v>99</v>
      </c>
      <c r="P2073" t="s">
        <v>99</v>
      </c>
      <c r="Q2073" t="s">
        <v>159</v>
      </c>
      <c r="R2073" t="s">
        <v>160</v>
      </c>
      <c r="S2073" t="s">
        <v>161</v>
      </c>
      <c r="T2073" t="s">
        <v>162</v>
      </c>
      <c r="U2073" t="s">
        <v>163</v>
      </c>
      <c r="V2073" t="s">
        <v>164</v>
      </c>
      <c r="W2073" t="s">
        <v>116</v>
      </c>
      <c r="X2073" t="s">
        <v>44</v>
      </c>
      <c r="Y2073" t="s">
        <v>99</v>
      </c>
      <c r="Z2073" t="s">
        <v>421</v>
      </c>
      <c r="AC2073" t="str">
        <f>IF(AA2073="",M2073,AA2073)</f>
        <v>sim</v>
      </c>
      <c r="AD2073" t="str">
        <f>IF(AB2073="",X2073,AB2073)</f>
        <v>sim</v>
      </c>
      <c r="AE2073" t="str">
        <f>IF(OR(Configuracao!B9="",Configuracao!B10=""),"aguardando limiar",IF(AND(K2073&gt;=Configuracao!B9,K2073/MAX(Reconciliacao!C2,1)&gt;=Configuracao!B10/100),"sim","não"))</f>
        <v>aguardando limiar</v>
      </c>
    </row>
    <row r="2074" spans="1:31" x14ac:dyDescent="0.25">
      <c r="A2074">
        <v>14206</v>
      </c>
      <c r="C2074" t="s">
        <v>1393</v>
      </c>
      <c r="D2074" t="s">
        <v>917</v>
      </c>
      <c r="E2074" t="s">
        <v>511</v>
      </c>
      <c r="F2074" t="s">
        <v>158</v>
      </c>
      <c r="G2074" t="s">
        <v>157</v>
      </c>
      <c r="H2074" t="s">
        <v>156</v>
      </c>
      <c r="I2074" t="s">
        <v>420</v>
      </c>
      <c r="J2074" t="s">
        <v>454</v>
      </c>
      <c r="K2074" s="4">
        <v>5500</v>
      </c>
      <c r="L2074" s="4">
        <v>5500</v>
      </c>
      <c r="M2074" t="s">
        <v>44</v>
      </c>
      <c r="N2074" t="s">
        <v>77</v>
      </c>
      <c r="O2074" t="s">
        <v>99</v>
      </c>
      <c r="P2074" t="s">
        <v>99</v>
      </c>
      <c r="Q2074" t="s">
        <v>159</v>
      </c>
      <c r="R2074" t="s">
        <v>160</v>
      </c>
      <c r="S2074" t="s">
        <v>161</v>
      </c>
      <c r="T2074" t="s">
        <v>162</v>
      </c>
      <c r="U2074" t="s">
        <v>163</v>
      </c>
      <c r="V2074" t="s">
        <v>164</v>
      </c>
      <c r="W2074" t="s">
        <v>116</v>
      </c>
      <c r="X2074" t="s">
        <v>44</v>
      </c>
      <c r="Y2074" t="s">
        <v>99</v>
      </c>
      <c r="Z2074" t="s">
        <v>421</v>
      </c>
      <c r="AC2074" t="str">
        <f>IF(AA2074="",M2074,AA2074)</f>
        <v>sim</v>
      </c>
      <c r="AD2074" t="str">
        <f>IF(AB2074="",X2074,AB2074)</f>
        <v>sim</v>
      </c>
      <c r="AE2074" t="str">
        <f>IF(OR(Configuracao!B9="",Configuracao!B10=""),"aguardando limiar",IF(AND(K2074&gt;=Configuracao!B9,K2074/MAX(Reconciliacao!C2,1)&gt;=Configuracao!B10/100),"sim","não"))</f>
        <v>aguardando limiar</v>
      </c>
    </row>
    <row r="2075" spans="1:31" x14ac:dyDescent="0.25">
      <c r="A2075">
        <v>14221</v>
      </c>
      <c r="C2075" t="s">
        <v>1420</v>
      </c>
      <c r="D2075" t="s">
        <v>1421</v>
      </c>
      <c r="E2075" t="s">
        <v>465</v>
      </c>
      <c r="F2075" t="s">
        <v>158</v>
      </c>
      <c r="G2075" t="s">
        <v>157</v>
      </c>
      <c r="H2075" t="s">
        <v>156</v>
      </c>
      <c r="I2075" t="s">
        <v>420</v>
      </c>
      <c r="J2075" t="s">
        <v>454</v>
      </c>
      <c r="K2075" s="4">
        <v>5500</v>
      </c>
      <c r="L2075" s="4">
        <v>5500</v>
      </c>
      <c r="M2075" t="s">
        <v>44</v>
      </c>
      <c r="N2075" t="s">
        <v>77</v>
      </c>
      <c r="O2075" t="s">
        <v>99</v>
      </c>
      <c r="P2075" t="s">
        <v>99</v>
      </c>
      <c r="Q2075" t="s">
        <v>159</v>
      </c>
      <c r="R2075" t="s">
        <v>160</v>
      </c>
      <c r="S2075" t="s">
        <v>161</v>
      </c>
      <c r="T2075" t="s">
        <v>162</v>
      </c>
      <c r="U2075" t="s">
        <v>163</v>
      </c>
      <c r="V2075" t="s">
        <v>164</v>
      </c>
      <c r="W2075" t="s">
        <v>116</v>
      </c>
      <c r="X2075" t="s">
        <v>44</v>
      </c>
      <c r="Y2075" t="s">
        <v>99</v>
      </c>
      <c r="Z2075" t="s">
        <v>421</v>
      </c>
      <c r="AC2075" t="str">
        <f>IF(AA2075="",M2075,AA2075)</f>
        <v>sim</v>
      </c>
      <c r="AD2075" t="str">
        <f>IF(AB2075="",X2075,AB2075)</f>
        <v>sim</v>
      </c>
      <c r="AE2075" t="str">
        <f>IF(OR(Configuracao!B9="",Configuracao!B10=""),"aguardando limiar",IF(AND(K2075&gt;=Configuracao!B9,K2075/MAX(Reconciliacao!C2,1)&gt;=Configuracao!B10/100),"sim","não"))</f>
        <v>aguardando limiar</v>
      </c>
    </row>
    <row r="2076" spans="1:31" x14ac:dyDescent="0.25">
      <c r="A2076">
        <v>15961</v>
      </c>
      <c r="D2076" t="s">
        <v>1372</v>
      </c>
      <c r="E2076" t="s">
        <v>477</v>
      </c>
      <c r="F2076" t="s">
        <v>158</v>
      </c>
      <c r="G2076" t="s">
        <v>157</v>
      </c>
      <c r="H2076" t="s">
        <v>156</v>
      </c>
      <c r="I2076" t="s">
        <v>420</v>
      </c>
      <c r="J2076" t="s">
        <v>420</v>
      </c>
      <c r="K2076" s="4">
        <v>5500</v>
      </c>
      <c r="L2076" s="4">
        <v>5500</v>
      </c>
      <c r="M2076" t="s">
        <v>44</v>
      </c>
      <c r="N2076" t="s">
        <v>77</v>
      </c>
      <c r="O2076" t="s">
        <v>99</v>
      </c>
      <c r="P2076" t="s">
        <v>99</v>
      </c>
      <c r="Q2076" t="s">
        <v>159</v>
      </c>
      <c r="R2076" t="s">
        <v>160</v>
      </c>
      <c r="S2076" t="s">
        <v>161</v>
      </c>
      <c r="T2076" t="s">
        <v>162</v>
      </c>
      <c r="U2076" t="s">
        <v>163</v>
      </c>
      <c r="V2076" t="s">
        <v>164</v>
      </c>
      <c r="W2076" t="s">
        <v>116</v>
      </c>
      <c r="X2076" t="s">
        <v>44</v>
      </c>
      <c r="Y2076" t="s">
        <v>99</v>
      </c>
      <c r="Z2076" t="s">
        <v>421</v>
      </c>
      <c r="AC2076" t="str">
        <f>IF(AA2076="",M2076,AA2076)</f>
        <v>sim</v>
      </c>
      <c r="AD2076" t="str">
        <f>IF(AB2076="",X2076,AB2076)</f>
        <v>sim</v>
      </c>
      <c r="AE2076" t="str">
        <f>IF(OR(Configuracao!B9="",Configuracao!B10=""),"aguardando limiar",IF(AND(K2076&gt;=Configuracao!B9,K2076/MAX(Reconciliacao!C2,1)&gt;=Configuracao!B10/100),"sim","não"))</f>
        <v>aguardando limiar</v>
      </c>
    </row>
    <row r="2077" spans="1:31" x14ac:dyDescent="0.25">
      <c r="A2077">
        <v>15980</v>
      </c>
      <c r="C2077" t="s">
        <v>1393</v>
      </c>
      <c r="D2077" t="s">
        <v>917</v>
      </c>
      <c r="E2077" t="s">
        <v>511</v>
      </c>
      <c r="F2077" t="s">
        <v>158</v>
      </c>
      <c r="G2077" t="s">
        <v>157</v>
      </c>
      <c r="H2077" t="s">
        <v>156</v>
      </c>
      <c r="I2077" t="s">
        <v>424</v>
      </c>
      <c r="J2077" t="s">
        <v>420</v>
      </c>
      <c r="K2077" s="4">
        <v>5500</v>
      </c>
      <c r="L2077" s="4">
        <v>5500</v>
      </c>
      <c r="M2077" t="s">
        <v>44</v>
      </c>
      <c r="N2077" t="s">
        <v>77</v>
      </c>
      <c r="O2077" t="s">
        <v>99</v>
      </c>
      <c r="P2077" t="s">
        <v>99</v>
      </c>
      <c r="Q2077" t="s">
        <v>159</v>
      </c>
      <c r="R2077" t="s">
        <v>160</v>
      </c>
      <c r="S2077" t="s">
        <v>161</v>
      </c>
      <c r="T2077" t="s">
        <v>162</v>
      </c>
      <c r="U2077" t="s">
        <v>163</v>
      </c>
      <c r="V2077" t="s">
        <v>164</v>
      </c>
      <c r="W2077" t="s">
        <v>116</v>
      </c>
      <c r="X2077" t="s">
        <v>44</v>
      </c>
      <c r="Y2077" t="s">
        <v>99</v>
      </c>
      <c r="Z2077" t="s">
        <v>421</v>
      </c>
      <c r="AC2077" t="str">
        <f>IF(AA2077="",M2077,AA2077)</f>
        <v>sim</v>
      </c>
      <c r="AD2077" t="str">
        <f>IF(AB2077="",X2077,AB2077)</f>
        <v>sim</v>
      </c>
      <c r="AE2077" t="str">
        <f>IF(OR(Configuracao!B9="",Configuracao!B10=""),"aguardando limiar",IF(AND(K2077&gt;=Configuracao!B9,K2077/MAX(Reconciliacao!C2,1)&gt;=Configuracao!B10/100),"sim","não"))</f>
        <v>aguardando limiar</v>
      </c>
    </row>
    <row r="2078" spans="1:31" x14ac:dyDescent="0.25">
      <c r="A2078">
        <v>15996</v>
      </c>
      <c r="C2078" t="s">
        <v>1420</v>
      </c>
      <c r="D2078" t="s">
        <v>1421</v>
      </c>
      <c r="E2078" t="s">
        <v>465</v>
      </c>
      <c r="F2078" t="s">
        <v>158</v>
      </c>
      <c r="G2078" t="s">
        <v>157</v>
      </c>
      <c r="H2078" t="s">
        <v>156</v>
      </c>
      <c r="I2078" t="s">
        <v>424</v>
      </c>
      <c r="J2078" t="s">
        <v>420</v>
      </c>
      <c r="K2078" s="4">
        <v>5500</v>
      </c>
      <c r="L2078" s="4">
        <v>5500</v>
      </c>
      <c r="M2078" t="s">
        <v>44</v>
      </c>
      <c r="N2078" t="s">
        <v>77</v>
      </c>
      <c r="O2078" t="s">
        <v>99</v>
      </c>
      <c r="P2078" t="s">
        <v>99</v>
      </c>
      <c r="Q2078" t="s">
        <v>159</v>
      </c>
      <c r="R2078" t="s">
        <v>160</v>
      </c>
      <c r="S2078" t="s">
        <v>161</v>
      </c>
      <c r="T2078" t="s">
        <v>162</v>
      </c>
      <c r="U2078" t="s">
        <v>163</v>
      </c>
      <c r="V2078" t="s">
        <v>164</v>
      </c>
      <c r="W2078" t="s">
        <v>116</v>
      </c>
      <c r="X2078" t="s">
        <v>44</v>
      </c>
      <c r="Y2078" t="s">
        <v>99</v>
      </c>
      <c r="Z2078" t="s">
        <v>421</v>
      </c>
      <c r="AC2078" t="str">
        <f>IF(AA2078="",M2078,AA2078)</f>
        <v>sim</v>
      </c>
      <c r="AD2078" t="str">
        <f>IF(AB2078="",X2078,AB2078)</f>
        <v>sim</v>
      </c>
      <c r="AE2078" t="str">
        <f>IF(OR(Configuracao!B9="",Configuracao!B10=""),"aguardando limiar",IF(AND(K2078&gt;=Configuracao!B9,K2078/MAX(Reconciliacao!C2,1)&gt;=Configuracao!B10/100),"sim","não"))</f>
        <v>aguardando limiar</v>
      </c>
    </row>
    <row r="2079" spans="1:31" x14ac:dyDescent="0.25">
      <c r="A2079">
        <v>16164</v>
      </c>
      <c r="C2079" t="s">
        <v>1393</v>
      </c>
      <c r="D2079" t="s">
        <v>917</v>
      </c>
      <c r="E2079" t="s">
        <v>511</v>
      </c>
      <c r="F2079" t="s">
        <v>158</v>
      </c>
      <c r="G2079" t="s">
        <v>157</v>
      </c>
      <c r="H2079" t="s">
        <v>156</v>
      </c>
      <c r="I2079" t="s">
        <v>454</v>
      </c>
      <c r="J2079" t="s">
        <v>461</v>
      </c>
      <c r="K2079" s="4">
        <v>5500</v>
      </c>
      <c r="L2079" s="4">
        <v>5500</v>
      </c>
      <c r="M2079" t="s">
        <v>44</v>
      </c>
      <c r="N2079" t="s">
        <v>77</v>
      </c>
      <c r="O2079" t="s">
        <v>99</v>
      </c>
      <c r="P2079" t="s">
        <v>99</v>
      </c>
      <c r="Q2079" t="s">
        <v>159</v>
      </c>
      <c r="R2079" t="s">
        <v>160</v>
      </c>
      <c r="S2079" t="s">
        <v>161</v>
      </c>
      <c r="T2079" t="s">
        <v>162</v>
      </c>
      <c r="U2079" t="s">
        <v>163</v>
      </c>
      <c r="V2079" t="s">
        <v>164</v>
      </c>
      <c r="W2079" t="s">
        <v>116</v>
      </c>
      <c r="X2079" t="s">
        <v>44</v>
      </c>
      <c r="Y2079" t="s">
        <v>99</v>
      </c>
      <c r="Z2079" t="s">
        <v>421</v>
      </c>
      <c r="AC2079" t="str">
        <f>IF(AA2079="",M2079,AA2079)</f>
        <v>sim</v>
      </c>
      <c r="AD2079" t="str">
        <f>IF(AB2079="",X2079,AB2079)</f>
        <v>sim</v>
      </c>
      <c r="AE2079" t="str">
        <f>IF(OR(Configuracao!B9="",Configuracao!B10=""),"aguardando limiar",IF(AND(K2079&gt;=Configuracao!B9,K2079/MAX(Reconciliacao!C2,1)&gt;=Configuracao!B10/100),"sim","não"))</f>
        <v>aguardando limiar</v>
      </c>
    </row>
    <row r="2080" spans="1:31" x14ac:dyDescent="0.25">
      <c r="A2080">
        <v>17254</v>
      </c>
      <c r="C2080" t="s">
        <v>1393</v>
      </c>
      <c r="D2080" t="s">
        <v>917</v>
      </c>
      <c r="E2080" t="s">
        <v>511</v>
      </c>
      <c r="F2080" t="s">
        <v>158</v>
      </c>
      <c r="G2080" t="s">
        <v>157</v>
      </c>
      <c r="H2080" t="s">
        <v>156</v>
      </c>
      <c r="I2080" t="s">
        <v>461</v>
      </c>
      <c r="J2080" t="s">
        <v>442</v>
      </c>
      <c r="K2080" s="4">
        <v>5500</v>
      </c>
      <c r="L2080" s="4">
        <v>5500</v>
      </c>
      <c r="M2080" t="s">
        <v>44</v>
      </c>
      <c r="N2080" t="s">
        <v>77</v>
      </c>
      <c r="O2080" t="s">
        <v>99</v>
      </c>
      <c r="P2080" t="s">
        <v>99</v>
      </c>
      <c r="Q2080" t="s">
        <v>159</v>
      </c>
      <c r="R2080" t="s">
        <v>160</v>
      </c>
      <c r="S2080" t="s">
        <v>161</v>
      </c>
      <c r="T2080" t="s">
        <v>162</v>
      </c>
      <c r="U2080" t="s">
        <v>163</v>
      </c>
      <c r="V2080" t="s">
        <v>164</v>
      </c>
      <c r="W2080" t="s">
        <v>116</v>
      </c>
      <c r="X2080" t="s">
        <v>44</v>
      </c>
      <c r="Y2080" t="s">
        <v>99</v>
      </c>
      <c r="Z2080" t="s">
        <v>421</v>
      </c>
      <c r="AC2080" t="str">
        <f>IF(AA2080="",M2080,AA2080)</f>
        <v>sim</v>
      </c>
      <c r="AD2080" t="str">
        <f>IF(AB2080="",X2080,AB2080)</f>
        <v>sim</v>
      </c>
      <c r="AE2080" t="str">
        <f>IF(OR(Configuracao!B9="",Configuracao!B10=""),"aguardando limiar",IF(AND(K2080&gt;=Configuracao!B9,K2080/MAX(Reconciliacao!C2,1)&gt;=Configuracao!B10/100),"sim","não"))</f>
        <v>aguardando limiar</v>
      </c>
    </row>
    <row r="2081" spans="1:31" x14ac:dyDescent="0.25">
      <c r="A2081">
        <v>17265</v>
      </c>
      <c r="C2081" t="s">
        <v>1476</v>
      </c>
      <c r="D2081" t="s">
        <v>1474</v>
      </c>
      <c r="E2081" t="s">
        <v>224</v>
      </c>
      <c r="F2081" t="s">
        <v>158</v>
      </c>
      <c r="G2081" t="s">
        <v>157</v>
      </c>
      <c r="H2081" t="s">
        <v>156</v>
      </c>
      <c r="I2081" t="s">
        <v>461</v>
      </c>
      <c r="J2081" t="s">
        <v>442</v>
      </c>
      <c r="K2081" s="4">
        <v>5500</v>
      </c>
      <c r="L2081" s="4">
        <v>5500</v>
      </c>
      <c r="M2081" t="s">
        <v>44</v>
      </c>
      <c r="N2081" t="s">
        <v>77</v>
      </c>
      <c r="O2081" t="s">
        <v>99</v>
      </c>
      <c r="P2081" t="s">
        <v>99</v>
      </c>
      <c r="Q2081" t="s">
        <v>159</v>
      </c>
      <c r="R2081" t="s">
        <v>160</v>
      </c>
      <c r="S2081" t="s">
        <v>161</v>
      </c>
      <c r="T2081" t="s">
        <v>162</v>
      </c>
      <c r="U2081" t="s">
        <v>163</v>
      </c>
      <c r="V2081" t="s">
        <v>164</v>
      </c>
      <c r="W2081" t="s">
        <v>116</v>
      </c>
      <c r="X2081" t="s">
        <v>44</v>
      </c>
      <c r="Y2081" t="s">
        <v>99</v>
      </c>
      <c r="Z2081" t="s">
        <v>421</v>
      </c>
      <c r="AC2081" t="str">
        <f>IF(AA2081="",M2081,AA2081)</f>
        <v>sim</v>
      </c>
      <c r="AD2081" t="str">
        <f>IF(AB2081="",X2081,AB2081)</f>
        <v>sim</v>
      </c>
      <c r="AE2081" t="str">
        <f>IF(OR(Configuracao!B9="",Configuracao!B10=""),"aguardando limiar",IF(AND(K2081&gt;=Configuracao!B9,K2081/MAX(Reconciliacao!C2,1)&gt;=Configuracao!B10/100),"sim","não"))</f>
        <v>aguardando limiar</v>
      </c>
    </row>
    <row r="2082" spans="1:31" x14ac:dyDescent="0.25">
      <c r="A2082">
        <v>17944</v>
      </c>
      <c r="C2082" t="s">
        <v>1393</v>
      </c>
      <c r="D2082" t="s">
        <v>917</v>
      </c>
      <c r="E2082" t="s">
        <v>511</v>
      </c>
      <c r="F2082" t="s">
        <v>158</v>
      </c>
      <c r="G2082" t="s">
        <v>157</v>
      </c>
      <c r="H2082" t="s">
        <v>156</v>
      </c>
      <c r="I2082" t="s">
        <v>442</v>
      </c>
      <c r="J2082" t="s">
        <v>439</v>
      </c>
      <c r="K2082" s="4">
        <v>5500</v>
      </c>
      <c r="L2082" s="4">
        <v>5500</v>
      </c>
      <c r="M2082" t="s">
        <v>44</v>
      </c>
      <c r="N2082" t="s">
        <v>77</v>
      </c>
      <c r="O2082" t="s">
        <v>99</v>
      </c>
      <c r="P2082" t="s">
        <v>99</v>
      </c>
      <c r="Q2082" t="s">
        <v>159</v>
      </c>
      <c r="R2082" t="s">
        <v>160</v>
      </c>
      <c r="S2082" t="s">
        <v>161</v>
      </c>
      <c r="T2082" t="s">
        <v>162</v>
      </c>
      <c r="U2082" t="s">
        <v>163</v>
      </c>
      <c r="V2082" t="s">
        <v>164</v>
      </c>
      <c r="W2082" t="s">
        <v>116</v>
      </c>
      <c r="X2082" t="s">
        <v>44</v>
      </c>
      <c r="Y2082" t="s">
        <v>99</v>
      </c>
      <c r="Z2082" t="s">
        <v>421</v>
      </c>
      <c r="AC2082" t="str">
        <f>IF(AA2082="",M2082,AA2082)</f>
        <v>sim</v>
      </c>
      <c r="AD2082" t="str">
        <f>IF(AB2082="",X2082,AB2082)</f>
        <v>sim</v>
      </c>
      <c r="AE2082" t="str">
        <f>IF(OR(Configuracao!B9="",Configuracao!B10=""),"aguardando limiar",IF(AND(K2082&gt;=Configuracao!B9,K2082/MAX(Reconciliacao!C2,1)&gt;=Configuracao!B10/100),"sim","não"))</f>
        <v>aguardando limiar</v>
      </c>
    </row>
    <row r="2083" spans="1:31" x14ac:dyDescent="0.25">
      <c r="A2083">
        <v>17953</v>
      </c>
      <c r="C2083" t="s">
        <v>1476</v>
      </c>
      <c r="D2083" t="s">
        <v>1474</v>
      </c>
      <c r="E2083" t="s">
        <v>224</v>
      </c>
      <c r="F2083" t="s">
        <v>158</v>
      </c>
      <c r="G2083" t="s">
        <v>157</v>
      </c>
      <c r="H2083" t="s">
        <v>156</v>
      </c>
      <c r="I2083" t="s">
        <v>442</v>
      </c>
      <c r="J2083" t="s">
        <v>439</v>
      </c>
      <c r="K2083" s="4">
        <v>5500</v>
      </c>
      <c r="L2083" s="4">
        <v>5500</v>
      </c>
      <c r="M2083" t="s">
        <v>44</v>
      </c>
      <c r="N2083" t="s">
        <v>77</v>
      </c>
      <c r="O2083" t="s">
        <v>99</v>
      </c>
      <c r="P2083" t="s">
        <v>99</v>
      </c>
      <c r="Q2083" t="s">
        <v>159</v>
      </c>
      <c r="R2083" t="s">
        <v>160</v>
      </c>
      <c r="S2083" t="s">
        <v>161</v>
      </c>
      <c r="T2083" t="s">
        <v>162</v>
      </c>
      <c r="U2083" t="s">
        <v>163</v>
      </c>
      <c r="V2083" t="s">
        <v>164</v>
      </c>
      <c r="W2083" t="s">
        <v>116</v>
      </c>
      <c r="X2083" t="s">
        <v>44</v>
      </c>
      <c r="Y2083" t="s">
        <v>99</v>
      </c>
      <c r="Z2083" t="s">
        <v>421</v>
      </c>
      <c r="AC2083" t="str">
        <f>IF(AA2083="",M2083,AA2083)</f>
        <v>sim</v>
      </c>
      <c r="AD2083" t="str">
        <f>IF(AB2083="",X2083,AB2083)</f>
        <v>sim</v>
      </c>
      <c r="AE2083" t="str">
        <f>IF(OR(Configuracao!B9="",Configuracao!B10=""),"aguardando limiar",IF(AND(K2083&gt;=Configuracao!B9,K2083/MAX(Reconciliacao!C2,1)&gt;=Configuracao!B10/100),"sim","não"))</f>
        <v>aguardando limiar</v>
      </c>
    </row>
    <row r="2084" spans="1:31" x14ac:dyDescent="0.25">
      <c r="A2084">
        <v>18786</v>
      </c>
      <c r="C2084" t="s">
        <v>1465</v>
      </c>
      <c r="D2084" t="s">
        <v>1466</v>
      </c>
      <c r="E2084" t="s">
        <v>467</v>
      </c>
      <c r="F2084" t="s">
        <v>158</v>
      </c>
      <c r="G2084" t="s">
        <v>157</v>
      </c>
      <c r="H2084" t="s">
        <v>156</v>
      </c>
      <c r="I2084" t="s">
        <v>439</v>
      </c>
      <c r="J2084" t="s">
        <v>35</v>
      </c>
      <c r="K2084" s="4">
        <v>5500</v>
      </c>
      <c r="L2084" s="4">
        <v>5500</v>
      </c>
      <c r="M2084" t="s">
        <v>44</v>
      </c>
      <c r="N2084" t="s">
        <v>77</v>
      </c>
      <c r="O2084" t="s">
        <v>99</v>
      </c>
      <c r="P2084" t="s">
        <v>99</v>
      </c>
      <c r="Q2084" t="s">
        <v>159</v>
      </c>
      <c r="R2084" t="s">
        <v>160</v>
      </c>
      <c r="S2084" t="s">
        <v>161</v>
      </c>
      <c r="T2084" t="s">
        <v>162</v>
      </c>
      <c r="U2084" t="s">
        <v>163</v>
      </c>
      <c r="V2084" t="s">
        <v>164</v>
      </c>
      <c r="W2084" t="s">
        <v>116</v>
      </c>
      <c r="X2084" t="s">
        <v>44</v>
      </c>
      <c r="Y2084" t="s">
        <v>99</v>
      </c>
      <c r="Z2084" t="s">
        <v>421</v>
      </c>
      <c r="AC2084" t="str">
        <f>IF(AA2084="",M2084,AA2084)</f>
        <v>sim</v>
      </c>
      <c r="AD2084" t="str">
        <f>IF(AB2084="",X2084,AB2084)</f>
        <v>sim</v>
      </c>
      <c r="AE2084" t="str">
        <f>IF(OR(Configuracao!B9="",Configuracao!B10=""),"aguardando limiar",IF(AND(K2084&gt;=Configuracao!B9,K2084/MAX(Reconciliacao!C2,1)&gt;=Configuracao!B10/100),"sim","não"))</f>
        <v>aguardando limiar</v>
      </c>
    </row>
    <row r="2085" spans="1:31" x14ac:dyDescent="0.25">
      <c r="A2085">
        <v>18796</v>
      </c>
      <c r="C2085" t="s">
        <v>1476</v>
      </c>
      <c r="D2085" t="s">
        <v>1474</v>
      </c>
      <c r="E2085" t="s">
        <v>224</v>
      </c>
      <c r="F2085" t="s">
        <v>158</v>
      </c>
      <c r="G2085" t="s">
        <v>157</v>
      </c>
      <c r="H2085" t="s">
        <v>156</v>
      </c>
      <c r="I2085" t="s">
        <v>439</v>
      </c>
      <c r="J2085" t="s">
        <v>35</v>
      </c>
      <c r="K2085" s="4">
        <v>5500</v>
      </c>
      <c r="L2085" s="4">
        <v>5500</v>
      </c>
      <c r="M2085" t="s">
        <v>44</v>
      </c>
      <c r="N2085" t="s">
        <v>77</v>
      </c>
      <c r="O2085" t="s">
        <v>99</v>
      </c>
      <c r="P2085" t="s">
        <v>99</v>
      </c>
      <c r="Q2085" t="s">
        <v>159</v>
      </c>
      <c r="R2085" t="s">
        <v>160</v>
      </c>
      <c r="S2085" t="s">
        <v>161</v>
      </c>
      <c r="T2085" t="s">
        <v>162</v>
      </c>
      <c r="U2085" t="s">
        <v>163</v>
      </c>
      <c r="V2085" t="s">
        <v>164</v>
      </c>
      <c r="W2085" t="s">
        <v>116</v>
      </c>
      <c r="X2085" t="s">
        <v>44</v>
      </c>
      <c r="Y2085" t="s">
        <v>99</v>
      </c>
      <c r="Z2085" t="s">
        <v>421</v>
      </c>
      <c r="AC2085" t="str">
        <f>IF(AA2085="",M2085,AA2085)</f>
        <v>sim</v>
      </c>
      <c r="AD2085" t="str">
        <f>IF(AB2085="",X2085,AB2085)</f>
        <v>sim</v>
      </c>
      <c r="AE2085" t="str">
        <f>IF(OR(Configuracao!B9="",Configuracao!B10=""),"aguardando limiar",IF(AND(K2085&gt;=Configuracao!B9,K2085/MAX(Reconciliacao!C2,1)&gt;=Configuracao!B10/100),"sim","não"))</f>
        <v>aguardando limiar</v>
      </c>
    </row>
    <row r="2086" spans="1:31" x14ac:dyDescent="0.25">
      <c r="A2086">
        <v>12969</v>
      </c>
      <c r="C2086" t="s">
        <v>1410</v>
      </c>
      <c r="D2086" t="s">
        <v>1411</v>
      </c>
      <c r="E2086" t="s">
        <v>467</v>
      </c>
      <c r="F2086" t="s">
        <v>158</v>
      </c>
      <c r="G2086" t="s">
        <v>157</v>
      </c>
      <c r="H2086" t="s">
        <v>156</v>
      </c>
      <c r="I2086" t="s">
        <v>424</v>
      </c>
      <c r="J2086" t="s">
        <v>424</v>
      </c>
      <c r="K2086" s="4">
        <v>5821.69</v>
      </c>
      <c r="L2086" s="4">
        <v>5821.69</v>
      </c>
      <c r="M2086" t="s">
        <v>44</v>
      </c>
      <c r="N2086" t="s">
        <v>77</v>
      </c>
      <c r="O2086" t="s">
        <v>99</v>
      </c>
      <c r="P2086" t="s">
        <v>99</v>
      </c>
      <c r="Q2086" t="s">
        <v>159</v>
      </c>
      <c r="R2086" t="s">
        <v>160</v>
      </c>
      <c r="S2086" t="s">
        <v>161</v>
      </c>
      <c r="T2086" t="s">
        <v>162</v>
      </c>
      <c r="U2086" t="s">
        <v>163</v>
      </c>
      <c r="V2086" t="s">
        <v>164</v>
      </c>
      <c r="W2086" t="s">
        <v>116</v>
      </c>
      <c r="X2086" t="s">
        <v>44</v>
      </c>
      <c r="Y2086" t="s">
        <v>99</v>
      </c>
      <c r="Z2086" t="s">
        <v>421</v>
      </c>
      <c r="AC2086" t="str">
        <f>IF(AA2086="",M2086,AA2086)</f>
        <v>sim</v>
      </c>
      <c r="AD2086" t="str">
        <f>IF(AB2086="",X2086,AB2086)</f>
        <v>sim</v>
      </c>
      <c r="AE2086" t="str">
        <f>IF(OR(Configuracao!B9="",Configuracao!B10=""),"aguardando limiar",IF(AND(K2086&gt;=Configuracao!B9,K2086/MAX(Reconciliacao!C2,1)&gt;=Configuracao!B10/100),"sim","não"))</f>
        <v>aguardando limiar</v>
      </c>
    </row>
    <row r="2087" spans="1:31" x14ac:dyDescent="0.25">
      <c r="A2087">
        <v>12973</v>
      </c>
      <c r="C2087" t="s">
        <v>1416</v>
      </c>
      <c r="D2087" t="s">
        <v>1417</v>
      </c>
      <c r="E2087" t="s">
        <v>511</v>
      </c>
      <c r="F2087" t="s">
        <v>158</v>
      </c>
      <c r="G2087" t="s">
        <v>157</v>
      </c>
      <c r="H2087" t="s">
        <v>156</v>
      </c>
      <c r="I2087" t="s">
        <v>424</v>
      </c>
      <c r="J2087" t="s">
        <v>424</v>
      </c>
      <c r="K2087" s="4">
        <v>5821.69</v>
      </c>
      <c r="L2087" s="4">
        <v>5821.69</v>
      </c>
      <c r="M2087" t="s">
        <v>44</v>
      </c>
      <c r="N2087" t="s">
        <v>77</v>
      </c>
      <c r="O2087" t="s">
        <v>99</v>
      </c>
      <c r="P2087" t="s">
        <v>99</v>
      </c>
      <c r="Q2087" t="s">
        <v>159</v>
      </c>
      <c r="R2087" t="s">
        <v>160</v>
      </c>
      <c r="S2087" t="s">
        <v>161</v>
      </c>
      <c r="T2087" t="s">
        <v>162</v>
      </c>
      <c r="U2087" t="s">
        <v>163</v>
      </c>
      <c r="V2087" t="s">
        <v>164</v>
      </c>
      <c r="W2087" t="s">
        <v>116</v>
      </c>
      <c r="X2087" t="s">
        <v>44</v>
      </c>
      <c r="Y2087" t="s">
        <v>99</v>
      </c>
      <c r="Z2087" t="s">
        <v>421</v>
      </c>
      <c r="AC2087" t="str">
        <f>IF(AA2087="",M2087,AA2087)</f>
        <v>sim</v>
      </c>
      <c r="AD2087" t="str">
        <f>IF(AB2087="",X2087,AB2087)</f>
        <v>sim</v>
      </c>
      <c r="AE2087" t="str">
        <f>IF(OR(Configuracao!B9="",Configuracao!B10=""),"aguardando limiar",IF(AND(K2087&gt;=Configuracao!B9,K2087/MAX(Reconciliacao!C2,1)&gt;=Configuracao!B10/100),"sim","não"))</f>
        <v>aguardando limiar</v>
      </c>
    </row>
    <row r="2088" spans="1:31" x14ac:dyDescent="0.25">
      <c r="A2088">
        <v>14220</v>
      </c>
      <c r="C2088" t="s">
        <v>1416</v>
      </c>
      <c r="D2088" t="s">
        <v>1417</v>
      </c>
      <c r="E2088" t="s">
        <v>511</v>
      </c>
      <c r="F2088" t="s">
        <v>158</v>
      </c>
      <c r="G2088" t="s">
        <v>157</v>
      </c>
      <c r="H2088" t="s">
        <v>156</v>
      </c>
      <c r="I2088" t="s">
        <v>420</v>
      </c>
      <c r="J2088" t="s">
        <v>454</v>
      </c>
      <c r="K2088" s="4">
        <v>5821.69</v>
      </c>
      <c r="L2088" s="4">
        <v>5821.69</v>
      </c>
      <c r="M2088" t="s">
        <v>44</v>
      </c>
      <c r="N2088" t="s">
        <v>77</v>
      </c>
      <c r="O2088" t="s">
        <v>99</v>
      </c>
      <c r="P2088" t="s">
        <v>99</v>
      </c>
      <c r="Q2088" t="s">
        <v>159</v>
      </c>
      <c r="R2088" t="s">
        <v>160</v>
      </c>
      <c r="S2088" t="s">
        <v>161</v>
      </c>
      <c r="T2088" t="s">
        <v>162</v>
      </c>
      <c r="U2088" t="s">
        <v>163</v>
      </c>
      <c r="V2088" t="s">
        <v>164</v>
      </c>
      <c r="W2088" t="s">
        <v>116</v>
      </c>
      <c r="X2088" t="s">
        <v>44</v>
      </c>
      <c r="Y2088" t="s">
        <v>99</v>
      </c>
      <c r="Z2088" t="s">
        <v>421</v>
      </c>
      <c r="AC2088" t="str">
        <f>IF(AA2088="",M2088,AA2088)</f>
        <v>sim</v>
      </c>
      <c r="AD2088" t="str">
        <f>IF(AB2088="",X2088,AB2088)</f>
        <v>sim</v>
      </c>
      <c r="AE2088" t="str">
        <f>IF(OR(Configuracao!B9="",Configuracao!B10=""),"aguardando limiar",IF(AND(K2088&gt;=Configuracao!B9,K2088/MAX(Reconciliacao!C2,1)&gt;=Configuracao!B10/100),"sim","não"))</f>
        <v>aguardando limiar</v>
      </c>
    </row>
    <row r="2089" spans="1:31" x14ac:dyDescent="0.25">
      <c r="A2089">
        <v>15992</v>
      </c>
      <c r="C2089" t="s">
        <v>1410</v>
      </c>
      <c r="D2089" t="s">
        <v>1411</v>
      </c>
      <c r="E2089" t="s">
        <v>467</v>
      </c>
      <c r="F2089" t="s">
        <v>158</v>
      </c>
      <c r="G2089" t="s">
        <v>157</v>
      </c>
      <c r="H2089" t="s">
        <v>156</v>
      </c>
      <c r="I2089" t="s">
        <v>424</v>
      </c>
      <c r="J2089" t="s">
        <v>420</v>
      </c>
      <c r="K2089" s="4">
        <v>5821.69</v>
      </c>
      <c r="L2089" s="4">
        <v>5821.69</v>
      </c>
      <c r="M2089" t="s">
        <v>44</v>
      </c>
      <c r="N2089" t="s">
        <v>77</v>
      </c>
      <c r="O2089" t="s">
        <v>99</v>
      </c>
      <c r="P2089" t="s">
        <v>99</v>
      </c>
      <c r="Q2089" t="s">
        <v>159</v>
      </c>
      <c r="R2089" t="s">
        <v>160</v>
      </c>
      <c r="S2089" t="s">
        <v>161</v>
      </c>
      <c r="T2089" t="s">
        <v>162</v>
      </c>
      <c r="U2089" t="s">
        <v>163</v>
      </c>
      <c r="V2089" t="s">
        <v>164</v>
      </c>
      <c r="W2089" t="s">
        <v>116</v>
      </c>
      <c r="X2089" t="s">
        <v>44</v>
      </c>
      <c r="Y2089" t="s">
        <v>99</v>
      </c>
      <c r="Z2089" t="s">
        <v>421</v>
      </c>
      <c r="AC2089" t="str">
        <f>IF(AA2089="",M2089,AA2089)</f>
        <v>sim</v>
      </c>
      <c r="AD2089" t="str">
        <f>IF(AB2089="",X2089,AB2089)</f>
        <v>sim</v>
      </c>
      <c r="AE2089" t="str">
        <f>IF(OR(Configuracao!B9="",Configuracao!B10=""),"aguardando limiar",IF(AND(K2089&gt;=Configuracao!B9,K2089/MAX(Reconciliacao!C2,1)&gt;=Configuracao!B10/100),"sim","não"))</f>
        <v>aguardando limiar</v>
      </c>
    </row>
    <row r="2090" spans="1:31" x14ac:dyDescent="0.25">
      <c r="A2090">
        <v>15995</v>
      </c>
      <c r="C2090" t="s">
        <v>1416</v>
      </c>
      <c r="D2090" t="s">
        <v>1417</v>
      </c>
      <c r="E2090" t="s">
        <v>511</v>
      </c>
      <c r="F2090" t="s">
        <v>158</v>
      </c>
      <c r="G2090" t="s">
        <v>157</v>
      </c>
      <c r="H2090" t="s">
        <v>156</v>
      </c>
      <c r="I2090" t="s">
        <v>424</v>
      </c>
      <c r="J2090" t="s">
        <v>420</v>
      </c>
      <c r="K2090" s="4">
        <v>5821.69</v>
      </c>
      <c r="L2090" s="4">
        <v>5821.69</v>
      </c>
      <c r="M2090" t="s">
        <v>44</v>
      </c>
      <c r="N2090" t="s">
        <v>77</v>
      </c>
      <c r="O2090" t="s">
        <v>99</v>
      </c>
      <c r="P2090" t="s">
        <v>99</v>
      </c>
      <c r="Q2090" t="s">
        <v>159</v>
      </c>
      <c r="R2090" t="s">
        <v>160</v>
      </c>
      <c r="S2090" t="s">
        <v>161</v>
      </c>
      <c r="T2090" t="s">
        <v>162</v>
      </c>
      <c r="U2090" t="s">
        <v>163</v>
      </c>
      <c r="V2090" t="s">
        <v>164</v>
      </c>
      <c r="W2090" t="s">
        <v>116</v>
      </c>
      <c r="X2090" t="s">
        <v>44</v>
      </c>
      <c r="Y2090" t="s">
        <v>99</v>
      </c>
      <c r="Z2090" t="s">
        <v>421</v>
      </c>
      <c r="AC2090" t="str">
        <f>IF(AA2090="",M2090,AA2090)</f>
        <v>sim</v>
      </c>
      <c r="AD2090" t="str">
        <f>IF(AB2090="",X2090,AB2090)</f>
        <v>sim</v>
      </c>
      <c r="AE2090" t="str">
        <f>IF(OR(Configuracao!B9="",Configuracao!B10=""),"aguardando limiar",IF(AND(K2090&gt;=Configuracao!B9,K2090/MAX(Reconciliacao!C2,1)&gt;=Configuracao!B10/100),"sim","não"))</f>
        <v>aguardando limiar</v>
      </c>
    </row>
    <row r="2091" spans="1:31" x14ac:dyDescent="0.25">
      <c r="A2091">
        <v>16182</v>
      </c>
      <c r="C2091" t="s">
        <v>1416</v>
      </c>
      <c r="D2091" t="s">
        <v>1417</v>
      </c>
      <c r="E2091" t="s">
        <v>511</v>
      </c>
      <c r="F2091" t="s">
        <v>158</v>
      </c>
      <c r="G2091" t="s">
        <v>157</v>
      </c>
      <c r="H2091" t="s">
        <v>156</v>
      </c>
      <c r="I2091" t="s">
        <v>454</v>
      </c>
      <c r="J2091" t="s">
        <v>461</v>
      </c>
      <c r="K2091" s="4">
        <v>5821.69</v>
      </c>
      <c r="L2091" s="4">
        <v>5821.69</v>
      </c>
      <c r="M2091" t="s">
        <v>44</v>
      </c>
      <c r="N2091" t="s">
        <v>77</v>
      </c>
      <c r="O2091" t="s">
        <v>99</v>
      </c>
      <c r="P2091" t="s">
        <v>99</v>
      </c>
      <c r="Q2091" t="s">
        <v>159</v>
      </c>
      <c r="R2091" t="s">
        <v>160</v>
      </c>
      <c r="S2091" t="s">
        <v>161</v>
      </c>
      <c r="T2091" t="s">
        <v>162</v>
      </c>
      <c r="U2091" t="s">
        <v>163</v>
      </c>
      <c r="V2091" t="s">
        <v>164</v>
      </c>
      <c r="W2091" t="s">
        <v>116</v>
      </c>
      <c r="X2091" t="s">
        <v>44</v>
      </c>
      <c r="Y2091" t="s">
        <v>99</v>
      </c>
      <c r="Z2091" t="s">
        <v>421</v>
      </c>
      <c r="AC2091" t="str">
        <f>IF(AA2091="",M2091,AA2091)</f>
        <v>sim</v>
      </c>
      <c r="AD2091" t="str">
        <f>IF(AB2091="",X2091,AB2091)</f>
        <v>sim</v>
      </c>
      <c r="AE2091" t="str">
        <f>IF(OR(Configuracao!B9="",Configuracao!B10=""),"aguardando limiar",IF(AND(K2091&gt;=Configuracao!B9,K2091/MAX(Reconciliacao!C2,1)&gt;=Configuracao!B10/100),"sim","não"))</f>
        <v>aguardando limiar</v>
      </c>
    </row>
    <row r="2092" spans="1:31" x14ac:dyDescent="0.25">
      <c r="A2092">
        <v>12947</v>
      </c>
      <c r="C2092" t="s">
        <v>1389</v>
      </c>
      <c r="D2092" t="s">
        <v>865</v>
      </c>
      <c r="E2092" t="s">
        <v>445</v>
      </c>
      <c r="F2092" t="s">
        <v>158</v>
      </c>
      <c r="G2092" t="s">
        <v>157</v>
      </c>
      <c r="H2092" t="s">
        <v>156</v>
      </c>
      <c r="I2092" t="s">
        <v>424</v>
      </c>
      <c r="J2092" t="s">
        <v>424</v>
      </c>
      <c r="K2092" s="4">
        <v>5921.69</v>
      </c>
      <c r="L2092" s="4">
        <v>5921.69</v>
      </c>
      <c r="M2092" t="s">
        <v>44</v>
      </c>
      <c r="N2092" t="s">
        <v>77</v>
      </c>
      <c r="O2092" t="s">
        <v>99</v>
      </c>
      <c r="P2092" t="s">
        <v>99</v>
      </c>
      <c r="Q2092" t="s">
        <v>159</v>
      </c>
      <c r="R2092" t="s">
        <v>160</v>
      </c>
      <c r="S2092" t="s">
        <v>161</v>
      </c>
      <c r="T2092" t="s">
        <v>162</v>
      </c>
      <c r="U2092" t="s">
        <v>163</v>
      </c>
      <c r="V2092" t="s">
        <v>164</v>
      </c>
      <c r="W2092" t="s">
        <v>116</v>
      </c>
      <c r="X2092" t="s">
        <v>44</v>
      </c>
      <c r="Y2092" t="s">
        <v>99</v>
      </c>
      <c r="Z2092" t="s">
        <v>421</v>
      </c>
      <c r="AC2092" t="str">
        <f>IF(AA2092="",M2092,AA2092)</f>
        <v>sim</v>
      </c>
      <c r="AD2092" t="str">
        <f>IF(AB2092="",X2092,AB2092)</f>
        <v>sim</v>
      </c>
      <c r="AE2092" t="str">
        <f>IF(OR(Configuracao!B9="",Configuracao!B10=""),"aguardando limiar",IF(AND(K2092&gt;=Configuracao!B9,K2092/MAX(Reconciliacao!C2,1)&gt;=Configuracao!B10/100),"sim","não"))</f>
        <v>aguardando limiar</v>
      </c>
    </row>
    <row r="2093" spans="1:31" x14ac:dyDescent="0.25">
      <c r="A2093">
        <v>12981</v>
      </c>
      <c r="C2093" t="s">
        <v>1431</v>
      </c>
      <c r="D2093" t="s">
        <v>885</v>
      </c>
      <c r="E2093" t="s">
        <v>445</v>
      </c>
      <c r="F2093" t="s">
        <v>158</v>
      </c>
      <c r="G2093" t="s">
        <v>157</v>
      </c>
      <c r="H2093" t="s">
        <v>156</v>
      </c>
      <c r="I2093" t="s">
        <v>424</v>
      </c>
      <c r="J2093" t="s">
        <v>424</v>
      </c>
      <c r="K2093" s="4">
        <v>5921.69</v>
      </c>
      <c r="L2093" s="4">
        <v>5921.69</v>
      </c>
      <c r="M2093" t="s">
        <v>44</v>
      </c>
      <c r="N2093" t="s">
        <v>77</v>
      </c>
      <c r="O2093" t="s">
        <v>99</v>
      </c>
      <c r="P2093" t="s">
        <v>99</v>
      </c>
      <c r="Q2093" t="s">
        <v>159</v>
      </c>
      <c r="R2093" t="s">
        <v>160</v>
      </c>
      <c r="S2093" t="s">
        <v>161</v>
      </c>
      <c r="T2093" t="s">
        <v>162</v>
      </c>
      <c r="U2093" t="s">
        <v>163</v>
      </c>
      <c r="V2093" t="s">
        <v>164</v>
      </c>
      <c r="W2093" t="s">
        <v>116</v>
      </c>
      <c r="X2093" t="s">
        <v>44</v>
      </c>
      <c r="Y2093" t="s">
        <v>99</v>
      </c>
      <c r="Z2093" t="s">
        <v>421</v>
      </c>
      <c r="AC2093" t="str">
        <f>IF(AA2093="",M2093,AA2093)</f>
        <v>sim</v>
      </c>
      <c r="AD2093" t="str">
        <f>IF(AB2093="",X2093,AB2093)</f>
        <v>sim</v>
      </c>
      <c r="AE2093" t="str">
        <f>IF(OR(Configuracao!B9="",Configuracao!B10=""),"aguardando limiar",IF(AND(K2093&gt;=Configuracao!B9,K2093/MAX(Reconciliacao!C2,1)&gt;=Configuracao!B10/100),"sim","não"))</f>
        <v>aguardando limiar</v>
      </c>
    </row>
    <row r="2094" spans="1:31" x14ac:dyDescent="0.25">
      <c r="A2094">
        <v>14228</v>
      </c>
      <c r="C2094" t="s">
        <v>1431</v>
      </c>
      <c r="D2094" t="s">
        <v>885</v>
      </c>
      <c r="E2094" t="s">
        <v>445</v>
      </c>
      <c r="F2094" t="s">
        <v>158</v>
      </c>
      <c r="G2094" t="s">
        <v>157</v>
      </c>
      <c r="H2094" t="s">
        <v>156</v>
      </c>
      <c r="I2094" t="s">
        <v>420</v>
      </c>
      <c r="J2094" t="s">
        <v>454</v>
      </c>
      <c r="K2094" s="4">
        <v>5921.69</v>
      </c>
      <c r="L2094" s="4">
        <v>5921.69</v>
      </c>
      <c r="M2094" t="s">
        <v>44</v>
      </c>
      <c r="N2094" t="s">
        <v>77</v>
      </c>
      <c r="O2094" t="s">
        <v>99</v>
      </c>
      <c r="P2094" t="s">
        <v>99</v>
      </c>
      <c r="Q2094" t="s">
        <v>159</v>
      </c>
      <c r="R2094" t="s">
        <v>160</v>
      </c>
      <c r="S2094" t="s">
        <v>161</v>
      </c>
      <c r="T2094" t="s">
        <v>162</v>
      </c>
      <c r="U2094" t="s">
        <v>163</v>
      </c>
      <c r="V2094" t="s">
        <v>164</v>
      </c>
      <c r="W2094" t="s">
        <v>116</v>
      </c>
      <c r="X2094" t="s">
        <v>44</v>
      </c>
      <c r="Y2094" t="s">
        <v>99</v>
      </c>
      <c r="Z2094" t="s">
        <v>421</v>
      </c>
      <c r="AC2094" t="str">
        <f>IF(AA2094="",M2094,AA2094)</f>
        <v>sim</v>
      </c>
      <c r="AD2094" t="str">
        <f>IF(AB2094="",X2094,AB2094)</f>
        <v>sim</v>
      </c>
      <c r="AE2094" t="str">
        <f>IF(OR(Configuracao!B9="",Configuracao!B10=""),"aguardando limiar",IF(AND(K2094&gt;=Configuracao!B9,K2094/MAX(Reconciliacao!C2,1)&gt;=Configuracao!B10/100),"sim","não"))</f>
        <v>aguardando limiar</v>
      </c>
    </row>
    <row r="2095" spans="1:31" x14ac:dyDescent="0.25">
      <c r="A2095">
        <v>16003</v>
      </c>
      <c r="C2095" t="s">
        <v>1431</v>
      </c>
      <c r="D2095" t="s">
        <v>885</v>
      </c>
      <c r="E2095" t="s">
        <v>445</v>
      </c>
      <c r="F2095" t="s">
        <v>158</v>
      </c>
      <c r="G2095" t="s">
        <v>157</v>
      </c>
      <c r="H2095" t="s">
        <v>156</v>
      </c>
      <c r="I2095" t="s">
        <v>424</v>
      </c>
      <c r="J2095" t="s">
        <v>420</v>
      </c>
      <c r="K2095" s="4">
        <v>5921.69</v>
      </c>
      <c r="L2095" s="4">
        <v>5921.69</v>
      </c>
      <c r="M2095" t="s">
        <v>44</v>
      </c>
      <c r="N2095" t="s">
        <v>77</v>
      </c>
      <c r="O2095" t="s">
        <v>99</v>
      </c>
      <c r="P2095" t="s">
        <v>99</v>
      </c>
      <c r="Q2095" t="s">
        <v>159</v>
      </c>
      <c r="R2095" t="s">
        <v>160</v>
      </c>
      <c r="S2095" t="s">
        <v>161</v>
      </c>
      <c r="T2095" t="s">
        <v>162</v>
      </c>
      <c r="U2095" t="s">
        <v>163</v>
      </c>
      <c r="V2095" t="s">
        <v>164</v>
      </c>
      <c r="W2095" t="s">
        <v>116</v>
      </c>
      <c r="X2095" t="s">
        <v>44</v>
      </c>
      <c r="Y2095" t="s">
        <v>99</v>
      </c>
      <c r="Z2095" t="s">
        <v>421</v>
      </c>
      <c r="AC2095" t="str">
        <f>IF(AA2095="",M2095,AA2095)</f>
        <v>sim</v>
      </c>
      <c r="AD2095" t="str">
        <f>IF(AB2095="",X2095,AB2095)</f>
        <v>sim</v>
      </c>
      <c r="AE2095" t="str">
        <f>IF(OR(Configuracao!B9="",Configuracao!B10=""),"aguardando limiar",IF(AND(K2095&gt;=Configuracao!B9,K2095/MAX(Reconciliacao!C2,1)&gt;=Configuracao!B10/100),"sim","não"))</f>
        <v>aguardando limiar</v>
      </c>
    </row>
    <row r="2096" spans="1:31" x14ac:dyDescent="0.25">
      <c r="A2096">
        <v>16189</v>
      </c>
      <c r="C2096" t="s">
        <v>1431</v>
      </c>
      <c r="D2096" t="s">
        <v>885</v>
      </c>
      <c r="E2096" t="s">
        <v>445</v>
      </c>
      <c r="F2096" t="s">
        <v>158</v>
      </c>
      <c r="G2096" t="s">
        <v>157</v>
      </c>
      <c r="H2096" t="s">
        <v>156</v>
      </c>
      <c r="I2096" t="s">
        <v>454</v>
      </c>
      <c r="J2096" t="s">
        <v>461</v>
      </c>
      <c r="K2096" s="4">
        <v>5921.69</v>
      </c>
      <c r="L2096" s="4">
        <v>5921.69</v>
      </c>
      <c r="M2096" t="s">
        <v>44</v>
      </c>
      <c r="N2096" t="s">
        <v>77</v>
      </c>
      <c r="O2096" t="s">
        <v>99</v>
      </c>
      <c r="P2096" t="s">
        <v>99</v>
      </c>
      <c r="Q2096" t="s">
        <v>159</v>
      </c>
      <c r="R2096" t="s">
        <v>160</v>
      </c>
      <c r="S2096" t="s">
        <v>161</v>
      </c>
      <c r="T2096" t="s">
        <v>162</v>
      </c>
      <c r="U2096" t="s">
        <v>163</v>
      </c>
      <c r="V2096" t="s">
        <v>164</v>
      </c>
      <c r="W2096" t="s">
        <v>116</v>
      </c>
      <c r="X2096" t="s">
        <v>44</v>
      </c>
      <c r="Y2096" t="s">
        <v>99</v>
      </c>
      <c r="Z2096" t="s">
        <v>421</v>
      </c>
      <c r="AC2096" t="str">
        <f>IF(AA2096="",M2096,AA2096)</f>
        <v>sim</v>
      </c>
      <c r="AD2096" t="str">
        <f>IF(AB2096="",X2096,AB2096)</f>
        <v>sim</v>
      </c>
      <c r="AE2096" t="str">
        <f>IF(OR(Configuracao!B9="",Configuracao!B10=""),"aguardando limiar",IF(AND(K2096&gt;=Configuracao!B9,K2096/MAX(Reconciliacao!C2,1)&gt;=Configuracao!B10/100),"sim","não"))</f>
        <v>aguardando limiar</v>
      </c>
    </row>
    <row r="2097" spans="1:31" x14ac:dyDescent="0.25">
      <c r="A2097">
        <v>17282</v>
      </c>
      <c r="C2097" t="s">
        <v>1431</v>
      </c>
      <c r="D2097" t="s">
        <v>885</v>
      </c>
      <c r="E2097" t="s">
        <v>445</v>
      </c>
      <c r="F2097" t="s">
        <v>158</v>
      </c>
      <c r="G2097" t="s">
        <v>157</v>
      </c>
      <c r="H2097" t="s">
        <v>156</v>
      </c>
      <c r="I2097" t="s">
        <v>461</v>
      </c>
      <c r="J2097" t="s">
        <v>442</v>
      </c>
      <c r="K2097" s="4">
        <v>5921.69</v>
      </c>
      <c r="L2097" s="4">
        <v>5921.69</v>
      </c>
      <c r="M2097" t="s">
        <v>44</v>
      </c>
      <c r="N2097" t="s">
        <v>77</v>
      </c>
      <c r="O2097" t="s">
        <v>99</v>
      </c>
      <c r="P2097" t="s">
        <v>99</v>
      </c>
      <c r="Q2097" t="s">
        <v>159</v>
      </c>
      <c r="R2097" t="s">
        <v>160</v>
      </c>
      <c r="S2097" t="s">
        <v>161</v>
      </c>
      <c r="T2097" t="s">
        <v>162</v>
      </c>
      <c r="U2097" t="s">
        <v>163</v>
      </c>
      <c r="V2097" t="s">
        <v>164</v>
      </c>
      <c r="W2097" t="s">
        <v>116</v>
      </c>
      <c r="X2097" t="s">
        <v>44</v>
      </c>
      <c r="Y2097" t="s">
        <v>99</v>
      </c>
      <c r="Z2097" t="s">
        <v>421</v>
      </c>
      <c r="AC2097" t="str">
        <f>IF(AA2097="",M2097,AA2097)</f>
        <v>sim</v>
      </c>
      <c r="AD2097" t="str">
        <f>IF(AB2097="",X2097,AB2097)</f>
        <v>sim</v>
      </c>
      <c r="AE2097" t="str">
        <f>IF(OR(Configuracao!B9="",Configuracao!B10=""),"aguardando limiar",IF(AND(K2097&gt;=Configuracao!B9,K2097/MAX(Reconciliacao!C2,1)&gt;=Configuracao!B10/100),"sim","não"))</f>
        <v>aguardando limiar</v>
      </c>
    </row>
    <row r="2098" spans="1:31" x14ac:dyDescent="0.25">
      <c r="A2098">
        <v>17969</v>
      </c>
      <c r="C2098" t="s">
        <v>1431</v>
      </c>
      <c r="D2098" t="s">
        <v>885</v>
      </c>
      <c r="E2098" t="s">
        <v>445</v>
      </c>
      <c r="F2098" t="s">
        <v>158</v>
      </c>
      <c r="G2098" t="s">
        <v>157</v>
      </c>
      <c r="H2098" t="s">
        <v>156</v>
      </c>
      <c r="I2098" t="s">
        <v>442</v>
      </c>
      <c r="J2098" t="s">
        <v>439</v>
      </c>
      <c r="K2098" s="4">
        <v>5921.69</v>
      </c>
      <c r="L2098" s="4">
        <v>5921.69</v>
      </c>
      <c r="M2098" t="s">
        <v>44</v>
      </c>
      <c r="N2098" t="s">
        <v>77</v>
      </c>
      <c r="O2098" t="s">
        <v>99</v>
      </c>
      <c r="P2098" t="s">
        <v>99</v>
      </c>
      <c r="Q2098" t="s">
        <v>159</v>
      </c>
      <c r="R2098" t="s">
        <v>160</v>
      </c>
      <c r="S2098" t="s">
        <v>161</v>
      </c>
      <c r="T2098" t="s">
        <v>162</v>
      </c>
      <c r="U2098" t="s">
        <v>163</v>
      </c>
      <c r="V2098" t="s">
        <v>164</v>
      </c>
      <c r="W2098" t="s">
        <v>116</v>
      </c>
      <c r="X2098" t="s">
        <v>44</v>
      </c>
      <c r="Y2098" t="s">
        <v>99</v>
      </c>
      <c r="Z2098" t="s">
        <v>421</v>
      </c>
      <c r="AC2098" t="str">
        <f>IF(AA2098="",M2098,AA2098)</f>
        <v>sim</v>
      </c>
      <c r="AD2098" t="str">
        <f>IF(AB2098="",X2098,AB2098)</f>
        <v>sim</v>
      </c>
      <c r="AE2098" t="str">
        <f>IF(OR(Configuracao!B9="",Configuracao!B10=""),"aguardando limiar",IF(AND(K2098&gt;=Configuracao!B9,K2098/MAX(Reconciliacao!C2,1)&gt;=Configuracao!B10/100),"sim","não"))</f>
        <v>aguardando limiar</v>
      </c>
    </row>
    <row r="2099" spans="1:31" x14ac:dyDescent="0.25">
      <c r="A2099">
        <v>18812</v>
      </c>
      <c r="C2099" t="s">
        <v>1431</v>
      </c>
      <c r="D2099" t="s">
        <v>885</v>
      </c>
      <c r="E2099" t="s">
        <v>445</v>
      </c>
      <c r="F2099" t="s">
        <v>158</v>
      </c>
      <c r="G2099" t="s">
        <v>157</v>
      </c>
      <c r="H2099" t="s">
        <v>156</v>
      </c>
      <c r="I2099" t="s">
        <v>439</v>
      </c>
      <c r="J2099" t="s">
        <v>35</v>
      </c>
      <c r="K2099" s="4">
        <v>5921.69</v>
      </c>
      <c r="L2099" s="4">
        <v>5921.69</v>
      </c>
      <c r="M2099" t="s">
        <v>44</v>
      </c>
      <c r="N2099" t="s">
        <v>77</v>
      </c>
      <c r="O2099" t="s">
        <v>99</v>
      </c>
      <c r="P2099" t="s">
        <v>99</v>
      </c>
      <c r="Q2099" t="s">
        <v>159</v>
      </c>
      <c r="R2099" t="s">
        <v>160</v>
      </c>
      <c r="S2099" t="s">
        <v>161</v>
      </c>
      <c r="T2099" t="s">
        <v>162</v>
      </c>
      <c r="U2099" t="s">
        <v>163</v>
      </c>
      <c r="V2099" t="s">
        <v>164</v>
      </c>
      <c r="W2099" t="s">
        <v>116</v>
      </c>
      <c r="X2099" t="s">
        <v>44</v>
      </c>
      <c r="Y2099" t="s">
        <v>99</v>
      </c>
      <c r="Z2099" t="s">
        <v>421</v>
      </c>
      <c r="AC2099" t="str">
        <f>IF(AA2099="",M2099,AA2099)</f>
        <v>sim</v>
      </c>
      <c r="AD2099" t="str">
        <f>IF(AB2099="",X2099,AB2099)</f>
        <v>sim</v>
      </c>
      <c r="AE2099" t="str">
        <f>IF(OR(Configuracao!B9="",Configuracao!B10=""),"aguardando limiar",IF(AND(K2099&gt;=Configuracao!B9,K2099/MAX(Reconciliacao!C2,1)&gt;=Configuracao!B10/100),"sim","não"))</f>
        <v>aguardando limiar</v>
      </c>
    </row>
    <row r="2100" spans="1:31" x14ac:dyDescent="0.25">
      <c r="A2100">
        <v>16183</v>
      </c>
      <c r="C2100" t="s">
        <v>1420</v>
      </c>
      <c r="D2100" t="s">
        <v>1421</v>
      </c>
      <c r="E2100" t="s">
        <v>465</v>
      </c>
      <c r="F2100" t="s">
        <v>158</v>
      </c>
      <c r="G2100" t="s">
        <v>157</v>
      </c>
      <c r="H2100" t="s">
        <v>156</v>
      </c>
      <c r="I2100" t="s">
        <v>454</v>
      </c>
      <c r="J2100" t="s">
        <v>461</v>
      </c>
      <c r="K2100" s="4">
        <v>6050</v>
      </c>
      <c r="L2100" s="4">
        <v>6050</v>
      </c>
      <c r="M2100" t="s">
        <v>44</v>
      </c>
      <c r="N2100" t="s">
        <v>77</v>
      </c>
      <c r="O2100" t="s">
        <v>99</v>
      </c>
      <c r="P2100" t="s">
        <v>99</v>
      </c>
      <c r="Q2100" t="s">
        <v>159</v>
      </c>
      <c r="R2100" t="s">
        <v>160</v>
      </c>
      <c r="S2100" t="s">
        <v>161</v>
      </c>
      <c r="T2100" t="s">
        <v>162</v>
      </c>
      <c r="U2100" t="s">
        <v>163</v>
      </c>
      <c r="V2100" t="s">
        <v>164</v>
      </c>
      <c r="W2100" t="s">
        <v>116</v>
      </c>
      <c r="X2100" t="s">
        <v>44</v>
      </c>
      <c r="Y2100" t="s">
        <v>99</v>
      </c>
      <c r="Z2100" t="s">
        <v>421</v>
      </c>
      <c r="AC2100" t="str">
        <f>IF(AA2100="",M2100,AA2100)</f>
        <v>sim</v>
      </c>
      <c r="AD2100" t="str">
        <f>IF(AB2100="",X2100,AB2100)</f>
        <v>sim</v>
      </c>
      <c r="AE2100" t="str">
        <f>IF(OR(Configuracao!B9="",Configuracao!B10=""),"aguardando limiar",IF(AND(K2100&gt;=Configuracao!B9,K2100/MAX(Reconciliacao!C2,1)&gt;=Configuracao!B10/100),"sim","não"))</f>
        <v>aguardando limiar</v>
      </c>
    </row>
    <row r="2101" spans="1:31" x14ac:dyDescent="0.25">
      <c r="A2101">
        <v>17276</v>
      </c>
      <c r="C2101" t="s">
        <v>1420</v>
      </c>
      <c r="D2101" t="s">
        <v>1421</v>
      </c>
      <c r="E2101" t="s">
        <v>465</v>
      </c>
      <c r="F2101" t="s">
        <v>158</v>
      </c>
      <c r="G2101" t="s">
        <v>157</v>
      </c>
      <c r="H2101" t="s">
        <v>156</v>
      </c>
      <c r="I2101" t="s">
        <v>461</v>
      </c>
      <c r="J2101" t="s">
        <v>442</v>
      </c>
      <c r="K2101" s="4">
        <v>6050</v>
      </c>
      <c r="L2101" s="4">
        <v>6050</v>
      </c>
      <c r="M2101" t="s">
        <v>44</v>
      </c>
      <c r="N2101" t="s">
        <v>77</v>
      </c>
      <c r="O2101" t="s">
        <v>99</v>
      </c>
      <c r="P2101" t="s">
        <v>99</v>
      </c>
      <c r="Q2101" t="s">
        <v>159</v>
      </c>
      <c r="R2101" t="s">
        <v>160</v>
      </c>
      <c r="S2101" t="s">
        <v>161</v>
      </c>
      <c r="T2101" t="s">
        <v>162</v>
      </c>
      <c r="U2101" t="s">
        <v>163</v>
      </c>
      <c r="V2101" t="s">
        <v>164</v>
      </c>
      <c r="W2101" t="s">
        <v>116</v>
      </c>
      <c r="X2101" t="s">
        <v>44</v>
      </c>
      <c r="Y2101" t="s">
        <v>99</v>
      </c>
      <c r="Z2101" t="s">
        <v>421</v>
      </c>
      <c r="AC2101" t="str">
        <f>IF(AA2101="",M2101,AA2101)</f>
        <v>sim</v>
      </c>
      <c r="AD2101" t="str">
        <f>IF(AB2101="",X2101,AB2101)</f>
        <v>sim</v>
      </c>
      <c r="AE2101" t="str">
        <f>IF(OR(Configuracao!B9="",Configuracao!B10=""),"aguardando limiar",IF(AND(K2101&gt;=Configuracao!B9,K2101/MAX(Reconciliacao!C2,1)&gt;=Configuracao!B10/100),"sim","não"))</f>
        <v>aguardando limiar</v>
      </c>
    </row>
    <row r="2102" spans="1:31" x14ac:dyDescent="0.25">
      <c r="A2102">
        <v>17963</v>
      </c>
      <c r="C2102" t="s">
        <v>1420</v>
      </c>
      <c r="D2102" t="s">
        <v>1421</v>
      </c>
      <c r="E2102" t="s">
        <v>465</v>
      </c>
      <c r="F2102" t="s">
        <v>158</v>
      </c>
      <c r="G2102" t="s">
        <v>157</v>
      </c>
      <c r="H2102" t="s">
        <v>156</v>
      </c>
      <c r="I2102" t="s">
        <v>442</v>
      </c>
      <c r="J2102" t="s">
        <v>439</v>
      </c>
      <c r="K2102" s="4">
        <v>6050</v>
      </c>
      <c r="L2102" s="4">
        <v>6050</v>
      </c>
      <c r="M2102" t="s">
        <v>44</v>
      </c>
      <c r="N2102" t="s">
        <v>77</v>
      </c>
      <c r="O2102" t="s">
        <v>99</v>
      </c>
      <c r="P2102" t="s">
        <v>99</v>
      </c>
      <c r="Q2102" t="s">
        <v>159</v>
      </c>
      <c r="R2102" t="s">
        <v>160</v>
      </c>
      <c r="S2102" t="s">
        <v>161</v>
      </c>
      <c r="T2102" t="s">
        <v>162</v>
      </c>
      <c r="U2102" t="s">
        <v>163</v>
      </c>
      <c r="V2102" t="s">
        <v>164</v>
      </c>
      <c r="W2102" t="s">
        <v>116</v>
      </c>
      <c r="X2102" t="s">
        <v>44</v>
      </c>
      <c r="Y2102" t="s">
        <v>99</v>
      </c>
      <c r="Z2102" t="s">
        <v>421</v>
      </c>
      <c r="AC2102" t="str">
        <f>IF(AA2102="",M2102,AA2102)</f>
        <v>sim</v>
      </c>
      <c r="AD2102" t="str">
        <f>IF(AB2102="",X2102,AB2102)</f>
        <v>sim</v>
      </c>
      <c r="AE2102" t="str">
        <f>IF(OR(Configuracao!B9="",Configuracao!B10=""),"aguardando limiar",IF(AND(K2102&gt;=Configuracao!B9,K2102/MAX(Reconciliacao!C2,1)&gt;=Configuracao!B10/100),"sim","não"))</f>
        <v>aguardando limiar</v>
      </c>
    </row>
    <row r="2103" spans="1:31" x14ac:dyDescent="0.25">
      <c r="A2103">
        <v>18806</v>
      </c>
      <c r="C2103" t="s">
        <v>1420</v>
      </c>
      <c r="D2103" t="s">
        <v>1421</v>
      </c>
      <c r="E2103" t="s">
        <v>465</v>
      </c>
      <c r="F2103" t="s">
        <v>158</v>
      </c>
      <c r="G2103" t="s">
        <v>157</v>
      </c>
      <c r="H2103" t="s">
        <v>156</v>
      </c>
      <c r="I2103" t="s">
        <v>439</v>
      </c>
      <c r="J2103" t="s">
        <v>35</v>
      </c>
      <c r="K2103" s="4">
        <v>6050</v>
      </c>
      <c r="L2103" s="4">
        <v>6050</v>
      </c>
      <c r="M2103" t="s">
        <v>44</v>
      </c>
      <c r="N2103" t="s">
        <v>77</v>
      </c>
      <c r="O2103" t="s">
        <v>99</v>
      </c>
      <c r="P2103" t="s">
        <v>99</v>
      </c>
      <c r="Q2103" t="s">
        <v>159</v>
      </c>
      <c r="R2103" t="s">
        <v>160</v>
      </c>
      <c r="S2103" t="s">
        <v>161</v>
      </c>
      <c r="T2103" t="s">
        <v>162</v>
      </c>
      <c r="U2103" t="s">
        <v>163</v>
      </c>
      <c r="V2103" t="s">
        <v>164</v>
      </c>
      <c r="W2103" t="s">
        <v>116</v>
      </c>
      <c r="X2103" t="s">
        <v>44</v>
      </c>
      <c r="Y2103" t="s">
        <v>99</v>
      </c>
      <c r="Z2103" t="s">
        <v>421</v>
      </c>
      <c r="AC2103" t="str">
        <f>IF(AA2103="",M2103,AA2103)</f>
        <v>sim</v>
      </c>
      <c r="AD2103" t="str">
        <f>IF(AB2103="",X2103,AB2103)</f>
        <v>sim</v>
      </c>
      <c r="AE2103" t="str">
        <f>IF(OR(Configuracao!B9="",Configuracao!B10=""),"aguardando limiar",IF(AND(K2103&gt;=Configuracao!B9,K2103/MAX(Reconciliacao!C2,1)&gt;=Configuracao!B10/100),"sim","não"))</f>
        <v>aguardando limiar</v>
      </c>
    </row>
    <row r="2104" spans="1:31" x14ac:dyDescent="0.25">
      <c r="A2104">
        <v>14234</v>
      </c>
      <c r="C2104" t="s">
        <v>1438</v>
      </c>
      <c r="D2104" t="s">
        <v>979</v>
      </c>
      <c r="E2104" t="s">
        <v>467</v>
      </c>
      <c r="F2104" t="s">
        <v>158</v>
      </c>
      <c r="G2104" t="s">
        <v>157</v>
      </c>
      <c r="H2104" t="s">
        <v>156</v>
      </c>
      <c r="I2104" t="s">
        <v>420</v>
      </c>
      <c r="J2104" t="s">
        <v>454</v>
      </c>
      <c r="K2104" s="4">
        <v>6200</v>
      </c>
      <c r="L2104" s="4">
        <v>6200</v>
      </c>
      <c r="M2104" t="s">
        <v>44</v>
      </c>
      <c r="N2104" t="s">
        <v>77</v>
      </c>
      <c r="O2104" t="s">
        <v>99</v>
      </c>
      <c r="P2104" t="s">
        <v>99</v>
      </c>
      <c r="Q2104" t="s">
        <v>159</v>
      </c>
      <c r="R2104" t="s">
        <v>160</v>
      </c>
      <c r="S2104" t="s">
        <v>161</v>
      </c>
      <c r="T2104" t="s">
        <v>162</v>
      </c>
      <c r="U2104" t="s">
        <v>163</v>
      </c>
      <c r="V2104" t="s">
        <v>164</v>
      </c>
      <c r="W2104" t="s">
        <v>116</v>
      </c>
      <c r="X2104" t="s">
        <v>44</v>
      </c>
      <c r="Y2104" t="s">
        <v>99</v>
      </c>
      <c r="Z2104" t="s">
        <v>421</v>
      </c>
      <c r="AC2104" t="str">
        <f>IF(AA2104="",M2104,AA2104)</f>
        <v>sim</v>
      </c>
      <c r="AD2104" t="str">
        <f>IF(AB2104="",X2104,AB2104)</f>
        <v>sim</v>
      </c>
      <c r="AE2104" t="str">
        <f>IF(OR(Configuracao!B9="",Configuracao!B10=""),"aguardando limiar",IF(AND(K2104&gt;=Configuracao!B9,K2104/MAX(Reconciliacao!C2,1)&gt;=Configuracao!B10/100),"sim","não"))</f>
        <v>aguardando limiar</v>
      </c>
    </row>
    <row r="2105" spans="1:31" x14ac:dyDescent="0.25">
      <c r="A2105">
        <v>16196</v>
      </c>
      <c r="C2105" t="s">
        <v>1438</v>
      </c>
      <c r="D2105" t="s">
        <v>979</v>
      </c>
      <c r="E2105" t="s">
        <v>467</v>
      </c>
      <c r="F2105" t="s">
        <v>158</v>
      </c>
      <c r="G2105" t="s">
        <v>157</v>
      </c>
      <c r="H2105" t="s">
        <v>156</v>
      </c>
      <c r="I2105" t="s">
        <v>454</v>
      </c>
      <c r="J2105" t="s">
        <v>461</v>
      </c>
      <c r="K2105" s="4">
        <v>6200</v>
      </c>
      <c r="L2105" s="4">
        <v>6200</v>
      </c>
      <c r="M2105" t="s">
        <v>44</v>
      </c>
      <c r="N2105" t="s">
        <v>77</v>
      </c>
      <c r="O2105" t="s">
        <v>99</v>
      </c>
      <c r="P2105" t="s">
        <v>99</v>
      </c>
      <c r="Q2105" t="s">
        <v>159</v>
      </c>
      <c r="R2105" t="s">
        <v>160</v>
      </c>
      <c r="S2105" t="s">
        <v>161</v>
      </c>
      <c r="T2105" t="s">
        <v>162</v>
      </c>
      <c r="U2105" t="s">
        <v>163</v>
      </c>
      <c r="V2105" t="s">
        <v>164</v>
      </c>
      <c r="W2105" t="s">
        <v>116</v>
      </c>
      <c r="X2105" t="s">
        <v>44</v>
      </c>
      <c r="Y2105" t="s">
        <v>99</v>
      </c>
      <c r="Z2105" t="s">
        <v>421</v>
      </c>
      <c r="AC2105" t="str">
        <f>IF(AA2105="",M2105,AA2105)</f>
        <v>sim</v>
      </c>
      <c r="AD2105" t="str">
        <f>IF(AB2105="",X2105,AB2105)</f>
        <v>sim</v>
      </c>
      <c r="AE2105" t="str">
        <f>IF(OR(Configuracao!B9="",Configuracao!B10=""),"aguardando limiar",IF(AND(K2105&gt;=Configuracao!B9,K2105/MAX(Reconciliacao!C2,1)&gt;=Configuracao!B10/100),"sim","não"))</f>
        <v>aguardando limiar</v>
      </c>
    </row>
    <row r="2106" spans="1:31" x14ac:dyDescent="0.25">
      <c r="A2106">
        <v>17289</v>
      </c>
      <c r="C2106" t="s">
        <v>1438</v>
      </c>
      <c r="D2106" t="s">
        <v>979</v>
      </c>
      <c r="E2106" t="s">
        <v>467</v>
      </c>
      <c r="F2106" t="s">
        <v>158</v>
      </c>
      <c r="G2106" t="s">
        <v>157</v>
      </c>
      <c r="H2106" t="s">
        <v>156</v>
      </c>
      <c r="I2106" t="s">
        <v>461</v>
      </c>
      <c r="J2106" t="s">
        <v>442</v>
      </c>
      <c r="K2106" s="4">
        <v>6200</v>
      </c>
      <c r="L2106" s="4">
        <v>6200</v>
      </c>
      <c r="M2106" t="s">
        <v>44</v>
      </c>
      <c r="N2106" t="s">
        <v>77</v>
      </c>
      <c r="O2106" t="s">
        <v>99</v>
      </c>
      <c r="P2106" t="s">
        <v>99</v>
      </c>
      <c r="Q2106" t="s">
        <v>159</v>
      </c>
      <c r="R2106" t="s">
        <v>160</v>
      </c>
      <c r="S2106" t="s">
        <v>161</v>
      </c>
      <c r="T2106" t="s">
        <v>162</v>
      </c>
      <c r="U2106" t="s">
        <v>163</v>
      </c>
      <c r="V2106" t="s">
        <v>164</v>
      </c>
      <c r="W2106" t="s">
        <v>116</v>
      </c>
      <c r="X2106" t="s">
        <v>44</v>
      </c>
      <c r="Y2106" t="s">
        <v>99</v>
      </c>
      <c r="Z2106" t="s">
        <v>421</v>
      </c>
      <c r="AC2106" t="str">
        <f>IF(AA2106="",M2106,AA2106)</f>
        <v>sim</v>
      </c>
      <c r="AD2106" t="str">
        <f>IF(AB2106="",X2106,AB2106)</f>
        <v>sim</v>
      </c>
      <c r="AE2106" t="str">
        <f>IF(OR(Configuracao!B9="",Configuracao!B10=""),"aguardando limiar",IF(AND(K2106&gt;=Configuracao!B9,K2106/MAX(Reconciliacao!C2,1)&gt;=Configuracao!B10/100),"sim","não"))</f>
        <v>aguardando limiar</v>
      </c>
    </row>
    <row r="2107" spans="1:31" x14ac:dyDescent="0.25">
      <c r="A2107">
        <v>17974</v>
      </c>
      <c r="C2107" t="s">
        <v>1438</v>
      </c>
      <c r="D2107" t="s">
        <v>979</v>
      </c>
      <c r="E2107" t="s">
        <v>467</v>
      </c>
      <c r="F2107" t="s">
        <v>158</v>
      </c>
      <c r="G2107" t="s">
        <v>157</v>
      </c>
      <c r="H2107" t="s">
        <v>156</v>
      </c>
      <c r="I2107" t="s">
        <v>442</v>
      </c>
      <c r="J2107" t="s">
        <v>439</v>
      </c>
      <c r="K2107" s="4">
        <v>6200</v>
      </c>
      <c r="L2107" s="4">
        <v>6200</v>
      </c>
      <c r="M2107" t="s">
        <v>44</v>
      </c>
      <c r="N2107" t="s">
        <v>77</v>
      </c>
      <c r="O2107" t="s">
        <v>99</v>
      </c>
      <c r="P2107" t="s">
        <v>99</v>
      </c>
      <c r="Q2107" t="s">
        <v>159</v>
      </c>
      <c r="R2107" t="s">
        <v>160</v>
      </c>
      <c r="S2107" t="s">
        <v>161</v>
      </c>
      <c r="T2107" t="s">
        <v>162</v>
      </c>
      <c r="U2107" t="s">
        <v>163</v>
      </c>
      <c r="V2107" t="s">
        <v>164</v>
      </c>
      <c r="W2107" t="s">
        <v>116</v>
      </c>
      <c r="X2107" t="s">
        <v>44</v>
      </c>
      <c r="Y2107" t="s">
        <v>99</v>
      </c>
      <c r="Z2107" t="s">
        <v>421</v>
      </c>
      <c r="AC2107" t="str">
        <f>IF(AA2107="",M2107,AA2107)</f>
        <v>sim</v>
      </c>
      <c r="AD2107" t="str">
        <f>IF(AB2107="",X2107,AB2107)</f>
        <v>sim</v>
      </c>
      <c r="AE2107" t="str">
        <f>IF(OR(Configuracao!B9="",Configuracao!B10=""),"aguardando limiar",IF(AND(K2107&gt;=Configuracao!B9,K2107/MAX(Reconciliacao!C2,1)&gt;=Configuracao!B10/100),"sim","não"))</f>
        <v>aguardando limiar</v>
      </c>
    </row>
    <row r="2108" spans="1:31" x14ac:dyDescent="0.25">
      <c r="A2108">
        <v>18817</v>
      </c>
      <c r="C2108" t="s">
        <v>1438</v>
      </c>
      <c r="D2108" t="s">
        <v>979</v>
      </c>
      <c r="E2108" t="s">
        <v>467</v>
      </c>
      <c r="F2108" t="s">
        <v>158</v>
      </c>
      <c r="G2108" t="s">
        <v>157</v>
      </c>
      <c r="H2108" t="s">
        <v>156</v>
      </c>
      <c r="I2108" t="s">
        <v>439</v>
      </c>
      <c r="J2108" t="s">
        <v>35</v>
      </c>
      <c r="K2108" s="4">
        <v>6200</v>
      </c>
      <c r="L2108" s="4">
        <v>6200</v>
      </c>
      <c r="M2108" t="s">
        <v>44</v>
      </c>
      <c r="N2108" t="s">
        <v>77</v>
      </c>
      <c r="O2108" t="s">
        <v>99</v>
      </c>
      <c r="P2108" t="s">
        <v>99</v>
      </c>
      <c r="Q2108" t="s">
        <v>159</v>
      </c>
      <c r="R2108" t="s">
        <v>160</v>
      </c>
      <c r="S2108" t="s">
        <v>161</v>
      </c>
      <c r="T2108" t="s">
        <v>162</v>
      </c>
      <c r="U2108" t="s">
        <v>163</v>
      </c>
      <c r="V2108" t="s">
        <v>164</v>
      </c>
      <c r="W2108" t="s">
        <v>116</v>
      </c>
      <c r="X2108" t="s">
        <v>44</v>
      </c>
      <c r="Y2108" t="s">
        <v>99</v>
      </c>
      <c r="Z2108" t="s">
        <v>421</v>
      </c>
      <c r="AC2108" t="str">
        <f>IF(AA2108="",M2108,AA2108)</f>
        <v>sim</v>
      </c>
      <c r="AD2108" t="str">
        <f>IF(AB2108="",X2108,AB2108)</f>
        <v>sim</v>
      </c>
      <c r="AE2108" t="str">
        <f>IF(OR(Configuracao!B9="",Configuracao!B10=""),"aguardando limiar",IF(AND(K2108&gt;=Configuracao!B9,K2108/MAX(Reconciliacao!C2,1)&gt;=Configuracao!B10/100),"sim","não"))</f>
        <v>aguardando limiar</v>
      </c>
    </row>
    <row r="2109" spans="1:31" x14ac:dyDescent="0.25">
      <c r="A2109">
        <v>12976</v>
      </c>
      <c r="C2109" t="s">
        <v>1424</v>
      </c>
      <c r="D2109" t="s">
        <v>923</v>
      </c>
      <c r="E2109" t="s">
        <v>467</v>
      </c>
      <c r="F2109" t="s">
        <v>158</v>
      </c>
      <c r="G2109" t="s">
        <v>157</v>
      </c>
      <c r="H2109" t="s">
        <v>156</v>
      </c>
      <c r="I2109" t="s">
        <v>424</v>
      </c>
      <c r="J2109" t="s">
        <v>424</v>
      </c>
      <c r="K2109" s="4">
        <v>6220</v>
      </c>
      <c r="L2109" s="4">
        <v>6220</v>
      </c>
      <c r="M2109" t="s">
        <v>44</v>
      </c>
      <c r="N2109" t="s">
        <v>77</v>
      </c>
      <c r="O2109" t="s">
        <v>99</v>
      </c>
      <c r="P2109" t="s">
        <v>99</v>
      </c>
      <c r="Q2109" t="s">
        <v>159</v>
      </c>
      <c r="R2109" t="s">
        <v>160</v>
      </c>
      <c r="S2109" t="s">
        <v>161</v>
      </c>
      <c r="T2109" t="s">
        <v>162</v>
      </c>
      <c r="U2109" t="s">
        <v>163</v>
      </c>
      <c r="V2109" t="s">
        <v>164</v>
      </c>
      <c r="W2109" t="s">
        <v>116</v>
      </c>
      <c r="X2109" t="s">
        <v>44</v>
      </c>
      <c r="Y2109" t="s">
        <v>99</v>
      </c>
      <c r="Z2109" t="s">
        <v>421</v>
      </c>
      <c r="AC2109" t="str">
        <f>IF(AA2109="",M2109,AA2109)</f>
        <v>sim</v>
      </c>
      <c r="AD2109" t="str">
        <f>IF(AB2109="",X2109,AB2109)</f>
        <v>sim</v>
      </c>
      <c r="AE2109" t="str">
        <f>IF(OR(Configuracao!B9="",Configuracao!B10=""),"aguardando limiar",IF(AND(K2109&gt;=Configuracao!B9,K2109/MAX(Reconciliacao!C2,1)&gt;=Configuracao!B10/100),"sim","não"))</f>
        <v>aguardando limiar</v>
      </c>
    </row>
    <row r="2110" spans="1:31" x14ac:dyDescent="0.25">
      <c r="A2110">
        <v>15998</v>
      </c>
      <c r="C2110" t="s">
        <v>1424</v>
      </c>
      <c r="D2110" t="s">
        <v>923</v>
      </c>
      <c r="E2110" t="s">
        <v>467</v>
      </c>
      <c r="F2110" t="s">
        <v>158</v>
      </c>
      <c r="G2110" t="s">
        <v>157</v>
      </c>
      <c r="H2110" t="s">
        <v>156</v>
      </c>
      <c r="I2110" t="s">
        <v>424</v>
      </c>
      <c r="J2110" t="s">
        <v>420</v>
      </c>
      <c r="K2110" s="4">
        <v>6220</v>
      </c>
      <c r="L2110" s="4">
        <v>6220</v>
      </c>
      <c r="M2110" t="s">
        <v>44</v>
      </c>
      <c r="N2110" t="s">
        <v>77</v>
      </c>
      <c r="O2110" t="s">
        <v>99</v>
      </c>
      <c r="P2110" t="s">
        <v>99</v>
      </c>
      <c r="Q2110" t="s">
        <v>159</v>
      </c>
      <c r="R2110" t="s">
        <v>160</v>
      </c>
      <c r="S2110" t="s">
        <v>161</v>
      </c>
      <c r="T2110" t="s">
        <v>162</v>
      </c>
      <c r="U2110" t="s">
        <v>163</v>
      </c>
      <c r="V2110" t="s">
        <v>164</v>
      </c>
      <c r="W2110" t="s">
        <v>116</v>
      </c>
      <c r="X2110" t="s">
        <v>44</v>
      </c>
      <c r="Y2110" t="s">
        <v>99</v>
      </c>
      <c r="Z2110" t="s">
        <v>421</v>
      </c>
      <c r="AC2110" t="str">
        <f>IF(AA2110="",M2110,AA2110)</f>
        <v>sim</v>
      </c>
      <c r="AD2110" t="str">
        <f>IF(AB2110="",X2110,AB2110)</f>
        <v>sim</v>
      </c>
      <c r="AE2110" t="str">
        <f>IF(OR(Configuracao!B9="",Configuracao!B10=""),"aguardando limiar",IF(AND(K2110&gt;=Configuracao!B9,K2110/MAX(Reconciliacao!C2,1)&gt;=Configuracao!B10/100),"sim","não"))</f>
        <v>aguardando limiar</v>
      </c>
    </row>
    <row r="2111" spans="1:31" x14ac:dyDescent="0.25">
      <c r="A2111">
        <v>17275</v>
      </c>
      <c r="C2111" t="s">
        <v>1416</v>
      </c>
      <c r="D2111" t="s">
        <v>1417</v>
      </c>
      <c r="E2111" t="s">
        <v>511</v>
      </c>
      <c r="F2111" t="s">
        <v>158</v>
      </c>
      <c r="G2111" t="s">
        <v>157</v>
      </c>
      <c r="H2111" t="s">
        <v>156</v>
      </c>
      <c r="I2111" t="s">
        <v>461</v>
      </c>
      <c r="J2111" t="s">
        <v>442</v>
      </c>
      <c r="K2111" s="4">
        <v>6421.69</v>
      </c>
      <c r="L2111" s="4">
        <v>6421.69</v>
      </c>
      <c r="M2111" t="s">
        <v>44</v>
      </c>
      <c r="N2111" t="s">
        <v>77</v>
      </c>
      <c r="O2111" t="s">
        <v>99</v>
      </c>
      <c r="P2111" t="s">
        <v>99</v>
      </c>
      <c r="Q2111" t="s">
        <v>159</v>
      </c>
      <c r="R2111" t="s">
        <v>160</v>
      </c>
      <c r="S2111" t="s">
        <v>161</v>
      </c>
      <c r="T2111" t="s">
        <v>162</v>
      </c>
      <c r="U2111" t="s">
        <v>163</v>
      </c>
      <c r="V2111" t="s">
        <v>164</v>
      </c>
      <c r="W2111" t="s">
        <v>116</v>
      </c>
      <c r="X2111" t="s">
        <v>44</v>
      </c>
      <c r="Y2111" t="s">
        <v>99</v>
      </c>
      <c r="Z2111" t="s">
        <v>421</v>
      </c>
      <c r="AC2111" t="str">
        <f>IF(AA2111="",M2111,AA2111)</f>
        <v>sim</v>
      </c>
      <c r="AD2111" t="str">
        <f>IF(AB2111="",X2111,AB2111)</f>
        <v>sim</v>
      </c>
      <c r="AE2111" t="str">
        <f>IF(OR(Configuracao!B9="",Configuracao!B10=""),"aguardando limiar",IF(AND(K2111&gt;=Configuracao!B9,K2111/MAX(Reconciliacao!C2,1)&gt;=Configuracao!B10/100),"sim","não"))</f>
        <v>aguardando limiar</v>
      </c>
    </row>
    <row r="2112" spans="1:31" x14ac:dyDescent="0.25">
      <c r="A2112">
        <v>17962</v>
      </c>
      <c r="C2112" t="s">
        <v>1416</v>
      </c>
      <c r="D2112" t="s">
        <v>1417</v>
      </c>
      <c r="E2112" t="s">
        <v>511</v>
      </c>
      <c r="F2112" t="s">
        <v>158</v>
      </c>
      <c r="G2112" t="s">
        <v>157</v>
      </c>
      <c r="H2112" t="s">
        <v>156</v>
      </c>
      <c r="I2112" t="s">
        <v>442</v>
      </c>
      <c r="J2112" t="s">
        <v>439</v>
      </c>
      <c r="K2112" s="4">
        <v>6421.69</v>
      </c>
      <c r="L2112" s="4">
        <v>6421.69</v>
      </c>
      <c r="M2112" t="s">
        <v>44</v>
      </c>
      <c r="N2112" t="s">
        <v>77</v>
      </c>
      <c r="O2112" t="s">
        <v>99</v>
      </c>
      <c r="P2112" t="s">
        <v>99</v>
      </c>
      <c r="Q2112" t="s">
        <v>159</v>
      </c>
      <c r="R2112" t="s">
        <v>160</v>
      </c>
      <c r="S2112" t="s">
        <v>161</v>
      </c>
      <c r="T2112" t="s">
        <v>162</v>
      </c>
      <c r="U2112" t="s">
        <v>163</v>
      </c>
      <c r="V2112" t="s">
        <v>164</v>
      </c>
      <c r="W2112" t="s">
        <v>116</v>
      </c>
      <c r="X2112" t="s">
        <v>44</v>
      </c>
      <c r="Y2112" t="s">
        <v>99</v>
      </c>
      <c r="Z2112" t="s">
        <v>421</v>
      </c>
      <c r="AC2112" t="str">
        <f>IF(AA2112="",M2112,AA2112)</f>
        <v>sim</v>
      </c>
      <c r="AD2112" t="str">
        <f>IF(AB2112="",X2112,AB2112)</f>
        <v>sim</v>
      </c>
      <c r="AE2112" t="str">
        <f>IF(OR(Configuracao!B9="",Configuracao!B10=""),"aguardando limiar",IF(AND(K2112&gt;=Configuracao!B9,K2112/MAX(Reconciliacao!C2,1)&gt;=Configuracao!B10/100),"sim","não"))</f>
        <v>aguardando limiar</v>
      </c>
    </row>
    <row r="2113" spans="1:31" x14ac:dyDescent="0.25">
      <c r="A2113">
        <v>16179</v>
      </c>
      <c r="C2113" t="s">
        <v>1479</v>
      </c>
      <c r="D2113" t="s">
        <v>1480</v>
      </c>
      <c r="E2113" t="s">
        <v>486</v>
      </c>
      <c r="F2113" t="s">
        <v>158</v>
      </c>
      <c r="G2113" t="s">
        <v>157</v>
      </c>
      <c r="H2113" t="s">
        <v>156</v>
      </c>
      <c r="I2113" t="s">
        <v>454</v>
      </c>
      <c r="J2113" t="s">
        <v>461</v>
      </c>
      <c r="K2113" s="4">
        <v>6500</v>
      </c>
      <c r="L2113" s="4">
        <v>6500</v>
      </c>
      <c r="M2113" t="s">
        <v>44</v>
      </c>
      <c r="N2113" t="s">
        <v>77</v>
      </c>
      <c r="O2113" t="s">
        <v>99</v>
      </c>
      <c r="P2113" t="s">
        <v>99</v>
      </c>
      <c r="Q2113" t="s">
        <v>159</v>
      </c>
      <c r="R2113" t="s">
        <v>160</v>
      </c>
      <c r="S2113" t="s">
        <v>161</v>
      </c>
      <c r="T2113" t="s">
        <v>162</v>
      </c>
      <c r="U2113" t="s">
        <v>163</v>
      </c>
      <c r="V2113" t="s">
        <v>164</v>
      </c>
      <c r="W2113" t="s">
        <v>116</v>
      </c>
      <c r="X2113" t="s">
        <v>44</v>
      </c>
      <c r="Y2113" t="s">
        <v>99</v>
      </c>
      <c r="Z2113" t="s">
        <v>421</v>
      </c>
      <c r="AC2113" t="str">
        <f>IF(AA2113="",M2113,AA2113)</f>
        <v>sim</v>
      </c>
      <c r="AD2113" t="str">
        <f>IF(AB2113="",X2113,AB2113)</f>
        <v>sim</v>
      </c>
      <c r="AE2113" t="str">
        <f>IF(OR(Configuracao!B9="",Configuracao!B10=""),"aguardando limiar",IF(AND(K2113&gt;=Configuracao!B9,K2113/MAX(Reconciliacao!C2,1)&gt;=Configuracao!B10/100),"sim","não"))</f>
        <v>aguardando limiar</v>
      </c>
    </row>
    <row r="2114" spans="1:31" x14ac:dyDescent="0.25">
      <c r="A2114">
        <v>17272</v>
      </c>
      <c r="C2114" t="s">
        <v>1479</v>
      </c>
      <c r="D2114" t="s">
        <v>1480</v>
      </c>
      <c r="E2114" t="s">
        <v>486</v>
      </c>
      <c r="F2114" t="s">
        <v>158</v>
      </c>
      <c r="G2114" t="s">
        <v>157</v>
      </c>
      <c r="H2114" t="s">
        <v>156</v>
      </c>
      <c r="I2114" t="s">
        <v>461</v>
      </c>
      <c r="J2114" t="s">
        <v>442</v>
      </c>
      <c r="K2114" s="4">
        <v>6500</v>
      </c>
      <c r="L2114" s="4">
        <v>6500</v>
      </c>
      <c r="M2114" t="s">
        <v>44</v>
      </c>
      <c r="N2114" t="s">
        <v>77</v>
      </c>
      <c r="O2114" t="s">
        <v>99</v>
      </c>
      <c r="P2114" t="s">
        <v>99</v>
      </c>
      <c r="Q2114" t="s">
        <v>159</v>
      </c>
      <c r="R2114" t="s">
        <v>160</v>
      </c>
      <c r="S2114" t="s">
        <v>161</v>
      </c>
      <c r="T2114" t="s">
        <v>162</v>
      </c>
      <c r="U2114" t="s">
        <v>163</v>
      </c>
      <c r="V2114" t="s">
        <v>164</v>
      </c>
      <c r="W2114" t="s">
        <v>116</v>
      </c>
      <c r="X2114" t="s">
        <v>44</v>
      </c>
      <c r="Y2114" t="s">
        <v>99</v>
      </c>
      <c r="Z2114" t="s">
        <v>421</v>
      </c>
      <c r="AC2114" t="str">
        <f>IF(AA2114="",M2114,AA2114)</f>
        <v>sim</v>
      </c>
      <c r="AD2114" t="str">
        <f>IF(AB2114="",X2114,AB2114)</f>
        <v>sim</v>
      </c>
      <c r="AE2114" t="str">
        <f>IF(OR(Configuracao!B9="",Configuracao!B10=""),"aguardando limiar",IF(AND(K2114&gt;=Configuracao!B9,K2114/MAX(Reconciliacao!C2,1)&gt;=Configuracao!B10/100),"sim","não"))</f>
        <v>aguardando limiar</v>
      </c>
    </row>
    <row r="2115" spans="1:31" x14ac:dyDescent="0.25">
      <c r="A2115">
        <v>17959</v>
      </c>
      <c r="C2115" t="s">
        <v>1479</v>
      </c>
      <c r="D2115" t="s">
        <v>1480</v>
      </c>
      <c r="E2115" t="s">
        <v>486</v>
      </c>
      <c r="F2115" t="s">
        <v>158</v>
      </c>
      <c r="G2115" t="s">
        <v>157</v>
      </c>
      <c r="H2115" t="s">
        <v>156</v>
      </c>
      <c r="I2115" t="s">
        <v>442</v>
      </c>
      <c r="J2115" t="s">
        <v>439</v>
      </c>
      <c r="K2115" s="4">
        <v>6500</v>
      </c>
      <c r="L2115" s="4">
        <v>6500</v>
      </c>
      <c r="M2115" t="s">
        <v>44</v>
      </c>
      <c r="N2115" t="s">
        <v>77</v>
      </c>
      <c r="O2115" t="s">
        <v>99</v>
      </c>
      <c r="P2115" t="s">
        <v>99</v>
      </c>
      <c r="Q2115" t="s">
        <v>159</v>
      </c>
      <c r="R2115" t="s">
        <v>160</v>
      </c>
      <c r="S2115" t="s">
        <v>161</v>
      </c>
      <c r="T2115" t="s">
        <v>162</v>
      </c>
      <c r="U2115" t="s">
        <v>163</v>
      </c>
      <c r="V2115" t="s">
        <v>164</v>
      </c>
      <c r="W2115" t="s">
        <v>116</v>
      </c>
      <c r="X2115" t="s">
        <v>44</v>
      </c>
      <c r="Y2115" t="s">
        <v>99</v>
      </c>
      <c r="Z2115" t="s">
        <v>421</v>
      </c>
      <c r="AC2115" t="str">
        <f>IF(AA2115="",M2115,AA2115)</f>
        <v>sim</v>
      </c>
      <c r="AD2115" t="str">
        <f>IF(AB2115="",X2115,AB2115)</f>
        <v>sim</v>
      </c>
      <c r="AE2115" t="str">
        <f>IF(OR(Configuracao!B9="",Configuracao!B10=""),"aguardando limiar",IF(AND(K2115&gt;=Configuracao!B9,K2115/MAX(Reconciliacao!C2,1)&gt;=Configuracao!B10/100),"sim","não"))</f>
        <v>aguardando limiar</v>
      </c>
    </row>
    <row r="2116" spans="1:31" x14ac:dyDescent="0.25">
      <c r="A2116">
        <v>18802</v>
      </c>
      <c r="C2116" t="s">
        <v>1479</v>
      </c>
      <c r="D2116" t="s">
        <v>1480</v>
      </c>
      <c r="E2116" t="s">
        <v>486</v>
      </c>
      <c r="F2116" t="s">
        <v>158</v>
      </c>
      <c r="G2116" t="s">
        <v>157</v>
      </c>
      <c r="H2116" t="s">
        <v>156</v>
      </c>
      <c r="I2116" t="s">
        <v>439</v>
      </c>
      <c r="J2116" t="s">
        <v>35</v>
      </c>
      <c r="K2116" s="4">
        <v>6500</v>
      </c>
      <c r="L2116" s="4">
        <v>6500</v>
      </c>
      <c r="M2116" t="s">
        <v>44</v>
      </c>
      <c r="N2116" t="s">
        <v>77</v>
      </c>
      <c r="O2116" t="s">
        <v>99</v>
      </c>
      <c r="P2116" t="s">
        <v>99</v>
      </c>
      <c r="Q2116" t="s">
        <v>159</v>
      </c>
      <c r="R2116" t="s">
        <v>160</v>
      </c>
      <c r="S2116" t="s">
        <v>161</v>
      </c>
      <c r="T2116" t="s">
        <v>162</v>
      </c>
      <c r="U2116" t="s">
        <v>163</v>
      </c>
      <c r="V2116" t="s">
        <v>164</v>
      </c>
      <c r="W2116" t="s">
        <v>116</v>
      </c>
      <c r="X2116" t="s">
        <v>44</v>
      </c>
      <c r="Y2116" t="s">
        <v>99</v>
      </c>
      <c r="Z2116" t="s">
        <v>421</v>
      </c>
      <c r="AC2116" t="str">
        <f>IF(AA2116="",M2116,AA2116)</f>
        <v>sim</v>
      </c>
      <c r="AD2116" t="str">
        <f>IF(AB2116="",X2116,AB2116)</f>
        <v>sim</v>
      </c>
      <c r="AE2116" t="str">
        <f>IF(OR(Configuracao!B9="",Configuracao!B10=""),"aguardando limiar",IF(AND(K2116&gt;=Configuracao!B9,K2116/MAX(Reconciliacao!C2,1)&gt;=Configuracao!B10/100),"sim","não"))</f>
        <v>aguardando limiar</v>
      </c>
    </row>
    <row r="2117" spans="1:31" x14ac:dyDescent="0.25">
      <c r="A2117">
        <v>14217</v>
      </c>
      <c r="C2117" t="s">
        <v>1410</v>
      </c>
      <c r="D2117" t="s">
        <v>1411</v>
      </c>
      <c r="E2117" t="s">
        <v>467</v>
      </c>
      <c r="F2117" t="s">
        <v>158</v>
      </c>
      <c r="G2117" t="s">
        <v>157</v>
      </c>
      <c r="H2117" t="s">
        <v>156</v>
      </c>
      <c r="I2117" t="s">
        <v>420</v>
      </c>
      <c r="J2117" t="s">
        <v>454</v>
      </c>
      <c r="K2117" s="4">
        <v>6821.69</v>
      </c>
      <c r="L2117" s="4">
        <v>6821.69</v>
      </c>
      <c r="M2117" t="s">
        <v>44</v>
      </c>
      <c r="N2117" t="s">
        <v>77</v>
      </c>
      <c r="O2117" t="s">
        <v>99</v>
      </c>
      <c r="P2117" t="s">
        <v>99</v>
      </c>
      <c r="Q2117" t="s">
        <v>159</v>
      </c>
      <c r="R2117" t="s">
        <v>160</v>
      </c>
      <c r="S2117" t="s">
        <v>161</v>
      </c>
      <c r="T2117" t="s">
        <v>162</v>
      </c>
      <c r="U2117" t="s">
        <v>163</v>
      </c>
      <c r="V2117" t="s">
        <v>164</v>
      </c>
      <c r="W2117" t="s">
        <v>116</v>
      </c>
      <c r="X2117" t="s">
        <v>44</v>
      </c>
      <c r="Y2117" t="s">
        <v>99</v>
      </c>
      <c r="Z2117" t="s">
        <v>421</v>
      </c>
      <c r="AC2117" t="str">
        <f>IF(AA2117="",M2117,AA2117)</f>
        <v>sim</v>
      </c>
      <c r="AD2117" t="str">
        <f>IF(AB2117="",X2117,AB2117)</f>
        <v>sim</v>
      </c>
      <c r="AE2117" t="str">
        <f>IF(OR(Configuracao!B9="",Configuracao!B10=""),"aguardando limiar",IF(AND(K2117&gt;=Configuracao!B9,K2117/MAX(Reconciliacao!C2,1)&gt;=Configuracao!B10/100),"sim","não"))</f>
        <v>aguardando limiar</v>
      </c>
    </row>
    <row r="2118" spans="1:31" x14ac:dyDescent="0.25">
      <c r="A2118">
        <v>16178</v>
      </c>
      <c r="C2118" t="s">
        <v>1410</v>
      </c>
      <c r="D2118" t="s">
        <v>1411</v>
      </c>
      <c r="E2118" t="s">
        <v>467</v>
      </c>
      <c r="F2118" t="s">
        <v>158</v>
      </c>
      <c r="G2118" t="s">
        <v>157</v>
      </c>
      <c r="H2118" t="s">
        <v>156</v>
      </c>
      <c r="I2118" t="s">
        <v>454</v>
      </c>
      <c r="J2118" t="s">
        <v>461</v>
      </c>
      <c r="K2118" s="4">
        <v>6821.69</v>
      </c>
      <c r="L2118" s="4">
        <v>6821.69</v>
      </c>
      <c r="M2118" t="s">
        <v>44</v>
      </c>
      <c r="N2118" t="s">
        <v>77</v>
      </c>
      <c r="O2118" t="s">
        <v>99</v>
      </c>
      <c r="P2118" t="s">
        <v>99</v>
      </c>
      <c r="Q2118" t="s">
        <v>159</v>
      </c>
      <c r="R2118" t="s">
        <v>160</v>
      </c>
      <c r="S2118" t="s">
        <v>161</v>
      </c>
      <c r="T2118" t="s">
        <v>162</v>
      </c>
      <c r="U2118" t="s">
        <v>163</v>
      </c>
      <c r="V2118" t="s">
        <v>164</v>
      </c>
      <c r="W2118" t="s">
        <v>116</v>
      </c>
      <c r="X2118" t="s">
        <v>44</v>
      </c>
      <c r="Y2118" t="s">
        <v>99</v>
      </c>
      <c r="Z2118" t="s">
        <v>421</v>
      </c>
      <c r="AC2118" t="str">
        <f>IF(AA2118="",M2118,AA2118)</f>
        <v>sim</v>
      </c>
      <c r="AD2118" t="str">
        <f>IF(AB2118="",X2118,AB2118)</f>
        <v>sim</v>
      </c>
      <c r="AE2118" t="str">
        <f>IF(OR(Configuracao!B9="",Configuracao!B10=""),"aguardando limiar",IF(AND(K2118&gt;=Configuracao!B9,K2118/MAX(Reconciliacao!C2,1)&gt;=Configuracao!B10/100),"sim","não"))</f>
        <v>aguardando limiar</v>
      </c>
    </row>
    <row r="2119" spans="1:31" x14ac:dyDescent="0.25">
      <c r="A2119">
        <v>17271</v>
      </c>
      <c r="C2119" t="s">
        <v>1410</v>
      </c>
      <c r="D2119" t="s">
        <v>1411</v>
      </c>
      <c r="E2119" t="s">
        <v>467</v>
      </c>
      <c r="F2119" t="s">
        <v>158</v>
      </c>
      <c r="G2119" t="s">
        <v>157</v>
      </c>
      <c r="H2119" t="s">
        <v>156</v>
      </c>
      <c r="I2119" t="s">
        <v>461</v>
      </c>
      <c r="J2119" t="s">
        <v>442</v>
      </c>
      <c r="K2119" s="4">
        <v>6821.69</v>
      </c>
      <c r="L2119" s="4">
        <v>6821.69</v>
      </c>
      <c r="M2119" t="s">
        <v>44</v>
      </c>
      <c r="N2119" t="s">
        <v>77</v>
      </c>
      <c r="O2119" t="s">
        <v>99</v>
      </c>
      <c r="P2119" t="s">
        <v>99</v>
      </c>
      <c r="Q2119" t="s">
        <v>159</v>
      </c>
      <c r="R2119" t="s">
        <v>160</v>
      </c>
      <c r="S2119" t="s">
        <v>161</v>
      </c>
      <c r="T2119" t="s">
        <v>162</v>
      </c>
      <c r="U2119" t="s">
        <v>163</v>
      </c>
      <c r="V2119" t="s">
        <v>164</v>
      </c>
      <c r="W2119" t="s">
        <v>116</v>
      </c>
      <c r="X2119" t="s">
        <v>44</v>
      </c>
      <c r="Y2119" t="s">
        <v>99</v>
      </c>
      <c r="Z2119" t="s">
        <v>421</v>
      </c>
      <c r="AC2119" t="str">
        <f>IF(AA2119="",M2119,AA2119)</f>
        <v>sim</v>
      </c>
      <c r="AD2119" t="str">
        <f>IF(AB2119="",X2119,AB2119)</f>
        <v>sim</v>
      </c>
      <c r="AE2119" t="str">
        <f>IF(OR(Configuracao!B9="",Configuracao!B10=""),"aguardando limiar",IF(AND(K2119&gt;=Configuracao!B9,K2119/MAX(Reconciliacao!C2,1)&gt;=Configuracao!B10/100),"sim","não"))</f>
        <v>aguardando limiar</v>
      </c>
    </row>
    <row r="2120" spans="1:31" x14ac:dyDescent="0.25">
      <c r="A2120">
        <v>17278</v>
      </c>
      <c r="C2120" t="s">
        <v>1424</v>
      </c>
      <c r="D2120" t="s">
        <v>923</v>
      </c>
      <c r="E2120" t="s">
        <v>467</v>
      </c>
      <c r="F2120" t="s">
        <v>158</v>
      </c>
      <c r="G2120" t="s">
        <v>157</v>
      </c>
      <c r="H2120" t="s">
        <v>156</v>
      </c>
      <c r="I2120" t="s">
        <v>461</v>
      </c>
      <c r="J2120" t="s">
        <v>442</v>
      </c>
      <c r="K2120" s="4">
        <v>6821.69</v>
      </c>
      <c r="L2120" s="4">
        <v>6821.69</v>
      </c>
      <c r="M2120" t="s">
        <v>44</v>
      </c>
      <c r="N2120" t="s">
        <v>77</v>
      </c>
      <c r="O2120" t="s">
        <v>99</v>
      </c>
      <c r="P2120" t="s">
        <v>99</v>
      </c>
      <c r="Q2120" t="s">
        <v>159</v>
      </c>
      <c r="R2120" t="s">
        <v>160</v>
      </c>
      <c r="S2120" t="s">
        <v>161</v>
      </c>
      <c r="T2120" t="s">
        <v>162</v>
      </c>
      <c r="U2120" t="s">
        <v>163</v>
      </c>
      <c r="V2120" t="s">
        <v>164</v>
      </c>
      <c r="W2120" t="s">
        <v>116</v>
      </c>
      <c r="X2120" t="s">
        <v>44</v>
      </c>
      <c r="Y2120" t="s">
        <v>99</v>
      </c>
      <c r="Z2120" t="s">
        <v>421</v>
      </c>
      <c r="AC2120" t="str">
        <f>IF(AA2120="",M2120,AA2120)</f>
        <v>sim</v>
      </c>
      <c r="AD2120" t="str">
        <f>IF(AB2120="",X2120,AB2120)</f>
        <v>sim</v>
      </c>
      <c r="AE2120" t="str">
        <f>IF(OR(Configuracao!B9="",Configuracao!B10=""),"aguardando limiar",IF(AND(K2120&gt;=Configuracao!B9,K2120/MAX(Reconciliacao!C2,1)&gt;=Configuracao!B10/100),"sim","não"))</f>
        <v>aguardando limiar</v>
      </c>
    </row>
    <row r="2121" spans="1:31" x14ac:dyDescent="0.25">
      <c r="A2121">
        <v>17958</v>
      </c>
      <c r="C2121" t="s">
        <v>1410</v>
      </c>
      <c r="D2121" t="s">
        <v>1411</v>
      </c>
      <c r="E2121" t="s">
        <v>467</v>
      </c>
      <c r="F2121" t="s">
        <v>158</v>
      </c>
      <c r="G2121" t="s">
        <v>157</v>
      </c>
      <c r="H2121" t="s">
        <v>156</v>
      </c>
      <c r="I2121" t="s">
        <v>442</v>
      </c>
      <c r="J2121" t="s">
        <v>439</v>
      </c>
      <c r="K2121" s="4">
        <v>6821.69</v>
      </c>
      <c r="L2121" s="4">
        <v>6821.69</v>
      </c>
      <c r="M2121" t="s">
        <v>44</v>
      </c>
      <c r="N2121" t="s">
        <v>77</v>
      </c>
      <c r="O2121" t="s">
        <v>99</v>
      </c>
      <c r="P2121" t="s">
        <v>99</v>
      </c>
      <c r="Q2121" t="s">
        <v>159</v>
      </c>
      <c r="R2121" t="s">
        <v>160</v>
      </c>
      <c r="S2121" t="s">
        <v>161</v>
      </c>
      <c r="T2121" t="s">
        <v>162</v>
      </c>
      <c r="U2121" t="s">
        <v>163</v>
      </c>
      <c r="V2121" t="s">
        <v>164</v>
      </c>
      <c r="W2121" t="s">
        <v>116</v>
      </c>
      <c r="X2121" t="s">
        <v>44</v>
      </c>
      <c r="Y2121" t="s">
        <v>99</v>
      </c>
      <c r="Z2121" t="s">
        <v>421</v>
      </c>
      <c r="AC2121" t="str">
        <f>IF(AA2121="",M2121,AA2121)</f>
        <v>sim</v>
      </c>
      <c r="AD2121" t="str">
        <f>IF(AB2121="",X2121,AB2121)</f>
        <v>sim</v>
      </c>
      <c r="AE2121" t="str">
        <f>IF(OR(Configuracao!B9="",Configuracao!B10=""),"aguardando limiar",IF(AND(K2121&gt;=Configuracao!B9,K2121/MAX(Reconciliacao!C2,1)&gt;=Configuracao!B10/100),"sim","não"))</f>
        <v>aguardando limiar</v>
      </c>
    </row>
    <row r="2122" spans="1:31" x14ac:dyDescent="0.25">
      <c r="A2122">
        <v>17965</v>
      </c>
      <c r="C2122" t="s">
        <v>1424</v>
      </c>
      <c r="D2122" t="s">
        <v>923</v>
      </c>
      <c r="E2122" t="s">
        <v>467</v>
      </c>
      <c r="F2122" t="s">
        <v>158</v>
      </c>
      <c r="G2122" t="s">
        <v>157</v>
      </c>
      <c r="H2122" t="s">
        <v>156</v>
      </c>
      <c r="I2122" t="s">
        <v>442</v>
      </c>
      <c r="J2122" t="s">
        <v>439</v>
      </c>
      <c r="K2122" s="4">
        <v>6821.69</v>
      </c>
      <c r="L2122" s="4">
        <v>6821.69</v>
      </c>
      <c r="M2122" t="s">
        <v>44</v>
      </c>
      <c r="N2122" t="s">
        <v>77</v>
      </c>
      <c r="O2122" t="s">
        <v>99</v>
      </c>
      <c r="P2122" t="s">
        <v>99</v>
      </c>
      <c r="Q2122" t="s">
        <v>159</v>
      </c>
      <c r="R2122" t="s">
        <v>160</v>
      </c>
      <c r="S2122" t="s">
        <v>161</v>
      </c>
      <c r="T2122" t="s">
        <v>162</v>
      </c>
      <c r="U2122" t="s">
        <v>163</v>
      </c>
      <c r="V2122" t="s">
        <v>164</v>
      </c>
      <c r="W2122" t="s">
        <v>116</v>
      </c>
      <c r="X2122" t="s">
        <v>44</v>
      </c>
      <c r="Y2122" t="s">
        <v>99</v>
      </c>
      <c r="Z2122" t="s">
        <v>421</v>
      </c>
      <c r="AC2122" t="str">
        <f>IF(AA2122="",M2122,AA2122)</f>
        <v>sim</v>
      </c>
      <c r="AD2122" t="str">
        <f>IF(AB2122="",X2122,AB2122)</f>
        <v>sim</v>
      </c>
      <c r="AE2122" t="str">
        <f>IF(OR(Configuracao!B9="",Configuracao!B10=""),"aguardando limiar",IF(AND(K2122&gt;=Configuracao!B9,K2122/MAX(Reconciliacao!C2,1)&gt;=Configuracao!B10/100),"sim","não"))</f>
        <v>aguardando limiar</v>
      </c>
    </row>
    <row r="2123" spans="1:31" x14ac:dyDescent="0.25">
      <c r="A2123">
        <v>18801</v>
      </c>
      <c r="C2123" t="s">
        <v>1410</v>
      </c>
      <c r="D2123" t="s">
        <v>1411</v>
      </c>
      <c r="E2123" t="s">
        <v>467</v>
      </c>
      <c r="F2123" t="s">
        <v>158</v>
      </c>
      <c r="G2123" t="s">
        <v>157</v>
      </c>
      <c r="H2123" t="s">
        <v>156</v>
      </c>
      <c r="I2123" t="s">
        <v>439</v>
      </c>
      <c r="J2123" t="s">
        <v>35</v>
      </c>
      <c r="K2123" s="4">
        <v>6821.69</v>
      </c>
      <c r="L2123" s="4">
        <v>6821.69</v>
      </c>
      <c r="M2123" t="s">
        <v>44</v>
      </c>
      <c r="N2123" t="s">
        <v>77</v>
      </c>
      <c r="O2123" t="s">
        <v>99</v>
      </c>
      <c r="P2123" t="s">
        <v>99</v>
      </c>
      <c r="Q2123" t="s">
        <v>159</v>
      </c>
      <c r="R2123" t="s">
        <v>160</v>
      </c>
      <c r="S2123" t="s">
        <v>161</v>
      </c>
      <c r="T2123" t="s">
        <v>162</v>
      </c>
      <c r="U2123" t="s">
        <v>163</v>
      </c>
      <c r="V2123" t="s">
        <v>164</v>
      </c>
      <c r="W2123" t="s">
        <v>116</v>
      </c>
      <c r="X2123" t="s">
        <v>44</v>
      </c>
      <c r="Y2123" t="s">
        <v>99</v>
      </c>
      <c r="Z2123" t="s">
        <v>421</v>
      </c>
      <c r="AC2123" t="str">
        <f>IF(AA2123="",M2123,AA2123)</f>
        <v>sim</v>
      </c>
      <c r="AD2123" t="str">
        <f>IF(AB2123="",X2123,AB2123)</f>
        <v>sim</v>
      </c>
      <c r="AE2123" t="str">
        <f>IF(OR(Configuracao!B9="",Configuracao!B10=""),"aguardando limiar",IF(AND(K2123&gt;=Configuracao!B9,K2123/MAX(Reconciliacao!C2,1)&gt;=Configuracao!B10/100),"sim","não"))</f>
        <v>aguardando limiar</v>
      </c>
    </row>
    <row r="2124" spans="1:31" x14ac:dyDescent="0.25">
      <c r="A2124">
        <v>18808</v>
      </c>
      <c r="C2124" t="s">
        <v>1424</v>
      </c>
      <c r="D2124" t="s">
        <v>923</v>
      </c>
      <c r="E2124" t="s">
        <v>467</v>
      </c>
      <c r="F2124" t="s">
        <v>158</v>
      </c>
      <c r="G2124" t="s">
        <v>157</v>
      </c>
      <c r="H2124" t="s">
        <v>156</v>
      </c>
      <c r="I2124" t="s">
        <v>439</v>
      </c>
      <c r="J2124" t="s">
        <v>35</v>
      </c>
      <c r="K2124" s="4">
        <v>6821.69</v>
      </c>
      <c r="L2124" s="4">
        <v>6821.69</v>
      </c>
      <c r="M2124" t="s">
        <v>44</v>
      </c>
      <c r="N2124" t="s">
        <v>77</v>
      </c>
      <c r="O2124" t="s">
        <v>99</v>
      </c>
      <c r="P2124" t="s">
        <v>99</v>
      </c>
      <c r="Q2124" t="s">
        <v>159</v>
      </c>
      <c r="R2124" t="s">
        <v>160</v>
      </c>
      <c r="S2124" t="s">
        <v>161</v>
      </c>
      <c r="T2124" t="s">
        <v>162</v>
      </c>
      <c r="U2124" t="s">
        <v>163</v>
      </c>
      <c r="V2124" t="s">
        <v>164</v>
      </c>
      <c r="W2124" t="s">
        <v>116</v>
      </c>
      <c r="X2124" t="s">
        <v>44</v>
      </c>
      <c r="Y2124" t="s">
        <v>99</v>
      </c>
      <c r="Z2124" t="s">
        <v>421</v>
      </c>
      <c r="AC2124" t="str">
        <f>IF(AA2124="",M2124,AA2124)</f>
        <v>sim</v>
      </c>
      <c r="AD2124" t="str">
        <f>IF(AB2124="",X2124,AB2124)</f>
        <v>sim</v>
      </c>
      <c r="AE2124" t="str">
        <f>IF(OR(Configuracao!B9="",Configuracao!B10=""),"aguardando limiar",IF(AND(K2124&gt;=Configuracao!B9,K2124/MAX(Reconciliacao!C2,1)&gt;=Configuracao!B10/100),"sim","não"))</f>
        <v>aguardando limiar</v>
      </c>
    </row>
    <row r="2125" spans="1:31" x14ac:dyDescent="0.25">
      <c r="A2125">
        <v>18810</v>
      </c>
      <c r="C2125" t="s">
        <v>1429</v>
      </c>
      <c r="D2125" t="s">
        <v>914</v>
      </c>
      <c r="E2125" t="s">
        <v>511</v>
      </c>
      <c r="F2125" t="s">
        <v>158</v>
      </c>
      <c r="G2125" t="s">
        <v>157</v>
      </c>
      <c r="H2125" t="s">
        <v>156</v>
      </c>
      <c r="I2125" t="s">
        <v>439</v>
      </c>
      <c r="J2125" t="s">
        <v>35</v>
      </c>
      <c r="K2125" s="4">
        <v>6916.08</v>
      </c>
      <c r="L2125" s="4">
        <v>6916.08</v>
      </c>
      <c r="M2125" t="s">
        <v>44</v>
      </c>
      <c r="N2125" t="s">
        <v>77</v>
      </c>
      <c r="O2125" t="s">
        <v>99</v>
      </c>
      <c r="P2125" t="s">
        <v>99</v>
      </c>
      <c r="Q2125" t="s">
        <v>159</v>
      </c>
      <c r="R2125" t="s">
        <v>160</v>
      </c>
      <c r="S2125" t="s">
        <v>161</v>
      </c>
      <c r="T2125" t="s">
        <v>162</v>
      </c>
      <c r="U2125" t="s">
        <v>163</v>
      </c>
      <c r="V2125" t="s">
        <v>164</v>
      </c>
      <c r="W2125" t="s">
        <v>116</v>
      </c>
      <c r="X2125" t="s">
        <v>44</v>
      </c>
      <c r="Y2125" t="s">
        <v>99</v>
      </c>
      <c r="Z2125" t="s">
        <v>421</v>
      </c>
      <c r="AC2125" t="str">
        <f>IF(AA2125="",M2125,AA2125)</f>
        <v>sim</v>
      </c>
      <c r="AD2125" t="str">
        <f>IF(AB2125="",X2125,AB2125)</f>
        <v>sim</v>
      </c>
      <c r="AE2125" t="str">
        <f>IF(OR(Configuracao!B9="",Configuracao!B10=""),"aguardando limiar",IF(AND(K2125&gt;=Configuracao!B9,K2125/MAX(Reconciliacao!C2,1)&gt;=Configuracao!B10/100),"sim","não"))</f>
        <v>aguardando limiar</v>
      </c>
    </row>
    <row r="2126" spans="1:31" x14ac:dyDescent="0.25">
      <c r="A2126">
        <v>12988</v>
      </c>
      <c r="C2126" t="s">
        <v>1441</v>
      </c>
      <c r="D2126" t="s">
        <v>1442</v>
      </c>
      <c r="E2126" t="s">
        <v>465</v>
      </c>
      <c r="F2126" t="s">
        <v>158</v>
      </c>
      <c r="G2126" t="s">
        <v>157</v>
      </c>
      <c r="H2126" t="s">
        <v>156</v>
      </c>
      <c r="I2126" t="s">
        <v>424</v>
      </c>
      <c r="J2126" t="s">
        <v>424</v>
      </c>
      <c r="K2126" s="4">
        <v>7000</v>
      </c>
      <c r="L2126" s="4">
        <v>7000</v>
      </c>
      <c r="M2126" t="s">
        <v>44</v>
      </c>
      <c r="N2126" t="s">
        <v>77</v>
      </c>
      <c r="O2126" t="s">
        <v>99</v>
      </c>
      <c r="P2126" t="s">
        <v>99</v>
      </c>
      <c r="Q2126" t="s">
        <v>159</v>
      </c>
      <c r="R2126" t="s">
        <v>160</v>
      </c>
      <c r="S2126" t="s">
        <v>161</v>
      </c>
      <c r="T2126" t="s">
        <v>162</v>
      </c>
      <c r="U2126" t="s">
        <v>163</v>
      </c>
      <c r="V2126" t="s">
        <v>164</v>
      </c>
      <c r="W2126" t="s">
        <v>116</v>
      </c>
      <c r="X2126" t="s">
        <v>44</v>
      </c>
      <c r="Y2126" t="s">
        <v>99</v>
      </c>
      <c r="Z2126" t="s">
        <v>421</v>
      </c>
      <c r="AC2126" t="str">
        <f>IF(AA2126="",M2126,AA2126)</f>
        <v>sim</v>
      </c>
      <c r="AD2126" t="str">
        <f>IF(AB2126="",X2126,AB2126)</f>
        <v>sim</v>
      </c>
      <c r="AE2126" t="str">
        <f>IF(OR(Configuracao!B9="",Configuracao!B10=""),"aguardando limiar",IF(AND(K2126&gt;=Configuracao!B9,K2126/MAX(Reconciliacao!C2,1)&gt;=Configuracao!B10/100),"sim","não"))</f>
        <v>aguardando limiar</v>
      </c>
    </row>
    <row r="2127" spans="1:31" x14ac:dyDescent="0.25">
      <c r="A2127">
        <v>14207</v>
      </c>
      <c r="C2127" t="s">
        <v>1477</v>
      </c>
      <c r="D2127" t="s">
        <v>1478</v>
      </c>
      <c r="E2127" t="s">
        <v>525</v>
      </c>
      <c r="F2127" t="s">
        <v>158</v>
      </c>
      <c r="G2127" t="s">
        <v>157</v>
      </c>
      <c r="H2127" t="s">
        <v>156</v>
      </c>
      <c r="I2127" t="s">
        <v>420</v>
      </c>
      <c r="J2127" t="s">
        <v>454</v>
      </c>
      <c r="K2127" s="4">
        <v>7000</v>
      </c>
      <c r="L2127" s="4">
        <v>7000</v>
      </c>
      <c r="M2127" t="s">
        <v>44</v>
      </c>
      <c r="N2127" t="s">
        <v>77</v>
      </c>
      <c r="O2127" t="s">
        <v>99</v>
      </c>
      <c r="P2127" t="s">
        <v>99</v>
      </c>
      <c r="Q2127" t="s">
        <v>159</v>
      </c>
      <c r="R2127" t="s">
        <v>160</v>
      </c>
      <c r="S2127" t="s">
        <v>161</v>
      </c>
      <c r="T2127" t="s">
        <v>162</v>
      </c>
      <c r="U2127" t="s">
        <v>163</v>
      </c>
      <c r="V2127" t="s">
        <v>164</v>
      </c>
      <c r="W2127" t="s">
        <v>116</v>
      </c>
      <c r="X2127" t="s">
        <v>44</v>
      </c>
      <c r="Y2127" t="s">
        <v>99</v>
      </c>
      <c r="Z2127" t="s">
        <v>421</v>
      </c>
      <c r="AC2127" t="str">
        <f>IF(AA2127="",M2127,AA2127)</f>
        <v>sim</v>
      </c>
      <c r="AD2127" t="str">
        <f>IF(AB2127="",X2127,AB2127)</f>
        <v>sim</v>
      </c>
      <c r="AE2127" t="str">
        <f>IF(OR(Configuracao!B9="",Configuracao!B10=""),"aguardando limiar",IF(AND(K2127&gt;=Configuracao!B9,K2127/MAX(Reconciliacao!C2,1)&gt;=Configuracao!B10/100),"sim","não"))</f>
        <v>aguardando limiar</v>
      </c>
    </row>
    <row r="2128" spans="1:31" x14ac:dyDescent="0.25">
      <c r="A2128">
        <v>14223</v>
      </c>
      <c r="C2128" t="s">
        <v>1424</v>
      </c>
      <c r="D2128" t="s">
        <v>923</v>
      </c>
      <c r="E2128" t="s">
        <v>467</v>
      </c>
      <c r="F2128" t="s">
        <v>158</v>
      </c>
      <c r="G2128" t="s">
        <v>157</v>
      </c>
      <c r="H2128" t="s">
        <v>156</v>
      </c>
      <c r="I2128" t="s">
        <v>420</v>
      </c>
      <c r="J2128" t="s">
        <v>454</v>
      </c>
      <c r="K2128" s="4">
        <v>7000</v>
      </c>
      <c r="L2128" s="4">
        <v>7000</v>
      </c>
      <c r="M2128" t="s">
        <v>44</v>
      </c>
      <c r="N2128" t="s">
        <v>77</v>
      </c>
      <c r="O2128" t="s">
        <v>99</v>
      </c>
      <c r="P2128" t="s">
        <v>99</v>
      </c>
      <c r="Q2128" t="s">
        <v>159</v>
      </c>
      <c r="R2128" t="s">
        <v>160</v>
      </c>
      <c r="S2128" t="s">
        <v>161</v>
      </c>
      <c r="T2128" t="s">
        <v>162</v>
      </c>
      <c r="U2128" t="s">
        <v>163</v>
      </c>
      <c r="V2128" t="s">
        <v>164</v>
      </c>
      <c r="W2128" t="s">
        <v>116</v>
      </c>
      <c r="X2128" t="s">
        <v>44</v>
      </c>
      <c r="Y2128" t="s">
        <v>99</v>
      </c>
      <c r="Z2128" t="s">
        <v>421</v>
      </c>
      <c r="AC2128" t="str">
        <f>IF(AA2128="",M2128,AA2128)</f>
        <v>sim</v>
      </c>
      <c r="AD2128" t="str">
        <f>IF(AB2128="",X2128,AB2128)</f>
        <v>sim</v>
      </c>
      <c r="AE2128" t="str">
        <f>IF(OR(Configuracao!B9="",Configuracao!B10=""),"aguardando limiar",IF(AND(K2128&gt;=Configuracao!B9,K2128/MAX(Reconciliacao!C2,1)&gt;=Configuracao!B10/100),"sim","não"))</f>
        <v>aguardando limiar</v>
      </c>
    </row>
    <row r="2129" spans="1:31" x14ac:dyDescent="0.25">
      <c r="A2129">
        <v>16011</v>
      </c>
      <c r="C2129" t="s">
        <v>1441</v>
      </c>
      <c r="D2129" t="s">
        <v>1442</v>
      </c>
      <c r="E2129" t="s">
        <v>465</v>
      </c>
      <c r="F2129" t="s">
        <v>158</v>
      </c>
      <c r="G2129" t="s">
        <v>157</v>
      </c>
      <c r="H2129" t="s">
        <v>156</v>
      </c>
      <c r="I2129" t="s">
        <v>424</v>
      </c>
      <c r="J2129" t="s">
        <v>420</v>
      </c>
      <c r="K2129" s="4">
        <v>7000</v>
      </c>
      <c r="L2129" s="4">
        <v>7000</v>
      </c>
      <c r="M2129" t="s">
        <v>44</v>
      </c>
      <c r="N2129" t="s">
        <v>77</v>
      </c>
      <c r="O2129" t="s">
        <v>99</v>
      </c>
      <c r="P2129" t="s">
        <v>99</v>
      </c>
      <c r="Q2129" t="s">
        <v>159</v>
      </c>
      <c r="R2129" t="s">
        <v>160</v>
      </c>
      <c r="S2129" t="s">
        <v>161</v>
      </c>
      <c r="T2129" t="s">
        <v>162</v>
      </c>
      <c r="U2129" t="s">
        <v>163</v>
      </c>
      <c r="V2129" t="s">
        <v>164</v>
      </c>
      <c r="W2129" t="s">
        <v>116</v>
      </c>
      <c r="X2129" t="s">
        <v>44</v>
      </c>
      <c r="Y2129" t="s">
        <v>99</v>
      </c>
      <c r="Z2129" t="s">
        <v>421</v>
      </c>
      <c r="AC2129" t="str">
        <f>IF(AA2129="",M2129,AA2129)</f>
        <v>sim</v>
      </c>
      <c r="AD2129" t="str">
        <f>IF(AB2129="",X2129,AB2129)</f>
        <v>sim</v>
      </c>
      <c r="AE2129" t="str">
        <f>IF(OR(Configuracao!B9="",Configuracao!B10=""),"aguardando limiar",IF(AND(K2129&gt;=Configuracao!B9,K2129/MAX(Reconciliacao!C2,1)&gt;=Configuracao!B10/100),"sim","não"))</f>
        <v>aguardando limiar</v>
      </c>
    </row>
    <row r="2130" spans="1:31" x14ac:dyDescent="0.25">
      <c r="A2130">
        <v>16185</v>
      </c>
      <c r="C2130" t="s">
        <v>1424</v>
      </c>
      <c r="D2130" t="s">
        <v>923</v>
      </c>
      <c r="E2130" t="s">
        <v>467</v>
      </c>
      <c r="F2130" t="s">
        <v>158</v>
      </c>
      <c r="G2130" t="s">
        <v>157</v>
      </c>
      <c r="H2130" t="s">
        <v>156</v>
      </c>
      <c r="I2130" t="s">
        <v>454</v>
      </c>
      <c r="J2130" t="s">
        <v>461</v>
      </c>
      <c r="K2130" s="4">
        <v>7000</v>
      </c>
      <c r="L2130" s="4">
        <v>7000</v>
      </c>
      <c r="M2130" t="s">
        <v>44</v>
      </c>
      <c r="N2130" t="s">
        <v>77</v>
      </c>
      <c r="O2130" t="s">
        <v>99</v>
      </c>
      <c r="P2130" t="s">
        <v>99</v>
      </c>
      <c r="Q2130" t="s">
        <v>159</v>
      </c>
      <c r="R2130" t="s">
        <v>160</v>
      </c>
      <c r="S2130" t="s">
        <v>161</v>
      </c>
      <c r="T2130" t="s">
        <v>162</v>
      </c>
      <c r="U2130" t="s">
        <v>163</v>
      </c>
      <c r="V2130" t="s">
        <v>164</v>
      </c>
      <c r="W2130" t="s">
        <v>116</v>
      </c>
      <c r="X2130" t="s">
        <v>44</v>
      </c>
      <c r="Y2130" t="s">
        <v>99</v>
      </c>
      <c r="Z2130" t="s">
        <v>421</v>
      </c>
      <c r="AC2130" t="str">
        <f>IF(AA2130="",M2130,AA2130)</f>
        <v>sim</v>
      </c>
      <c r="AD2130" t="str">
        <f>IF(AB2130="",X2130,AB2130)</f>
        <v>sim</v>
      </c>
      <c r="AE2130" t="str">
        <f>IF(OR(Configuracao!B9="",Configuracao!B10=""),"aguardando limiar",IF(AND(K2130&gt;=Configuracao!B9,K2130/MAX(Reconciliacao!C2,1)&gt;=Configuracao!B10/100),"sim","não"))</f>
        <v>aguardando limiar</v>
      </c>
    </row>
    <row r="2131" spans="1:31" x14ac:dyDescent="0.25">
      <c r="A2131">
        <v>18805</v>
      </c>
      <c r="C2131" t="s">
        <v>1416</v>
      </c>
      <c r="D2131" t="s">
        <v>1417</v>
      </c>
      <c r="E2131" t="s">
        <v>511</v>
      </c>
      <c r="F2131" t="s">
        <v>158</v>
      </c>
      <c r="G2131" t="s">
        <v>157</v>
      </c>
      <c r="H2131" t="s">
        <v>156</v>
      </c>
      <c r="I2131" t="s">
        <v>439</v>
      </c>
      <c r="J2131" t="s">
        <v>35</v>
      </c>
      <c r="K2131" s="4">
        <v>7321.69</v>
      </c>
      <c r="L2131" s="4">
        <v>7321.69</v>
      </c>
      <c r="M2131" t="s">
        <v>44</v>
      </c>
      <c r="N2131" t="s">
        <v>77</v>
      </c>
      <c r="O2131" t="s">
        <v>99</v>
      </c>
      <c r="P2131" t="s">
        <v>99</v>
      </c>
      <c r="Q2131" t="s">
        <v>159</v>
      </c>
      <c r="R2131" t="s">
        <v>160</v>
      </c>
      <c r="S2131" t="s">
        <v>161</v>
      </c>
      <c r="T2131" t="s">
        <v>162</v>
      </c>
      <c r="U2131" t="s">
        <v>163</v>
      </c>
      <c r="V2131" t="s">
        <v>164</v>
      </c>
      <c r="W2131" t="s">
        <v>116</v>
      </c>
      <c r="X2131" t="s">
        <v>44</v>
      </c>
      <c r="Y2131" t="s">
        <v>99</v>
      </c>
      <c r="Z2131" t="s">
        <v>421</v>
      </c>
      <c r="AC2131" t="str">
        <f>IF(AA2131="",M2131,AA2131)</f>
        <v>sim</v>
      </c>
      <c r="AD2131" t="str">
        <f>IF(AB2131="",X2131,AB2131)</f>
        <v>sim</v>
      </c>
      <c r="AE2131" t="str">
        <f>IF(OR(Configuracao!B9="",Configuracao!B10=""),"aguardando limiar",IF(AND(K2131&gt;=Configuracao!B9,K2131/MAX(Reconciliacao!C2,1)&gt;=Configuracao!B10/100),"sim","não"))</f>
        <v>aguardando limiar</v>
      </c>
    </row>
    <row r="2132" spans="1:31" x14ac:dyDescent="0.25">
      <c r="A2132">
        <v>14236</v>
      </c>
      <c r="C2132" t="s">
        <v>1441</v>
      </c>
      <c r="D2132" t="s">
        <v>1442</v>
      </c>
      <c r="E2132" t="s">
        <v>465</v>
      </c>
      <c r="F2132" t="s">
        <v>158</v>
      </c>
      <c r="G2132" t="s">
        <v>157</v>
      </c>
      <c r="H2132" t="s">
        <v>156</v>
      </c>
      <c r="I2132" t="s">
        <v>420</v>
      </c>
      <c r="J2132" t="s">
        <v>454</v>
      </c>
      <c r="K2132" s="4">
        <v>7420</v>
      </c>
      <c r="L2132" s="4">
        <v>7420</v>
      </c>
      <c r="M2132" t="s">
        <v>44</v>
      </c>
      <c r="N2132" t="s">
        <v>77</v>
      </c>
      <c r="O2132" t="s">
        <v>99</v>
      </c>
      <c r="P2132" t="s">
        <v>99</v>
      </c>
      <c r="Q2132" t="s">
        <v>159</v>
      </c>
      <c r="R2132" t="s">
        <v>160</v>
      </c>
      <c r="S2132" t="s">
        <v>161</v>
      </c>
      <c r="T2132" t="s">
        <v>162</v>
      </c>
      <c r="U2132" t="s">
        <v>163</v>
      </c>
      <c r="V2132" t="s">
        <v>164</v>
      </c>
      <c r="W2132" t="s">
        <v>116</v>
      </c>
      <c r="X2132" t="s">
        <v>44</v>
      </c>
      <c r="Y2132" t="s">
        <v>99</v>
      </c>
      <c r="Z2132" t="s">
        <v>421</v>
      </c>
      <c r="AC2132" t="str">
        <f>IF(AA2132="",M2132,AA2132)</f>
        <v>sim</v>
      </c>
      <c r="AD2132" t="str">
        <f>IF(AB2132="",X2132,AB2132)</f>
        <v>sim</v>
      </c>
      <c r="AE2132" t="str">
        <f>IF(OR(Configuracao!B9="",Configuracao!B10=""),"aguardando limiar",IF(AND(K2132&gt;=Configuracao!B9,K2132/MAX(Reconciliacao!C2,1)&gt;=Configuracao!B10/100),"sim","não"))</f>
        <v>aguardando limiar</v>
      </c>
    </row>
    <row r="2133" spans="1:31" x14ac:dyDescent="0.25">
      <c r="A2133">
        <v>14198</v>
      </c>
      <c r="C2133" t="s">
        <v>1481</v>
      </c>
      <c r="D2133" t="s">
        <v>629</v>
      </c>
      <c r="E2133" t="s">
        <v>445</v>
      </c>
      <c r="F2133" t="s">
        <v>158</v>
      </c>
      <c r="G2133" t="s">
        <v>157</v>
      </c>
      <c r="H2133" t="s">
        <v>156</v>
      </c>
      <c r="I2133" t="s">
        <v>420</v>
      </c>
      <c r="J2133" t="s">
        <v>454</v>
      </c>
      <c r="K2133" s="4">
        <v>7421.69</v>
      </c>
      <c r="L2133" s="4">
        <v>7421.69</v>
      </c>
      <c r="M2133" t="s">
        <v>44</v>
      </c>
      <c r="N2133" t="s">
        <v>77</v>
      </c>
      <c r="O2133" t="s">
        <v>99</v>
      </c>
      <c r="P2133" t="s">
        <v>99</v>
      </c>
      <c r="Q2133" t="s">
        <v>159</v>
      </c>
      <c r="R2133" t="s">
        <v>160</v>
      </c>
      <c r="S2133" t="s">
        <v>161</v>
      </c>
      <c r="T2133" t="s">
        <v>162</v>
      </c>
      <c r="U2133" t="s">
        <v>163</v>
      </c>
      <c r="V2133" t="s">
        <v>164</v>
      </c>
      <c r="W2133" t="s">
        <v>116</v>
      </c>
      <c r="X2133" t="s">
        <v>44</v>
      </c>
      <c r="Y2133" t="s">
        <v>99</v>
      </c>
      <c r="Z2133" t="s">
        <v>421</v>
      </c>
      <c r="AC2133" t="str">
        <f>IF(AA2133="",M2133,AA2133)</f>
        <v>sim</v>
      </c>
      <c r="AD2133" t="str">
        <f>IF(AB2133="",X2133,AB2133)</f>
        <v>sim</v>
      </c>
      <c r="AE2133" t="str">
        <f>IF(OR(Configuracao!B9="",Configuracao!B10=""),"aguardando limiar",IF(AND(K2133&gt;=Configuracao!B9,K2133/MAX(Reconciliacao!C2,1)&gt;=Configuracao!B10/100),"sim","não"))</f>
        <v>aguardando limiar</v>
      </c>
    </row>
    <row r="2134" spans="1:31" x14ac:dyDescent="0.25">
      <c r="A2134">
        <v>14202</v>
      </c>
      <c r="C2134" t="s">
        <v>1389</v>
      </c>
      <c r="D2134" t="s">
        <v>865</v>
      </c>
      <c r="E2134" t="s">
        <v>445</v>
      </c>
      <c r="F2134" t="s">
        <v>158</v>
      </c>
      <c r="G2134" t="s">
        <v>157</v>
      </c>
      <c r="H2134" t="s">
        <v>156</v>
      </c>
      <c r="I2134" t="s">
        <v>420</v>
      </c>
      <c r="J2134" t="s">
        <v>454</v>
      </c>
      <c r="K2134" s="4">
        <v>7421.69</v>
      </c>
      <c r="L2134" s="4">
        <v>7421.69</v>
      </c>
      <c r="M2134" t="s">
        <v>44</v>
      </c>
      <c r="N2134" t="s">
        <v>77</v>
      </c>
      <c r="O2134" t="s">
        <v>99</v>
      </c>
      <c r="P2134" t="s">
        <v>99</v>
      </c>
      <c r="Q2134" t="s">
        <v>159</v>
      </c>
      <c r="R2134" t="s">
        <v>160</v>
      </c>
      <c r="S2134" t="s">
        <v>161</v>
      </c>
      <c r="T2134" t="s">
        <v>162</v>
      </c>
      <c r="U2134" t="s">
        <v>163</v>
      </c>
      <c r="V2134" t="s">
        <v>164</v>
      </c>
      <c r="W2134" t="s">
        <v>116</v>
      </c>
      <c r="X2134" t="s">
        <v>44</v>
      </c>
      <c r="Y2134" t="s">
        <v>99</v>
      </c>
      <c r="Z2134" t="s">
        <v>421</v>
      </c>
      <c r="AC2134" t="str">
        <f>IF(AA2134="",M2134,AA2134)</f>
        <v>sim</v>
      </c>
      <c r="AD2134" t="str">
        <f>IF(AB2134="",X2134,AB2134)</f>
        <v>sim</v>
      </c>
      <c r="AE2134" t="str">
        <f>IF(OR(Configuracao!B9="",Configuracao!B10=""),"aguardando limiar",IF(AND(K2134&gt;=Configuracao!B9,K2134/MAX(Reconciliacao!C2,1)&gt;=Configuracao!B10/100),"sim","não"))</f>
        <v>aguardando limiar</v>
      </c>
    </row>
    <row r="2135" spans="1:31" x14ac:dyDescent="0.25">
      <c r="A2135">
        <v>15972</v>
      </c>
      <c r="C2135" t="s">
        <v>1481</v>
      </c>
      <c r="D2135" t="s">
        <v>629</v>
      </c>
      <c r="E2135" t="s">
        <v>445</v>
      </c>
      <c r="F2135" t="s">
        <v>158</v>
      </c>
      <c r="G2135" t="s">
        <v>157</v>
      </c>
      <c r="H2135" t="s">
        <v>156</v>
      </c>
      <c r="I2135" t="s">
        <v>424</v>
      </c>
      <c r="J2135" t="s">
        <v>420</v>
      </c>
      <c r="K2135" s="4">
        <v>7421.69</v>
      </c>
      <c r="L2135" s="4">
        <v>7421.69</v>
      </c>
      <c r="M2135" t="s">
        <v>44</v>
      </c>
      <c r="N2135" t="s">
        <v>77</v>
      </c>
      <c r="O2135" t="s">
        <v>99</v>
      </c>
      <c r="P2135" t="s">
        <v>99</v>
      </c>
      <c r="Q2135" t="s">
        <v>159</v>
      </c>
      <c r="R2135" t="s">
        <v>160</v>
      </c>
      <c r="S2135" t="s">
        <v>161</v>
      </c>
      <c r="T2135" t="s">
        <v>162</v>
      </c>
      <c r="U2135" t="s">
        <v>163</v>
      </c>
      <c r="V2135" t="s">
        <v>164</v>
      </c>
      <c r="W2135" t="s">
        <v>116</v>
      </c>
      <c r="X2135" t="s">
        <v>44</v>
      </c>
      <c r="Y2135" t="s">
        <v>99</v>
      </c>
      <c r="Z2135" t="s">
        <v>421</v>
      </c>
      <c r="AC2135" t="str">
        <f>IF(AA2135="",M2135,AA2135)</f>
        <v>sim</v>
      </c>
      <c r="AD2135" t="str">
        <f>IF(AB2135="",X2135,AB2135)</f>
        <v>sim</v>
      </c>
      <c r="AE2135" t="str">
        <f>IF(OR(Configuracao!B9="",Configuracao!B10=""),"aguardando limiar",IF(AND(K2135&gt;=Configuracao!B9,K2135/MAX(Reconciliacao!C2,1)&gt;=Configuracao!B10/100),"sim","não"))</f>
        <v>aguardando limiar</v>
      </c>
    </row>
    <row r="2136" spans="1:31" x14ac:dyDescent="0.25">
      <c r="A2136">
        <v>15976</v>
      </c>
      <c r="C2136" t="s">
        <v>1389</v>
      </c>
      <c r="D2136" t="s">
        <v>865</v>
      </c>
      <c r="E2136" t="s">
        <v>445</v>
      </c>
      <c r="F2136" t="s">
        <v>158</v>
      </c>
      <c r="G2136" t="s">
        <v>157</v>
      </c>
      <c r="H2136" t="s">
        <v>156</v>
      </c>
      <c r="I2136" t="s">
        <v>424</v>
      </c>
      <c r="J2136" t="s">
        <v>420</v>
      </c>
      <c r="K2136" s="4">
        <v>7421.69</v>
      </c>
      <c r="L2136" s="4">
        <v>7421.69</v>
      </c>
      <c r="M2136" t="s">
        <v>44</v>
      </c>
      <c r="N2136" t="s">
        <v>77</v>
      </c>
      <c r="O2136" t="s">
        <v>99</v>
      </c>
      <c r="P2136" t="s">
        <v>99</v>
      </c>
      <c r="Q2136" t="s">
        <v>159</v>
      </c>
      <c r="R2136" t="s">
        <v>160</v>
      </c>
      <c r="S2136" t="s">
        <v>161</v>
      </c>
      <c r="T2136" t="s">
        <v>162</v>
      </c>
      <c r="U2136" t="s">
        <v>163</v>
      </c>
      <c r="V2136" t="s">
        <v>164</v>
      </c>
      <c r="W2136" t="s">
        <v>116</v>
      </c>
      <c r="X2136" t="s">
        <v>44</v>
      </c>
      <c r="Y2136" t="s">
        <v>99</v>
      </c>
      <c r="Z2136" t="s">
        <v>421</v>
      </c>
      <c r="AC2136" t="str">
        <f>IF(AA2136="",M2136,AA2136)</f>
        <v>sim</v>
      </c>
      <c r="AD2136" t="str">
        <f>IF(AB2136="",X2136,AB2136)</f>
        <v>sim</v>
      </c>
      <c r="AE2136" t="str">
        <f>IF(OR(Configuracao!B9="",Configuracao!B10=""),"aguardando limiar",IF(AND(K2136&gt;=Configuracao!B9,K2136/MAX(Reconciliacao!C2,1)&gt;=Configuracao!B10/100),"sim","não"))</f>
        <v>aguardando limiar</v>
      </c>
    </row>
    <row r="2137" spans="1:31" x14ac:dyDescent="0.25">
      <c r="A2137">
        <v>16155</v>
      </c>
      <c r="C2137" t="s">
        <v>1481</v>
      </c>
      <c r="D2137" t="s">
        <v>629</v>
      </c>
      <c r="E2137" t="s">
        <v>445</v>
      </c>
      <c r="F2137" t="s">
        <v>158</v>
      </c>
      <c r="G2137" t="s">
        <v>157</v>
      </c>
      <c r="H2137" t="s">
        <v>156</v>
      </c>
      <c r="I2137" t="s">
        <v>454</v>
      </c>
      <c r="J2137" t="s">
        <v>461</v>
      </c>
      <c r="K2137" s="4">
        <v>7421.69</v>
      </c>
      <c r="L2137" s="4">
        <v>7421.69</v>
      </c>
      <c r="M2137" t="s">
        <v>44</v>
      </c>
      <c r="N2137" t="s">
        <v>77</v>
      </c>
      <c r="O2137" t="s">
        <v>99</v>
      </c>
      <c r="P2137" t="s">
        <v>99</v>
      </c>
      <c r="Q2137" t="s">
        <v>159</v>
      </c>
      <c r="R2137" t="s">
        <v>160</v>
      </c>
      <c r="S2137" t="s">
        <v>161</v>
      </c>
      <c r="T2137" t="s">
        <v>162</v>
      </c>
      <c r="U2137" t="s">
        <v>163</v>
      </c>
      <c r="V2137" t="s">
        <v>164</v>
      </c>
      <c r="W2137" t="s">
        <v>116</v>
      </c>
      <c r="X2137" t="s">
        <v>44</v>
      </c>
      <c r="Y2137" t="s">
        <v>99</v>
      </c>
      <c r="Z2137" t="s">
        <v>421</v>
      </c>
      <c r="AC2137" t="str">
        <f>IF(AA2137="",M2137,AA2137)</f>
        <v>sim</v>
      </c>
      <c r="AD2137" t="str">
        <f>IF(AB2137="",X2137,AB2137)</f>
        <v>sim</v>
      </c>
      <c r="AE2137" t="str">
        <f>IF(OR(Configuracao!B9="",Configuracao!B10=""),"aguardando limiar",IF(AND(K2137&gt;=Configuracao!B9,K2137/MAX(Reconciliacao!C2,1)&gt;=Configuracao!B10/100),"sim","não"))</f>
        <v>aguardando limiar</v>
      </c>
    </row>
    <row r="2138" spans="1:31" x14ac:dyDescent="0.25">
      <c r="A2138">
        <v>16159</v>
      </c>
      <c r="C2138" t="s">
        <v>1389</v>
      </c>
      <c r="D2138" t="s">
        <v>865</v>
      </c>
      <c r="E2138" t="s">
        <v>445</v>
      </c>
      <c r="F2138" t="s">
        <v>158</v>
      </c>
      <c r="G2138" t="s">
        <v>157</v>
      </c>
      <c r="H2138" t="s">
        <v>156</v>
      </c>
      <c r="I2138" t="s">
        <v>454</v>
      </c>
      <c r="J2138" t="s">
        <v>461</v>
      </c>
      <c r="K2138" s="4">
        <v>7421.69</v>
      </c>
      <c r="L2138" s="4">
        <v>7421.69</v>
      </c>
      <c r="M2138" t="s">
        <v>44</v>
      </c>
      <c r="N2138" t="s">
        <v>77</v>
      </c>
      <c r="O2138" t="s">
        <v>99</v>
      </c>
      <c r="P2138" t="s">
        <v>99</v>
      </c>
      <c r="Q2138" t="s">
        <v>159</v>
      </c>
      <c r="R2138" t="s">
        <v>160</v>
      </c>
      <c r="S2138" t="s">
        <v>161</v>
      </c>
      <c r="T2138" t="s">
        <v>162</v>
      </c>
      <c r="U2138" t="s">
        <v>163</v>
      </c>
      <c r="V2138" t="s">
        <v>164</v>
      </c>
      <c r="W2138" t="s">
        <v>116</v>
      </c>
      <c r="X2138" t="s">
        <v>44</v>
      </c>
      <c r="Y2138" t="s">
        <v>99</v>
      </c>
      <c r="Z2138" t="s">
        <v>421</v>
      </c>
      <c r="AC2138" t="str">
        <f>IF(AA2138="",M2138,AA2138)</f>
        <v>sim</v>
      </c>
      <c r="AD2138" t="str">
        <f>IF(AB2138="",X2138,AB2138)</f>
        <v>sim</v>
      </c>
      <c r="AE2138" t="str">
        <f>IF(OR(Configuracao!B9="",Configuracao!B10=""),"aguardando limiar",IF(AND(K2138&gt;=Configuracao!B9,K2138/MAX(Reconciliacao!C2,1)&gt;=Configuracao!B10/100),"sim","não"))</f>
        <v>aguardando limiar</v>
      </c>
    </row>
    <row r="2139" spans="1:31" x14ac:dyDescent="0.25">
      <c r="A2139">
        <v>17245</v>
      </c>
      <c r="C2139" t="s">
        <v>1481</v>
      </c>
      <c r="D2139" t="s">
        <v>629</v>
      </c>
      <c r="E2139" t="s">
        <v>445</v>
      </c>
      <c r="F2139" t="s">
        <v>158</v>
      </c>
      <c r="G2139" t="s">
        <v>157</v>
      </c>
      <c r="H2139" t="s">
        <v>156</v>
      </c>
      <c r="I2139" t="s">
        <v>461</v>
      </c>
      <c r="J2139" t="s">
        <v>442</v>
      </c>
      <c r="K2139" s="4">
        <v>7421.69</v>
      </c>
      <c r="L2139" s="4">
        <v>7421.69</v>
      </c>
      <c r="M2139" t="s">
        <v>44</v>
      </c>
      <c r="N2139" t="s">
        <v>77</v>
      </c>
      <c r="O2139" t="s">
        <v>99</v>
      </c>
      <c r="P2139" t="s">
        <v>99</v>
      </c>
      <c r="Q2139" t="s">
        <v>159</v>
      </c>
      <c r="R2139" t="s">
        <v>160</v>
      </c>
      <c r="S2139" t="s">
        <v>161</v>
      </c>
      <c r="T2139" t="s">
        <v>162</v>
      </c>
      <c r="U2139" t="s">
        <v>163</v>
      </c>
      <c r="V2139" t="s">
        <v>164</v>
      </c>
      <c r="W2139" t="s">
        <v>116</v>
      </c>
      <c r="X2139" t="s">
        <v>44</v>
      </c>
      <c r="Y2139" t="s">
        <v>99</v>
      </c>
      <c r="Z2139" t="s">
        <v>421</v>
      </c>
      <c r="AC2139" t="str">
        <f>IF(AA2139="",M2139,AA2139)</f>
        <v>sim</v>
      </c>
      <c r="AD2139" t="str">
        <f>IF(AB2139="",X2139,AB2139)</f>
        <v>sim</v>
      </c>
      <c r="AE2139" t="str">
        <f>IF(OR(Configuracao!B9="",Configuracao!B10=""),"aguardando limiar",IF(AND(K2139&gt;=Configuracao!B9,K2139/MAX(Reconciliacao!C2,1)&gt;=Configuracao!B10/100),"sim","não"))</f>
        <v>aguardando limiar</v>
      </c>
    </row>
    <row r="2140" spans="1:31" x14ac:dyDescent="0.25">
      <c r="A2140">
        <v>17249</v>
      </c>
      <c r="C2140" t="s">
        <v>1389</v>
      </c>
      <c r="D2140" t="s">
        <v>865</v>
      </c>
      <c r="E2140" t="s">
        <v>445</v>
      </c>
      <c r="F2140" t="s">
        <v>158</v>
      </c>
      <c r="G2140" t="s">
        <v>157</v>
      </c>
      <c r="H2140" t="s">
        <v>156</v>
      </c>
      <c r="I2140" t="s">
        <v>461</v>
      </c>
      <c r="J2140" t="s">
        <v>442</v>
      </c>
      <c r="K2140" s="4">
        <v>7421.69</v>
      </c>
      <c r="L2140" s="4">
        <v>7421.69</v>
      </c>
      <c r="M2140" t="s">
        <v>44</v>
      </c>
      <c r="N2140" t="s">
        <v>77</v>
      </c>
      <c r="O2140" t="s">
        <v>99</v>
      </c>
      <c r="P2140" t="s">
        <v>99</v>
      </c>
      <c r="Q2140" t="s">
        <v>159</v>
      </c>
      <c r="R2140" t="s">
        <v>160</v>
      </c>
      <c r="S2140" t="s">
        <v>161</v>
      </c>
      <c r="T2140" t="s">
        <v>162</v>
      </c>
      <c r="U2140" t="s">
        <v>163</v>
      </c>
      <c r="V2140" t="s">
        <v>164</v>
      </c>
      <c r="W2140" t="s">
        <v>116</v>
      </c>
      <c r="X2140" t="s">
        <v>44</v>
      </c>
      <c r="Y2140" t="s">
        <v>99</v>
      </c>
      <c r="Z2140" t="s">
        <v>421</v>
      </c>
      <c r="AC2140" t="str">
        <f>IF(AA2140="",M2140,AA2140)</f>
        <v>sim</v>
      </c>
      <c r="AD2140" t="str">
        <f>IF(AB2140="",X2140,AB2140)</f>
        <v>sim</v>
      </c>
      <c r="AE2140" t="str">
        <f>IF(OR(Configuracao!B9="",Configuracao!B10=""),"aguardando limiar",IF(AND(K2140&gt;=Configuracao!B9,K2140/MAX(Reconciliacao!C2,1)&gt;=Configuracao!B10/100),"sim","não"))</f>
        <v>aguardando limiar</v>
      </c>
    </row>
    <row r="2141" spans="1:31" x14ac:dyDescent="0.25">
      <c r="A2141">
        <v>17934</v>
      </c>
      <c r="C2141" t="s">
        <v>1481</v>
      </c>
      <c r="D2141" t="s">
        <v>629</v>
      </c>
      <c r="E2141" t="s">
        <v>445</v>
      </c>
      <c r="F2141" t="s">
        <v>158</v>
      </c>
      <c r="G2141" t="s">
        <v>157</v>
      </c>
      <c r="H2141" t="s">
        <v>156</v>
      </c>
      <c r="I2141" t="s">
        <v>442</v>
      </c>
      <c r="J2141" t="s">
        <v>439</v>
      </c>
      <c r="K2141" s="4">
        <v>7421.69</v>
      </c>
      <c r="L2141" s="4">
        <v>7421.69</v>
      </c>
      <c r="M2141" t="s">
        <v>44</v>
      </c>
      <c r="N2141" t="s">
        <v>77</v>
      </c>
      <c r="O2141" t="s">
        <v>99</v>
      </c>
      <c r="P2141" t="s">
        <v>99</v>
      </c>
      <c r="Q2141" t="s">
        <v>159</v>
      </c>
      <c r="R2141" t="s">
        <v>160</v>
      </c>
      <c r="S2141" t="s">
        <v>161</v>
      </c>
      <c r="T2141" t="s">
        <v>162</v>
      </c>
      <c r="U2141" t="s">
        <v>163</v>
      </c>
      <c r="V2141" t="s">
        <v>164</v>
      </c>
      <c r="W2141" t="s">
        <v>116</v>
      </c>
      <c r="X2141" t="s">
        <v>44</v>
      </c>
      <c r="Y2141" t="s">
        <v>99</v>
      </c>
      <c r="Z2141" t="s">
        <v>421</v>
      </c>
      <c r="AC2141" t="str">
        <f>IF(AA2141="",M2141,AA2141)</f>
        <v>sim</v>
      </c>
      <c r="AD2141" t="str">
        <f>IF(AB2141="",X2141,AB2141)</f>
        <v>sim</v>
      </c>
      <c r="AE2141" t="str">
        <f>IF(OR(Configuracao!B9="",Configuracao!B10=""),"aguardando limiar",IF(AND(K2141&gt;=Configuracao!B9,K2141/MAX(Reconciliacao!C2,1)&gt;=Configuracao!B10/100),"sim","não"))</f>
        <v>aguardando limiar</v>
      </c>
    </row>
    <row r="2142" spans="1:31" x14ac:dyDescent="0.25">
      <c r="A2142">
        <v>17938</v>
      </c>
      <c r="C2142" t="s">
        <v>1389</v>
      </c>
      <c r="D2142" t="s">
        <v>865</v>
      </c>
      <c r="E2142" t="s">
        <v>445</v>
      </c>
      <c r="F2142" t="s">
        <v>158</v>
      </c>
      <c r="G2142" t="s">
        <v>157</v>
      </c>
      <c r="H2142" t="s">
        <v>156</v>
      </c>
      <c r="I2142" t="s">
        <v>442</v>
      </c>
      <c r="J2142" t="s">
        <v>439</v>
      </c>
      <c r="K2142" s="4">
        <v>7421.69</v>
      </c>
      <c r="L2142" s="4">
        <v>7421.69</v>
      </c>
      <c r="M2142" t="s">
        <v>44</v>
      </c>
      <c r="N2142" t="s">
        <v>77</v>
      </c>
      <c r="O2142" t="s">
        <v>99</v>
      </c>
      <c r="P2142" t="s">
        <v>99</v>
      </c>
      <c r="Q2142" t="s">
        <v>159</v>
      </c>
      <c r="R2142" t="s">
        <v>160</v>
      </c>
      <c r="S2142" t="s">
        <v>161</v>
      </c>
      <c r="T2142" t="s">
        <v>162</v>
      </c>
      <c r="U2142" t="s">
        <v>163</v>
      </c>
      <c r="V2142" t="s">
        <v>164</v>
      </c>
      <c r="W2142" t="s">
        <v>116</v>
      </c>
      <c r="X2142" t="s">
        <v>44</v>
      </c>
      <c r="Y2142" t="s">
        <v>99</v>
      </c>
      <c r="Z2142" t="s">
        <v>421</v>
      </c>
      <c r="AC2142" t="str">
        <f>IF(AA2142="",M2142,AA2142)</f>
        <v>sim</v>
      </c>
      <c r="AD2142" t="str">
        <f>IF(AB2142="",X2142,AB2142)</f>
        <v>sim</v>
      </c>
      <c r="AE2142" t="str">
        <f>IF(OR(Configuracao!B9="",Configuracao!B10=""),"aguardando limiar",IF(AND(K2142&gt;=Configuracao!B9,K2142/MAX(Reconciliacao!C2,1)&gt;=Configuracao!B10/100),"sim","não"))</f>
        <v>aguardando limiar</v>
      </c>
    </row>
    <row r="2143" spans="1:31" x14ac:dyDescent="0.25">
      <c r="A2143">
        <v>18777</v>
      </c>
      <c r="C2143" t="s">
        <v>1481</v>
      </c>
      <c r="D2143" t="s">
        <v>629</v>
      </c>
      <c r="E2143" t="s">
        <v>445</v>
      </c>
      <c r="F2143" t="s">
        <v>158</v>
      </c>
      <c r="G2143" t="s">
        <v>157</v>
      </c>
      <c r="H2143" t="s">
        <v>156</v>
      </c>
      <c r="I2143" t="s">
        <v>439</v>
      </c>
      <c r="J2143" t="s">
        <v>35</v>
      </c>
      <c r="K2143" s="4">
        <v>7421.69</v>
      </c>
      <c r="L2143" s="4">
        <v>7421.69</v>
      </c>
      <c r="M2143" t="s">
        <v>44</v>
      </c>
      <c r="N2143" t="s">
        <v>77</v>
      </c>
      <c r="O2143" t="s">
        <v>99</v>
      </c>
      <c r="P2143" t="s">
        <v>99</v>
      </c>
      <c r="Q2143" t="s">
        <v>159</v>
      </c>
      <c r="R2143" t="s">
        <v>160</v>
      </c>
      <c r="S2143" t="s">
        <v>161</v>
      </c>
      <c r="T2143" t="s">
        <v>162</v>
      </c>
      <c r="U2143" t="s">
        <v>163</v>
      </c>
      <c r="V2143" t="s">
        <v>164</v>
      </c>
      <c r="W2143" t="s">
        <v>116</v>
      </c>
      <c r="X2143" t="s">
        <v>44</v>
      </c>
      <c r="Y2143" t="s">
        <v>99</v>
      </c>
      <c r="Z2143" t="s">
        <v>421</v>
      </c>
      <c r="AC2143" t="str">
        <f>IF(AA2143="",M2143,AA2143)</f>
        <v>sim</v>
      </c>
      <c r="AD2143" t="str">
        <f>IF(AB2143="",X2143,AB2143)</f>
        <v>sim</v>
      </c>
      <c r="AE2143" t="str">
        <f>IF(OR(Configuracao!B9="",Configuracao!B10=""),"aguardando limiar",IF(AND(K2143&gt;=Configuracao!B9,K2143/MAX(Reconciliacao!C2,1)&gt;=Configuracao!B10/100),"sim","não"))</f>
        <v>aguardando limiar</v>
      </c>
    </row>
    <row r="2144" spans="1:31" x14ac:dyDescent="0.25">
      <c r="A2144">
        <v>18782</v>
      </c>
      <c r="C2144" t="s">
        <v>1389</v>
      </c>
      <c r="D2144" t="s">
        <v>865</v>
      </c>
      <c r="E2144" t="s">
        <v>445</v>
      </c>
      <c r="F2144" t="s">
        <v>158</v>
      </c>
      <c r="G2144" t="s">
        <v>157</v>
      </c>
      <c r="H2144" t="s">
        <v>156</v>
      </c>
      <c r="I2144" t="s">
        <v>439</v>
      </c>
      <c r="J2144" t="s">
        <v>35</v>
      </c>
      <c r="K2144" s="4">
        <v>7421.69</v>
      </c>
      <c r="L2144" s="4">
        <v>7421.69</v>
      </c>
      <c r="M2144" t="s">
        <v>44</v>
      </c>
      <c r="N2144" t="s">
        <v>77</v>
      </c>
      <c r="O2144" t="s">
        <v>99</v>
      </c>
      <c r="P2144" t="s">
        <v>99</v>
      </c>
      <c r="Q2144" t="s">
        <v>159</v>
      </c>
      <c r="R2144" t="s">
        <v>160</v>
      </c>
      <c r="S2144" t="s">
        <v>161</v>
      </c>
      <c r="T2144" t="s">
        <v>162</v>
      </c>
      <c r="U2144" t="s">
        <v>163</v>
      </c>
      <c r="V2144" t="s">
        <v>164</v>
      </c>
      <c r="W2144" t="s">
        <v>116</v>
      </c>
      <c r="X2144" t="s">
        <v>44</v>
      </c>
      <c r="Y2144" t="s">
        <v>99</v>
      </c>
      <c r="Z2144" t="s">
        <v>421</v>
      </c>
      <c r="AC2144" t="str">
        <f>IF(AA2144="",M2144,AA2144)</f>
        <v>sim</v>
      </c>
      <c r="AD2144" t="str">
        <f>IF(AB2144="",X2144,AB2144)</f>
        <v>sim</v>
      </c>
      <c r="AE2144" t="str">
        <f>IF(OR(Configuracao!B9="",Configuracao!B10=""),"aguardando limiar",IF(AND(K2144&gt;=Configuracao!B9,K2144/MAX(Reconciliacao!C2,1)&gt;=Configuracao!B10/100),"sim","não"))</f>
        <v>aguardando limiar</v>
      </c>
    </row>
    <row r="2145" spans="1:31" x14ac:dyDescent="0.25">
      <c r="A2145">
        <v>12939</v>
      </c>
      <c r="C2145" t="s">
        <v>1377</v>
      </c>
      <c r="D2145" t="s">
        <v>1378</v>
      </c>
      <c r="E2145" t="s">
        <v>477</v>
      </c>
      <c r="F2145" t="s">
        <v>158</v>
      </c>
      <c r="G2145" t="s">
        <v>157</v>
      </c>
      <c r="H2145" t="s">
        <v>156</v>
      </c>
      <c r="I2145" t="s">
        <v>424</v>
      </c>
      <c r="J2145" t="s">
        <v>424</v>
      </c>
      <c r="K2145" s="4">
        <v>7500</v>
      </c>
      <c r="L2145" s="4">
        <v>7500</v>
      </c>
      <c r="M2145" t="s">
        <v>44</v>
      </c>
      <c r="N2145" t="s">
        <v>77</v>
      </c>
      <c r="O2145" t="s">
        <v>99</v>
      </c>
      <c r="P2145" t="s">
        <v>99</v>
      </c>
      <c r="Q2145" t="s">
        <v>159</v>
      </c>
      <c r="R2145" t="s">
        <v>160</v>
      </c>
      <c r="S2145" t="s">
        <v>161</v>
      </c>
      <c r="T2145" t="s">
        <v>162</v>
      </c>
      <c r="U2145" t="s">
        <v>163</v>
      </c>
      <c r="V2145" t="s">
        <v>164</v>
      </c>
      <c r="W2145" t="s">
        <v>116</v>
      </c>
      <c r="X2145" t="s">
        <v>44</v>
      </c>
      <c r="Y2145" t="s">
        <v>99</v>
      </c>
      <c r="Z2145" t="s">
        <v>421</v>
      </c>
      <c r="AC2145" t="str">
        <f>IF(AA2145="",M2145,AA2145)</f>
        <v>sim</v>
      </c>
      <c r="AD2145" t="str">
        <f>IF(AB2145="",X2145,AB2145)</f>
        <v>sim</v>
      </c>
      <c r="AE2145" t="str">
        <f>IF(OR(Configuracao!B9="",Configuracao!B10=""),"aguardando limiar",IF(AND(K2145&gt;=Configuracao!B9,K2145/MAX(Reconciliacao!C2,1)&gt;=Configuracao!B10/100),"sim","não"))</f>
        <v>aguardando limiar</v>
      </c>
    </row>
    <row r="2146" spans="1:31" x14ac:dyDescent="0.25">
      <c r="A2146">
        <v>14196</v>
      </c>
      <c r="C2146" t="s">
        <v>1377</v>
      </c>
      <c r="D2146" t="s">
        <v>1378</v>
      </c>
      <c r="E2146" t="s">
        <v>477</v>
      </c>
      <c r="F2146" t="s">
        <v>158</v>
      </c>
      <c r="G2146" t="s">
        <v>157</v>
      </c>
      <c r="H2146" t="s">
        <v>156</v>
      </c>
      <c r="I2146" t="s">
        <v>420</v>
      </c>
      <c r="J2146" t="s">
        <v>454</v>
      </c>
      <c r="K2146" s="4">
        <v>7500</v>
      </c>
      <c r="L2146" s="4">
        <v>7500</v>
      </c>
      <c r="M2146" t="s">
        <v>44</v>
      </c>
      <c r="N2146" t="s">
        <v>77</v>
      </c>
      <c r="O2146" t="s">
        <v>99</v>
      </c>
      <c r="P2146" t="s">
        <v>99</v>
      </c>
      <c r="Q2146" t="s">
        <v>159</v>
      </c>
      <c r="R2146" t="s">
        <v>160</v>
      </c>
      <c r="S2146" t="s">
        <v>161</v>
      </c>
      <c r="T2146" t="s">
        <v>162</v>
      </c>
      <c r="U2146" t="s">
        <v>163</v>
      </c>
      <c r="V2146" t="s">
        <v>164</v>
      </c>
      <c r="W2146" t="s">
        <v>116</v>
      </c>
      <c r="X2146" t="s">
        <v>44</v>
      </c>
      <c r="Y2146" t="s">
        <v>99</v>
      </c>
      <c r="Z2146" t="s">
        <v>421</v>
      </c>
      <c r="AC2146" t="str">
        <f>IF(AA2146="",M2146,AA2146)</f>
        <v>sim</v>
      </c>
      <c r="AD2146" t="str">
        <f>IF(AB2146="",X2146,AB2146)</f>
        <v>sim</v>
      </c>
      <c r="AE2146" t="str">
        <f>IF(OR(Configuracao!B9="",Configuracao!B10=""),"aguardando limiar",IF(AND(K2146&gt;=Configuracao!B9,K2146/MAX(Reconciliacao!C2,1)&gt;=Configuracao!B10/100),"sim","não"))</f>
        <v>aguardando limiar</v>
      </c>
    </row>
    <row r="2147" spans="1:31" x14ac:dyDescent="0.25">
      <c r="A2147">
        <v>15962</v>
      </c>
      <c r="D2147" t="s">
        <v>1378</v>
      </c>
      <c r="E2147" t="s">
        <v>477</v>
      </c>
      <c r="F2147" t="s">
        <v>158</v>
      </c>
      <c r="G2147" t="s">
        <v>157</v>
      </c>
      <c r="H2147" t="s">
        <v>156</v>
      </c>
      <c r="I2147" t="s">
        <v>420</v>
      </c>
      <c r="J2147" t="s">
        <v>420</v>
      </c>
      <c r="K2147" s="4">
        <v>7500</v>
      </c>
      <c r="L2147" s="4">
        <v>7500</v>
      </c>
      <c r="M2147" t="s">
        <v>44</v>
      </c>
      <c r="N2147" t="s">
        <v>77</v>
      </c>
      <c r="O2147" t="s">
        <v>99</v>
      </c>
      <c r="P2147" t="s">
        <v>99</v>
      </c>
      <c r="Q2147" t="s">
        <v>159</v>
      </c>
      <c r="R2147" t="s">
        <v>160</v>
      </c>
      <c r="S2147" t="s">
        <v>161</v>
      </c>
      <c r="T2147" t="s">
        <v>162</v>
      </c>
      <c r="U2147" t="s">
        <v>163</v>
      </c>
      <c r="V2147" t="s">
        <v>164</v>
      </c>
      <c r="W2147" t="s">
        <v>116</v>
      </c>
      <c r="X2147" t="s">
        <v>44</v>
      </c>
      <c r="Y2147" t="s">
        <v>99</v>
      </c>
      <c r="Z2147" t="s">
        <v>421</v>
      </c>
      <c r="AC2147" t="str">
        <f>IF(AA2147="",M2147,AA2147)</f>
        <v>sim</v>
      </c>
      <c r="AD2147" t="str">
        <f>IF(AB2147="",X2147,AB2147)</f>
        <v>sim</v>
      </c>
      <c r="AE2147" t="str">
        <f>IF(OR(Configuracao!B9="",Configuracao!B10=""),"aguardando limiar",IF(AND(K2147&gt;=Configuracao!B9,K2147/MAX(Reconciliacao!C2,1)&gt;=Configuracao!B10/100),"sim","não"))</f>
        <v>aguardando limiar</v>
      </c>
    </row>
    <row r="2148" spans="1:31" x14ac:dyDescent="0.25">
      <c r="A2148">
        <v>18788</v>
      </c>
      <c r="C2148" t="s">
        <v>1393</v>
      </c>
      <c r="D2148" t="s">
        <v>917</v>
      </c>
      <c r="E2148" t="s">
        <v>511</v>
      </c>
      <c r="F2148" t="s">
        <v>158</v>
      </c>
      <c r="G2148" t="s">
        <v>157</v>
      </c>
      <c r="H2148" t="s">
        <v>156</v>
      </c>
      <c r="I2148" t="s">
        <v>439</v>
      </c>
      <c r="J2148" t="s">
        <v>35</v>
      </c>
      <c r="K2148" s="4">
        <v>7500</v>
      </c>
      <c r="L2148" s="4">
        <v>7500</v>
      </c>
      <c r="M2148" t="s">
        <v>44</v>
      </c>
      <c r="N2148" t="s">
        <v>77</v>
      </c>
      <c r="O2148" t="s">
        <v>99</v>
      </c>
      <c r="P2148" t="s">
        <v>99</v>
      </c>
      <c r="Q2148" t="s">
        <v>159</v>
      </c>
      <c r="R2148" t="s">
        <v>160</v>
      </c>
      <c r="S2148" t="s">
        <v>161</v>
      </c>
      <c r="T2148" t="s">
        <v>162</v>
      </c>
      <c r="U2148" t="s">
        <v>163</v>
      </c>
      <c r="V2148" t="s">
        <v>164</v>
      </c>
      <c r="W2148" t="s">
        <v>116</v>
      </c>
      <c r="X2148" t="s">
        <v>44</v>
      </c>
      <c r="Y2148" t="s">
        <v>99</v>
      </c>
      <c r="Z2148" t="s">
        <v>421</v>
      </c>
      <c r="AC2148" t="str">
        <f>IF(AA2148="",M2148,AA2148)</f>
        <v>sim</v>
      </c>
      <c r="AD2148" t="str">
        <f>IF(AB2148="",X2148,AB2148)</f>
        <v>sim</v>
      </c>
      <c r="AE2148" t="str">
        <f>IF(OR(Configuracao!B9="",Configuracao!B10=""),"aguardando limiar",IF(AND(K2148&gt;=Configuracao!B9,K2148/MAX(Reconciliacao!C2,1)&gt;=Configuracao!B10/100),"sim","não"))</f>
        <v>aguardando limiar</v>
      </c>
    </row>
    <row r="2149" spans="1:31" x14ac:dyDescent="0.25">
      <c r="A2149">
        <v>12967</v>
      </c>
      <c r="C2149" t="s">
        <v>1406</v>
      </c>
      <c r="D2149" t="s">
        <v>1407</v>
      </c>
      <c r="E2149" t="s">
        <v>467</v>
      </c>
      <c r="F2149" t="s">
        <v>158</v>
      </c>
      <c r="G2149" t="s">
        <v>157</v>
      </c>
      <c r="H2149" t="s">
        <v>156</v>
      </c>
      <c r="I2149" t="s">
        <v>424</v>
      </c>
      <c r="J2149" t="s">
        <v>424</v>
      </c>
      <c r="K2149" s="4">
        <v>7821.69</v>
      </c>
      <c r="L2149" s="4">
        <v>7821.69</v>
      </c>
      <c r="M2149" t="s">
        <v>44</v>
      </c>
      <c r="N2149" t="s">
        <v>77</v>
      </c>
      <c r="O2149" t="s">
        <v>99</v>
      </c>
      <c r="P2149" t="s">
        <v>99</v>
      </c>
      <c r="Q2149" t="s">
        <v>159</v>
      </c>
      <c r="R2149" t="s">
        <v>160</v>
      </c>
      <c r="S2149" t="s">
        <v>161</v>
      </c>
      <c r="T2149" t="s">
        <v>162</v>
      </c>
      <c r="U2149" t="s">
        <v>163</v>
      </c>
      <c r="V2149" t="s">
        <v>164</v>
      </c>
      <c r="W2149" t="s">
        <v>116</v>
      </c>
      <c r="X2149" t="s">
        <v>44</v>
      </c>
      <c r="Y2149" t="s">
        <v>99</v>
      </c>
      <c r="Z2149" t="s">
        <v>421</v>
      </c>
      <c r="AC2149" t="str">
        <f>IF(AA2149="",M2149,AA2149)</f>
        <v>sim</v>
      </c>
      <c r="AD2149" t="str">
        <f>IF(AB2149="",X2149,AB2149)</f>
        <v>sim</v>
      </c>
      <c r="AE2149" t="str">
        <f>IF(OR(Configuracao!B9="",Configuracao!B10=""),"aguardando limiar",IF(AND(K2149&gt;=Configuracao!B9,K2149/MAX(Reconciliacao!C2,1)&gt;=Configuracao!B10/100),"sim","não"))</f>
        <v>aguardando limiar</v>
      </c>
    </row>
    <row r="2150" spans="1:31" x14ac:dyDescent="0.25">
      <c r="A2150">
        <v>15990</v>
      </c>
      <c r="C2150" t="s">
        <v>1406</v>
      </c>
      <c r="D2150" t="s">
        <v>1407</v>
      </c>
      <c r="E2150" t="s">
        <v>467</v>
      </c>
      <c r="F2150" t="s">
        <v>158</v>
      </c>
      <c r="G2150" t="s">
        <v>157</v>
      </c>
      <c r="H2150" t="s">
        <v>156</v>
      </c>
      <c r="I2150" t="s">
        <v>424</v>
      </c>
      <c r="J2150" t="s">
        <v>420</v>
      </c>
      <c r="K2150" s="4">
        <v>7821.69</v>
      </c>
      <c r="L2150" s="4">
        <v>7821.69</v>
      </c>
      <c r="M2150" t="s">
        <v>44</v>
      </c>
      <c r="N2150" t="s">
        <v>77</v>
      </c>
      <c r="O2150" t="s">
        <v>99</v>
      </c>
      <c r="P2150" t="s">
        <v>99</v>
      </c>
      <c r="Q2150" t="s">
        <v>159</v>
      </c>
      <c r="R2150" t="s">
        <v>160</v>
      </c>
      <c r="S2150" t="s">
        <v>161</v>
      </c>
      <c r="T2150" t="s">
        <v>162</v>
      </c>
      <c r="U2150" t="s">
        <v>163</v>
      </c>
      <c r="V2150" t="s">
        <v>164</v>
      </c>
      <c r="W2150" t="s">
        <v>116</v>
      </c>
      <c r="X2150" t="s">
        <v>44</v>
      </c>
      <c r="Y2150" t="s">
        <v>99</v>
      </c>
      <c r="Z2150" t="s">
        <v>421</v>
      </c>
      <c r="AC2150" t="str">
        <f>IF(AA2150="",M2150,AA2150)</f>
        <v>sim</v>
      </c>
      <c r="AD2150" t="str">
        <f>IF(AB2150="",X2150,AB2150)</f>
        <v>sim</v>
      </c>
      <c r="AE2150" t="str">
        <f>IF(OR(Configuracao!B9="",Configuracao!B10=""),"aguardando limiar",IF(AND(K2150&gt;=Configuracao!B9,K2150/MAX(Reconciliacao!C2,1)&gt;=Configuracao!B10/100),"sim","não"))</f>
        <v>aguardando limiar</v>
      </c>
    </row>
    <row r="2151" spans="1:31" x14ac:dyDescent="0.25">
      <c r="A2151">
        <v>16199</v>
      </c>
      <c r="C2151" t="s">
        <v>1441</v>
      </c>
      <c r="D2151" t="s">
        <v>1442</v>
      </c>
      <c r="E2151" t="s">
        <v>465</v>
      </c>
      <c r="F2151" t="s">
        <v>158</v>
      </c>
      <c r="G2151" t="s">
        <v>157</v>
      </c>
      <c r="H2151" t="s">
        <v>156</v>
      </c>
      <c r="I2151" t="s">
        <v>454</v>
      </c>
      <c r="J2151" t="s">
        <v>461</v>
      </c>
      <c r="K2151" s="4">
        <v>7840</v>
      </c>
      <c r="L2151" s="4">
        <v>7840</v>
      </c>
      <c r="M2151" t="s">
        <v>44</v>
      </c>
      <c r="N2151" t="s">
        <v>77</v>
      </c>
      <c r="O2151" t="s">
        <v>99</v>
      </c>
      <c r="P2151" t="s">
        <v>99</v>
      </c>
      <c r="Q2151" t="s">
        <v>159</v>
      </c>
      <c r="R2151" t="s">
        <v>160</v>
      </c>
      <c r="S2151" t="s">
        <v>161</v>
      </c>
      <c r="T2151" t="s">
        <v>162</v>
      </c>
      <c r="U2151" t="s">
        <v>163</v>
      </c>
      <c r="V2151" t="s">
        <v>164</v>
      </c>
      <c r="W2151" t="s">
        <v>116</v>
      </c>
      <c r="X2151" t="s">
        <v>44</v>
      </c>
      <c r="Y2151" t="s">
        <v>99</v>
      </c>
      <c r="Z2151" t="s">
        <v>421</v>
      </c>
      <c r="AC2151" t="str">
        <f>IF(AA2151="",M2151,AA2151)</f>
        <v>sim</v>
      </c>
      <c r="AD2151" t="str">
        <f>IF(AB2151="",X2151,AB2151)</f>
        <v>sim</v>
      </c>
      <c r="AE2151" t="str">
        <f>IF(OR(Configuracao!B9="",Configuracao!B10=""),"aguardando limiar",IF(AND(K2151&gt;=Configuracao!B9,K2151/MAX(Reconciliacao!C2,1)&gt;=Configuracao!B10/100),"sim","não"))</f>
        <v>aguardando limiar</v>
      </c>
    </row>
    <row r="2152" spans="1:31" x14ac:dyDescent="0.25">
      <c r="A2152">
        <v>17292</v>
      </c>
      <c r="C2152" t="s">
        <v>1441</v>
      </c>
      <c r="D2152" t="s">
        <v>1442</v>
      </c>
      <c r="E2152" t="s">
        <v>465</v>
      </c>
      <c r="F2152" t="s">
        <v>158</v>
      </c>
      <c r="G2152" t="s">
        <v>157</v>
      </c>
      <c r="H2152" t="s">
        <v>156</v>
      </c>
      <c r="I2152" t="s">
        <v>461</v>
      </c>
      <c r="J2152" t="s">
        <v>442</v>
      </c>
      <c r="K2152" s="4">
        <v>7840</v>
      </c>
      <c r="L2152" s="4">
        <v>7840</v>
      </c>
      <c r="M2152" t="s">
        <v>44</v>
      </c>
      <c r="N2152" t="s">
        <v>77</v>
      </c>
      <c r="O2152" t="s">
        <v>99</v>
      </c>
      <c r="P2152" t="s">
        <v>99</v>
      </c>
      <c r="Q2152" t="s">
        <v>159</v>
      </c>
      <c r="R2152" t="s">
        <v>160</v>
      </c>
      <c r="S2152" t="s">
        <v>161</v>
      </c>
      <c r="T2152" t="s">
        <v>162</v>
      </c>
      <c r="U2152" t="s">
        <v>163</v>
      </c>
      <c r="V2152" t="s">
        <v>164</v>
      </c>
      <c r="W2152" t="s">
        <v>116</v>
      </c>
      <c r="X2152" t="s">
        <v>44</v>
      </c>
      <c r="Y2152" t="s">
        <v>99</v>
      </c>
      <c r="Z2152" t="s">
        <v>421</v>
      </c>
      <c r="AC2152" t="str">
        <f>IF(AA2152="",M2152,AA2152)</f>
        <v>sim</v>
      </c>
      <c r="AD2152" t="str">
        <f>IF(AB2152="",X2152,AB2152)</f>
        <v>sim</v>
      </c>
      <c r="AE2152" t="str">
        <f>IF(OR(Configuracao!B9="",Configuracao!B10=""),"aguardando limiar",IF(AND(K2152&gt;=Configuracao!B9,K2152/MAX(Reconciliacao!C2,1)&gt;=Configuracao!B10/100),"sim","não"))</f>
        <v>aguardando limiar</v>
      </c>
    </row>
    <row r="2153" spans="1:31" x14ac:dyDescent="0.25">
      <c r="A2153">
        <v>17977</v>
      </c>
      <c r="C2153" t="s">
        <v>1441</v>
      </c>
      <c r="D2153" t="s">
        <v>1442</v>
      </c>
      <c r="E2153" t="s">
        <v>465</v>
      </c>
      <c r="F2153" t="s">
        <v>158</v>
      </c>
      <c r="G2153" t="s">
        <v>157</v>
      </c>
      <c r="H2153" t="s">
        <v>156</v>
      </c>
      <c r="I2153" t="s">
        <v>442</v>
      </c>
      <c r="J2153" t="s">
        <v>439</v>
      </c>
      <c r="K2153" s="4">
        <v>7840</v>
      </c>
      <c r="L2153" s="4">
        <v>7840</v>
      </c>
      <c r="M2153" t="s">
        <v>44</v>
      </c>
      <c r="N2153" t="s">
        <v>77</v>
      </c>
      <c r="O2153" t="s">
        <v>99</v>
      </c>
      <c r="P2153" t="s">
        <v>99</v>
      </c>
      <c r="Q2153" t="s">
        <v>159</v>
      </c>
      <c r="R2153" t="s">
        <v>160</v>
      </c>
      <c r="S2153" t="s">
        <v>161</v>
      </c>
      <c r="T2153" t="s">
        <v>162</v>
      </c>
      <c r="U2153" t="s">
        <v>163</v>
      </c>
      <c r="V2153" t="s">
        <v>164</v>
      </c>
      <c r="W2153" t="s">
        <v>116</v>
      </c>
      <c r="X2153" t="s">
        <v>44</v>
      </c>
      <c r="Y2153" t="s">
        <v>99</v>
      </c>
      <c r="Z2153" t="s">
        <v>421</v>
      </c>
      <c r="AC2153" t="str">
        <f>IF(AA2153="",M2153,AA2153)</f>
        <v>sim</v>
      </c>
      <c r="AD2153" t="str">
        <f>IF(AB2153="",X2153,AB2153)</f>
        <v>sim</v>
      </c>
      <c r="AE2153" t="str">
        <f>IF(OR(Configuracao!B9="",Configuracao!B10=""),"aguardando limiar",IF(AND(K2153&gt;=Configuracao!B9,K2153/MAX(Reconciliacao!C2,1)&gt;=Configuracao!B10/100),"sim","não"))</f>
        <v>aguardando limiar</v>
      </c>
    </row>
    <row r="2154" spans="1:31" x14ac:dyDescent="0.25">
      <c r="A2154">
        <v>18820</v>
      </c>
      <c r="C2154" t="s">
        <v>1441</v>
      </c>
      <c r="D2154" t="s">
        <v>1442</v>
      </c>
      <c r="E2154" t="s">
        <v>465</v>
      </c>
      <c r="F2154" t="s">
        <v>158</v>
      </c>
      <c r="G2154" t="s">
        <v>157</v>
      </c>
      <c r="H2154" t="s">
        <v>156</v>
      </c>
      <c r="I2154" t="s">
        <v>439</v>
      </c>
      <c r="J2154" t="s">
        <v>35</v>
      </c>
      <c r="K2154" s="4">
        <v>7840</v>
      </c>
      <c r="L2154" s="4">
        <v>7840</v>
      </c>
      <c r="M2154" t="s">
        <v>44</v>
      </c>
      <c r="N2154" t="s">
        <v>77</v>
      </c>
      <c r="O2154" t="s">
        <v>99</v>
      </c>
      <c r="P2154" t="s">
        <v>99</v>
      </c>
      <c r="Q2154" t="s">
        <v>159</v>
      </c>
      <c r="R2154" t="s">
        <v>160</v>
      </c>
      <c r="S2154" t="s">
        <v>161</v>
      </c>
      <c r="T2154" t="s">
        <v>162</v>
      </c>
      <c r="U2154" t="s">
        <v>163</v>
      </c>
      <c r="V2154" t="s">
        <v>164</v>
      </c>
      <c r="W2154" t="s">
        <v>116</v>
      </c>
      <c r="X2154" t="s">
        <v>44</v>
      </c>
      <c r="Y2154" t="s">
        <v>99</v>
      </c>
      <c r="Z2154" t="s">
        <v>421</v>
      </c>
      <c r="AC2154" t="str">
        <f>IF(AA2154="",M2154,AA2154)</f>
        <v>sim</v>
      </c>
      <c r="AD2154" t="str">
        <f>IF(AB2154="",X2154,AB2154)</f>
        <v>sim</v>
      </c>
      <c r="AE2154" t="str">
        <f>IF(OR(Configuracao!B9="",Configuracao!B10=""),"aguardando limiar",IF(AND(K2154&gt;=Configuracao!B9,K2154/MAX(Reconciliacao!C2,1)&gt;=Configuracao!B10/100),"sim","não"))</f>
        <v>aguardando limiar</v>
      </c>
    </row>
    <row r="2155" spans="1:31" x14ac:dyDescent="0.25">
      <c r="A2155">
        <v>16166</v>
      </c>
      <c r="C2155" t="s">
        <v>1477</v>
      </c>
      <c r="D2155" t="s">
        <v>1478</v>
      </c>
      <c r="E2155" t="s">
        <v>525</v>
      </c>
      <c r="F2155" t="s">
        <v>158</v>
      </c>
      <c r="G2155" t="s">
        <v>157</v>
      </c>
      <c r="H2155" t="s">
        <v>156</v>
      </c>
      <c r="I2155" t="s">
        <v>454</v>
      </c>
      <c r="J2155" t="s">
        <v>461</v>
      </c>
      <c r="K2155" s="4">
        <v>8000</v>
      </c>
      <c r="L2155" s="4">
        <v>8000</v>
      </c>
      <c r="M2155" t="s">
        <v>44</v>
      </c>
      <c r="N2155" t="s">
        <v>77</v>
      </c>
      <c r="O2155" t="s">
        <v>99</v>
      </c>
      <c r="P2155" t="s">
        <v>99</v>
      </c>
      <c r="Q2155" t="s">
        <v>159</v>
      </c>
      <c r="R2155" t="s">
        <v>160</v>
      </c>
      <c r="S2155" t="s">
        <v>161</v>
      </c>
      <c r="T2155" t="s">
        <v>162</v>
      </c>
      <c r="U2155" t="s">
        <v>163</v>
      </c>
      <c r="V2155" t="s">
        <v>164</v>
      </c>
      <c r="W2155" t="s">
        <v>116</v>
      </c>
      <c r="X2155" t="s">
        <v>44</v>
      </c>
      <c r="Y2155" t="s">
        <v>99</v>
      </c>
      <c r="Z2155" t="s">
        <v>421</v>
      </c>
      <c r="AC2155" t="str">
        <f>IF(AA2155="",M2155,AA2155)</f>
        <v>sim</v>
      </c>
      <c r="AD2155" t="str">
        <f>IF(AB2155="",X2155,AB2155)</f>
        <v>sim</v>
      </c>
      <c r="AE2155" t="str">
        <f>IF(OR(Configuracao!B9="",Configuracao!B10=""),"aguardando limiar",IF(AND(K2155&gt;=Configuracao!B9,K2155/MAX(Reconciliacao!C2,1)&gt;=Configuracao!B10/100),"sim","não"))</f>
        <v>aguardando limiar</v>
      </c>
    </row>
    <row r="2156" spans="1:31" x14ac:dyDescent="0.25">
      <c r="A2156">
        <v>17257</v>
      </c>
      <c r="C2156" t="s">
        <v>1477</v>
      </c>
      <c r="D2156" t="s">
        <v>1478</v>
      </c>
      <c r="E2156" t="s">
        <v>525</v>
      </c>
      <c r="F2156" t="s">
        <v>158</v>
      </c>
      <c r="G2156" t="s">
        <v>157</v>
      </c>
      <c r="H2156" t="s">
        <v>156</v>
      </c>
      <c r="I2156" t="s">
        <v>461</v>
      </c>
      <c r="J2156" t="s">
        <v>442</v>
      </c>
      <c r="K2156" s="4">
        <v>8000</v>
      </c>
      <c r="L2156" s="4">
        <v>8000</v>
      </c>
      <c r="M2156" t="s">
        <v>44</v>
      </c>
      <c r="N2156" t="s">
        <v>77</v>
      </c>
      <c r="O2156" t="s">
        <v>99</v>
      </c>
      <c r="P2156" t="s">
        <v>99</v>
      </c>
      <c r="Q2156" t="s">
        <v>159</v>
      </c>
      <c r="R2156" t="s">
        <v>160</v>
      </c>
      <c r="S2156" t="s">
        <v>161</v>
      </c>
      <c r="T2156" t="s">
        <v>162</v>
      </c>
      <c r="U2156" t="s">
        <v>163</v>
      </c>
      <c r="V2156" t="s">
        <v>164</v>
      </c>
      <c r="W2156" t="s">
        <v>116</v>
      </c>
      <c r="X2156" t="s">
        <v>44</v>
      </c>
      <c r="Y2156" t="s">
        <v>99</v>
      </c>
      <c r="Z2156" t="s">
        <v>421</v>
      </c>
      <c r="AC2156" t="str">
        <f>IF(AA2156="",M2156,AA2156)</f>
        <v>sim</v>
      </c>
      <c r="AD2156" t="str">
        <f>IF(AB2156="",X2156,AB2156)</f>
        <v>sim</v>
      </c>
      <c r="AE2156" t="str">
        <f>IF(OR(Configuracao!B9="",Configuracao!B10=""),"aguardando limiar",IF(AND(K2156&gt;=Configuracao!B9,K2156/MAX(Reconciliacao!C2,1)&gt;=Configuracao!B10/100),"sim","não"))</f>
        <v>aguardando limiar</v>
      </c>
    </row>
    <row r="2157" spans="1:31" x14ac:dyDescent="0.25">
      <c r="A2157">
        <v>17946</v>
      </c>
      <c r="C2157" t="s">
        <v>1477</v>
      </c>
      <c r="D2157" t="s">
        <v>1478</v>
      </c>
      <c r="E2157" t="s">
        <v>525</v>
      </c>
      <c r="F2157" t="s">
        <v>158</v>
      </c>
      <c r="G2157" t="s">
        <v>157</v>
      </c>
      <c r="H2157" t="s">
        <v>156</v>
      </c>
      <c r="I2157" t="s">
        <v>442</v>
      </c>
      <c r="J2157" t="s">
        <v>439</v>
      </c>
      <c r="K2157" s="4">
        <v>8000</v>
      </c>
      <c r="L2157" s="4">
        <v>8000</v>
      </c>
      <c r="M2157" t="s">
        <v>44</v>
      </c>
      <c r="N2157" t="s">
        <v>77</v>
      </c>
      <c r="O2157" t="s">
        <v>99</v>
      </c>
      <c r="P2157" t="s">
        <v>99</v>
      </c>
      <c r="Q2157" t="s">
        <v>159</v>
      </c>
      <c r="R2157" t="s">
        <v>160</v>
      </c>
      <c r="S2157" t="s">
        <v>161</v>
      </c>
      <c r="T2157" t="s">
        <v>162</v>
      </c>
      <c r="U2157" t="s">
        <v>163</v>
      </c>
      <c r="V2157" t="s">
        <v>164</v>
      </c>
      <c r="W2157" t="s">
        <v>116</v>
      </c>
      <c r="X2157" t="s">
        <v>44</v>
      </c>
      <c r="Y2157" t="s">
        <v>99</v>
      </c>
      <c r="Z2157" t="s">
        <v>421</v>
      </c>
      <c r="AC2157" t="str">
        <f>IF(AA2157="",M2157,AA2157)</f>
        <v>sim</v>
      </c>
      <c r="AD2157" t="str">
        <f>IF(AB2157="",X2157,AB2157)</f>
        <v>sim</v>
      </c>
      <c r="AE2157" t="str">
        <f>IF(OR(Configuracao!B9="",Configuracao!B10=""),"aguardando limiar",IF(AND(K2157&gt;=Configuracao!B9,K2157/MAX(Reconciliacao!C2,1)&gt;=Configuracao!B10/100),"sim","não"))</f>
        <v>aguardando limiar</v>
      </c>
    </row>
    <row r="2158" spans="1:31" x14ac:dyDescent="0.25">
      <c r="A2158">
        <v>12934</v>
      </c>
      <c r="C2158" t="s">
        <v>1373</v>
      </c>
      <c r="D2158" t="s">
        <v>1374</v>
      </c>
      <c r="E2158" t="s">
        <v>467</v>
      </c>
      <c r="F2158" t="s">
        <v>158</v>
      </c>
      <c r="G2158" t="s">
        <v>157</v>
      </c>
      <c r="H2158" t="s">
        <v>156</v>
      </c>
      <c r="I2158" t="s">
        <v>424</v>
      </c>
      <c r="J2158" t="s">
        <v>424</v>
      </c>
      <c r="K2158" s="4">
        <v>8321.69</v>
      </c>
      <c r="L2158" s="4">
        <v>8321.69</v>
      </c>
      <c r="M2158" t="s">
        <v>44</v>
      </c>
      <c r="N2158" t="s">
        <v>77</v>
      </c>
      <c r="O2158" t="s">
        <v>99</v>
      </c>
      <c r="P2158" t="s">
        <v>99</v>
      </c>
      <c r="Q2158" t="s">
        <v>159</v>
      </c>
      <c r="R2158" t="s">
        <v>160</v>
      </c>
      <c r="S2158" t="s">
        <v>161</v>
      </c>
      <c r="T2158" t="s">
        <v>162</v>
      </c>
      <c r="U2158" t="s">
        <v>163</v>
      </c>
      <c r="V2158" t="s">
        <v>164</v>
      </c>
      <c r="W2158" t="s">
        <v>116</v>
      </c>
      <c r="X2158" t="s">
        <v>44</v>
      </c>
      <c r="Y2158" t="s">
        <v>99</v>
      </c>
      <c r="Z2158" t="s">
        <v>421</v>
      </c>
      <c r="AC2158" t="str">
        <f>IF(AA2158="",M2158,AA2158)</f>
        <v>sim</v>
      </c>
      <c r="AD2158" t="str">
        <f>IF(AB2158="",X2158,AB2158)</f>
        <v>sim</v>
      </c>
      <c r="AE2158" t="str">
        <f>IF(OR(Configuracao!B9="",Configuracao!B10=""),"aguardando limiar",IF(AND(K2158&gt;=Configuracao!B9,K2158/MAX(Reconciliacao!C2,1)&gt;=Configuracao!B10/100),"sim","não"))</f>
        <v>aguardando limiar</v>
      </c>
    </row>
    <row r="2159" spans="1:31" x14ac:dyDescent="0.25">
      <c r="A2159">
        <v>12984</v>
      </c>
      <c r="C2159" t="s">
        <v>1436</v>
      </c>
      <c r="D2159" t="s">
        <v>592</v>
      </c>
      <c r="E2159" t="s">
        <v>445</v>
      </c>
      <c r="F2159" t="s">
        <v>158</v>
      </c>
      <c r="G2159" t="s">
        <v>157</v>
      </c>
      <c r="H2159" t="s">
        <v>156</v>
      </c>
      <c r="I2159" t="s">
        <v>424</v>
      </c>
      <c r="J2159" t="s">
        <v>424</v>
      </c>
      <c r="K2159" s="4">
        <v>8321.69</v>
      </c>
      <c r="L2159" s="4">
        <v>8321.69</v>
      </c>
      <c r="M2159" t="s">
        <v>44</v>
      </c>
      <c r="N2159" t="s">
        <v>77</v>
      </c>
      <c r="O2159" t="s">
        <v>99</v>
      </c>
      <c r="P2159" t="s">
        <v>99</v>
      </c>
      <c r="Q2159" t="s">
        <v>159</v>
      </c>
      <c r="R2159" t="s">
        <v>160</v>
      </c>
      <c r="S2159" t="s">
        <v>161</v>
      </c>
      <c r="T2159" t="s">
        <v>162</v>
      </c>
      <c r="U2159" t="s">
        <v>163</v>
      </c>
      <c r="V2159" t="s">
        <v>164</v>
      </c>
      <c r="W2159" t="s">
        <v>116</v>
      </c>
      <c r="X2159" t="s">
        <v>44</v>
      </c>
      <c r="Y2159" t="s">
        <v>99</v>
      </c>
      <c r="Z2159" t="s">
        <v>421</v>
      </c>
      <c r="AC2159" t="str">
        <f>IF(AA2159="",M2159,AA2159)</f>
        <v>sim</v>
      </c>
      <c r="AD2159" t="str">
        <f>IF(AB2159="",X2159,AB2159)</f>
        <v>sim</v>
      </c>
      <c r="AE2159" t="str">
        <f>IF(OR(Configuracao!B9="",Configuracao!B10=""),"aguardando limiar",IF(AND(K2159&gt;=Configuracao!B9,K2159/MAX(Reconciliacao!C2,1)&gt;=Configuracao!B10/100),"sim","não"))</f>
        <v>aguardando limiar</v>
      </c>
    </row>
    <row r="2160" spans="1:31" x14ac:dyDescent="0.25">
      <c r="A2160">
        <v>14232</v>
      </c>
      <c r="C2160" t="s">
        <v>1436</v>
      </c>
      <c r="D2160" t="s">
        <v>592</v>
      </c>
      <c r="E2160" t="s">
        <v>445</v>
      </c>
      <c r="F2160" t="s">
        <v>158</v>
      </c>
      <c r="G2160" t="s">
        <v>157</v>
      </c>
      <c r="H2160" t="s">
        <v>156</v>
      </c>
      <c r="I2160" t="s">
        <v>420</v>
      </c>
      <c r="J2160" t="s">
        <v>454</v>
      </c>
      <c r="K2160" s="4">
        <v>8321.69</v>
      </c>
      <c r="L2160" s="4">
        <v>8321.69</v>
      </c>
      <c r="M2160" t="s">
        <v>44</v>
      </c>
      <c r="N2160" t="s">
        <v>77</v>
      </c>
      <c r="O2160" t="s">
        <v>99</v>
      </c>
      <c r="P2160" t="s">
        <v>99</v>
      </c>
      <c r="Q2160" t="s">
        <v>159</v>
      </c>
      <c r="R2160" t="s">
        <v>160</v>
      </c>
      <c r="S2160" t="s">
        <v>161</v>
      </c>
      <c r="T2160" t="s">
        <v>162</v>
      </c>
      <c r="U2160" t="s">
        <v>163</v>
      </c>
      <c r="V2160" t="s">
        <v>164</v>
      </c>
      <c r="W2160" t="s">
        <v>116</v>
      </c>
      <c r="X2160" t="s">
        <v>44</v>
      </c>
      <c r="Y2160" t="s">
        <v>99</v>
      </c>
      <c r="Z2160" t="s">
        <v>421</v>
      </c>
      <c r="AC2160" t="str">
        <f>IF(AA2160="",M2160,AA2160)</f>
        <v>sim</v>
      </c>
      <c r="AD2160" t="str">
        <f>IF(AB2160="",X2160,AB2160)</f>
        <v>sim</v>
      </c>
      <c r="AE2160" t="str">
        <f>IF(OR(Configuracao!B9="",Configuracao!B10=""),"aguardando limiar",IF(AND(K2160&gt;=Configuracao!B9,K2160/MAX(Reconciliacao!C2,1)&gt;=Configuracao!B10/100),"sim","não"))</f>
        <v>aguardando limiar</v>
      </c>
    </row>
    <row r="2161" spans="1:31" x14ac:dyDescent="0.25">
      <c r="A2161">
        <v>15970</v>
      </c>
      <c r="C2161" t="s">
        <v>1373</v>
      </c>
      <c r="D2161" t="s">
        <v>1374</v>
      </c>
      <c r="E2161" t="s">
        <v>467</v>
      </c>
      <c r="F2161" t="s">
        <v>158</v>
      </c>
      <c r="G2161" t="s">
        <v>157</v>
      </c>
      <c r="H2161" t="s">
        <v>156</v>
      </c>
      <c r="I2161" t="s">
        <v>424</v>
      </c>
      <c r="J2161" t="s">
        <v>420</v>
      </c>
      <c r="K2161" s="4">
        <v>8321.69</v>
      </c>
      <c r="L2161" s="4">
        <v>8321.69</v>
      </c>
      <c r="M2161" t="s">
        <v>44</v>
      </c>
      <c r="N2161" t="s">
        <v>77</v>
      </c>
      <c r="O2161" t="s">
        <v>99</v>
      </c>
      <c r="P2161" t="s">
        <v>99</v>
      </c>
      <c r="Q2161" t="s">
        <v>159</v>
      </c>
      <c r="R2161" t="s">
        <v>160</v>
      </c>
      <c r="S2161" t="s">
        <v>161</v>
      </c>
      <c r="T2161" t="s">
        <v>162</v>
      </c>
      <c r="U2161" t="s">
        <v>163</v>
      </c>
      <c r="V2161" t="s">
        <v>164</v>
      </c>
      <c r="W2161" t="s">
        <v>116</v>
      </c>
      <c r="X2161" t="s">
        <v>44</v>
      </c>
      <c r="Y2161" t="s">
        <v>99</v>
      </c>
      <c r="Z2161" t="s">
        <v>421</v>
      </c>
      <c r="AC2161" t="str">
        <f>IF(AA2161="",M2161,AA2161)</f>
        <v>sim</v>
      </c>
      <c r="AD2161" t="str">
        <f>IF(AB2161="",X2161,AB2161)</f>
        <v>sim</v>
      </c>
      <c r="AE2161" t="str">
        <f>IF(OR(Configuracao!B9="",Configuracao!B10=""),"aguardando limiar",IF(AND(K2161&gt;=Configuracao!B9,K2161/MAX(Reconciliacao!C2,1)&gt;=Configuracao!B10/100),"sim","não"))</f>
        <v>aguardando limiar</v>
      </c>
    </row>
    <row r="2162" spans="1:31" x14ac:dyDescent="0.25">
      <c r="A2162">
        <v>16007</v>
      </c>
      <c r="C2162" t="s">
        <v>1436</v>
      </c>
      <c r="D2162" t="s">
        <v>592</v>
      </c>
      <c r="E2162" t="s">
        <v>445</v>
      </c>
      <c r="F2162" t="s">
        <v>158</v>
      </c>
      <c r="G2162" t="s">
        <v>157</v>
      </c>
      <c r="H2162" t="s">
        <v>156</v>
      </c>
      <c r="I2162" t="s">
        <v>424</v>
      </c>
      <c r="J2162" t="s">
        <v>420</v>
      </c>
      <c r="K2162" s="4">
        <v>8321.69</v>
      </c>
      <c r="L2162" s="4">
        <v>8321.69</v>
      </c>
      <c r="M2162" t="s">
        <v>44</v>
      </c>
      <c r="N2162" t="s">
        <v>77</v>
      </c>
      <c r="O2162" t="s">
        <v>99</v>
      </c>
      <c r="P2162" t="s">
        <v>99</v>
      </c>
      <c r="Q2162" t="s">
        <v>159</v>
      </c>
      <c r="R2162" t="s">
        <v>160</v>
      </c>
      <c r="S2162" t="s">
        <v>161</v>
      </c>
      <c r="T2162" t="s">
        <v>162</v>
      </c>
      <c r="U2162" t="s">
        <v>163</v>
      </c>
      <c r="V2162" t="s">
        <v>164</v>
      </c>
      <c r="W2162" t="s">
        <v>116</v>
      </c>
      <c r="X2162" t="s">
        <v>44</v>
      </c>
      <c r="Y2162" t="s">
        <v>99</v>
      </c>
      <c r="Z2162" t="s">
        <v>421</v>
      </c>
      <c r="AC2162" t="str">
        <f>IF(AA2162="",M2162,AA2162)</f>
        <v>sim</v>
      </c>
      <c r="AD2162" t="str">
        <f>IF(AB2162="",X2162,AB2162)</f>
        <v>sim</v>
      </c>
      <c r="AE2162" t="str">
        <f>IF(OR(Configuracao!B9="",Configuracao!B10=""),"aguardando limiar",IF(AND(K2162&gt;=Configuracao!B9,K2162/MAX(Reconciliacao!C2,1)&gt;=Configuracao!B10/100),"sim","não"))</f>
        <v>aguardando limiar</v>
      </c>
    </row>
    <row r="2163" spans="1:31" x14ac:dyDescent="0.25">
      <c r="A2163">
        <v>16194</v>
      </c>
      <c r="C2163" t="s">
        <v>1436</v>
      </c>
      <c r="D2163" t="s">
        <v>592</v>
      </c>
      <c r="E2163" t="s">
        <v>445</v>
      </c>
      <c r="F2163" t="s">
        <v>158</v>
      </c>
      <c r="G2163" t="s">
        <v>157</v>
      </c>
      <c r="H2163" t="s">
        <v>156</v>
      </c>
      <c r="I2163" t="s">
        <v>454</v>
      </c>
      <c r="J2163" t="s">
        <v>461</v>
      </c>
      <c r="K2163" s="4">
        <v>8321.69</v>
      </c>
      <c r="L2163" s="4">
        <v>8321.69</v>
      </c>
      <c r="M2163" t="s">
        <v>44</v>
      </c>
      <c r="N2163" t="s">
        <v>77</v>
      </c>
      <c r="O2163" t="s">
        <v>99</v>
      </c>
      <c r="P2163" t="s">
        <v>99</v>
      </c>
      <c r="Q2163" t="s">
        <v>159</v>
      </c>
      <c r="R2163" t="s">
        <v>160</v>
      </c>
      <c r="S2163" t="s">
        <v>161</v>
      </c>
      <c r="T2163" t="s">
        <v>162</v>
      </c>
      <c r="U2163" t="s">
        <v>163</v>
      </c>
      <c r="V2163" t="s">
        <v>164</v>
      </c>
      <c r="W2163" t="s">
        <v>116</v>
      </c>
      <c r="X2163" t="s">
        <v>44</v>
      </c>
      <c r="Y2163" t="s">
        <v>99</v>
      </c>
      <c r="Z2163" t="s">
        <v>421</v>
      </c>
      <c r="AC2163" t="str">
        <f>IF(AA2163="",M2163,AA2163)</f>
        <v>sim</v>
      </c>
      <c r="AD2163" t="str">
        <f>IF(AB2163="",X2163,AB2163)</f>
        <v>sim</v>
      </c>
      <c r="AE2163" t="str">
        <f>IF(OR(Configuracao!B9="",Configuracao!B10=""),"aguardando limiar",IF(AND(K2163&gt;=Configuracao!B9,K2163/MAX(Reconciliacao!C2,1)&gt;=Configuracao!B10/100),"sim","não"))</f>
        <v>aguardando limiar</v>
      </c>
    </row>
    <row r="2164" spans="1:31" x14ac:dyDescent="0.25">
      <c r="A2164">
        <v>12943</v>
      </c>
      <c r="C2164" t="s">
        <v>1383</v>
      </c>
      <c r="D2164" t="s">
        <v>1384</v>
      </c>
      <c r="E2164" t="s">
        <v>477</v>
      </c>
      <c r="F2164" t="s">
        <v>158</v>
      </c>
      <c r="G2164" t="s">
        <v>157</v>
      </c>
      <c r="H2164" t="s">
        <v>156</v>
      </c>
      <c r="I2164" t="s">
        <v>424</v>
      </c>
      <c r="J2164" t="s">
        <v>424</v>
      </c>
      <c r="K2164" s="4">
        <v>8500</v>
      </c>
      <c r="L2164" s="4">
        <v>8500</v>
      </c>
      <c r="M2164" t="s">
        <v>44</v>
      </c>
      <c r="N2164" t="s">
        <v>77</v>
      </c>
      <c r="O2164" t="s">
        <v>99</v>
      </c>
      <c r="P2164" t="s">
        <v>99</v>
      </c>
      <c r="Q2164" t="s">
        <v>159</v>
      </c>
      <c r="R2164" t="s">
        <v>160</v>
      </c>
      <c r="S2164" t="s">
        <v>161</v>
      </c>
      <c r="T2164" t="s">
        <v>162</v>
      </c>
      <c r="U2164" t="s">
        <v>163</v>
      </c>
      <c r="V2164" t="s">
        <v>164</v>
      </c>
      <c r="W2164" t="s">
        <v>116</v>
      </c>
      <c r="X2164" t="s">
        <v>44</v>
      </c>
      <c r="Y2164" t="s">
        <v>99</v>
      </c>
      <c r="Z2164" t="s">
        <v>421</v>
      </c>
      <c r="AC2164" t="str">
        <f>IF(AA2164="",M2164,AA2164)</f>
        <v>sim</v>
      </c>
      <c r="AD2164" t="str">
        <f>IF(AB2164="",X2164,AB2164)</f>
        <v>sim</v>
      </c>
      <c r="AE2164" t="str">
        <f>IF(OR(Configuracao!B9="",Configuracao!B10=""),"aguardando limiar",IF(AND(K2164&gt;=Configuracao!B9,K2164/MAX(Reconciliacao!C2,1)&gt;=Configuracao!B10/100),"sim","não"))</f>
        <v>aguardando limiar</v>
      </c>
    </row>
    <row r="2165" spans="1:31" x14ac:dyDescent="0.25">
      <c r="A2165">
        <v>12952</v>
      </c>
      <c r="C2165" t="s">
        <v>1394</v>
      </c>
      <c r="D2165" t="s">
        <v>578</v>
      </c>
      <c r="E2165" t="s">
        <v>525</v>
      </c>
      <c r="F2165" t="s">
        <v>158</v>
      </c>
      <c r="G2165" t="s">
        <v>157</v>
      </c>
      <c r="H2165" t="s">
        <v>156</v>
      </c>
      <c r="I2165" t="s">
        <v>424</v>
      </c>
      <c r="J2165" t="s">
        <v>424</v>
      </c>
      <c r="K2165" s="4">
        <v>8704.69</v>
      </c>
      <c r="L2165" s="4">
        <v>8704.69</v>
      </c>
      <c r="M2165" t="s">
        <v>44</v>
      </c>
      <c r="N2165" t="s">
        <v>77</v>
      </c>
      <c r="O2165" t="s">
        <v>99</v>
      </c>
      <c r="P2165" t="s">
        <v>99</v>
      </c>
      <c r="Q2165" t="s">
        <v>159</v>
      </c>
      <c r="R2165" t="s">
        <v>160</v>
      </c>
      <c r="S2165" t="s">
        <v>161</v>
      </c>
      <c r="T2165" t="s">
        <v>162</v>
      </c>
      <c r="U2165" t="s">
        <v>163</v>
      </c>
      <c r="V2165" t="s">
        <v>164</v>
      </c>
      <c r="W2165" t="s">
        <v>116</v>
      </c>
      <c r="X2165" t="s">
        <v>44</v>
      </c>
      <c r="Y2165" t="s">
        <v>99</v>
      </c>
      <c r="Z2165" t="s">
        <v>421</v>
      </c>
      <c r="AC2165" t="str">
        <f>IF(AA2165="",M2165,AA2165)</f>
        <v>sim</v>
      </c>
      <c r="AD2165" t="str">
        <f>IF(AB2165="",X2165,AB2165)</f>
        <v>sim</v>
      </c>
      <c r="AE2165" t="str">
        <f>IF(OR(Configuracao!B9="",Configuracao!B10=""),"aguardando limiar",IF(AND(K2165&gt;=Configuracao!B9,K2165/MAX(Reconciliacao!C2,1)&gt;=Configuracao!B10/100),"sim","não"))</f>
        <v>aguardando limiar</v>
      </c>
    </row>
    <row r="2166" spans="1:31" x14ac:dyDescent="0.25">
      <c r="A2166">
        <v>14215</v>
      </c>
      <c r="C2166" t="s">
        <v>1406</v>
      </c>
      <c r="D2166" t="s">
        <v>1407</v>
      </c>
      <c r="E2166" t="s">
        <v>467</v>
      </c>
      <c r="F2166" t="s">
        <v>158</v>
      </c>
      <c r="G2166" t="s">
        <v>157</v>
      </c>
      <c r="H2166" t="s">
        <v>156</v>
      </c>
      <c r="I2166" t="s">
        <v>420</v>
      </c>
      <c r="J2166" t="s">
        <v>454</v>
      </c>
      <c r="K2166" s="4">
        <v>8821.69</v>
      </c>
      <c r="L2166" s="4">
        <v>8821.69</v>
      </c>
      <c r="M2166" t="s">
        <v>44</v>
      </c>
      <c r="N2166" t="s">
        <v>77</v>
      </c>
      <c r="O2166" t="s">
        <v>99</v>
      </c>
      <c r="P2166" t="s">
        <v>99</v>
      </c>
      <c r="Q2166" t="s">
        <v>159</v>
      </c>
      <c r="R2166" t="s">
        <v>160</v>
      </c>
      <c r="S2166" t="s">
        <v>161</v>
      </c>
      <c r="T2166" t="s">
        <v>162</v>
      </c>
      <c r="U2166" t="s">
        <v>163</v>
      </c>
      <c r="V2166" t="s">
        <v>164</v>
      </c>
      <c r="W2166" t="s">
        <v>116</v>
      </c>
      <c r="X2166" t="s">
        <v>44</v>
      </c>
      <c r="Y2166" t="s">
        <v>99</v>
      </c>
      <c r="Z2166" t="s">
        <v>421</v>
      </c>
      <c r="AC2166" t="str">
        <f>IF(AA2166="",M2166,AA2166)</f>
        <v>sim</v>
      </c>
      <c r="AD2166" t="str">
        <f>IF(AB2166="",X2166,AB2166)</f>
        <v>sim</v>
      </c>
      <c r="AE2166" t="str">
        <f>IF(OR(Configuracao!B9="",Configuracao!B10=""),"aguardando limiar",IF(AND(K2166&gt;=Configuracao!B9,K2166/MAX(Reconciliacao!C2,1)&gt;=Configuracao!B10/100),"sim","não"))</f>
        <v>aguardando limiar</v>
      </c>
    </row>
    <row r="2167" spans="1:31" x14ac:dyDescent="0.25">
      <c r="A2167">
        <v>16176</v>
      </c>
      <c r="C2167" t="s">
        <v>1406</v>
      </c>
      <c r="D2167" t="s">
        <v>1407</v>
      </c>
      <c r="E2167" t="s">
        <v>467</v>
      </c>
      <c r="F2167" t="s">
        <v>158</v>
      </c>
      <c r="G2167" t="s">
        <v>157</v>
      </c>
      <c r="H2167" t="s">
        <v>156</v>
      </c>
      <c r="I2167" t="s">
        <v>454</v>
      </c>
      <c r="J2167" t="s">
        <v>461</v>
      </c>
      <c r="K2167" s="4">
        <v>8821.69</v>
      </c>
      <c r="L2167" s="4">
        <v>8821.69</v>
      </c>
      <c r="M2167" t="s">
        <v>44</v>
      </c>
      <c r="N2167" t="s">
        <v>77</v>
      </c>
      <c r="O2167" t="s">
        <v>99</v>
      </c>
      <c r="P2167" t="s">
        <v>99</v>
      </c>
      <c r="Q2167" t="s">
        <v>159</v>
      </c>
      <c r="R2167" t="s">
        <v>160</v>
      </c>
      <c r="S2167" t="s">
        <v>161</v>
      </c>
      <c r="T2167" t="s">
        <v>162</v>
      </c>
      <c r="U2167" t="s">
        <v>163</v>
      </c>
      <c r="V2167" t="s">
        <v>164</v>
      </c>
      <c r="W2167" t="s">
        <v>116</v>
      </c>
      <c r="X2167" t="s">
        <v>44</v>
      </c>
      <c r="Y2167" t="s">
        <v>99</v>
      </c>
      <c r="Z2167" t="s">
        <v>421</v>
      </c>
      <c r="AC2167" t="str">
        <f>IF(AA2167="",M2167,AA2167)</f>
        <v>sim</v>
      </c>
      <c r="AD2167" t="str">
        <f>IF(AB2167="",X2167,AB2167)</f>
        <v>sim</v>
      </c>
      <c r="AE2167" t="str">
        <f>IF(OR(Configuracao!B9="",Configuracao!B10=""),"aguardando limiar",IF(AND(K2167&gt;=Configuracao!B9,K2167/MAX(Reconciliacao!C2,1)&gt;=Configuracao!B10/100),"sim","não"))</f>
        <v>aguardando limiar</v>
      </c>
    </row>
    <row r="2168" spans="1:31" x14ac:dyDescent="0.25">
      <c r="A2168">
        <v>17269</v>
      </c>
      <c r="C2168" t="s">
        <v>1406</v>
      </c>
      <c r="D2168" t="s">
        <v>1407</v>
      </c>
      <c r="E2168" t="s">
        <v>467</v>
      </c>
      <c r="F2168" t="s">
        <v>158</v>
      </c>
      <c r="G2168" t="s">
        <v>157</v>
      </c>
      <c r="H2168" t="s">
        <v>156</v>
      </c>
      <c r="I2168" t="s">
        <v>461</v>
      </c>
      <c r="J2168" t="s">
        <v>442</v>
      </c>
      <c r="K2168" s="4">
        <v>8821.69</v>
      </c>
      <c r="L2168" s="4">
        <v>8821.69</v>
      </c>
      <c r="M2168" t="s">
        <v>44</v>
      </c>
      <c r="N2168" t="s">
        <v>77</v>
      </c>
      <c r="O2168" t="s">
        <v>99</v>
      </c>
      <c r="P2168" t="s">
        <v>99</v>
      </c>
      <c r="Q2168" t="s">
        <v>159</v>
      </c>
      <c r="R2168" t="s">
        <v>160</v>
      </c>
      <c r="S2168" t="s">
        <v>161</v>
      </c>
      <c r="T2168" t="s">
        <v>162</v>
      </c>
      <c r="U2168" t="s">
        <v>163</v>
      </c>
      <c r="V2168" t="s">
        <v>164</v>
      </c>
      <c r="W2168" t="s">
        <v>116</v>
      </c>
      <c r="X2168" t="s">
        <v>44</v>
      </c>
      <c r="Y2168" t="s">
        <v>99</v>
      </c>
      <c r="Z2168" t="s">
        <v>421</v>
      </c>
      <c r="AC2168" t="str">
        <f>IF(AA2168="",M2168,AA2168)</f>
        <v>sim</v>
      </c>
      <c r="AD2168" t="str">
        <f>IF(AB2168="",X2168,AB2168)</f>
        <v>sim</v>
      </c>
      <c r="AE2168" t="str">
        <f>IF(OR(Configuracao!B9="",Configuracao!B10=""),"aguardando limiar",IF(AND(K2168&gt;=Configuracao!B9,K2168/MAX(Reconciliacao!C2,1)&gt;=Configuracao!B10/100),"sim","não"))</f>
        <v>aguardando limiar</v>
      </c>
    </row>
    <row r="2169" spans="1:31" x14ac:dyDescent="0.25">
      <c r="A2169">
        <v>17956</v>
      </c>
      <c r="C2169" t="s">
        <v>1406</v>
      </c>
      <c r="D2169" t="s">
        <v>1407</v>
      </c>
      <c r="E2169" t="s">
        <v>467</v>
      </c>
      <c r="F2169" t="s">
        <v>158</v>
      </c>
      <c r="G2169" t="s">
        <v>157</v>
      </c>
      <c r="H2169" t="s">
        <v>156</v>
      </c>
      <c r="I2169" t="s">
        <v>442</v>
      </c>
      <c r="J2169" t="s">
        <v>439</v>
      </c>
      <c r="K2169" s="4">
        <v>8821.69</v>
      </c>
      <c r="L2169" s="4">
        <v>8821.69</v>
      </c>
      <c r="M2169" t="s">
        <v>44</v>
      </c>
      <c r="N2169" t="s">
        <v>77</v>
      </c>
      <c r="O2169" t="s">
        <v>99</v>
      </c>
      <c r="P2169" t="s">
        <v>99</v>
      </c>
      <c r="Q2169" t="s">
        <v>159</v>
      </c>
      <c r="R2169" t="s">
        <v>160</v>
      </c>
      <c r="S2169" t="s">
        <v>161</v>
      </c>
      <c r="T2169" t="s">
        <v>162</v>
      </c>
      <c r="U2169" t="s">
        <v>163</v>
      </c>
      <c r="V2169" t="s">
        <v>164</v>
      </c>
      <c r="W2169" t="s">
        <v>116</v>
      </c>
      <c r="X2169" t="s">
        <v>44</v>
      </c>
      <c r="Y2169" t="s">
        <v>99</v>
      </c>
      <c r="Z2169" t="s">
        <v>421</v>
      </c>
      <c r="AC2169" t="str">
        <f>IF(AA2169="",M2169,AA2169)</f>
        <v>sim</v>
      </c>
      <c r="AD2169" t="str">
        <f>IF(AB2169="",X2169,AB2169)</f>
        <v>sim</v>
      </c>
      <c r="AE2169" t="str">
        <f>IF(OR(Configuracao!B9="",Configuracao!B10=""),"aguardando limiar",IF(AND(K2169&gt;=Configuracao!B9,K2169/MAX(Reconciliacao!C2,1)&gt;=Configuracao!B10/100),"sim","não"))</f>
        <v>aguardando limiar</v>
      </c>
    </row>
    <row r="2170" spans="1:31" x14ac:dyDescent="0.25">
      <c r="A2170">
        <v>18799</v>
      </c>
      <c r="C2170" t="s">
        <v>1406</v>
      </c>
      <c r="D2170" t="s">
        <v>1407</v>
      </c>
      <c r="E2170" t="s">
        <v>467</v>
      </c>
      <c r="F2170" t="s">
        <v>158</v>
      </c>
      <c r="G2170" t="s">
        <v>157</v>
      </c>
      <c r="H2170" t="s">
        <v>156</v>
      </c>
      <c r="I2170" t="s">
        <v>439</v>
      </c>
      <c r="J2170" t="s">
        <v>35</v>
      </c>
      <c r="K2170" s="4">
        <v>8821.69</v>
      </c>
      <c r="L2170" s="4">
        <v>8821.69</v>
      </c>
      <c r="M2170" t="s">
        <v>44</v>
      </c>
      <c r="N2170" t="s">
        <v>77</v>
      </c>
      <c r="O2170" t="s">
        <v>99</v>
      </c>
      <c r="P2170" t="s">
        <v>99</v>
      </c>
      <c r="Q2170" t="s">
        <v>159</v>
      </c>
      <c r="R2170" t="s">
        <v>160</v>
      </c>
      <c r="S2170" t="s">
        <v>161</v>
      </c>
      <c r="T2170" t="s">
        <v>162</v>
      </c>
      <c r="U2170" t="s">
        <v>163</v>
      </c>
      <c r="V2170" t="s">
        <v>164</v>
      </c>
      <c r="W2170" t="s">
        <v>116</v>
      </c>
      <c r="X2170" t="s">
        <v>44</v>
      </c>
      <c r="Y2170" t="s">
        <v>99</v>
      </c>
      <c r="Z2170" t="s">
        <v>421</v>
      </c>
      <c r="AC2170" t="str">
        <f>IF(AA2170="",M2170,AA2170)</f>
        <v>sim</v>
      </c>
      <c r="AD2170" t="str">
        <f>IF(AB2170="",X2170,AB2170)</f>
        <v>sim</v>
      </c>
      <c r="AE2170" t="str">
        <f>IF(OR(Configuracao!B9="",Configuracao!B10=""),"aguardando limiar",IF(AND(K2170&gt;=Configuracao!B9,K2170/MAX(Reconciliacao!C2,1)&gt;=Configuracao!B10/100),"sim","não"))</f>
        <v>aguardando limiar</v>
      </c>
    </row>
    <row r="2171" spans="1:31" x14ac:dyDescent="0.25">
      <c r="A2171">
        <v>14204</v>
      </c>
      <c r="C2171" t="s">
        <v>1482</v>
      </c>
      <c r="D2171" t="s">
        <v>630</v>
      </c>
      <c r="E2171" t="s">
        <v>511</v>
      </c>
      <c r="F2171" t="s">
        <v>158</v>
      </c>
      <c r="G2171" t="s">
        <v>157</v>
      </c>
      <c r="H2171" t="s">
        <v>156</v>
      </c>
      <c r="I2171" t="s">
        <v>420</v>
      </c>
      <c r="J2171" t="s">
        <v>454</v>
      </c>
      <c r="K2171" s="4">
        <v>9000</v>
      </c>
      <c r="L2171" s="4">
        <v>9000</v>
      </c>
      <c r="M2171" t="s">
        <v>44</v>
      </c>
      <c r="N2171" t="s">
        <v>77</v>
      </c>
      <c r="O2171" t="s">
        <v>99</v>
      </c>
      <c r="P2171" t="s">
        <v>99</v>
      </c>
      <c r="Q2171" t="s">
        <v>159</v>
      </c>
      <c r="R2171" t="s">
        <v>160</v>
      </c>
      <c r="S2171" t="s">
        <v>161</v>
      </c>
      <c r="T2171" t="s">
        <v>162</v>
      </c>
      <c r="U2171" t="s">
        <v>163</v>
      </c>
      <c r="V2171" t="s">
        <v>164</v>
      </c>
      <c r="W2171" t="s">
        <v>116</v>
      </c>
      <c r="X2171" t="s">
        <v>44</v>
      </c>
      <c r="Y2171" t="s">
        <v>99</v>
      </c>
      <c r="Z2171" t="s">
        <v>421</v>
      </c>
      <c r="AC2171" t="str">
        <f>IF(AA2171="",M2171,AA2171)</f>
        <v>sim</v>
      </c>
      <c r="AD2171" t="str">
        <f>IF(AB2171="",X2171,AB2171)</f>
        <v>sim</v>
      </c>
      <c r="AE2171" t="str">
        <f>IF(OR(Configuracao!B9="",Configuracao!B10=""),"aguardando limiar",IF(AND(K2171&gt;=Configuracao!B9,K2171/MAX(Reconciliacao!C2,1)&gt;=Configuracao!B10/100),"sim","não"))</f>
        <v>aguardando limiar</v>
      </c>
    </row>
    <row r="2172" spans="1:31" x14ac:dyDescent="0.25">
      <c r="A2172">
        <v>15978</v>
      </c>
      <c r="C2172" t="s">
        <v>1482</v>
      </c>
      <c r="D2172" t="s">
        <v>630</v>
      </c>
      <c r="E2172" t="s">
        <v>511</v>
      </c>
      <c r="F2172" t="s">
        <v>158</v>
      </c>
      <c r="G2172" t="s">
        <v>157</v>
      </c>
      <c r="H2172" t="s">
        <v>156</v>
      </c>
      <c r="I2172" t="s">
        <v>424</v>
      </c>
      <c r="J2172" t="s">
        <v>420</v>
      </c>
      <c r="K2172" s="4">
        <v>9000</v>
      </c>
      <c r="L2172" s="4">
        <v>9000</v>
      </c>
      <c r="M2172" t="s">
        <v>44</v>
      </c>
      <c r="N2172" t="s">
        <v>77</v>
      </c>
      <c r="O2172" t="s">
        <v>99</v>
      </c>
      <c r="P2172" t="s">
        <v>99</v>
      </c>
      <c r="Q2172" t="s">
        <v>159</v>
      </c>
      <c r="R2172" t="s">
        <v>160</v>
      </c>
      <c r="S2172" t="s">
        <v>161</v>
      </c>
      <c r="T2172" t="s">
        <v>162</v>
      </c>
      <c r="U2172" t="s">
        <v>163</v>
      </c>
      <c r="V2172" t="s">
        <v>164</v>
      </c>
      <c r="W2172" t="s">
        <v>116</v>
      </c>
      <c r="X2172" t="s">
        <v>44</v>
      </c>
      <c r="Y2172" t="s">
        <v>99</v>
      </c>
      <c r="Z2172" t="s">
        <v>421</v>
      </c>
      <c r="AC2172" t="str">
        <f>IF(AA2172="",M2172,AA2172)</f>
        <v>sim</v>
      </c>
      <c r="AD2172" t="str">
        <f>IF(AB2172="",X2172,AB2172)</f>
        <v>sim</v>
      </c>
      <c r="AE2172" t="str">
        <f>IF(OR(Configuracao!B9="",Configuracao!B10=""),"aguardando limiar",IF(AND(K2172&gt;=Configuracao!B9,K2172/MAX(Reconciliacao!C2,1)&gt;=Configuracao!B10/100),"sim","não"))</f>
        <v>aguardando limiar</v>
      </c>
    </row>
    <row r="2173" spans="1:31" x14ac:dyDescent="0.25">
      <c r="A2173">
        <v>16161</v>
      </c>
      <c r="C2173" t="s">
        <v>1482</v>
      </c>
      <c r="D2173" t="s">
        <v>630</v>
      </c>
      <c r="E2173" t="s">
        <v>511</v>
      </c>
      <c r="F2173" t="s">
        <v>158</v>
      </c>
      <c r="G2173" t="s">
        <v>157</v>
      </c>
      <c r="H2173" t="s">
        <v>156</v>
      </c>
      <c r="I2173" t="s">
        <v>454</v>
      </c>
      <c r="J2173" t="s">
        <v>461</v>
      </c>
      <c r="K2173" s="4">
        <v>9000</v>
      </c>
      <c r="L2173" s="4">
        <v>9000</v>
      </c>
      <c r="M2173" t="s">
        <v>44</v>
      </c>
      <c r="N2173" t="s">
        <v>77</v>
      </c>
      <c r="O2173" t="s">
        <v>99</v>
      </c>
      <c r="P2173" t="s">
        <v>99</v>
      </c>
      <c r="Q2173" t="s">
        <v>159</v>
      </c>
      <c r="R2173" t="s">
        <v>160</v>
      </c>
      <c r="S2173" t="s">
        <v>161</v>
      </c>
      <c r="T2173" t="s">
        <v>162</v>
      </c>
      <c r="U2173" t="s">
        <v>163</v>
      </c>
      <c r="V2173" t="s">
        <v>164</v>
      </c>
      <c r="W2173" t="s">
        <v>116</v>
      </c>
      <c r="X2173" t="s">
        <v>44</v>
      </c>
      <c r="Y2173" t="s">
        <v>99</v>
      </c>
      <c r="Z2173" t="s">
        <v>421</v>
      </c>
      <c r="AC2173" t="str">
        <f>IF(AA2173="",M2173,AA2173)</f>
        <v>sim</v>
      </c>
      <c r="AD2173" t="str">
        <f>IF(AB2173="",X2173,AB2173)</f>
        <v>sim</v>
      </c>
      <c r="AE2173" t="str">
        <f>IF(OR(Configuracao!B9="",Configuracao!B10=""),"aguardando limiar",IF(AND(K2173&gt;=Configuracao!B9,K2173/MAX(Reconciliacao!C2,1)&gt;=Configuracao!B10/100),"sim","não"))</f>
        <v>aguardando limiar</v>
      </c>
    </row>
    <row r="2174" spans="1:31" x14ac:dyDescent="0.25">
      <c r="A2174">
        <v>17251</v>
      </c>
      <c r="C2174" t="s">
        <v>1482</v>
      </c>
      <c r="D2174" t="s">
        <v>630</v>
      </c>
      <c r="E2174" t="s">
        <v>511</v>
      </c>
      <c r="F2174" t="s">
        <v>158</v>
      </c>
      <c r="G2174" t="s">
        <v>157</v>
      </c>
      <c r="H2174" t="s">
        <v>156</v>
      </c>
      <c r="I2174" t="s">
        <v>461</v>
      </c>
      <c r="J2174" t="s">
        <v>442</v>
      </c>
      <c r="K2174" s="4">
        <v>9000</v>
      </c>
      <c r="L2174" s="4">
        <v>9000</v>
      </c>
      <c r="M2174" t="s">
        <v>44</v>
      </c>
      <c r="N2174" t="s">
        <v>77</v>
      </c>
      <c r="O2174" t="s">
        <v>99</v>
      </c>
      <c r="P2174" t="s">
        <v>99</v>
      </c>
      <c r="Q2174" t="s">
        <v>159</v>
      </c>
      <c r="R2174" t="s">
        <v>160</v>
      </c>
      <c r="S2174" t="s">
        <v>161</v>
      </c>
      <c r="T2174" t="s">
        <v>162</v>
      </c>
      <c r="U2174" t="s">
        <v>163</v>
      </c>
      <c r="V2174" t="s">
        <v>164</v>
      </c>
      <c r="W2174" t="s">
        <v>116</v>
      </c>
      <c r="X2174" t="s">
        <v>44</v>
      </c>
      <c r="Y2174" t="s">
        <v>99</v>
      </c>
      <c r="Z2174" t="s">
        <v>421</v>
      </c>
      <c r="AC2174" t="str">
        <f>IF(AA2174="",M2174,AA2174)</f>
        <v>sim</v>
      </c>
      <c r="AD2174" t="str">
        <f>IF(AB2174="",X2174,AB2174)</f>
        <v>sim</v>
      </c>
      <c r="AE2174" t="str">
        <f>IF(OR(Configuracao!B9="",Configuracao!B10=""),"aguardando limiar",IF(AND(K2174&gt;=Configuracao!B9,K2174/MAX(Reconciliacao!C2,1)&gt;=Configuracao!B10/100),"sim","não"))</f>
        <v>aguardando limiar</v>
      </c>
    </row>
    <row r="2175" spans="1:31" x14ac:dyDescent="0.25">
      <c r="A2175">
        <v>18790</v>
      </c>
      <c r="C2175" t="s">
        <v>1477</v>
      </c>
      <c r="D2175" t="s">
        <v>1478</v>
      </c>
      <c r="E2175" t="s">
        <v>525</v>
      </c>
      <c r="F2175" t="s">
        <v>158</v>
      </c>
      <c r="G2175" t="s">
        <v>157</v>
      </c>
      <c r="H2175" t="s">
        <v>156</v>
      </c>
      <c r="I2175" t="s">
        <v>439</v>
      </c>
      <c r="J2175" t="s">
        <v>35</v>
      </c>
      <c r="K2175" s="4">
        <v>9000</v>
      </c>
      <c r="L2175" s="4">
        <v>9000</v>
      </c>
      <c r="M2175" t="s">
        <v>44</v>
      </c>
      <c r="N2175" t="s">
        <v>77</v>
      </c>
      <c r="O2175" t="s">
        <v>99</v>
      </c>
      <c r="P2175" t="s">
        <v>99</v>
      </c>
      <c r="Q2175" t="s">
        <v>159</v>
      </c>
      <c r="R2175" t="s">
        <v>160</v>
      </c>
      <c r="S2175" t="s">
        <v>161</v>
      </c>
      <c r="T2175" t="s">
        <v>162</v>
      </c>
      <c r="U2175" t="s">
        <v>163</v>
      </c>
      <c r="V2175" t="s">
        <v>164</v>
      </c>
      <c r="W2175" t="s">
        <v>116</v>
      </c>
      <c r="X2175" t="s">
        <v>44</v>
      </c>
      <c r="Y2175" t="s">
        <v>99</v>
      </c>
      <c r="Z2175" t="s">
        <v>421</v>
      </c>
      <c r="AC2175" t="str">
        <f>IF(AA2175="",M2175,AA2175)</f>
        <v>sim</v>
      </c>
      <c r="AD2175" t="str">
        <f>IF(AB2175="",X2175,AB2175)</f>
        <v>sim</v>
      </c>
      <c r="AE2175" t="str">
        <f>IF(OR(Configuracao!B9="",Configuracao!B10=""),"aguardando limiar",IF(AND(K2175&gt;=Configuracao!B9,K2175/MAX(Reconciliacao!C2,1)&gt;=Configuracao!B10/100),"sim","não"))</f>
        <v>aguardando limiar</v>
      </c>
    </row>
    <row r="2176" spans="1:31" x14ac:dyDescent="0.25">
      <c r="A2176">
        <v>14195</v>
      </c>
      <c r="C2176" t="s">
        <v>1373</v>
      </c>
      <c r="D2176" t="s">
        <v>1374</v>
      </c>
      <c r="E2176" t="s">
        <v>467</v>
      </c>
      <c r="F2176" t="s">
        <v>158</v>
      </c>
      <c r="G2176" t="s">
        <v>157</v>
      </c>
      <c r="H2176" t="s">
        <v>156</v>
      </c>
      <c r="I2176" t="s">
        <v>420</v>
      </c>
      <c r="J2176" t="s">
        <v>454</v>
      </c>
      <c r="K2176" s="4">
        <v>9321.69</v>
      </c>
      <c r="L2176" s="4">
        <v>9321.69</v>
      </c>
      <c r="M2176" t="s">
        <v>44</v>
      </c>
      <c r="N2176" t="s">
        <v>77</v>
      </c>
      <c r="O2176" t="s">
        <v>99</v>
      </c>
      <c r="P2176" t="s">
        <v>99</v>
      </c>
      <c r="Q2176" t="s">
        <v>159</v>
      </c>
      <c r="R2176" t="s">
        <v>160</v>
      </c>
      <c r="S2176" t="s">
        <v>161</v>
      </c>
      <c r="T2176" t="s">
        <v>162</v>
      </c>
      <c r="U2176" t="s">
        <v>163</v>
      </c>
      <c r="V2176" t="s">
        <v>164</v>
      </c>
      <c r="W2176" t="s">
        <v>116</v>
      </c>
      <c r="X2176" t="s">
        <v>44</v>
      </c>
      <c r="Y2176" t="s">
        <v>99</v>
      </c>
      <c r="Z2176" t="s">
        <v>421</v>
      </c>
      <c r="AC2176" t="str">
        <f>IF(AA2176="",M2176,AA2176)</f>
        <v>sim</v>
      </c>
      <c r="AD2176" t="str">
        <f>IF(AB2176="",X2176,AB2176)</f>
        <v>sim</v>
      </c>
      <c r="AE2176" t="str">
        <f>IF(OR(Configuracao!B9="",Configuracao!B10=""),"aguardando limiar",IF(AND(K2176&gt;=Configuracao!B9,K2176/MAX(Reconciliacao!C2,1)&gt;=Configuracao!B10/100),"sim","não"))</f>
        <v>aguardando limiar</v>
      </c>
    </row>
    <row r="2177" spans="1:31" x14ac:dyDescent="0.25">
      <c r="A2177">
        <v>16153</v>
      </c>
      <c r="C2177" t="s">
        <v>1373</v>
      </c>
      <c r="D2177" t="s">
        <v>1374</v>
      </c>
      <c r="E2177" t="s">
        <v>467</v>
      </c>
      <c r="F2177" t="s">
        <v>158</v>
      </c>
      <c r="G2177" t="s">
        <v>157</v>
      </c>
      <c r="H2177" t="s">
        <v>156</v>
      </c>
      <c r="I2177" t="s">
        <v>454</v>
      </c>
      <c r="J2177" t="s">
        <v>461</v>
      </c>
      <c r="K2177" s="4">
        <v>9321.69</v>
      </c>
      <c r="L2177" s="4">
        <v>9321.69</v>
      </c>
      <c r="M2177" t="s">
        <v>44</v>
      </c>
      <c r="N2177" t="s">
        <v>77</v>
      </c>
      <c r="O2177" t="s">
        <v>99</v>
      </c>
      <c r="P2177" t="s">
        <v>99</v>
      </c>
      <c r="Q2177" t="s">
        <v>159</v>
      </c>
      <c r="R2177" t="s">
        <v>160</v>
      </c>
      <c r="S2177" t="s">
        <v>161</v>
      </c>
      <c r="T2177" t="s">
        <v>162</v>
      </c>
      <c r="U2177" t="s">
        <v>163</v>
      </c>
      <c r="V2177" t="s">
        <v>164</v>
      </c>
      <c r="W2177" t="s">
        <v>116</v>
      </c>
      <c r="X2177" t="s">
        <v>44</v>
      </c>
      <c r="Y2177" t="s">
        <v>99</v>
      </c>
      <c r="Z2177" t="s">
        <v>421</v>
      </c>
      <c r="AC2177" t="str">
        <f>IF(AA2177="",M2177,AA2177)</f>
        <v>sim</v>
      </c>
      <c r="AD2177" t="str">
        <f>IF(AB2177="",X2177,AB2177)</f>
        <v>sim</v>
      </c>
      <c r="AE2177" t="str">
        <f>IF(OR(Configuracao!B9="",Configuracao!B10=""),"aguardando limiar",IF(AND(K2177&gt;=Configuracao!B9,K2177/MAX(Reconciliacao!C2,1)&gt;=Configuracao!B10/100),"sim","não"))</f>
        <v>aguardando limiar</v>
      </c>
    </row>
    <row r="2178" spans="1:31" x14ac:dyDescent="0.25">
      <c r="A2178">
        <v>17242</v>
      </c>
      <c r="C2178" t="s">
        <v>1373</v>
      </c>
      <c r="D2178" t="s">
        <v>1374</v>
      </c>
      <c r="E2178" t="s">
        <v>467</v>
      </c>
      <c r="F2178" t="s">
        <v>158</v>
      </c>
      <c r="G2178" t="s">
        <v>157</v>
      </c>
      <c r="H2178" t="s">
        <v>156</v>
      </c>
      <c r="I2178" t="s">
        <v>461</v>
      </c>
      <c r="J2178" t="s">
        <v>442</v>
      </c>
      <c r="K2178" s="4">
        <v>9321.69</v>
      </c>
      <c r="L2178" s="4">
        <v>9321.69</v>
      </c>
      <c r="M2178" t="s">
        <v>44</v>
      </c>
      <c r="N2178" t="s">
        <v>77</v>
      </c>
      <c r="O2178" t="s">
        <v>99</v>
      </c>
      <c r="P2178" t="s">
        <v>99</v>
      </c>
      <c r="Q2178" t="s">
        <v>159</v>
      </c>
      <c r="R2178" t="s">
        <v>160</v>
      </c>
      <c r="S2178" t="s">
        <v>161</v>
      </c>
      <c r="T2178" t="s">
        <v>162</v>
      </c>
      <c r="U2178" t="s">
        <v>163</v>
      </c>
      <c r="V2178" t="s">
        <v>164</v>
      </c>
      <c r="W2178" t="s">
        <v>116</v>
      </c>
      <c r="X2178" t="s">
        <v>44</v>
      </c>
      <c r="Y2178" t="s">
        <v>99</v>
      </c>
      <c r="Z2178" t="s">
        <v>421</v>
      </c>
      <c r="AC2178" t="str">
        <f>IF(AA2178="",M2178,AA2178)</f>
        <v>sim</v>
      </c>
      <c r="AD2178" t="str">
        <f>IF(AB2178="",X2178,AB2178)</f>
        <v>sim</v>
      </c>
      <c r="AE2178" t="str">
        <f>IF(OR(Configuracao!B9="",Configuracao!B10=""),"aguardando limiar",IF(AND(K2178&gt;=Configuracao!B9,K2178/MAX(Reconciliacao!C2,1)&gt;=Configuracao!B10/100),"sim","não"))</f>
        <v>aguardando limiar</v>
      </c>
    </row>
    <row r="2179" spans="1:31" x14ac:dyDescent="0.25">
      <c r="A2179">
        <v>17932</v>
      </c>
      <c r="C2179" t="s">
        <v>1373</v>
      </c>
      <c r="D2179" t="s">
        <v>1374</v>
      </c>
      <c r="E2179" t="s">
        <v>467</v>
      </c>
      <c r="F2179" t="s">
        <v>158</v>
      </c>
      <c r="G2179" t="s">
        <v>157</v>
      </c>
      <c r="H2179" t="s">
        <v>156</v>
      </c>
      <c r="I2179" t="s">
        <v>442</v>
      </c>
      <c r="J2179" t="s">
        <v>439</v>
      </c>
      <c r="K2179" s="4">
        <v>9321.69</v>
      </c>
      <c r="L2179" s="4">
        <v>9321.69</v>
      </c>
      <c r="M2179" t="s">
        <v>44</v>
      </c>
      <c r="N2179" t="s">
        <v>77</v>
      </c>
      <c r="O2179" t="s">
        <v>99</v>
      </c>
      <c r="P2179" t="s">
        <v>99</v>
      </c>
      <c r="Q2179" t="s">
        <v>159</v>
      </c>
      <c r="R2179" t="s">
        <v>160</v>
      </c>
      <c r="S2179" t="s">
        <v>161</v>
      </c>
      <c r="T2179" t="s">
        <v>162</v>
      </c>
      <c r="U2179" t="s">
        <v>163</v>
      </c>
      <c r="V2179" t="s">
        <v>164</v>
      </c>
      <c r="W2179" t="s">
        <v>116</v>
      </c>
      <c r="X2179" t="s">
        <v>44</v>
      </c>
      <c r="Y2179" t="s">
        <v>99</v>
      </c>
      <c r="Z2179" t="s">
        <v>421</v>
      </c>
      <c r="AC2179" t="str">
        <f>IF(AA2179="",M2179,AA2179)</f>
        <v>sim</v>
      </c>
      <c r="AD2179" t="str">
        <f>IF(AB2179="",X2179,AB2179)</f>
        <v>sim</v>
      </c>
      <c r="AE2179" t="str">
        <f>IF(OR(Configuracao!B9="",Configuracao!B10=""),"aguardando limiar",IF(AND(K2179&gt;=Configuracao!B9,K2179/MAX(Reconciliacao!C2,1)&gt;=Configuracao!B10/100),"sim","não"))</f>
        <v>aguardando limiar</v>
      </c>
    </row>
    <row r="2180" spans="1:31" x14ac:dyDescent="0.25">
      <c r="A2180">
        <v>18774</v>
      </c>
      <c r="C2180" t="s">
        <v>1373</v>
      </c>
      <c r="D2180" t="s">
        <v>1374</v>
      </c>
      <c r="E2180" t="s">
        <v>467</v>
      </c>
      <c r="F2180" t="s">
        <v>158</v>
      </c>
      <c r="G2180" t="s">
        <v>157</v>
      </c>
      <c r="H2180" t="s">
        <v>156</v>
      </c>
      <c r="I2180" t="s">
        <v>439</v>
      </c>
      <c r="J2180" t="s">
        <v>35</v>
      </c>
      <c r="K2180" s="4">
        <v>9321.69</v>
      </c>
      <c r="L2180" s="4">
        <v>9321.69</v>
      </c>
      <c r="M2180" t="s">
        <v>44</v>
      </c>
      <c r="N2180" t="s">
        <v>77</v>
      </c>
      <c r="O2180" t="s">
        <v>99</v>
      </c>
      <c r="P2180" t="s">
        <v>99</v>
      </c>
      <c r="Q2180" t="s">
        <v>159</v>
      </c>
      <c r="R2180" t="s">
        <v>160</v>
      </c>
      <c r="S2180" t="s">
        <v>161</v>
      </c>
      <c r="T2180" t="s">
        <v>162</v>
      </c>
      <c r="U2180" t="s">
        <v>163</v>
      </c>
      <c r="V2180" t="s">
        <v>164</v>
      </c>
      <c r="W2180" t="s">
        <v>116</v>
      </c>
      <c r="X2180" t="s">
        <v>44</v>
      </c>
      <c r="Y2180" t="s">
        <v>99</v>
      </c>
      <c r="Z2180" t="s">
        <v>421</v>
      </c>
      <c r="AC2180" t="str">
        <f>IF(AA2180="",M2180,AA2180)</f>
        <v>sim</v>
      </c>
      <c r="AD2180" t="str">
        <f>IF(AB2180="",X2180,AB2180)</f>
        <v>sim</v>
      </c>
      <c r="AE2180" t="str">
        <f>IF(OR(Configuracao!B9="",Configuracao!B10=""),"aguardando limiar",IF(AND(K2180&gt;=Configuracao!B9,K2180/MAX(Reconciliacao!C2,1)&gt;=Configuracao!B10/100),"sim","não"))</f>
        <v>aguardando limiar</v>
      </c>
    </row>
    <row r="2181" spans="1:31" x14ac:dyDescent="0.25">
      <c r="A2181">
        <v>12941</v>
      </c>
      <c r="C2181" t="s">
        <v>1380</v>
      </c>
      <c r="D2181" t="s">
        <v>599</v>
      </c>
      <c r="E2181" t="s">
        <v>445</v>
      </c>
      <c r="F2181" t="s">
        <v>158</v>
      </c>
      <c r="G2181" t="s">
        <v>157</v>
      </c>
      <c r="H2181" t="s">
        <v>156</v>
      </c>
      <c r="I2181" t="s">
        <v>424</v>
      </c>
      <c r="J2181" t="s">
        <v>424</v>
      </c>
      <c r="K2181" s="4">
        <v>9451.69</v>
      </c>
      <c r="L2181" s="4">
        <v>9451.69</v>
      </c>
      <c r="M2181" t="s">
        <v>44</v>
      </c>
      <c r="N2181" t="s">
        <v>77</v>
      </c>
      <c r="O2181" t="s">
        <v>99</v>
      </c>
      <c r="P2181" t="s">
        <v>99</v>
      </c>
      <c r="Q2181" t="s">
        <v>159</v>
      </c>
      <c r="R2181" t="s">
        <v>160</v>
      </c>
      <c r="S2181" t="s">
        <v>161</v>
      </c>
      <c r="T2181" t="s">
        <v>162</v>
      </c>
      <c r="U2181" t="s">
        <v>163</v>
      </c>
      <c r="V2181" t="s">
        <v>164</v>
      </c>
      <c r="W2181" t="s">
        <v>116</v>
      </c>
      <c r="X2181" t="s">
        <v>44</v>
      </c>
      <c r="Y2181" t="s">
        <v>99</v>
      </c>
      <c r="Z2181" t="s">
        <v>421</v>
      </c>
      <c r="AC2181" t="str">
        <f>IF(AA2181="",M2181,AA2181)</f>
        <v>sim</v>
      </c>
      <c r="AD2181" t="str">
        <f>IF(AB2181="",X2181,AB2181)</f>
        <v>sim</v>
      </c>
      <c r="AE2181" t="str">
        <f>IF(OR(Configuracao!B9="",Configuracao!B10=""),"aguardando limiar",IF(AND(K2181&gt;=Configuracao!B9,K2181/MAX(Reconciliacao!C2,1)&gt;=Configuracao!B10/100),"sim","não"))</f>
        <v>aguardando limiar</v>
      </c>
    </row>
    <row r="2182" spans="1:31" x14ac:dyDescent="0.25">
      <c r="A2182">
        <v>15973</v>
      </c>
      <c r="C2182" t="s">
        <v>1380</v>
      </c>
      <c r="D2182" t="s">
        <v>599</v>
      </c>
      <c r="E2182" t="s">
        <v>445</v>
      </c>
      <c r="F2182" t="s">
        <v>158</v>
      </c>
      <c r="G2182" t="s">
        <v>157</v>
      </c>
      <c r="H2182" t="s">
        <v>156</v>
      </c>
      <c r="I2182" t="s">
        <v>424</v>
      </c>
      <c r="J2182" t="s">
        <v>420</v>
      </c>
      <c r="K2182" s="4">
        <v>9451.69</v>
      </c>
      <c r="L2182" s="4">
        <v>9451.69</v>
      </c>
      <c r="M2182" t="s">
        <v>44</v>
      </c>
      <c r="N2182" t="s">
        <v>77</v>
      </c>
      <c r="O2182" t="s">
        <v>99</v>
      </c>
      <c r="P2182" t="s">
        <v>99</v>
      </c>
      <c r="Q2182" t="s">
        <v>159</v>
      </c>
      <c r="R2182" t="s">
        <v>160</v>
      </c>
      <c r="S2182" t="s">
        <v>161</v>
      </c>
      <c r="T2182" t="s">
        <v>162</v>
      </c>
      <c r="U2182" t="s">
        <v>163</v>
      </c>
      <c r="V2182" t="s">
        <v>164</v>
      </c>
      <c r="W2182" t="s">
        <v>116</v>
      </c>
      <c r="X2182" t="s">
        <v>44</v>
      </c>
      <c r="Y2182" t="s">
        <v>99</v>
      </c>
      <c r="Z2182" t="s">
        <v>421</v>
      </c>
      <c r="AC2182" t="str">
        <f>IF(AA2182="",M2182,AA2182)</f>
        <v>sim</v>
      </c>
      <c r="AD2182" t="str">
        <f>IF(AB2182="",X2182,AB2182)</f>
        <v>sim</v>
      </c>
      <c r="AE2182" t="str">
        <f>IF(OR(Configuracao!B9="",Configuracao!B10=""),"aguardando limiar",IF(AND(K2182&gt;=Configuracao!B9,K2182/MAX(Reconciliacao!C2,1)&gt;=Configuracao!B10/100),"sim","não"))</f>
        <v>aguardando limiar</v>
      </c>
    </row>
    <row r="2183" spans="1:31" x14ac:dyDescent="0.25">
      <c r="A2183">
        <v>17941</v>
      </c>
      <c r="C2183" t="s">
        <v>1482</v>
      </c>
      <c r="D2183" t="s">
        <v>630</v>
      </c>
      <c r="E2183" t="s">
        <v>511</v>
      </c>
      <c r="F2183" t="s">
        <v>158</v>
      </c>
      <c r="G2183" t="s">
        <v>157</v>
      </c>
      <c r="H2183" t="s">
        <v>156</v>
      </c>
      <c r="I2183" t="s">
        <v>442</v>
      </c>
      <c r="J2183" t="s">
        <v>439</v>
      </c>
      <c r="K2183" s="4">
        <v>10000</v>
      </c>
      <c r="L2183" s="4">
        <v>10000</v>
      </c>
      <c r="M2183" t="s">
        <v>44</v>
      </c>
      <c r="N2183" t="s">
        <v>77</v>
      </c>
      <c r="O2183" t="s">
        <v>99</v>
      </c>
      <c r="P2183" t="s">
        <v>99</v>
      </c>
      <c r="Q2183" t="s">
        <v>159</v>
      </c>
      <c r="R2183" t="s">
        <v>160</v>
      </c>
      <c r="S2183" t="s">
        <v>161</v>
      </c>
      <c r="T2183" t="s">
        <v>162</v>
      </c>
      <c r="U2183" t="s">
        <v>163</v>
      </c>
      <c r="V2183" t="s">
        <v>164</v>
      </c>
      <c r="W2183" t="s">
        <v>116</v>
      </c>
      <c r="X2183" t="s">
        <v>44</v>
      </c>
      <c r="Y2183" t="s">
        <v>99</v>
      </c>
      <c r="Z2183" t="s">
        <v>421</v>
      </c>
      <c r="AC2183" t="str">
        <f>IF(AA2183="",M2183,AA2183)</f>
        <v>sim</v>
      </c>
      <c r="AD2183" t="str">
        <f>IF(AB2183="",X2183,AB2183)</f>
        <v>sim</v>
      </c>
      <c r="AE2183" t="str">
        <f>IF(OR(Configuracao!B9="",Configuracao!B10=""),"aguardando limiar",IF(AND(K2183&gt;=Configuracao!B9,K2183/MAX(Reconciliacao!C2,1)&gt;=Configuracao!B10/100),"sim","não"))</f>
        <v>aguardando limiar</v>
      </c>
    </row>
    <row r="2184" spans="1:31" x14ac:dyDescent="0.25">
      <c r="A2184">
        <v>12986</v>
      </c>
      <c r="C2184" t="s">
        <v>1437</v>
      </c>
      <c r="D2184" t="s">
        <v>856</v>
      </c>
      <c r="E2184" t="s">
        <v>465</v>
      </c>
      <c r="F2184" t="s">
        <v>158</v>
      </c>
      <c r="G2184" t="s">
        <v>157</v>
      </c>
      <c r="H2184" t="s">
        <v>156</v>
      </c>
      <c r="I2184" t="s">
        <v>424</v>
      </c>
      <c r="J2184" t="s">
        <v>424</v>
      </c>
      <c r="K2184" s="4">
        <v>10121.69</v>
      </c>
      <c r="L2184" s="4">
        <v>10121.69</v>
      </c>
      <c r="M2184" t="s">
        <v>44</v>
      </c>
      <c r="N2184" t="s">
        <v>77</v>
      </c>
      <c r="O2184" t="s">
        <v>99</v>
      </c>
      <c r="P2184" t="s">
        <v>99</v>
      </c>
      <c r="Q2184" t="s">
        <v>159</v>
      </c>
      <c r="R2184" t="s">
        <v>160</v>
      </c>
      <c r="S2184" t="s">
        <v>161</v>
      </c>
      <c r="T2184" t="s">
        <v>162</v>
      </c>
      <c r="U2184" t="s">
        <v>163</v>
      </c>
      <c r="V2184" t="s">
        <v>164</v>
      </c>
      <c r="W2184" t="s">
        <v>116</v>
      </c>
      <c r="X2184" t="s">
        <v>44</v>
      </c>
      <c r="Y2184" t="s">
        <v>99</v>
      </c>
      <c r="Z2184" t="s">
        <v>421</v>
      </c>
      <c r="AC2184" t="str">
        <f>IF(AA2184="",M2184,AA2184)</f>
        <v>sim</v>
      </c>
      <c r="AD2184" t="str">
        <f>IF(AB2184="",X2184,AB2184)</f>
        <v>sim</v>
      </c>
      <c r="AE2184" t="str">
        <f>IF(OR(Configuracao!B9="",Configuracao!B10=""),"aguardando limiar",IF(AND(K2184&gt;=Configuracao!B9,K2184/MAX(Reconciliacao!C2,1)&gt;=Configuracao!B10/100),"sim","não"))</f>
        <v>aguardando limiar</v>
      </c>
    </row>
    <row r="2185" spans="1:31" x14ac:dyDescent="0.25">
      <c r="A2185">
        <v>16008</v>
      </c>
      <c r="C2185" t="s">
        <v>1437</v>
      </c>
      <c r="D2185" t="s">
        <v>856</v>
      </c>
      <c r="E2185" t="s">
        <v>465</v>
      </c>
      <c r="F2185" t="s">
        <v>158</v>
      </c>
      <c r="G2185" t="s">
        <v>157</v>
      </c>
      <c r="H2185" t="s">
        <v>156</v>
      </c>
      <c r="I2185" t="s">
        <v>424</v>
      </c>
      <c r="J2185" t="s">
        <v>420</v>
      </c>
      <c r="K2185" s="4">
        <v>10421.69</v>
      </c>
      <c r="L2185" s="4">
        <v>10421.69</v>
      </c>
      <c r="M2185" t="s">
        <v>44</v>
      </c>
      <c r="N2185" t="s">
        <v>77</v>
      </c>
      <c r="O2185" t="s">
        <v>99</v>
      </c>
      <c r="P2185" t="s">
        <v>99</v>
      </c>
      <c r="Q2185" t="s">
        <v>159</v>
      </c>
      <c r="R2185" t="s">
        <v>160</v>
      </c>
      <c r="S2185" t="s">
        <v>161</v>
      </c>
      <c r="T2185" t="s">
        <v>162</v>
      </c>
      <c r="U2185" t="s">
        <v>163</v>
      </c>
      <c r="V2185" t="s">
        <v>164</v>
      </c>
      <c r="W2185" t="s">
        <v>116</v>
      </c>
      <c r="X2185" t="s">
        <v>44</v>
      </c>
      <c r="Y2185" t="s">
        <v>99</v>
      </c>
      <c r="Z2185" t="s">
        <v>421</v>
      </c>
      <c r="AC2185" t="str">
        <f>IF(AA2185="",M2185,AA2185)</f>
        <v>sim</v>
      </c>
      <c r="AD2185" t="str">
        <f>IF(AB2185="",X2185,AB2185)</f>
        <v>sim</v>
      </c>
      <c r="AE2185" t="str">
        <f>IF(OR(Configuracao!B9="",Configuracao!B10=""),"aguardando limiar",IF(AND(K2185&gt;=Configuracao!B9,K2185/MAX(Reconciliacao!C2,1)&gt;=Configuracao!B10/100),"sim","não"))</f>
        <v>aguardando limiar</v>
      </c>
    </row>
    <row r="2186" spans="1:31" x14ac:dyDescent="0.25">
      <c r="A2186">
        <v>17287</v>
      </c>
      <c r="C2186" t="s">
        <v>1436</v>
      </c>
      <c r="D2186" t="s">
        <v>592</v>
      </c>
      <c r="E2186" t="s">
        <v>445</v>
      </c>
      <c r="F2186" t="s">
        <v>158</v>
      </c>
      <c r="G2186" t="s">
        <v>157</v>
      </c>
      <c r="H2186" t="s">
        <v>156</v>
      </c>
      <c r="I2186" t="s">
        <v>461</v>
      </c>
      <c r="J2186" t="s">
        <v>442</v>
      </c>
      <c r="K2186" s="4">
        <v>10821.69</v>
      </c>
      <c r="L2186" s="4">
        <v>10821.69</v>
      </c>
      <c r="M2186" t="s">
        <v>44</v>
      </c>
      <c r="N2186" t="s">
        <v>77</v>
      </c>
      <c r="O2186" t="s">
        <v>99</v>
      </c>
      <c r="P2186" t="s">
        <v>99</v>
      </c>
      <c r="Q2186" t="s">
        <v>159</v>
      </c>
      <c r="R2186" t="s">
        <v>160</v>
      </c>
      <c r="S2186" t="s">
        <v>161</v>
      </c>
      <c r="T2186" t="s">
        <v>162</v>
      </c>
      <c r="U2186" t="s">
        <v>163</v>
      </c>
      <c r="V2186" t="s">
        <v>164</v>
      </c>
      <c r="W2186" t="s">
        <v>116</v>
      </c>
      <c r="X2186" t="s">
        <v>44</v>
      </c>
      <c r="Y2186" t="s">
        <v>99</v>
      </c>
      <c r="Z2186" t="s">
        <v>421</v>
      </c>
      <c r="AC2186" t="str">
        <f>IF(AA2186="",M2186,AA2186)</f>
        <v>sim</v>
      </c>
      <c r="AD2186" t="str">
        <f>IF(AB2186="",X2186,AB2186)</f>
        <v>sim</v>
      </c>
      <c r="AE2186" t="str">
        <f>IF(OR(Configuracao!B9="",Configuracao!B10=""),"aguardando limiar",IF(AND(K2186&gt;=Configuracao!B9,K2186/MAX(Reconciliacao!C2,1)&gt;=Configuracao!B10/100),"sim","não"))</f>
        <v>aguardando limiar</v>
      </c>
    </row>
    <row r="2187" spans="1:31" x14ac:dyDescent="0.25">
      <c r="A2187">
        <v>17972</v>
      </c>
      <c r="C2187" t="s">
        <v>1436</v>
      </c>
      <c r="D2187" t="s">
        <v>592</v>
      </c>
      <c r="E2187" t="s">
        <v>445</v>
      </c>
      <c r="F2187" t="s">
        <v>158</v>
      </c>
      <c r="G2187" t="s">
        <v>157</v>
      </c>
      <c r="H2187" t="s">
        <v>156</v>
      </c>
      <c r="I2187" t="s">
        <v>442</v>
      </c>
      <c r="J2187" t="s">
        <v>439</v>
      </c>
      <c r="K2187" s="4">
        <v>10821.69</v>
      </c>
      <c r="L2187" s="4">
        <v>10821.69</v>
      </c>
      <c r="M2187" t="s">
        <v>44</v>
      </c>
      <c r="N2187" t="s">
        <v>77</v>
      </c>
      <c r="O2187" t="s">
        <v>99</v>
      </c>
      <c r="P2187" t="s">
        <v>99</v>
      </c>
      <c r="Q2187" t="s">
        <v>159</v>
      </c>
      <c r="R2187" t="s">
        <v>160</v>
      </c>
      <c r="S2187" t="s">
        <v>161</v>
      </c>
      <c r="T2187" t="s">
        <v>162</v>
      </c>
      <c r="U2187" t="s">
        <v>163</v>
      </c>
      <c r="V2187" t="s">
        <v>164</v>
      </c>
      <c r="W2187" t="s">
        <v>116</v>
      </c>
      <c r="X2187" t="s">
        <v>44</v>
      </c>
      <c r="Y2187" t="s">
        <v>99</v>
      </c>
      <c r="Z2187" t="s">
        <v>421</v>
      </c>
      <c r="AC2187" t="str">
        <f>IF(AA2187="",M2187,AA2187)</f>
        <v>sim</v>
      </c>
      <c r="AD2187" t="str">
        <f>IF(AB2187="",X2187,AB2187)</f>
        <v>sim</v>
      </c>
      <c r="AE2187" t="str">
        <f>IF(OR(Configuracao!B9="",Configuracao!B10=""),"aguardando limiar",IF(AND(K2187&gt;=Configuracao!B9,K2187/MAX(Reconciliacao!C2,1)&gt;=Configuracao!B10/100),"sim","não"))</f>
        <v>aguardando limiar</v>
      </c>
    </row>
    <row r="2188" spans="1:31" x14ac:dyDescent="0.25">
      <c r="A2188">
        <v>14233</v>
      </c>
      <c r="C2188" t="s">
        <v>1437</v>
      </c>
      <c r="D2188" t="s">
        <v>856</v>
      </c>
      <c r="E2188" t="s">
        <v>465</v>
      </c>
      <c r="F2188" t="s">
        <v>158</v>
      </c>
      <c r="G2188" t="s">
        <v>157</v>
      </c>
      <c r="H2188" t="s">
        <v>156</v>
      </c>
      <c r="I2188" t="s">
        <v>420</v>
      </c>
      <c r="J2188" t="s">
        <v>454</v>
      </c>
      <c r="K2188" s="4">
        <v>11221.69</v>
      </c>
      <c r="L2188" s="4">
        <v>11221.69</v>
      </c>
      <c r="M2188" t="s">
        <v>44</v>
      </c>
      <c r="N2188" t="s">
        <v>77</v>
      </c>
      <c r="O2188" t="s">
        <v>99</v>
      </c>
      <c r="P2188" t="s">
        <v>99</v>
      </c>
      <c r="Q2188" t="s">
        <v>159</v>
      </c>
      <c r="R2188" t="s">
        <v>160</v>
      </c>
      <c r="S2188" t="s">
        <v>161</v>
      </c>
      <c r="T2188" t="s">
        <v>162</v>
      </c>
      <c r="U2188" t="s">
        <v>163</v>
      </c>
      <c r="V2188" t="s">
        <v>164</v>
      </c>
      <c r="W2188" t="s">
        <v>116</v>
      </c>
      <c r="X2188" t="s">
        <v>44</v>
      </c>
      <c r="Y2188" t="s">
        <v>99</v>
      </c>
      <c r="Z2188" t="s">
        <v>421</v>
      </c>
      <c r="AC2188" t="str">
        <f>IF(AA2188="",M2188,AA2188)</f>
        <v>sim</v>
      </c>
      <c r="AD2188" t="str">
        <f>IF(AB2188="",X2188,AB2188)</f>
        <v>sim</v>
      </c>
      <c r="AE2188" t="str">
        <f>IF(OR(Configuracao!B9="",Configuracao!B10=""),"aguardando limiar",IF(AND(K2188&gt;=Configuracao!B9,K2188/MAX(Reconciliacao!C2,1)&gt;=Configuracao!B10/100),"sim","não"))</f>
        <v>aguardando limiar</v>
      </c>
    </row>
    <row r="2189" spans="1:31" x14ac:dyDescent="0.25">
      <c r="A2189">
        <v>16195</v>
      </c>
      <c r="C2189" t="s">
        <v>1437</v>
      </c>
      <c r="D2189" t="s">
        <v>856</v>
      </c>
      <c r="E2189" t="s">
        <v>465</v>
      </c>
      <c r="F2189" t="s">
        <v>158</v>
      </c>
      <c r="G2189" t="s">
        <v>157</v>
      </c>
      <c r="H2189" t="s">
        <v>156</v>
      </c>
      <c r="I2189" t="s">
        <v>454</v>
      </c>
      <c r="J2189" t="s">
        <v>461</v>
      </c>
      <c r="K2189" s="4">
        <v>11721.69</v>
      </c>
      <c r="L2189" s="4">
        <v>11721.69</v>
      </c>
      <c r="M2189" t="s">
        <v>44</v>
      </c>
      <c r="N2189" t="s">
        <v>77</v>
      </c>
      <c r="O2189" t="s">
        <v>99</v>
      </c>
      <c r="P2189" t="s">
        <v>99</v>
      </c>
      <c r="Q2189" t="s">
        <v>159</v>
      </c>
      <c r="R2189" t="s">
        <v>160</v>
      </c>
      <c r="S2189" t="s">
        <v>161</v>
      </c>
      <c r="T2189" t="s">
        <v>162</v>
      </c>
      <c r="U2189" t="s">
        <v>163</v>
      </c>
      <c r="V2189" t="s">
        <v>164</v>
      </c>
      <c r="W2189" t="s">
        <v>116</v>
      </c>
      <c r="X2189" t="s">
        <v>44</v>
      </c>
      <c r="Y2189" t="s">
        <v>99</v>
      </c>
      <c r="Z2189" t="s">
        <v>421</v>
      </c>
      <c r="AC2189" t="str">
        <f>IF(AA2189="",M2189,AA2189)</f>
        <v>sim</v>
      </c>
      <c r="AD2189" t="str">
        <f>IF(AB2189="",X2189,AB2189)</f>
        <v>sim</v>
      </c>
      <c r="AE2189" t="str">
        <f>IF(OR(Configuracao!B9="",Configuracao!B10=""),"aguardando limiar",IF(AND(K2189&gt;=Configuracao!B9,K2189/MAX(Reconciliacao!C2,1)&gt;=Configuracao!B10/100),"sim","não"))</f>
        <v>aguardando limiar</v>
      </c>
    </row>
    <row r="2190" spans="1:31" x14ac:dyDescent="0.25">
      <c r="A2190">
        <v>12957</v>
      </c>
      <c r="C2190" t="s">
        <v>1400</v>
      </c>
      <c r="D2190" t="s">
        <v>575</v>
      </c>
      <c r="E2190" t="s">
        <v>467</v>
      </c>
      <c r="F2190" t="s">
        <v>158</v>
      </c>
      <c r="G2190" t="s">
        <v>157</v>
      </c>
      <c r="H2190" t="s">
        <v>156</v>
      </c>
      <c r="I2190" t="s">
        <v>424</v>
      </c>
      <c r="J2190" t="s">
        <v>424</v>
      </c>
      <c r="K2190" s="4">
        <v>11821.69</v>
      </c>
      <c r="L2190" s="4">
        <v>11821.69</v>
      </c>
      <c r="M2190" t="s">
        <v>44</v>
      </c>
      <c r="N2190" t="s">
        <v>77</v>
      </c>
      <c r="O2190" t="s">
        <v>99</v>
      </c>
      <c r="P2190" t="s">
        <v>99</v>
      </c>
      <c r="Q2190" t="s">
        <v>159</v>
      </c>
      <c r="R2190" t="s">
        <v>160</v>
      </c>
      <c r="S2190" t="s">
        <v>161</v>
      </c>
      <c r="T2190" t="s">
        <v>162</v>
      </c>
      <c r="U2190" t="s">
        <v>163</v>
      </c>
      <c r="V2190" t="s">
        <v>164</v>
      </c>
      <c r="W2190" t="s">
        <v>116</v>
      </c>
      <c r="X2190" t="s">
        <v>44</v>
      </c>
      <c r="Y2190" t="s">
        <v>99</v>
      </c>
      <c r="Z2190" t="s">
        <v>421</v>
      </c>
      <c r="AC2190" t="str">
        <f>IF(AA2190="",M2190,AA2190)</f>
        <v>sim</v>
      </c>
      <c r="AD2190" t="str">
        <f>IF(AB2190="",X2190,AB2190)</f>
        <v>sim</v>
      </c>
      <c r="AE2190" t="str">
        <f>IF(OR(Configuracao!B9="",Configuracao!B10=""),"aguardando limiar",IF(AND(K2190&gt;=Configuracao!B9,K2190/MAX(Reconciliacao!C2,1)&gt;=Configuracao!B10/100),"sim","não"))</f>
        <v>aguardando limiar</v>
      </c>
    </row>
    <row r="2191" spans="1:31" x14ac:dyDescent="0.25">
      <c r="A2191">
        <v>15986</v>
      </c>
      <c r="C2191" t="s">
        <v>1400</v>
      </c>
      <c r="D2191" t="s">
        <v>575</v>
      </c>
      <c r="E2191" t="s">
        <v>467</v>
      </c>
      <c r="F2191" t="s">
        <v>158</v>
      </c>
      <c r="G2191" t="s">
        <v>157</v>
      </c>
      <c r="H2191" t="s">
        <v>156</v>
      </c>
      <c r="I2191" t="s">
        <v>424</v>
      </c>
      <c r="J2191" t="s">
        <v>420</v>
      </c>
      <c r="K2191" s="4">
        <v>11821.69</v>
      </c>
      <c r="L2191" s="4">
        <v>11821.69</v>
      </c>
      <c r="M2191" t="s">
        <v>44</v>
      </c>
      <c r="N2191" t="s">
        <v>77</v>
      </c>
      <c r="O2191" t="s">
        <v>99</v>
      </c>
      <c r="P2191" t="s">
        <v>99</v>
      </c>
      <c r="Q2191" t="s">
        <v>159</v>
      </c>
      <c r="R2191" t="s">
        <v>160</v>
      </c>
      <c r="S2191" t="s">
        <v>161</v>
      </c>
      <c r="T2191" t="s">
        <v>162</v>
      </c>
      <c r="U2191" t="s">
        <v>163</v>
      </c>
      <c r="V2191" t="s">
        <v>164</v>
      </c>
      <c r="W2191" t="s">
        <v>116</v>
      </c>
      <c r="X2191" t="s">
        <v>44</v>
      </c>
      <c r="Y2191" t="s">
        <v>99</v>
      </c>
      <c r="Z2191" t="s">
        <v>421</v>
      </c>
      <c r="AC2191" t="str">
        <f>IF(AA2191="",M2191,AA2191)</f>
        <v>sim</v>
      </c>
      <c r="AD2191" t="str">
        <f>IF(AB2191="",X2191,AB2191)</f>
        <v>sim</v>
      </c>
      <c r="AE2191" t="str">
        <f>IF(OR(Configuracao!B9="",Configuracao!B10=""),"aguardando limiar",IF(AND(K2191&gt;=Configuracao!B9,K2191/MAX(Reconciliacao!C2,1)&gt;=Configuracao!B10/100),"sim","não"))</f>
        <v>aguardando limiar</v>
      </c>
    </row>
    <row r="2192" spans="1:31" x14ac:dyDescent="0.25">
      <c r="A2192">
        <v>12949</v>
      </c>
      <c r="C2192" t="s">
        <v>1392</v>
      </c>
      <c r="D2192" t="s">
        <v>510</v>
      </c>
      <c r="E2192" t="s">
        <v>511</v>
      </c>
      <c r="F2192" t="s">
        <v>158</v>
      </c>
      <c r="G2192" t="s">
        <v>157</v>
      </c>
      <c r="H2192" t="s">
        <v>156</v>
      </c>
      <c r="I2192" t="s">
        <v>424</v>
      </c>
      <c r="J2192" t="s">
        <v>424</v>
      </c>
      <c r="K2192" s="4">
        <v>11977.35</v>
      </c>
      <c r="L2192" s="4">
        <v>11977.35</v>
      </c>
      <c r="M2192" t="s">
        <v>44</v>
      </c>
      <c r="N2192" t="s">
        <v>77</v>
      </c>
      <c r="O2192" t="s">
        <v>99</v>
      </c>
      <c r="P2192" t="s">
        <v>99</v>
      </c>
      <c r="Q2192" t="s">
        <v>159</v>
      </c>
      <c r="R2192" t="s">
        <v>160</v>
      </c>
      <c r="S2192" t="s">
        <v>161</v>
      </c>
      <c r="T2192" t="s">
        <v>162</v>
      </c>
      <c r="U2192" t="s">
        <v>163</v>
      </c>
      <c r="V2192" t="s">
        <v>164</v>
      </c>
      <c r="W2192" t="s">
        <v>116</v>
      </c>
      <c r="X2192" t="s">
        <v>44</v>
      </c>
      <c r="Y2192" t="s">
        <v>99</v>
      </c>
      <c r="Z2192" t="s">
        <v>421</v>
      </c>
      <c r="AC2192" t="str">
        <f>IF(AA2192="",M2192,AA2192)</f>
        <v>sim</v>
      </c>
      <c r="AD2192" t="str">
        <f>IF(AB2192="",X2192,AB2192)</f>
        <v>sim</v>
      </c>
      <c r="AE2192" t="str">
        <f>IF(OR(Configuracao!B9="",Configuracao!B10=""),"aguardando limiar",IF(AND(K2192&gt;=Configuracao!B9,K2192/MAX(Reconciliacao!C2,1)&gt;=Configuracao!B10/100),"sim","não"))</f>
        <v>aguardando limiar</v>
      </c>
    </row>
    <row r="2193" spans="1:31" x14ac:dyDescent="0.25">
      <c r="A2193">
        <v>14205</v>
      </c>
      <c r="C2193" t="s">
        <v>1392</v>
      </c>
      <c r="D2193" t="s">
        <v>510</v>
      </c>
      <c r="E2193" t="s">
        <v>511</v>
      </c>
      <c r="F2193" t="s">
        <v>158</v>
      </c>
      <c r="G2193" t="s">
        <v>157</v>
      </c>
      <c r="H2193" t="s">
        <v>156</v>
      </c>
      <c r="I2193" t="s">
        <v>420</v>
      </c>
      <c r="J2193" t="s">
        <v>454</v>
      </c>
      <c r="K2193" s="4">
        <v>11977.35</v>
      </c>
      <c r="L2193" s="4">
        <v>11977.35</v>
      </c>
      <c r="M2193" t="s">
        <v>44</v>
      </c>
      <c r="N2193" t="s">
        <v>77</v>
      </c>
      <c r="O2193" t="s">
        <v>99</v>
      </c>
      <c r="P2193" t="s">
        <v>99</v>
      </c>
      <c r="Q2193" t="s">
        <v>159</v>
      </c>
      <c r="R2193" t="s">
        <v>160</v>
      </c>
      <c r="S2193" t="s">
        <v>161</v>
      </c>
      <c r="T2193" t="s">
        <v>162</v>
      </c>
      <c r="U2193" t="s">
        <v>163</v>
      </c>
      <c r="V2193" t="s">
        <v>164</v>
      </c>
      <c r="W2193" t="s">
        <v>116</v>
      </c>
      <c r="X2193" t="s">
        <v>44</v>
      </c>
      <c r="Y2193" t="s">
        <v>99</v>
      </c>
      <c r="Z2193" t="s">
        <v>421</v>
      </c>
      <c r="AC2193" t="str">
        <f>IF(AA2193="",M2193,AA2193)</f>
        <v>sim</v>
      </c>
      <c r="AD2193" t="str">
        <f>IF(AB2193="",X2193,AB2193)</f>
        <v>sim</v>
      </c>
      <c r="AE2193" t="str">
        <f>IF(OR(Configuracao!B9="",Configuracao!B10=""),"aguardando limiar",IF(AND(K2193&gt;=Configuracao!B9,K2193/MAX(Reconciliacao!C2,1)&gt;=Configuracao!B10/100),"sim","não"))</f>
        <v>aguardando limiar</v>
      </c>
    </row>
    <row r="2194" spans="1:31" x14ac:dyDescent="0.25">
      <c r="A2194">
        <v>15979</v>
      </c>
      <c r="C2194" t="s">
        <v>1392</v>
      </c>
      <c r="D2194" t="s">
        <v>510</v>
      </c>
      <c r="E2194" t="s">
        <v>511</v>
      </c>
      <c r="F2194" t="s">
        <v>158</v>
      </c>
      <c r="G2194" t="s">
        <v>157</v>
      </c>
      <c r="H2194" t="s">
        <v>156</v>
      </c>
      <c r="I2194" t="s">
        <v>424</v>
      </c>
      <c r="J2194" t="s">
        <v>420</v>
      </c>
      <c r="K2194" s="4">
        <v>11977.35</v>
      </c>
      <c r="L2194" s="4">
        <v>11977.35</v>
      </c>
      <c r="M2194" t="s">
        <v>44</v>
      </c>
      <c r="N2194" t="s">
        <v>77</v>
      </c>
      <c r="O2194" t="s">
        <v>99</v>
      </c>
      <c r="P2194" t="s">
        <v>99</v>
      </c>
      <c r="Q2194" t="s">
        <v>159</v>
      </c>
      <c r="R2194" t="s">
        <v>160</v>
      </c>
      <c r="S2194" t="s">
        <v>161</v>
      </c>
      <c r="T2194" t="s">
        <v>162</v>
      </c>
      <c r="U2194" t="s">
        <v>163</v>
      </c>
      <c r="V2194" t="s">
        <v>164</v>
      </c>
      <c r="W2194" t="s">
        <v>116</v>
      </c>
      <c r="X2194" t="s">
        <v>44</v>
      </c>
      <c r="Y2194" t="s">
        <v>99</v>
      </c>
      <c r="Z2194" t="s">
        <v>421</v>
      </c>
      <c r="AC2194" t="str">
        <f>IF(AA2194="",M2194,AA2194)</f>
        <v>sim</v>
      </c>
      <c r="AD2194" t="str">
        <f>IF(AB2194="",X2194,AB2194)</f>
        <v>sim</v>
      </c>
      <c r="AE2194" t="str">
        <f>IF(OR(Configuracao!B9="",Configuracao!B10=""),"aguardando limiar",IF(AND(K2194&gt;=Configuracao!B9,K2194/MAX(Reconciliacao!C2,1)&gt;=Configuracao!B10/100),"sim","não"))</f>
        <v>aguardando limiar</v>
      </c>
    </row>
    <row r="2195" spans="1:31" x14ac:dyDescent="0.25">
      <c r="A2195">
        <v>17288</v>
      </c>
      <c r="C2195" t="s">
        <v>1437</v>
      </c>
      <c r="D2195" t="s">
        <v>856</v>
      </c>
      <c r="E2195" t="s">
        <v>465</v>
      </c>
      <c r="F2195" t="s">
        <v>158</v>
      </c>
      <c r="G2195" t="s">
        <v>157</v>
      </c>
      <c r="H2195" t="s">
        <v>156</v>
      </c>
      <c r="I2195" t="s">
        <v>461</v>
      </c>
      <c r="J2195" t="s">
        <v>442</v>
      </c>
      <c r="K2195" s="4">
        <v>12221.69</v>
      </c>
      <c r="L2195" s="4">
        <v>12221.69</v>
      </c>
      <c r="M2195" t="s">
        <v>44</v>
      </c>
      <c r="N2195" t="s">
        <v>77</v>
      </c>
      <c r="O2195" t="s">
        <v>99</v>
      </c>
      <c r="P2195" t="s">
        <v>99</v>
      </c>
      <c r="Q2195" t="s">
        <v>159</v>
      </c>
      <c r="R2195" t="s">
        <v>160</v>
      </c>
      <c r="S2195" t="s">
        <v>161</v>
      </c>
      <c r="T2195" t="s">
        <v>162</v>
      </c>
      <c r="U2195" t="s">
        <v>163</v>
      </c>
      <c r="V2195" t="s">
        <v>164</v>
      </c>
      <c r="W2195" t="s">
        <v>116</v>
      </c>
      <c r="X2195" t="s">
        <v>44</v>
      </c>
      <c r="Y2195" t="s">
        <v>99</v>
      </c>
      <c r="Z2195" t="s">
        <v>421</v>
      </c>
      <c r="AC2195" t="str">
        <f>IF(AA2195="",M2195,AA2195)</f>
        <v>sim</v>
      </c>
      <c r="AD2195" t="str">
        <f>IF(AB2195="",X2195,AB2195)</f>
        <v>sim</v>
      </c>
      <c r="AE2195" t="str">
        <f>IF(OR(Configuracao!B9="",Configuracao!B10=""),"aguardando limiar",IF(AND(K2195&gt;=Configuracao!B9,K2195/MAX(Reconciliacao!C2,1)&gt;=Configuracao!B10/100),"sim","não"))</f>
        <v>aguardando limiar</v>
      </c>
    </row>
    <row r="2196" spans="1:31" x14ac:dyDescent="0.25">
      <c r="A2196">
        <v>17973</v>
      </c>
      <c r="C2196" t="s">
        <v>1437</v>
      </c>
      <c r="D2196" t="s">
        <v>856</v>
      </c>
      <c r="E2196" t="s">
        <v>465</v>
      </c>
      <c r="F2196" t="s">
        <v>158</v>
      </c>
      <c r="G2196" t="s">
        <v>157</v>
      </c>
      <c r="H2196" t="s">
        <v>156</v>
      </c>
      <c r="I2196" t="s">
        <v>442</v>
      </c>
      <c r="J2196" t="s">
        <v>439</v>
      </c>
      <c r="K2196" s="4">
        <v>12221.69</v>
      </c>
      <c r="L2196" s="4">
        <v>12221.69</v>
      </c>
      <c r="M2196" t="s">
        <v>44</v>
      </c>
      <c r="N2196" t="s">
        <v>77</v>
      </c>
      <c r="O2196" t="s">
        <v>99</v>
      </c>
      <c r="P2196" t="s">
        <v>99</v>
      </c>
      <c r="Q2196" t="s">
        <v>159</v>
      </c>
      <c r="R2196" t="s">
        <v>160</v>
      </c>
      <c r="S2196" t="s">
        <v>161</v>
      </c>
      <c r="T2196" t="s">
        <v>162</v>
      </c>
      <c r="U2196" t="s">
        <v>163</v>
      </c>
      <c r="V2196" t="s">
        <v>164</v>
      </c>
      <c r="W2196" t="s">
        <v>116</v>
      </c>
      <c r="X2196" t="s">
        <v>44</v>
      </c>
      <c r="Y2196" t="s">
        <v>99</v>
      </c>
      <c r="Z2196" t="s">
        <v>421</v>
      </c>
      <c r="AC2196" t="str">
        <f>IF(AA2196="",M2196,AA2196)</f>
        <v>sim</v>
      </c>
      <c r="AD2196" t="str">
        <f>IF(AB2196="",X2196,AB2196)</f>
        <v>sim</v>
      </c>
      <c r="AE2196" t="str">
        <f>IF(OR(Configuracao!B9="",Configuracao!B10=""),"aguardando limiar",IF(AND(K2196&gt;=Configuracao!B9,K2196/MAX(Reconciliacao!C2,1)&gt;=Configuracao!B10/100),"sim","não"))</f>
        <v>aguardando limiar</v>
      </c>
    </row>
    <row r="2197" spans="1:31" x14ac:dyDescent="0.25">
      <c r="A2197">
        <v>18816</v>
      </c>
      <c r="C2197" t="s">
        <v>1437</v>
      </c>
      <c r="D2197" t="s">
        <v>856</v>
      </c>
      <c r="E2197" t="s">
        <v>465</v>
      </c>
      <c r="F2197" t="s">
        <v>158</v>
      </c>
      <c r="G2197" t="s">
        <v>157</v>
      </c>
      <c r="H2197" t="s">
        <v>156</v>
      </c>
      <c r="I2197" t="s">
        <v>439</v>
      </c>
      <c r="J2197" t="s">
        <v>35</v>
      </c>
      <c r="K2197" s="4">
        <v>12221.69</v>
      </c>
      <c r="L2197" s="4">
        <v>12221.69</v>
      </c>
      <c r="M2197" t="s">
        <v>44</v>
      </c>
      <c r="N2197" t="s">
        <v>77</v>
      </c>
      <c r="O2197" t="s">
        <v>99</v>
      </c>
      <c r="P2197" t="s">
        <v>99</v>
      </c>
      <c r="Q2197" t="s">
        <v>159</v>
      </c>
      <c r="R2197" t="s">
        <v>160</v>
      </c>
      <c r="S2197" t="s">
        <v>161</v>
      </c>
      <c r="T2197" t="s">
        <v>162</v>
      </c>
      <c r="U2197" t="s">
        <v>163</v>
      </c>
      <c r="V2197" t="s">
        <v>164</v>
      </c>
      <c r="W2197" t="s">
        <v>116</v>
      </c>
      <c r="X2197" t="s">
        <v>44</v>
      </c>
      <c r="Y2197" t="s">
        <v>99</v>
      </c>
      <c r="Z2197" t="s">
        <v>421</v>
      </c>
      <c r="AC2197" t="str">
        <f>IF(AA2197="",M2197,AA2197)</f>
        <v>sim</v>
      </c>
      <c r="AD2197" t="str">
        <f>IF(AB2197="",X2197,AB2197)</f>
        <v>sim</v>
      </c>
      <c r="AE2197" t="str">
        <f>IF(OR(Configuracao!B9="",Configuracao!B10=""),"aguardando limiar",IF(AND(K2197&gt;=Configuracao!B9,K2197/MAX(Reconciliacao!C2,1)&gt;=Configuracao!B10/100),"sim","não"))</f>
        <v>aguardando limiar</v>
      </c>
    </row>
    <row r="2198" spans="1:31" x14ac:dyDescent="0.25">
      <c r="A2198">
        <v>16157</v>
      </c>
      <c r="C2198" t="s">
        <v>1387</v>
      </c>
      <c r="D2198" t="s">
        <v>597</v>
      </c>
      <c r="E2198" t="s">
        <v>465</v>
      </c>
      <c r="F2198" t="s">
        <v>158</v>
      </c>
      <c r="G2198" t="s">
        <v>157</v>
      </c>
      <c r="H2198" t="s">
        <v>156</v>
      </c>
      <c r="I2198" t="s">
        <v>454</v>
      </c>
      <c r="J2198" t="s">
        <v>461</v>
      </c>
      <c r="K2198" s="4">
        <v>13445.64</v>
      </c>
      <c r="L2198" s="4">
        <v>13445.64</v>
      </c>
      <c r="M2198" t="s">
        <v>44</v>
      </c>
      <c r="N2198" t="s">
        <v>77</v>
      </c>
      <c r="O2198" t="s">
        <v>99</v>
      </c>
      <c r="P2198" t="s">
        <v>99</v>
      </c>
      <c r="Q2198" t="s">
        <v>159</v>
      </c>
      <c r="R2198" t="s">
        <v>160</v>
      </c>
      <c r="S2198" t="s">
        <v>161</v>
      </c>
      <c r="T2198" t="s">
        <v>162</v>
      </c>
      <c r="U2198" t="s">
        <v>163</v>
      </c>
      <c r="V2198" t="s">
        <v>164</v>
      </c>
      <c r="W2198" t="s">
        <v>116</v>
      </c>
      <c r="X2198" t="s">
        <v>44</v>
      </c>
      <c r="Y2198" t="s">
        <v>99</v>
      </c>
      <c r="Z2198" t="s">
        <v>421</v>
      </c>
      <c r="AC2198" t="str">
        <f>IF(AA2198="",M2198,AA2198)</f>
        <v>sim</v>
      </c>
      <c r="AD2198" t="str">
        <f>IF(AB2198="",X2198,AB2198)</f>
        <v>sim</v>
      </c>
      <c r="AE2198" t="str">
        <f>IF(OR(Configuracao!B9="",Configuracao!B10=""),"aguardando limiar",IF(AND(K2198&gt;=Configuracao!B9,K2198/MAX(Reconciliacao!C2,1)&gt;=Configuracao!B10/100),"sim","não"))</f>
        <v>aguardando limiar</v>
      </c>
    </row>
    <row r="2199" spans="1:31" x14ac:dyDescent="0.25">
      <c r="A2199">
        <v>14199</v>
      </c>
      <c r="C2199" t="s">
        <v>1380</v>
      </c>
      <c r="D2199" t="s">
        <v>599</v>
      </c>
      <c r="E2199" t="s">
        <v>445</v>
      </c>
      <c r="F2199" t="s">
        <v>158</v>
      </c>
      <c r="G2199" t="s">
        <v>157</v>
      </c>
      <c r="H2199" t="s">
        <v>156</v>
      </c>
      <c r="I2199" t="s">
        <v>420</v>
      </c>
      <c r="J2199" t="s">
        <v>454</v>
      </c>
      <c r="K2199" s="4">
        <v>13451.69</v>
      </c>
      <c r="L2199" s="4">
        <v>13451.69</v>
      </c>
      <c r="M2199" t="s">
        <v>44</v>
      </c>
      <c r="N2199" t="s">
        <v>77</v>
      </c>
      <c r="O2199" t="s">
        <v>99</v>
      </c>
      <c r="P2199" t="s">
        <v>99</v>
      </c>
      <c r="Q2199" t="s">
        <v>159</v>
      </c>
      <c r="R2199" t="s">
        <v>160</v>
      </c>
      <c r="S2199" t="s">
        <v>161</v>
      </c>
      <c r="T2199" t="s">
        <v>162</v>
      </c>
      <c r="U2199" t="s">
        <v>163</v>
      </c>
      <c r="V2199" t="s">
        <v>164</v>
      </c>
      <c r="W2199" t="s">
        <v>116</v>
      </c>
      <c r="X2199" t="s">
        <v>44</v>
      </c>
      <c r="Y2199" t="s">
        <v>99</v>
      </c>
      <c r="Z2199" t="s">
        <v>421</v>
      </c>
      <c r="AC2199" t="str">
        <f>IF(AA2199="",M2199,AA2199)</f>
        <v>sim</v>
      </c>
      <c r="AD2199" t="str">
        <f>IF(AB2199="",X2199,AB2199)</f>
        <v>sim</v>
      </c>
      <c r="AE2199" t="str">
        <f>IF(OR(Configuracao!B9="",Configuracao!B10=""),"aguardando limiar",IF(AND(K2199&gt;=Configuracao!B9,K2199/MAX(Reconciliacao!C2,1)&gt;=Configuracao!B10/100),"sim","não"))</f>
        <v>aguardando limiar</v>
      </c>
    </row>
    <row r="2200" spans="1:31" x14ac:dyDescent="0.25">
      <c r="A2200">
        <v>16156</v>
      </c>
      <c r="C2200" t="s">
        <v>1380</v>
      </c>
      <c r="D2200" t="s">
        <v>599</v>
      </c>
      <c r="E2200" t="s">
        <v>445</v>
      </c>
      <c r="F2200" t="s">
        <v>158</v>
      </c>
      <c r="G2200" t="s">
        <v>157</v>
      </c>
      <c r="H2200" t="s">
        <v>156</v>
      </c>
      <c r="I2200" t="s">
        <v>454</v>
      </c>
      <c r="J2200" t="s">
        <v>461</v>
      </c>
      <c r="K2200" s="4">
        <v>13451.69</v>
      </c>
      <c r="L2200" s="4">
        <v>13451.69</v>
      </c>
      <c r="M2200" t="s">
        <v>44</v>
      </c>
      <c r="N2200" t="s">
        <v>77</v>
      </c>
      <c r="O2200" t="s">
        <v>99</v>
      </c>
      <c r="P2200" t="s">
        <v>99</v>
      </c>
      <c r="Q2200" t="s">
        <v>159</v>
      </c>
      <c r="R2200" t="s">
        <v>160</v>
      </c>
      <c r="S2200" t="s">
        <v>161</v>
      </c>
      <c r="T2200" t="s">
        <v>162</v>
      </c>
      <c r="U2200" t="s">
        <v>163</v>
      </c>
      <c r="V2200" t="s">
        <v>164</v>
      </c>
      <c r="W2200" t="s">
        <v>116</v>
      </c>
      <c r="X2200" t="s">
        <v>44</v>
      </c>
      <c r="Y2200" t="s">
        <v>99</v>
      </c>
      <c r="Z2200" t="s">
        <v>421</v>
      </c>
      <c r="AC2200" t="str">
        <f>IF(AA2200="",M2200,AA2200)</f>
        <v>sim</v>
      </c>
      <c r="AD2200" t="str">
        <f>IF(AB2200="",X2200,AB2200)</f>
        <v>sim</v>
      </c>
      <c r="AE2200" t="str">
        <f>IF(OR(Configuracao!B9="",Configuracao!B10=""),"aguardando limiar",IF(AND(K2200&gt;=Configuracao!B9,K2200/MAX(Reconciliacao!C2,1)&gt;=Configuracao!B10/100),"sim","não"))</f>
        <v>aguardando limiar</v>
      </c>
    </row>
    <row r="2201" spans="1:31" x14ac:dyDescent="0.25">
      <c r="A2201">
        <v>17246</v>
      </c>
      <c r="C2201" t="s">
        <v>1380</v>
      </c>
      <c r="D2201" t="s">
        <v>599</v>
      </c>
      <c r="E2201" t="s">
        <v>445</v>
      </c>
      <c r="F2201" t="s">
        <v>158</v>
      </c>
      <c r="G2201" t="s">
        <v>157</v>
      </c>
      <c r="H2201" t="s">
        <v>156</v>
      </c>
      <c r="I2201" t="s">
        <v>461</v>
      </c>
      <c r="J2201" t="s">
        <v>442</v>
      </c>
      <c r="K2201" s="4">
        <v>13451.69</v>
      </c>
      <c r="L2201" s="4">
        <v>13451.69</v>
      </c>
      <c r="M2201" t="s">
        <v>44</v>
      </c>
      <c r="N2201" t="s">
        <v>77</v>
      </c>
      <c r="O2201" t="s">
        <v>99</v>
      </c>
      <c r="P2201" t="s">
        <v>99</v>
      </c>
      <c r="Q2201" t="s">
        <v>159</v>
      </c>
      <c r="R2201" t="s">
        <v>160</v>
      </c>
      <c r="S2201" t="s">
        <v>161</v>
      </c>
      <c r="T2201" t="s">
        <v>162</v>
      </c>
      <c r="U2201" t="s">
        <v>163</v>
      </c>
      <c r="V2201" t="s">
        <v>164</v>
      </c>
      <c r="W2201" t="s">
        <v>116</v>
      </c>
      <c r="X2201" t="s">
        <v>44</v>
      </c>
      <c r="Y2201" t="s">
        <v>99</v>
      </c>
      <c r="Z2201" t="s">
        <v>421</v>
      </c>
      <c r="AC2201" t="str">
        <f>IF(AA2201="",M2201,AA2201)</f>
        <v>sim</v>
      </c>
      <c r="AD2201" t="str">
        <f>IF(AB2201="",X2201,AB2201)</f>
        <v>sim</v>
      </c>
      <c r="AE2201" t="str">
        <f>IF(OR(Configuracao!B9="",Configuracao!B10=""),"aguardando limiar",IF(AND(K2201&gt;=Configuracao!B9,K2201/MAX(Reconciliacao!C2,1)&gt;=Configuracao!B10/100),"sim","não"))</f>
        <v>aguardando limiar</v>
      </c>
    </row>
    <row r="2202" spans="1:31" x14ac:dyDescent="0.25">
      <c r="A2202">
        <v>17935</v>
      </c>
      <c r="C2202" t="s">
        <v>1380</v>
      </c>
      <c r="D2202" t="s">
        <v>599</v>
      </c>
      <c r="E2202" t="s">
        <v>445</v>
      </c>
      <c r="F2202" t="s">
        <v>158</v>
      </c>
      <c r="G2202" t="s">
        <v>157</v>
      </c>
      <c r="H2202" t="s">
        <v>156</v>
      </c>
      <c r="I2202" t="s">
        <v>442</v>
      </c>
      <c r="J2202" t="s">
        <v>439</v>
      </c>
      <c r="K2202" s="4">
        <v>13451.69</v>
      </c>
      <c r="L2202" s="4">
        <v>13451.69</v>
      </c>
      <c r="M2202" t="s">
        <v>44</v>
      </c>
      <c r="N2202" t="s">
        <v>77</v>
      </c>
      <c r="O2202" t="s">
        <v>99</v>
      </c>
      <c r="P2202" t="s">
        <v>99</v>
      </c>
      <c r="Q2202" t="s">
        <v>159</v>
      </c>
      <c r="R2202" t="s">
        <v>160</v>
      </c>
      <c r="S2202" t="s">
        <v>161</v>
      </c>
      <c r="T2202" t="s">
        <v>162</v>
      </c>
      <c r="U2202" t="s">
        <v>163</v>
      </c>
      <c r="V2202" t="s">
        <v>164</v>
      </c>
      <c r="W2202" t="s">
        <v>116</v>
      </c>
      <c r="X2202" t="s">
        <v>44</v>
      </c>
      <c r="Y2202" t="s">
        <v>99</v>
      </c>
      <c r="Z2202" t="s">
        <v>421</v>
      </c>
      <c r="AC2202" t="str">
        <f>IF(AA2202="",M2202,AA2202)</f>
        <v>sim</v>
      </c>
      <c r="AD2202" t="str">
        <f>IF(AB2202="",X2202,AB2202)</f>
        <v>sim</v>
      </c>
      <c r="AE2202" t="str">
        <f>IF(OR(Configuracao!B9="",Configuracao!B10=""),"aguardando limiar",IF(AND(K2202&gt;=Configuracao!B9,K2202/MAX(Reconciliacao!C2,1)&gt;=Configuracao!B10/100),"sim","não"))</f>
        <v>aguardando limiar</v>
      </c>
    </row>
    <row r="2203" spans="1:31" x14ac:dyDescent="0.25">
      <c r="A2203">
        <v>14212</v>
      </c>
      <c r="C2203" t="s">
        <v>1400</v>
      </c>
      <c r="D2203" t="s">
        <v>575</v>
      </c>
      <c r="E2203" t="s">
        <v>467</v>
      </c>
      <c r="F2203" t="s">
        <v>158</v>
      </c>
      <c r="G2203" t="s">
        <v>157</v>
      </c>
      <c r="H2203" t="s">
        <v>156</v>
      </c>
      <c r="I2203" t="s">
        <v>420</v>
      </c>
      <c r="J2203" t="s">
        <v>454</v>
      </c>
      <c r="K2203" s="4">
        <v>14071.69</v>
      </c>
      <c r="L2203" s="4">
        <v>14071.69</v>
      </c>
      <c r="M2203" t="s">
        <v>44</v>
      </c>
      <c r="N2203" t="s">
        <v>77</v>
      </c>
      <c r="O2203" t="s">
        <v>99</v>
      </c>
      <c r="P2203" t="s">
        <v>99</v>
      </c>
      <c r="Q2203" t="s">
        <v>159</v>
      </c>
      <c r="R2203" t="s">
        <v>160</v>
      </c>
      <c r="S2203" t="s">
        <v>161</v>
      </c>
      <c r="T2203" t="s">
        <v>162</v>
      </c>
      <c r="U2203" t="s">
        <v>163</v>
      </c>
      <c r="V2203" t="s">
        <v>164</v>
      </c>
      <c r="W2203" t="s">
        <v>116</v>
      </c>
      <c r="X2203" t="s">
        <v>44</v>
      </c>
      <c r="Y2203" t="s">
        <v>99</v>
      </c>
      <c r="Z2203" t="s">
        <v>421</v>
      </c>
      <c r="AC2203" t="str">
        <f>IF(AA2203="",M2203,AA2203)</f>
        <v>sim</v>
      </c>
      <c r="AD2203" t="str">
        <f>IF(AB2203="",X2203,AB2203)</f>
        <v>sim</v>
      </c>
      <c r="AE2203" t="str">
        <f>IF(OR(Configuracao!B9="",Configuracao!B10=""),"aguardando limiar",IF(AND(K2203&gt;=Configuracao!B9,K2203/MAX(Reconciliacao!C2,1)&gt;=Configuracao!B10/100),"sim","não"))</f>
        <v>aguardando limiar</v>
      </c>
    </row>
    <row r="2204" spans="1:31" x14ac:dyDescent="0.25">
      <c r="A2204">
        <v>16172</v>
      </c>
      <c r="C2204" t="s">
        <v>1400</v>
      </c>
      <c r="D2204" t="s">
        <v>575</v>
      </c>
      <c r="E2204" t="s">
        <v>467</v>
      </c>
      <c r="F2204" t="s">
        <v>158</v>
      </c>
      <c r="G2204" t="s">
        <v>157</v>
      </c>
      <c r="H2204" t="s">
        <v>156</v>
      </c>
      <c r="I2204" t="s">
        <v>454</v>
      </c>
      <c r="J2204" t="s">
        <v>461</v>
      </c>
      <c r="K2204" s="4">
        <v>14071.69</v>
      </c>
      <c r="L2204" s="4">
        <v>14071.69</v>
      </c>
      <c r="M2204" t="s">
        <v>44</v>
      </c>
      <c r="N2204" t="s">
        <v>77</v>
      </c>
      <c r="O2204" t="s">
        <v>99</v>
      </c>
      <c r="P2204" t="s">
        <v>99</v>
      </c>
      <c r="Q2204" t="s">
        <v>159</v>
      </c>
      <c r="R2204" t="s">
        <v>160</v>
      </c>
      <c r="S2204" t="s">
        <v>161</v>
      </c>
      <c r="T2204" t="s">
        <v>162</v>
      </c>
      <c r="U2204" t="s">
        <v>163</v>
      </c>
      <c r="V2204" t="s">
        <v>164</v>
      </c>
      <c r="W2204" t="s">
        <v>116</v>
      </c>
      <c r="X2204" t="s">
        <v>44</v>
      </c>
      <c r="Y2204" t="s">
        <v>99</v>
      </c>
      <c r="Z2204" t="s">
        <v>421</v>
      </c>
      <c r="AC2204" t="str">
        <f>IF(AA2204="",M2204,AA2204)</f>
        <v>sim</v>
      </c>
      <c r="AD2204" t="str">
        <f>IF(AB2204="",X2204,AB2204)</f>
        <v>sim</v>
      </c>
      <c r="AE2204" t="str">
        <f>IF(OR(Configuracao!B9="",Configuracao!B10=""),"aguardando limiar",IF(AND(K2204&gt;=Configuracao!B9,K2204/MAX(Reconciliacao!C2,1)&gt;=Configuracao!B10/100),"sim","não"))</f>
        <v>aguardando limiar</v>
      </c>
    </row>
    <row r="2205" spans="1:31" x14ac:dyDescent="0.25">
      <c r="A2205">
        <v>17264</v>
      </c>
      <c r="C2205" t="s">
        <v>1400</v>
      </c>
      <c r="D2205" t="s">
        <v>575</v>
      </c>
      <c r="E2205" t="s">
        <v>467</v>
      </c>
      <c r="F2205" t="s">
        <v>158</v>
      </c>
      <c r="G2205" t="s">
        <v>157</v>
      </c>
      <c r="H2205" t="s">
        <v>156</v>
      </c>
      <c r="I2205" t="s">
        <v>461</v>
      </c>
      <c r="J2205" t="s">
        <v>442</v>
      </c>
      <c r="K2205" s="4">
        <v>14071.69</v>
      </c>
      <c r="L2205" s="4">
        <v>14071.69</v>
      </c>
      <c r="M2205" t="s">
        <v>44</v>
      </c>
      <c r="N2205" t="s">
        <v>77</v>
      </c>
      <c r="O2205" t="s">
        <v>99</v>
      </c>
      <c r="P2205" t="s">
        <v>99</v>
      </c>
      <c r="Q2205" t="s">
        <v>159</v>
      </c>
      <c r="R2205" t="s">
        <v>160</v>
      </c>
      <c r="S2205" t="s">
        <v>161</v>
      </c>
      <c r="T2205" t="s">
        <v>162</v>
      </c>
      <c r="U2205" t="s">
        <v>163</v>
      </c>
      <c r="V2205" t="s">
        <v>164</v>
      </c>
      <c r="W2205" t="s">
        <v>116</v>
      </c>
      <c r="X2205" t="s">
        <v>44</v>
      </c>
      <c r="Y2205" t="s">
        <v>99</v>
      </c>
      <c r="Z2205" t="s">
        <v>421</v>
      </c>
      <c r="AC2205" t="str">
        <f>IF(AA2205="",M2205,AA2205)</f>
        <v>sim</v>
      </c>
      <c r="AD2205" t="str">
        <f>IF(AB2205="",X2205,AB2205)</f>
        <v>sim</v>
      </c>
      <c r="AE2205" t="str">
        <f>IF(OR(Configuracao!B9="",Configuracao!B10=""),"aguardando limiar",IF(AND(K2205&gt;=Configuracao!B9,K2205/MAX(Reconciliacao!C2,1)&gt;=Configuracao!B10/100),"sim","não"))</f>
        <v>aguardando limiar</v>
      </c>
    </row>
    <row r="2206" spans="1:31" x14ac:dyDescent="0.25">
      <c r="A2206">
        <v>17952</v>
      </c>
      <c r="C2206" t="s">
        <v>1400</v>
      </c>
      <c r="D2206" t="s">
        <v>575</v>
      </c>
      <c r="E2206" t="s">
        <v>467</v>
      </c>
      <c r="F2206" t="s">
        <v>158</v>
      </c>
      <c r="G2206" t="s">
        <v>157</v>
      </c>
      <c r="H2206" t="s">
        <v>156</v>
      </c>
      <c r="I2206" t="s">
        <v>442</v>
      </c>
      <c r="J2206" t="s">
        <v>439</v>
      </c>
      <c r="K2206" s="4">
        <v>14071.69</v>
      </c>
      <c r="L2206" s="4">
        <v>14071.69</v>
      </c>
      <c r="M2206" t="s">
        <v>44</v>
      </c>
      <c r="N2206" t="s">
        <v>77</v>
      </c>
      <c r="O2206" t="s">
        <v>99</v>
      </c>
      <c r="P2206" t="s">
        <v>99</v>
      </c>
      <c r="Q2206" t="s">
        <v>159</v>
      </c>
      <c r="R2206" t="s">
        <v>160</v>
      </c>
      <c r="S2206" t="s">
        <v>161</v>
      </c>
      <c r="T2206" t="s">
        <v>162</v>
      </c>
      <c r="U2206" t="s">
        <v>163</v>
      </c>
      <c r="V2206" t="s">
        <v>164</v>
      </c>
      <c r="W2206" t="s">
        <v>116</v>
      </c>
      <c r="X2206" t="s">
        <v>44</v>
      </c>
      <c r="Y2206" t="s">
        <v>99</v>
      </c>
      <c r="Z2206" t="s">
        <v>421</v>
      </c>
      <c r="AC2206" t="str">
        <f>IF(AA2206="",M2206,AA2206)</f>
        <v>sim</v>
      </c>
      <c r="AD2206" t="str">
        <f>IF(AB2206="",X2206,AB2206)</f>
        <v>sim</v>
      </c>
      <c r="AE2206" t="str">
        <f>IF(OR(Configuracao!B9="",Configuracao!B10=""),"aguardando limiar",IF(AND(K2206&gt;=Configuracao!B9,K2206/MAX(Reconciliacao!C2,1)&gt;=Configuracao!B10/100),"sim","não"))</f>
        <v>aguardando limiar</v>
      </c>
    </row>
    <row r="2207" spans="1:31" x14ac:dyDescent="0.25">
      <c r="A2207">
        <v>18795</v>
      </c>
      <c r="C2207" t="s">
        <v>1400</v>
      </c>
      <c r="D2207" t="s">
        <v>575</v>
      </c>
      <c r="E2207" t="s">
        <v>467</v>
      </c>
      <c r="F2207" t="s">
        <v>158</v>
      </c>
      <c r="G2207" t="s">
        <v>157</v>
      </c>
      <c r="H2207" t="s">
        <v>156</v>
      </c>
      <c r="I2207" t="s">
        <v>439</v>
      </c>
      <c r="J2207" t="s">
        <v>35</v>
      </c>
      <c r="K2207" s="4">
        <v>14071.69</v>
      </c>
      <c r="L2207" s="4">
        <v>14071.69</v>
      </c>
      <c r="M2207" t="s">
        <v>44</v>
      </c>
      <c r="N2207" t="s">
        <v>77</v>
      </c>
      <c r="O2207" t="s">
        <v>99</v>
      </c>
      <c r="P2207" t="s">
        <v>99</v>
      </c>
      <c r="Q2207" t="s">
        <v>159</v>
      </c>
      <c r="R2207" t="s">
        <v>160</v>
      </c>
      <c r="S2207" t="s">
        <v>161</v>
      </c>
      <c r="T2207" t="s">
        <v>162</v>
      </c>
      <c r="U2207" t="s">
        <v>163</v>
      </c>
      <c r="V2207" t="s">
        <v>164</v>
      </c>
      <c r="W2207" t="s">
        <v>116</v>
      </c>
      <c r="X2207" t="s">
        <v>44</v>
      </c>
      <c r="Y2207" t="s">
        <v>99</v>
      </c>
      <c r="Z2207" t="s">
        <v>421</v>
      </c>
      <c r="AC2207" t="str">
        <f>IF(AA2207="",M2207,AA2207)</f>
        <v>sim</v>
      </c>
      <c r="AD2207" t="str">
        <f>IF(AB2207="",X2207,AB2207)</f>
        <v>sim</v>
      </c>
      <c r="AE2207" t="str">
        <f>IF(OR(Configuracao!B9="",Configuracao!B10=""),"aguardando limiar",IF(AND(K2207&gt;=Configuracao!B9,K2207/MAX(Reconciliacao!C2,1)&gt;=Configuracao!B10/100),"sim","não"))</f>
        <v>aguardando limiar</v>
      </c>
    </row>
    <row r="2208" spans="1:31" x14ac:dyDescent="0.25">
      <c r="A2208">
        <v>16163</v>
      </c>
      <c r="C2208" t="s">
        <v>1392</v>
      </c>
      <c r="D2208" t="s">
        <v>510</v>
      </c>
      <c r="E2208" t="s">
        <v>511</v>
      </c>
      <c r="F2208" t="s">
        <v>158</v>
      </c>
      <c r="G2208" t="s">
        <v>157</v>
      </c>
      <c r="H2208" t="s">
        <v>156</v>
      </c>
      <c r="I2208" t="s">
        <v>454</v>
      </c>
      <c r="J2208" t="s">
        <v>461</v>
      </c>
      <c r="K2208" s="4">
        <v>14477.35</v>
      </c>
      <c r="L2208" s="4">
        <v>14477.35</v>
      </c>
      <c r="M2208" t="s">
        <v>44</v>
      </c>
      <c r="N2208" t="s">
        <v>77</v>
      </c>
      <c r="O2208" t="s">
        <v>99</v>
      </c>
      <c r="P2208" t="s">
        <v>99</v>
      </c>
      <c r="Q2208" t="s">
        <v>159</v>
      </c>
      <c r="R2208" t="s">
        <v>160</v>
      </c>
      <c r="S2208" t="s">
        <v>161</v>
      </c>
      <c r="T2208" t="s">
        <v>162</v>
      </c>
      <c r="U2208" t="s">
        <v>163</v>
      </c>
      <c r="V2208" t="s">
        <v>164</v>
      </c>
      <c r="W2208" t="s">
        <v>116</v>
      </c>
      <c r="X2208" t="s">
        <v>44</v>
      </c>
      <c r="Y2208" t="s">
        <v>99</v>
      </c>
      <c r="Z2208" t="s">
        <v>421</v>
      </c>
      <c r="AC2208" t="str">
        <f>IF(AA2208="",M2208,AA2208)</f>
        <v>sim</v>
      </c>
      <c r="AD2208" t="str">
        <f>IF(AB2208="",X2208,AB2208)</f>
        <v>sim</v>
      </c>
      <c r="AE2208" t="str">
        <f>IF(OR(Configuracao!B9="",Configuracao!B10=""),"aguardando limiar",IF(AND(K2208&gt;=Configuracao!B9,K2208/MAX(Reconciliacao!C2,1)&gt;=Configuracao!B10/100),"sim","não"))</f>
        <v>aguardando limiar</v>
      </c>
    </row>
    <row r="2209" spans="1:31" x14ac:dyDescent="0.25">
      <c r="A2209">
        <v>17253</v>
      </c>
      <c r="C2209" t="s">
        <v>1392</v>
      </c>
      <c r="D2209" t="s">
        <v>510</v>
      </c>
      <c r="E2209" t="s">
        <v>511</v>
      </c>
      <c r="F2209" t="s">
        <v>158</v>
      </c>
      <c r="G2209" t="s">
        <v>157</v>
      </c>
      <c r="H2209" t="s">
        <v>156</v>
      </c>
      <c r="I2209" t="s">
        <v>461</v>
      </c>
      <c r="J2209" t="s">
        <v>442</v>
      </c>
      <c r="K2209" s="4">
        <v>14477.35</v>
      </c>
      <c r="L2209" s="4">
        <v>14477.35</v>
      </c>
      <c r="M2209" t="s">
        <v>44</v>
      </c>
      <c r="N2209" t="s">
        <v>77</v>
      </c>
      <c r="O2209" t="s">
        <v>99</v>
      </c>
      <c r="P2209" t="s">
        <v>99</v>
      </c>
      <c r="Q2209" t="s">
        <v>159</v>
      </c>
      <c r="R2209" t="s">
        <v>160</v>
      </c>
      <c r="S2209" t="s">
        <v>161</v>
      </c>
      <c r="T2209" t="s">
        <v>162</v>
      </c>
      <c r="U2209" t="s">
        <v>163</v>
      </c>
      <c r="V2209" t="s">
        <v>164</v>
      </c>
      <c r="W2209" t="s">
        <v>116</v>
      </c>
      <c r="X2209" t="s">
        <v>44</v>
      </c>
      <c r="Y2209" t="s">
        <v>99</v>
      </c>
      <c r="Z2209" t="s">
        <v>421</v>
      </c>
      <c r="AC2209" t="str">
        <f>IF(AA2209="",M2209,AA2209)</f>
        <v>sim</v>
      </c>
      <c r="AD2209" t="str">
        <f>IF(AB2209="",X2209,AB2209)</f>
        <v>sim</v>
      </c>
      <c r="AE2209" t="str">
        <f>IF(OR(Configuracao!B9="",Configuracao!B10=""),"aguardando limiar",IF(AND(K2209&gt;=Configuracao!B9,K2209/MAX(Reconciliacao!C2,1)&gt;=Configuracao!B10/100),"sim","não"))</f>
        <v>aguardando limiar</v>
      </c>
    </row>
    <row r="2210" spans="1:31" x14ac:dyDescent="0.25">
      <c r="A2210">
        <v>17943</v>
      </c>
      <c r="C2210" t="s">
        <v>1392</v>
      </c>
      <c r="D2210" t="s">
        <v>510</v>
      </c>
      <c r="E2210" t="s">
        <v>511</v>
      </c>
      <c r="F2210" t="s">
        <v>158</v>
      </c>
      <c r="G2210" t="s">
        <v>157</v>
      </c>
      <c r="H2210" t="s">
        <v>156</v>
      </c>
      <c r="I2210" t="s">
        <v>442</v>
      </c>
      <c r="J2210" t="s">
        <v>439</v>
      </c>
      <c r="K2210" s="4">
        <v>14477.35</v>
      </c>
      <c r="L2210" s="4">
        <v>14477.35</v>
      </c>
      <c r="M2210" t="s">
        <v>44</v>
      </c>
      <c r="N2210" t="s">
        <v>77</v>
      </c>
      <c r="O2210" t="s">
        <v>99</v>
      </c>
      <c r="P2210" t="s">
        <v>99</v>
      </c>
      <c r="Q2210" t="s">
        <v>159</v>
      </c>
      <c r="R2210" t="s">
        <v>160</v>
      </c>
      <c r="S2210" t="s">
        <v>161</v>
      </c>
      <c r="T2210" t="s">
        <v>162</v>
      </c>
      <c r="U2210" t="s">
        <v>163</v>
      </c>
      <c r="V2210" t="s">
        <v>164</v>
      </c>
      <c r="W2210" t="s">
        <v>116</v>
      </c>
      <c r="X2210" t="s">
        <v>44</v>
      </c>
      <c r="Y2210" t="s">
        <v>99</v>
      </c>
      <c r="Z2210" t="s">
        <v>421</v>
      </c>
      <c r="AC2210" t="str">
        <f>IF(AA2210="",M2210,AA2210)</f>
        <v>sim</v>
      </c>
      <c r="AD2210" t="str">
        <f>IF(AB2210="",X2210,AB2210)</f>
        <v>sim</v>
      </c>
      <c r="AE2210" t="str">
        <f>IF(OR(Configuracao!B9="",Configuracao!B10=""),"aguardando limiar",IF(AND(K2210&gt;=Configuracao!B9,K2210/MAX(Reconciliacao!C2,1)&gt;=Configuracao!B10/100),"sim","não"))</f>
        <v>aguardando limiar</v>
      </c>
    </row>
    <row r="2211" spans="1:31" x14ac:dyDescent="0.25">
      <c r="A2211">
        <v>14200</v>
      </c>
      <c r="C2211" t="s">
        <v>1387</v>
      </c>
      <c r="D2211" t="s">
        <v>597</v>
      </c>
      <c r="E2211" t="s">
        <v>465</v>
      </c>
      <c r="F2211" t="s">
        <v>158</v>
      </c>
      <c r="G2211" t="s">
        <v>157</v>
      </c>
      <c r="H2211" t="s">
        <v>156</v>
      </c>
      <c r="I2211" t="s">
        <v>420</v>
      </c>
      <c r="J2211" t="s">
        <v>454</v>
      </c>
      <c r="K2211" s="4">
        <v>14482.69</v>
      </c>
      <c r="L2211" s="4">
        <v>14482.69</v>
      </c>
      <c r="M2211" t="s">
        <v>44</v>
      </c>
      <c r="N2211" t="s">
        <v>77</v>
      </c>
      <c r="O2211" t="s">
        <v>99</v>
      </c>
      <c r="P2211" t="s">
        <v>99</v>
      </c>
      <c r="Q2211" t="s">
        <v>159</v>
      </c>
      <c r="R2211" t="s">
        <v>160</v>
      </c>
      <c r="S2211" t="s">
        <v>161</v>
      </c>
      <c r="T2211" t="s">
        <v>162</v>
      </c>
      <c r="U2211" t="s">
        <v>163</v>
      </c>
      <c r="V2211" t="s">
        <v>164</v>
      </c>
      <c r="W2211" t="s">
        <v>116</v>
      </c>
      <c r="X2211" t="s">
        <v>44</v>
      </c>
      <c r="Y2211" t="s">
        <v>99</v>
      </c>
      <c r="Z2211" t="s">
        <v>421</v>
      </c>
      <c r="AC2211" t="str">
        <f>IF(AA2211="",M2211,AA2211)</f>
        <v>sim</v>
      </c>
      <c r="AD2211" t="str">
        <f>IF(AB2211="",X2211,AB2211)</f>
        <v>sim</v>
      </c>
      <c r="AE2211" t="str">
        <f>IF(OR(Configuracao!B9="",Configuracao!B10=""),"aguardando limiar",IF(AND(K2211&gt;=Configuracao!B9,K2211/MAX(Reconciliacao!C2,1)&gt;=Configuracao!B10/100),"sim","não"))</f>
        <v>aguardando limiar</v>
      </c>
    </row>
    <row r="2212" spans="1:31" x14ac:dyDescent="0.25">
      <c r="A2212">
        <v>15974</v>
      </c>
      <c r="C2212" t="s">
        <v>1387</v>
      </c>
      <c r="D2212" t="s">
        <v>597</v>
      </c>
      <c r="E2212" t="s">
        <v>465</v>
      </c>
      <c r="F2212" t="s">
        <v>158</v>
      </c>
      <c r="G2212" t="s">
        <v>157</v>
      </c>
      <c r="H2212" t="s">
        <v>156</v>
      </c>
      <c r="I2212" t="s">
        <v>424</v>
      </c>
      <c r="J2212" t="s">
        <v>420</v>
      </c>
      <c r="K2212" s="4">
        <v>14517.85</v>
      </c>
      <c r="L2212" s="4">
        <v>14517.85</v>
      </c>
      <c r="M2212" t="s">
        <v>44</v>
      </c>
      <c r="N2212" t="s">
        <v>77</v>
      </c>
      <c r="O2212" t="s">
        <v>99</v>
      </c>
      <c r="P2212" t="s">
        <v>99</v>
      </c>
      <c r="Q2212" t="s">
        <v>159</v>
      </c>
      <c r="R2212" t="s">
        <v>160</v>
      </c>
      <c r="S2212" t="s">
        <v>161</v>
      </c>
      <c r="T2212" t="s">
        <v>162</v>
      </c>
      <c r="U2212" t="s">
        <v>163</v>
      </c>
      <c r="V2212" t="s">
        <v>164</v>
      </c>
      <c r="W2212" t="s">
        <v>116</v>
      </c>
      <c r="X2212" t="s">
        <v>44</v>
      </c>
      <c r="Y2212" t="s">
        <v>99</v>
      </c>
      <c r="Z2212" t="s">
        <v>421</v>
      </c>
      <c r="AC2212" t="str">
        <f>IF(AA2212="",M2212,AA2212)</f>
        <v>sim</v>
      </c>
      <c r="AD2212" t="str">
        <f>IF(AB2212="",X2212,AB2212)</f>
        <v>sim</v>
      </c>
      <c r="AE2212" t="str">
        <f>IF(OR(Configuracao!B9="",Configuracao!B10=""),"aguardando limiar",IF(AND(K2212&gt;=Configuracao!B9,K2212/MAX(Reconciliacao!C2,1)&gt;=Configuracao!B10/100),"sim","não"))</f>
        <v>aguardando limiar</v>
      </c>
    </row>
    <row r="2213" spans="1:31" x14ac:dyDescent="0.25">
      <c r="A2213">
        <v>12945</v>
      </c>
      <c r="C2213" t="s">
        <v>1387</v>
      </c>
      <c r="D2213" t="s">
        <v>597</v>
      </c>
      <c r="E2213" t="s">
        <v>465</v>
      </c>
      <c r="F2213" t="s">
        <v>158</v>
      </c>
      <c r="G2213" t="s">
        <v>157</v>
      </c>
      <c r="H2213" t="s">
        <v>156</v>
      </c>
      <c r="I2213" t="s">
        <v>424</v>
      </c>
      <c r="J2213" t="s">
        <v>424</v>
      </c>
      <c r="K2213" s="4">
        <v>14632</v>
      </c>
      <c r="L2213" s="4">
        <v>14632</v>
      </c>
      <c r="M2213" t="s">
        <v>44</v>
      </c>
      <c r="N2213" t="s">
        <v>77</v>
      </c>
      <c r="O2213" t="s">
        <v>99</v>
      </c>
      <c r="P2213" t="s">
        <v>99</v>
      </c>
      <c r="Q2213" t="s">
        <v>159</v>
      </c>
      <c r="R2213" t="s">
        <v>160</v>
      </c>
      <c r="S2213" t="s">
        <v>161</v>
      </c>
      <c r="T2213" t="s">
        <v>162</v>
      </c>
      <c r="U2213" t="s">
        <v>163</v>
      </c>
      <c r="V2213" t="s">
        <v>164</v>
      </c>
      <c r="W2213" t="s">
        <v>116</v>
      </c>
      <c r="X2213" t="s">
        <v>44</v>
      </c>
      <c r="Y2213" t="s">
        <v>99</v>
      </c>
      <c r="Z2213" t="s">
        <v>421</v>
      </c>
      <c r="AC2213" t="str">
        <f>IF(AA2213="",M2213,AA2213)</f>
        <v>sim</v>
      </c>
      <c r="AD2213" t="str">
        <f>IF(AB2213="",X2213,AB2213)</f>
        <v>sim</v>
      </c>
      <c r="AE2213" t="str">
        <f>IF(OR(Configuracao!B9="",Configuracao!B10=""),"aguardando limiar",IF(AND(K2213&gt;=Configuracao!B9,K2213/MAX(Reconciliacao!C2,1)&gt;=Configuracao!B10/100),"sim","não"))</f>
        <v>aguardando limiar</v>
      </c>
    </row>
    <row r="2214" spans="1:31" x14ac:dyDescent="0.25">
      <c r="A2214">
        <v>17247</v>
      </c>
      <c r="C2214" t="s">
        <v>1387</v>
      </c>
      <c r="D2214" t="s">
        <v>597</v>
      </c>
      <c r="E2214" t="s">
        <v>465</v>
      </c>
      <c r="F2214" t="s">
        <v>158</v>
      </c>
      <c r="G2214" t="s">
        <v>157</v>
      </c>
      <c r="H2214" t="s">
        <v>156</v>
      </c>
      <c r="I2214" t="s">
        <v>461</v>
      </c>
      <c r="J2214" t="s">
        <v>442</v>
      </c>
      <c r="K2214" s="4">
        <v>14632</v>
      </c>
      <c r="L2214" s="4">
        <v>14632</v>
      </c>
      <c r="M2214" t="s">
        <v>44</v>
      </c>
      <c r="N2214" t="s">
        <v>77</v>
      </c>
      <c r="O2214" t="s">
        <v>99</v>
      </c>
      <c r="P2214" t="s">
        <v>99</v>
      </c>
      <c r="Q2214" t="s">
        <v>159</v>
      </c>
      <c r="R2214" t="s">
        <v>160</v>
      </c>
      <c r="S2214" t="s">
        <v>161</v>
      </c>
      <c r="T2214" t="s">
        <v>162</v>
      </c>
      <c r="U2214" t="s">
        <v>163</v>
      </c>
      <c r="V2214" t="s">
        <v>164</v>
      </c>
      <c r="W2214" t="s">
        <v>116</v>
      </c>
      <c r="X2214" t="s">
        <v>44</v>
      </c>
      <c r="Y2214" t="s">
        <v>99</v>
      </c>
      <c r="Z2214" t="s">
        <v>421</v>
      </c>
      <c r="AC2214" t="str">
        <f>IF(AA2214="",M2214,AA2214)</f>
        <v>sim</v>
      </c>
      <c r="AD2214" t="str">
        <f>IF(AB2214="",X2214,AB2214)</f>
        <v>sim</v>
      </c>
      <c r="AE2214" t="str">
        <f>IF(OR(Configuracao!B9="",Configuracao!B10=""),"aguardando limiar",IF(AND(K2214&gt;=Configuracao!B9,K2214/MAX(Reconciliacao!C2,1)&gt;=Configuracao!B10/100),"sim","não"))</f>
        <v>aguardando limiar</v>
      </c>
    </row>
    <row r="2215" spans="1:31" x14ac:dyDescent="0.25">
      <c r="A2215">
        <v>17936</v>
      </c>
      <c r="C2215" t="s">
        <v>1387</v>
      </c>
      <c r="D2215" t="s">
        <v>597</v>
      </c>
      <c r="E2215" t="s">
        <v>465</v>
      </c>
      <c r="F2215" t="s">
        <v>158</v>
      </c>
      <c r="G2215" t="s">
        <v>157</v>
      </c>
      <c r="H2215" t="s">
        <v>156</v>
      </c>
      <c r="I2215" t="s">
        <v>442</v>
      </c>
      <c r="J2215" t="s">
        <v>439</v>
      </c>
      <c r="K2215" s="4">
        <v>14632</v>
      </c>
      <c r="L2215" s="4">
        <v>14632</v>
      </c>
      <c r="M2215" t="s">
        <v>44</v>
      </c>
      <c r="N2215" t="s">
        <v>77</v>
      </c>
      <c r="O2215" t="s">
        <v>99</v>
      </c>
      <c r="P2215" t="s">
        <v>99</v>
      </c>
      <c r="Q2215" t="s">
        <v>159</v>
      </c>
      <c r="R2215" t="s">
        <v>160</v>
      </c>
      <c r="S2215" t="s">
        <v>161</v>
      </c>
      <c r="T2215" t="s">
        <v>162</v>
      </c>
      <c r="U2215" t="s">
        <v>163</v>
      </c>
      <c r="V2215" t="s">
        <v>164</v>
      </c>
      <c r="W2215" t="s">
        <v>116</v>
      </c>
      <c r="X2215" t="s">
        <v>44</v>
      </c>
      <c r="Y2215" t="s">
        <v>99</v>
      </c>
      <c r="Z2215" t="s">
        <v>421</v>
      </c>
      <c r="AC2215" t="str">
        <f>IF(AA2215="",M2215,AA2215)</f>
        <v>sim</v>
      </c>
      <c r="AD2215" t="str">
        <f>IF(AB2215="",X2215,AB2215)</f>
        <v>sim</v>
      </c>
      <c r="AE2215" t="str">
        <f>IF(OR(Configuracao!B9="",Configuracao!B10=""),"aguardando limiar",IF(AND(K2215&gt;=Configuracao!B9,K2215/MAX(Reconciliacao!C2,1)&gt;=Configuracao!B10/100),"sim","não"))</f>
        <v>aguardando limiar</v>
      </c>
    </row>
    <row r="2216" spans="1:31" x14ac:dyDescent="0.25">
      <c r="A2216">
        <v>18780</v>
      </c>
      <c r="C2216" t="s">
        <v>1387</v>
      </c>
      <c r="D2216" t="s">
        <v>597</v>
      </c>
      <c r="E2216" t="s">
        <v>465</v>
      </c>
      <c r="F2216" t="s">
        <v>158</v>
      </c>
      <c r="G2216" t="s">
        <v>157</v>
      </c>
      <c r="H2216" t="s">
        <v>156</v>
      </c>
      <c r="I2216" t="s">
        <v>439</v>
      </c>
      <c r="J2216" t="s">
        <v>35</v>
      </c>
      <c r="K2216" s="4">
        <v>14632</v>
      </c>
      <c r="L2216" s="4">
        <v>14632</v>
      </c>
      <c r="M2216" t="s">
        <v>44</v>
      </c>
      <c r="N2216" t="s">
        <v>77</v>
      </c>
      <c r="O2216" t="s">
        <v>99</v>
      </c>
      <c r="P2216" t="s">
        <v>99</v>
      </c>
      <c r="Q2216" t="s">
        <v>159</v>
      </c>
      <c r="R2216" t="s">
        <v>160</v>
      </c>
      <c r="S2216" t="s">
        <v>161</v>
      </c>
      <c r="T2216" t="s">
        <v>162</v>
      </c>
      <c r="U2216" t="s">
        <v>163</v>
      </c>
      <c r="V2216" t="s">
        <v>164</v>
      </c>
      <c r="W2216" t="s">
        <v>116</v>
      </c>
      <c r="X2216" t="s">
        <v>44</v>
      </c>
      <c r="Y2216" t="s">
        <v>99</v>
      </c>
      <c r="Z2216" t="s">
        <v>421</v>
      </c>
      <c r="AC2216" t="str">
        <f>IF(AA2216="",M2216,AA2216)</f>
        <v>sim</v>
      </c>
      <c r="AD2216" t="str">
        <f>IF(AB2216="",X2216,AB2216)</f>
        <v>sim</v>
      </c>
      <c r="AE2216" t="str">
        <f>IF(OR(Configuracao!B9="",Configuracao!B10=""),"aguardando limiar",IF(AND(K2216&gt;=Configuracao!B9,K2216/MAX(Reconciliacao!C2,1)&gt;=Configuracao!B10/100),"sim","não"))</f>
        <v>aguardando limiar</v>
      </c>
    </row>
    <row r="2217" spans="1:31" x14ac:dyDescent="0.25">
      <c r="A2217">
        <v>18787</v>
      </c>
      <c r="C2217" t="s">
        <v>1392</v>
      </c>
      <c r="D2217" t="s">
        <v>510</v>
      </c>
      <c r="E2217" t="s">
        <v>511</v>
      </c>
      <c r="F2217" t="s">
        <v>158</v>
      </c>
      <c r="G2217" t="s">
        <v>157</v>
      </c>
      <c r="H2217" t="s">
        <v>156</v>
      </c>
      <c r="I2217" t="s">
        <v>439</v>
      </c>
      <c r="J2217" t="s">
        <v>35</v>
      </c>
      <c r="K2217" s="4">
        <v>16977.35</v>
      </c>
      <c r="L2217" s="4">
        <v>16977.35</v>
      </c>
      <c r="M2217" t="s">
        <v>44</v>
      </c>
      <c r="N2217" t="s">
        <v>77</v>
      </c>
      <c r="O2217" t="s">
        <v>99</v>
      </c>
      <c r="P2217" t="s">
        <v>99</v>
      </c>
      <c r="Q2217" t="s">
        <v>159</v>
      </c>
      <c r="R2217" t="s">
        <v>160</v>
      </c>
      <c r="S2217" t="s">
        <v>161</v>
      </c>
      <c r="T2217" t="s">
        <v>162</v>
      </c>
      <c r="U2217" t="s">
        <v>163</v>
      </c>
      <c r="V2217" t="s">
        <v>164</v>
      </c>
      <c r="W2217" t="s">
        <v>116</v>
      </c>
      <c r="X2217" t="s">
        <v>166</v>
      </c>
      <c r="Y2217" t="s">
        <v>1483</v>
      </c>
      <c r="Z2217" t="s">
        <v>434</v>
      </c>
      <c r="AC2217" t="str">
        <f>IF(AA2217="",M2217,AA2217)</f>
        <v>sim</v>
      </c>
      <c r="AD2217" t="str">
        <f>IF(AB2217="",X2217,AB2217)</f>
        <v>não</v>
      </c>
      <c r="AE2217" t="str">
        <f>IF(OR(Configuracao!B9="",Configuracao!B10=""),"aguardando limiar",IF(AND(K2217&gt;=Configuracao!B9,K2217/MAX(Reconciliacao!C2,1)&gt;=Configuracao!B10/100),"sim","não"))</f>
        <v>aguardando limiar</v>
      </c>
    </row>
    <row r="2218" spans="1:31" x14ac:dyDescent="0.25">
      <c r="A2218">
        <v>18778</v>
      </c>
      <c r="C2218" t="s">
        <v>1380</v>
      </c>
      <c r="D2218" t="s">
        <v>599</v>
      </c>
      <c r="E2218" t="s">
        <v>445</v>
      </c>
      <c r="F2218" t="s">
        <v>158</v>
      </c>
      <c r="G2218" t="s">
        <v>157</v>
      </c>
      <c r="H2218" t="s">
        <v>156</v>
      </c>
      <c r="I2218" t="s">
        <v>439</v>
      </c>
      <c r="J2218" t="s">
        <v>35</v>
      </c>
      <c r="K2218" s="4">
        <v>17451.69</v>
      </c>
      <c r="L2218" s="4">
        <v>17451.69</v>
      </c>
      <c r="M2218" t="s">
        <v>44</v>
      </c>
      <c r="N2218" t="s">
        <v>77</v>
      </c>
      <c r="O2218" t="s">
        <v>99</v>
      </c>
      <c r="P2218" t="s">
        <v>99</v>
      </c>
      <c r="Q2218" t="s">
        <v>159</v>
      </c>
      <c r="R2218" t="s">
        <v>160</v>
      </c>
      <c r="S2218" t="s">
        <v>161</v>
      </c>
      <c r="T2218" t="s">
        <v>162</v>
      </c>
      <c r="U2218" t="s">
        <v>163</v>
      </c>
      <c r="V2218" t="s">
        <v>164</v>
      </c>
      <c r="W2218" t="s">
        <v>116</v>
      </c>
      <c r="X2218" t="s">
        <v>166</v>
      </c>
      <c r="Y2218" t="s">
        <v>1483</v>
      </c>
      <c r="Z2218" t="s">
        <v>434</v>
      </c>
      <c r="AC2218" t="str">
        <f>IF(AA2218="",M2218,AA2218)</f>
        <v>sim</v>
      </c>
      <c r="AD2218" t="str">
        <f>IF(AB2218="",X2218,AB2218)</f>
        <v>não</v>
      </c>
      <c r="AE2218" t="str">
        <f>IF(OR(Configuracao!B9="",Configuracao!B10=""),"aguardando limiar",IF(AND(K2218&gt;=Configuracao!B9,K2218/MAX(Reconciliacao!C2,1)&gt;=Configuracao!B10/100),"sim","não"))</f>
        <v>aguardando limiar</v>
      </c>
    </row>
    <row r="2219" spans="1:31" x14ac:dyDescent="0.25">
      <c r="A2219">
        <v>12978</v>
      </c>
      <c r="C2219" t="s">
        <v>1427</v>
      </c>
      <c r="D2219" t="s">
        <v>1428</v>
      </c>
      <c r="E2219" t="s">
        <v>477</v>
      </c>
      <c r="F2219" t="s">
        <v>158</v>
      </c>
      <c r="G2219" t="s">
        <v>157</v>
      </c>
      <c r="H2219" t="s">
        <v>156</v>
      </c>
      <c r="I2219" t="s">
        <v>424</v>
      </c>
      <c r="J2219" t="s">
        <v>424</v>
      </c>
      <c r="K2219" s="4">
        <v>19821.69</v>
      </c>
      <c r="L2219" s="4">
        <v>19821.69</v>
      </c>
      <c r="M2219" t="s">
        <v>44</v>
      </c>
      <c r="N2219" t="s">
        <v>77</v>
      </c>
      <c r="O2219" t="s">
        <v>99</v>
      </c>
      <c r="P2219" t="s">
        <v>99</v>
      </c>
      <c r="Q2219" t="s">
        <v>159</v>
      </c>
      <c r="R2219" t="s">
        <v>160</v>
      </c>
      <c r="S2219" t="s">
        <v>161</v>
      </c>
      <c r="T2219" t="s">
        <v>162</v>
      </c>
      <c r="U2219" t="s">
        <v>163</v>
      </c>
      <c r="V2219" t="s">
        <v>164</v>
      </c>
      <c r="W2219" t="s">
        <v>116</v>
      </c>
      <c r="X2219" t="s">
        <v>166</v>
      </c>
      <c r="Y2219" t="s">
        <v>1483</v>
      </c>
      <c r="Z2219" t="s">
        <v>434</v>
      </c>
      <c r="AC2219" t="str">
        <f>IF(AA2219="",M2219,AA2219)</f>
        <v>sim</v>
      </c>
      <c r="AD2219" t="str">
        <f>IF(AB2219="",X2219,AB2219)</f>
        <v>não</v>
      </c>
      <c r="AE2219" t="str">
        <f>IF(OR(Configuracao!B9="",Configuracao!B10=""),"aguardando limiar",IF(AND(K2219&gt;=Configuracao!B9,K2219/MAX(Reconciliacao!C2,1)&gt;=Configuracao!B10/100),"sim","não"))</f>
        <v>aguardando limiar</v>
      </c>
    </row>
    <row r="2220" spans="1:31" x14ac:dyDescent="0.25">
      <c r="A2220">
        <v>14225</v>
      </c>
      <c r="C2220" t="s">
        <v>1427</v>
      </c>
      <c r="D2220" t="s">
        <v>1428</v>
      </c>
      <c r="E2220" t="s">
        <v>477</v>
      </c>
      <c r="F2220" t="s">
        <v>158</v>
      </c>
      <c r="G2220" t="s">
        <v>157</v>
      </c>
      <c r="H2220" t="s">
        <v>156</v>
      </c>
      <c r="I2220" t="s">
        <v>420</v>
      </c>
      <c r="J2220" t="s">
        <v>454</v>
      </c>
      <c r="K2220" s="4">
        <v>19821.69</v>
      </c>
      <c r="L2220" s="4">
        <v>19821.69</v>
      </c>
      <c r="M2220" t="s">
        <v>44</v>
      </c>
      <c r="N2220" t="s">
        <v>77</v>
      </c>
      <c r="O2220" t="s">
        <v>99</v>
      </c>
      <c r="P2220" t="s">
        <v>99</v>
      </c>
      <c r="Q2220" t="s">
        <v>159</v>
      </c>
      <c r="R2220" t="s">
        <v>160</v>
      </c>
      <c r="S2220" t="s">
        <v>161</v>
      </c>
      <c r="T2220" t="s">
        <v>162</v>
      </c>
      <c r="U2220" t="s">
        <v>163</v>
      </c>
      <c r="V2220" t="s">
        <v>164</v>
      </c>
      <c r="W2220" t="s">
        <v>116</v>
      </c>
      <c r="X2220" t="s">
        <v>166</v>
      </c>
      <c r="Y2220" t="s">
        <v>1483</v>
      </c>
      <c r="Z2220" t="s">
        <v>434</v>
      </c>
      <c r="AC2220" t="str">
        <f>IF(AA2220="",M2220,AA2220)</f>
        <v>sim</v>
      </c>
      <c r="AD2220" t="str">
        <f>IF(AB2220="",X2220,AB2220)</f>
        <v>não</v>
      </c>
      <c r="AE2220" t="str">
        <f>IF(OR(Configuracao!B9="",Configuracao!B10=""),"aguardando limiar",IF(AND(K2220&gt;=Configuracao!B9,K2220/MAX(Reconciliacao!C2,1)&gt;=Configuracao!B10/100),"sim","não"))</f>
        <v>aguardando limiar</v>
      </c>
    </row>
    <row r="2221" spans="1:31" x14ac:dyDescent="0.25">
      <c r="A2221">
        <v>16000</v>
      </c>
      <c r="C2221" t="s">
        <v>1427</v>
      </c>
      <c r="D2221" t="s">
        <v>1428</v>
      </c>
      <c r="E2221" t="s">
        <v>477</v>
      </c>
      <c r="F2221" t="s">
        <v>158</v>
      </c>
      <c r="G2221" t="s">
        <v>157</v>
      </c>
      <c r="H2221" t="s">
        <v>156</v>
      </c>
      <c r="I2221" t="s">
        <v>424</v>
      </c>
      <c r="J2221" t="s">
        <v>420</v>
      </c>
      <c r="K2221" s="4">
        <v>19821.69</v>
      </c>
      <c r="L2221" s="4">
        <v>19821.69</v>
      </c>
      <c r="M2221" t="s">
        <v>44</v>
      </c>
      <c r="N2221" t="s">
        <v>77</v>
      </c>
      <c r="O2221" t="s">
        <v>99</v>
      </c>
      <c r="P2221" t="s">
        <v>99</v>
      </c>
      <c r="Q2221" t="s">
        <v>159</v>
      </c>
      <c r="R2221" t="s">
        <v>160</v>
      </c>
      <c r="S2221" t="s">
        <v>161</v>
      </c>
      <c r="T2221" t="s">
        <v>162</v>
      </c>
      <c r="U2221" t="s">
        <v>163</v>
      </c>
      <c r="V2221" t="s">
        <v>164</v>
      </c>
      <c r="W2221" t="s">
        <v>116</v>
      </c>
      <c r="X2221" t="s">
        <v>166</v>
      </c>
      <c r="Y2221" t="s">
        <v>1483</v>
      </c>
      <c r="Z2221" t="s">
        <v>434</v>
      </c>
      <c r="AC2221" t="str">
        <f>IF(AA2221="",M2221,AA2221)</f>
        <v>sim</v>
      </c>
      <c r="AD2221" t="str">
        <f>IF(AB2221="",X2221,AB2221)</f>
        <v>não</v>
      </c>
      <c r="AE2221" t="str">
        <f>IF(OR(Configuracao!B9="",Configuracao!B10=""),"aguardando limiar",IF(AND(K2221&gt;=Configuracao!B9,K2221/MAX(Reconciliacao!C2,1)&gt;=Configuracao!B10/100),"sim","não"))</f>
        <v>aguardando limiar</v>
      </c>
    </row>
    <row r="2222" spans="1:31" x14ac:dyDescent="0.25">
      <c r="A2222">
        <v>16201</v>
      </c>
      <c r="D2222" t="s">
        <v>438</v>
      </c>
      <c r="E2222" t="s">
        <v>477</v>
      </c>
      <c r="F2222" t="s">
        <v>158</v>
      </c>
      <c r="G2222" t="s">
        <v>157</v>
      </c>
      <c r="H2222" t="s">
        <v>156</v>
      </c>
      <c r="I2222" t="s">
        <v>454</v>
      </c>
      <c r="J2222" t="s">
        <v>461</v>
      </c>
      <c r="K2222" s="4">
        <v>19821.69</v>
      </c>
      <c r="L2222" s="4">
        <v>19821.69</v>
      </c>
      <c r="M2222" t="s">
        <v>44</v>
      </c>
      <c r="N2222" t="s">
        <v>77</v>
      </c>
      <c r="O2222" t="s">
        <v>99</v>
      </c>
      <c r="P2222" t="s">
        <v>99</v>
      </c>
      <c r="Q2222" t="s">
        <v>159</v>
      </c>
      <c r="R2222" t="s">
        <v>160</v>
      </c>
      <c r="S2222" t="s">
        <v>161</v>
      </c>
      <c r="T2222" t="s">
        <v>162</v>
      </c>
      <c r="U2222" t="s">
        <v>163</v>
      </c>
      <c r="V2222" t="s">
        <v>164</v>
      </c>
      <c r="W2222" t="s">
        <v>116</v>
      </c>
      <c r="X2222" t="s">
        <v>166</v>
      </c>
      <c r="Y2222" t="s">
        <v>1483</v>
      </c>
      <c r="Z2222" t="s">
        <v>434</v>
      </c>
      <c r="AC2222" t="str">
        <f>IF(AA2222="",M2222,AA2222)</f>
        <v>sim</v>
      </c>
      <c r="AD2222" t="str">
        <f>IF(AB2222="",X2222,AB2222)</f>
        <v>não</v>
      </c>
      <c r="AE2222" t="str">
        <f>IF(OR(Configuracao!B9="",Configuracao!B10=""),"aguardando limiar",IF(AND(K2222&gt;=Configuracao!B9,K2222/MAX(Reconciliacao!C2,1)&gt;=Configuracao!B10/100),"sim","não"))</f>
        <v>aguardando limiar</v>
      </c>
    </row>
    <row r="2223" spans="1:31" x14ac:dyDescent="0.25">
      <c r="A2223">
        <v>17240</v>
      </c>
      <c r="D2223" t="s">
        <v>438</v>
      </c>
      <c r="E2223" t="s">
        <v>477</v>
      </c>
      <c r="F2223" t="s">
        <v>158</v>
      </c>
      <c r="G2223" t="s">
        <v>157</v>
      </c>
      <c r="H2223" t="s">
        <v>156</v>
      </c>
      <c r="I2223" t="s">
        <v>461</v>
      </c>
      <c r="J2223" t="s">
        <v>442</v>
      </c>
      <c r="K2223" s="4">
        <v>19821.69</v>
      </c>
      <c r="L2223" s="4">
        <v>19821.69</v>
      </c>
      <c r="M2223" t="s">
        <v>44</v>
      </c>
      <c r="N2223" t="s">
        <v>77</v>
      </c>
      <c r="O2223" t="s">
        <v>99</v>
      </c>
      <c r="P2223" t="s">
        <v>99</v>
      </c>
      <c r="Q2223" t="s">
        <v>159</v>
      </c>
      <c r="R2223" t="s">
        <v>160</v>
      </c>
      <c r="S2223" t="s">
        <v>161</v>
      </c>
      <c r="T2223" t="s">
        <v>162</v>
      </c>
      <c r="U2223" t="s">
        <v>163</v>
      </c>
      <c r="V2223" t="s">
        <v>164</v>
      </c>
      <c r="W2223" t="s">
        <v>116</v>
      </c>
      <c r="X2223" t="s">
        <v>166</v>
      </c>
      <c r="Y2223" t="s">
        <v>1483</v>
      </c>
      <c r="Z2223" t="s">
        <v>434</v>
      </c>
      <c r="AC2223" t="str">
        <f>IF(AA2223="",M2223,AA2223)</f>
        <v>sim</v>
      </c>
      <c r="AD2223" t="str">
        <f>IF(AB2223="",X2223,AB2223)</f>
        <v>não</v>
      </c>
      <c r="AE2223" t="str">
        <f>IF(OR(Configuracao!B9="",Configuracao!B10=""),"aguardando limiar",IF(AND(K2223&gt;=Configuracao!B9,K2223/MAX(Reconciliacao!C2,1)&gt;=Configuracao!B10/100),"sim","não"))</f>
        <v>aguardando limiar</v>
      </c>
    </row>
    <row r="2224" spans="1:31" x14ac:dyDescent="0.25">
      <c r="A2224">
        <v>12954</v>
      </c>
      <c r="C2224" t="s">
        <v>1395</v>
      </c>
      <c r="D2224" t="s">
        <v>583</v>
      </c>
      <c r="E2224" t="s">
        <v>467</v>
      </c>
      <c r="F2224" t="s">
        <v>158</v>
      </c>
      <c r="G2224" t="s">
        <v>157</v>
      </c>
      <c r="H2224" t="s">
        <v>156</v>
      </c>
      <c r="I2224" t="s">
        <v>424</v>
      </c>
      <c r="J2224" t="s">
        <v>424</v>
      </c>
      <c r="K2224" s="4">
        <v>24821.69</v>
      </c>
      <c r="L2224" s="4">
        <v>24821.69</v>
      </c>
      <c r="M2224" t="s">
        <v>44</v>
      </c>
      <c r="N2224" t="s">
        <v>77</v>
      </c>
      <c r="O2224" t="s">
        <v>99</v>
      </c>
      <c r="P2224" t="s">
        <v>99</v>
      </c>
      <c r="Q2224" t="s">
        <v>159</v>
      </c>
      <c r="R2224" t="s">
        <v>160</v>
      </c>
      <c r="S2224" t="s">
        <v>161</v>
      </c>
      <c r="T2224" t="s">
        <v>162</v>
      </c>
      <c r="U2224" t="s">
        <v>163</v>
      </c>
      <c r="V2224" t="s">
        <v>164</v>
      </c>
      <c r="W2224" t="s">
        <v>116</v>
      </c>
      <c r="X2224" t="s">
        <v>166</v>
      </c>
      <c r="Y2224" t="s">
        <v>1483</v>
      </c>
      <c r="Z2224" t="s">
        <v>434</v>
      </c>
      <c r="AC2224" t="str">
        <f>IF(AA2224="",M2224,AA2224)</f>
        <v>sim</v>
      </c>
      <c r="AD2224" t="str">
        <f>IF(AB2224="",X2224,AB2224)</f>
        <v>não</v>
      </c>
      <c r="AE2224" t="str">
        <f>IF(OR(Configuracao!B9="",Configuracao!B10=""),"aguardando limiar",IF(AND(K2224&gt;=Configuracao!B9,K2224/MAX(Reconciliacao!C2,1)&gt;=Configuracao!B10/100),"sim","não"))</f>
        <v>aguardando limiar</v>
      </c>
    </row>
    <row r="2225" spans="1:31" x14ac:dyDescent="0.25">
      <c r="A2225">
        <v>14209</v>
      </c>
      <c r="C2225" t="s">
        <v>1395</v>
      </c>
      <c r="D2225" t="s">
        <v>583</v>
      </c>
      <c r="E2225" t="s">
        <v>467</v>
      </c>
      <c r="F2225" t="s">
        <v>158</v>
      </c>
      <c r="G2225" t="s">
        <v>157</v>
      </c>
      <c r="H2225" t="s">
        <v>156</v>
      </c>
      <c r="I2225" t="s">
        <v>420</v>
      </c>
      <c r="J2225" t="s">
        <v>454</v>
      </c>
      <c r="K2225" s="4">
        <v>24821.69</v>
      </c>
      <c r="L2225" s="4">
        <v>24821.69</v>
      </c>
      <c r="M2225" t="s">
        <v>44</v>
      </c>
      <c r="N2225" t="s">
        <v>77</v>
      </c>
      <c r="O2225" t="s">
        <v>99</v>
      </c>
      <c r="P2225" t="s">
        <v>99</v>
      </c>
      <c r="Q2225" t="s">
        <v>159</v>
      </c>
      <c r="R2225" t="s">
        <v>160</v>
      </c>
      <c r="S2225" t="s">
        <v>161</v>
      </c>
      <c r="T2225" t="s">
        <v>162</v>
      </c>
      <c r="U2225" t="s">
        <v>163</v>
      </c>
      <c r="V2225" t="s">
        <v>164</v>
      </c>
      <c r="W2225" t="s">
        <v>116</v>
      </c>
      <c r="X2225" t="s">
        <v>166</v>
      </c>
      <c r="Y2225" t="s">
        <v>1483</v>
      </c>
      <c r="Z2225" t="s">
        <v>434</v>
      </c>
      <c r="AC2225" t="str">
        <f>IF(AA2225="",M2225,AA2225)</f>
        <v>sim</v>
      </c>
      <c r="AD2225" t="str">
        <f>IF(AB2225="",X2225,AB2225)</f>
        <v>não</v>
      </c>
      <c r="AE2225" t="str">
        <f>IF(OR(Configuracao!B9="",Configuracao!B10=""),"aguardando limiar",IF(AND(K2225&gt;=Configuracao!B9,K2225/MAX(Reconciliacao!C2,1)&gt;=Configuracao!B10/100),"sim","não"))</f>
        <v>aguardando limiar</v>
      </c>
    </row>
    <row r="2226" spans="1:31" x14ac:dyDescent="0.25">
      <c r="A2226">
        <v>15983</v>
      </c>
      <c r="C2226" t="s">
        <v>1395</v>
      </c>
      <c r="D2226" t="s">
        <v>583</v>
      </c>
      <c r="E2226" t="s">
        <v>467</v>
      </c>
      <c r="F2226" t="s">
        <v>158</v>
      </c>
      <c r="G2226" t="s">
        <v>157</v>
      </c>
      <c r="H2226" t="s">
        <v>156</v>
      </c>
      <c r="I2226" t="s">
        <v>424</v>
      </c>
      <c r="J2226" t="s">
        <v>420</v>
      </c>
      <c r="K2226" s="4">
        <v>24821.69</v>
      </c>
      <c r="L2226" s="4">
        <v>24821.69</v>
      </c>
      <c r="M2226" t="s">
        <v>44</v>
      </c>
      <c r="N2226" t="s">
        <v>77</v>
      </c>
      <c r="O2226" t="s">
        <v>99</v>
      </c>
      <c r="P2226" t="s">
        <v>99</v>
      </c>
      <c r="Q2226" t="s">
        <v>159</v>
      </c>
      <c r="R2226" t="s">
        <v>160</v>
      </c>
      <c r="S2226" t="s">
        <v>161</v>
      </c>
      <c r="T2226" t="s">
        <v>162</v>
      </c>
      <c r="U2226" t="s">
        <v>163</v>
      </c>
      <c r="V2226" t="s">
        <v>164</v>
      </c>
      <c r="W2226" t="s">
        <v>116</v>
      </c>
      <c r="X2226" t="s">
        <v>166</v>
      </c>
      <c r="Y2226" t="s">
        <v>1483</v>
      </c>
      <c r="Z2226" t="s">
        <v>434</v>
      </c>
      <c r="AC2226" t="str">
        <f>IF(AA2226="",M2226,AA2226)</f>
        <v>sim</v>
      </c>
      <c r="AD2226" t="str">
        <f>IF(AB2226="",X2226,AB2226)</f>
        <v>não</v>
      </c>
      <c r="AE2226" t="str">
        <f>IF(OR(Configuracao!B9="",Configuracao!B10=""),"aguardando limiar",IF(AND(K2226&gt;=Configuracao!B9,K2226/MAX(Reconciliacao!C2,1)&gt;=Configuracao!B10/100),"sim","não"))</f>
        <v>aguardando limiar</v>
      </c>
    </row>
    <row r="2227" spans="1:31" x14ac:dyDescent="0.25">
      <c r="A2227">
        <v>16168</v>
      </c>
      <c r="C2227" t="s">
        <v>1395</v>
      </c>
      <c r="D2227" t="s">
        <v>583</v>
      </c>
      <c r="E2227" t="s">
        <v>467</v>
      </c>
      <c r="F2227" t="s">
        <v>158</v>
      </c>
      <c r="G2227" t="s">
        <v>157</v>
      </c>
      <c r="H2227" t="s">
        <v>156</v>
      </c>
      <c r="I2227" t="s">
        <v>454</v>
      </c>
      <c r="J2227" t="s">
        <v>461</v>
      </c>
      <c r="K2227" s="4">
        <v>24821.69</v>
      </c>
      <c r="L2227" s="4">
        <v>24821.69</v>
      </c>
      <c r="M2227" t="s">
        <v>44</v>
      </c>
      <c r="N2227" t="s">
        <v>77</v>
      </c>
      <c r="O2227" t="s">
        <v>99</v>
      </c>
      <c r="P2227" t="s">
        <v>99</v>
      </c>
      <c r="Q2227" t="s">
        <v>159</v>
      </c>
      <c r="R2227" t="s">
        <v>160</v>
      </c>
      <c r="S2227" t="s">
        <v>161</v>
      </c>
      <c r="T2227" t="s">
        <v>162</v>
      </c>
      <c r="U2227" t="s">
        <v>163</v>
      </c>
      <c r="V2227" t="s">
        <v>164</v>
      </c>
      <c r="W2227" t="s">
        <v>116</v>
      </c>
      <c r="X2227" t="s">
        <v>166</v>
      </c>
      <c r="Y2227" t="s">
        <v>1483</v>
      </c>
      <c r="Z2227" t="s">
        <v>434</v>
      </c>
      <c r="AC2227" t="str">
        <f>IF(AA2227="",M2227,AA2227)</f>
        <v>sim</v>
      </c>
      <c r="AD2227" t="str">
        <f>IF(AB2227="",X2227,AB2227)</f>
        <v>não</v>
      </c>
      <c r="AE2227" t="str">
        <f>IF(OR(Configuracao!B9="",Configuracao!B10=""),"aguardando limiar",IF(AND(K2227&gt;=Configuracao!B9,K2227/MAX(Reconciliacao!C2,1)&gt;=Configuracao!B10/100),"sim","não"))</f>
        <v>aguardando limiar</v>
      </c>
    </row>
    <row r="2228" spans="1:31" x14ac:dyDescent="0.25">
      <c r="A2228">
        <v>17259</v>
      </c>
      <c r="C2228" t="s">
        <v>1395</v>
      </c>
      <c r="D2228" t="s">
        <v>583</v>
      </c>
      <c r="E2228" t="s">
        <v>467</v>
      </c>
      <c r="F2228" t="s">
        <v>158</v>
      </c>
      <c r="G2228" t="s">
        <v>157</v>
      </c>
      <c r="H2228" t="s">
        <v>156</v>
      </c>
      <c r="I2228" t="s">
        <v>461</v>
      </c>
      <c r="J2228" t="s">
        <v>442</v>
      </c>
      <c r="K2228" s="4">
        <v>24821.69</v>
      </c>
      <c r="L2228" s="4">
        <v>24821.69</v>
      </c>
      <c r="M2228" t="s">
        <v>44</v>
      </c>
      <c r="N2228" t="s">
        <v>77</v>
      </c>
      <c r="O2228" t="s">
        <v>99</v>
      </c>
      <c r="P2228" t="s">
        <v>99</v>
      </c>
      <c r="Q2228" t="s">
        <v>159</v>
      </c>
      <c r="R2228" t="s">
        <v>160</v>
      </c>
      <c r="S2228" t="s">
        <v>161</v>
      </c>
      <c r="T2228" t="s">
        <v>162</v>
      </c>
      <c r="U2228" t="s">
        <v>163</v>
      </c>
      <c r="V2228" t="s">
        <v>164</v>
      </c>
      <c r="W2228" t="s">
        <v>116</v>
      </c>
      <c r="X2228" t="s">
        <v>166</v>
      </c>
      <c r="Y2228" t="s">
        <v>1483</v>
      </c>
      <c r="Z2228" t="s">
        <v>434</v>
      </c>
      <c r="AC2228" t="str">
        <f>IF(AA2228="",M2228,AA2228)</f>
        <v>sim</v>
      </c>
      <c r="AD2228" t="str">
        <f>IF(AB2228="",X2228,AB2228)</f>
        <v>não</v>
      </c>
      <c r="AE2228" t="str">
        <f>IF(OR(Configuracao!B9="",Configuracao!B10=""),"aguardando limiar",IF(AND(K2228&gt;=Configuracao!B9,K2228/MAX(Reconciliacao!C2,1)&gt;=Configuracao!B10/100),"sim","não"))</f>
        <v>aguardando limiar</v>
      </c>
    </row>
    <row r="2229" spans="1:31" x14ac:dyDescent="0.25">
      <c r="A2229">
        <v>17948</v>
      </c>
      <c r="C2229" t="s">
        <v>1395</v>
      </c>
      <c r="D2229" t="s">
        <v>583</v>
      </c>
      <c r="E2229" t="s">
        <v>467</v>
      </c>
      <c r="F2229" t="s">
        <v>158</v>
      </c>
      <c r="G2229" t="s">
        <v>157</v>
      </c>
      <c r="H2229" t="s">
        <v>156</v>
      </c>
      <c r="I2229" t="s">
        <v>442</v>
      </c>
      <c r="J2229" t="s">
        <v>439</v>
      </c>
      <c r="K2229" s="4">
        <v>24821.69</v>
      </c>
      <c r="L2229" s="4">
        <v>24821.69</v>
      </c>
      <c r="M2229" t="s">
        <v>44</v>
      </c>
      <c r="N2229" t="s">
        <v>77</v>
      </c>
      <c r="O2229" t="s">
        <v>99</v>
      </c>
      <c r="P2229" t="s">
        <v>99</v>
      </c>
      <c r="Q2229" t="s">
        <v>159</v>
      </c>
      <c r="R2229" t="s">
        <v>160</v>
      </c>
      <c r="S2229" t="s">
        <v>161</v>
      </c>
      <c r="T2229" t="s">
        <v>162</v>
      </c>
      <c r="U2229" t="s">
        <v>163</v>
      </c>
      <c r="V2229" t="s">
        <v>164</v>
      </c>
      <c r="W2229" t="s">
        <v>116</v>
      </c>
      <c r="X2229" t="s">
        <v>166</v>
      </c>
      <c r="Y2229" t="s">
        <v>1483</v>
      </c>
      <c r="Z2229" t="s">
        <v>434</v>
      </c>
      <c r="AC2229" t="str">
        <f>IF(AA2229="",M2229,AA2229)</f>
        <v>sim</v>
      </c>
      <c r="AD2229" t="str">
        <f>IF(AB2229="",X2229,AB2229)</f>
        <v>não</v>
      </c>
      <c r="AE2229" t="str">
        <f>IF(OR(Configuracao!B9="",Configuracao!B10=""),"aguardando limiar",IF(AND(K2229&gt;=Configuracao!B9,K2229/MAX(Reconciliacao!C2,1)&gt;=Configuracao!B10/100),"sim","não"))</f>
        <v>aguardando limiar</v>
      </c>
    </row>
    <row r="2230" spans="1:31" x14ac:dyDescent="0.25">
      <c r="A2230">
        <v>18823</v>
      </c>
      <c r="D2230" t="s">
        <v>583</v>
      </c>
      <c r="E2230" t="s">
        <v>467</v>
      </c>
      <c r="F2230" t="s">
        <v>158</v>
      </c>
      <c r="G2230" t="s">
        <v>157</v>
      </c>
      <c r="H2230" t="s">
        <v>156</v>
      </c>
      <c r="I2230" t="s">
        <v>35</v>
      </c>
      <c r="J2230" t="s">
        <v>35</v>
      </c>
      <c r="K2230" s="4">
        <v>24821.69</v>
      </c>
      <c r="L2230" s="4">
        <v>24821.69</v>
      </c>
      <c r="M2230" t="s">
        <v>44</v>
      </c>
      <c r="N2230" t="s">
        <v>77</v>
      </c>
      <c r="O2230" t="s">
        <v>99</v>
      </c>
      <c r="P2230" t="s">
        <v>99</v>
      </c>
      <c r="Q2230" t="s">
        <v>159</v>
      </c>
      <c r="R2230" t="s">
        <v>160</v>
      </c>
      <c r="S2230" t="s">
        <v>161</v>
      </c>
      <c r="T2230" t="s">
        <v>162</v>
      </c>
      <c r="U2230" t="s">
        <v>163</v>
      </c>
      <c r="V2230" t="s">
        <v>164</v>
      </c>
      <c r="W2230" t="s">
        <v>116</v>
      </c>
      <c r="X2230" t="s">
        <v>166</v>
      </c>
      <c r="Y2230" t="s">
        <v>1483</v>
      </c>
      <c r="Z2230" t="s">
        <v>434</v>
      </c>
      <c r="AC2230" t="str">
        <f>IF(AA2230="",M2230,AA2230)</f>
        <v>sim</v>
      </c>
      <c r="AD2230" t="str">
        <f>IF(AB2230="",X2230,AB2230)</f>
        <v>não</v>
      </c>
      <c r="AE2230" t="str">
        <f>IF(OR(Configuracao!B9="",Configuracao!B10=""),"aguardando limiar",IF(AND(K2230&gt;=Configuracao!B9,K2230/MAX(Reconciliacao!C2,1)&gt;=Configuracao!B10/100),"sim","não"))</f>
        <v>aguardando limiar</v>
      </c>
    </row>
    <row r="2231" spans="1:31" x14ac:dyDescent="0.25">
      <c r="A2231">
        <v>17293</v>
      </c>
      <c r="C2231" t="s">
        <v>1484</v>
      </c>
      <c r="D2231" t="s">
        <v>587</v>
      </c>
      <c r="E2231" t="s">
        <v>525</v>
      </c>
      <c r="F2231" t="s">
        <v>158</v>
      </c>
      <c r="G2231" t="s">
        <v>157</v>
      </c>
      <c r="H2231" t="s">
        <v>156</v>
      </c>
      <c r="I2231" t="s">
        <v>461</v>
      </c>
      <c r="J2231" t="s">
        <v>442</v>
      </c>
      <c r="K2231" s="4">
        <v>29821.69</v>
      </c>
      <c r="L2231" s="4">
        <v>29821.69</v>
      </c>
      <c r="M2231" t="s">
        <v>44</v>
      </c>
      <c r="N2231" t="s">
        <v>77</v>
      </c>
      <c r="O2231" t="s">
        <v>99</v>
      </c>
      <c r="P2231" t="s">
        <v>99</v>
      </c>
      <c r="Q2231" t="s">
        <v>159</v>
      </c>
      <c r="R2231" t="s">
        <v>160</v>
      </c>
      <c r="S2231" t="s">
        <v>161</v>
      </c>
      <c r="T2231" t="s">
        <v>162</v>
      </c>
      <c r="U2231" t="s">
        <v>163</v>
      </c>
      <c r="V2231" t="s">
        <v>164</v>
      </c>
      <c r="W2231" t="s">
        <v>116</v>
      </c>
      <c r="X2231" t="s">
        <v>166</v>
      </c>
      <c r="Y2231" t="s">
        <v>1483</v>
      </c>
      <c r="Z2231" t="s">
        <v>434</v>
      </c>
      <c r="AC2231" t="str">
        <f>IF(AA2231="",M2231,AA2231)</f>
        <v>sim</v>
      </c>
      <c r="AD2231" t="str">
        <f>IF(AB2231="",X2231,AB2231)</f>
        <v>não</v>
      </c>
      <c r="AE2231" t="str">
        <f>IF(OR(Configuracao!B9="",Configuracao!B10=""),"aguardando limiar",IF(AND(K2231&gt;=Configuracao!B9,K2231/MAX(Reconciliacao!C2,1)&gt;=Configuracao!B10/100),"sim","não"))</f>
        <v>aguardando limiar</v>
      </c>
    </row>
    <row r="2232" spans="1:31" x14ac:dyDescent="0.25">
      <c r="A2232">
        <v>17978</v>
      </c>
      <c r="C2232" t="s">
        <v>1484</v>
      </c>
      <c r="D2232" t="s">
        <v>587</v>
      </c>
      <c r="E2232" t="s">
        <v>525</v>
      </c>
      <c r="F2232" t="s">
        <v>158</v>
      </c>
      <c r="G2232" t="s">
        <v>157</v>
      </c>
      <c r="H2232" t="s">
        <v>156</v>
      </c>
      <c r="I2232" t="s">
        <v>442</v>
      </c>
      <c r="J2232" t="s">
        <v>439</v>
      </c>
      <c r="K2232" s="4">
        <v>29821.69</v>
      </c>
      <c r="L2232" s="4">
        <v>29821.69</v>
      </c>
      <c r="M2232" t="s">
        <v>44</v>
      </c>
      <c r="N2232" t="s">
        <v>77</v>
      </c>
      <c r="O2232" t="s">
        <v>99</v>
      </c>
      <c r="P2232" t="s">
        <v>99</v>
      </c>
      <c r="Q2232" t="s">
        <v>159</v>
      </c>
      <c r="R2232" t="s">
        <v>160</v>
      </c>
      <c r="S2232" t="s">
        <v>161</v>
      </c>
      <c r="T2232" t="s">
        <v>162</v>
      </c>
      <c r="U2232" t="s">
        <v>163</v>
      </c>
      <c r="V2232" t="s">
        <v>164</v>
      </c>
      <c r="W2232" t="s">
        <v>116</v>
      </c>
      <c r="X2232" t="s">
        <v>166</v>
      </c>
      <c r="Y2232" t="s">
        <v>1483</v>
      </c>
      <c r="Z2232" t="s">
        <v>434</v>
      </c>
      <c r="AC2232" t="str">
        <f>IF(AA2232="",M2232,AA2232)</f>
        <v>sim</v>
      </c>
      <c r="AD2232" t="str">
        <f>IF(AB2232="",X2232,AB2232)</f>
        <v>não</v>
      </c>
      <c r="AE2232" t="str">
        <f>IF(OR(Configuracao!B9="",Configuracao!B10=""),"aguardando limiar",IF(AND(K2232&gt;=Configuracao!B9,K2232/MAX(Reconciliacao!C2,1)&gt;=Configuracao!B10/100),"sim","não"))</f>
        <v>aguardando limiar</v>
      </c>
    </row>
    <row r="2233" spans="1:31" x14ac:dyDescent="0.25">
      <c r="A2233">
        <v>18821</v>
      </c>
      <c r="C2233" t="s">
        <v>1485</v>
      </c>
      <c r="D2233" t="s">
        <v>587</v>
      </c>
      <c r="E2233" t="s">
        <v>525</v>
      </c>
      <c r="F2233" t="s">
        <v>158</v>
      </c>
      <c r="G2233" t="s">
        <v>157</v>
      </c>
      <c r="H2233" t="s">
        <v>156</v>
      </c>
      <c r="I2233" t="s">
        <v>439</v>
      </c>
      <c r="J2233" t="s">
        <v>35</v>
      </c>
      <c r="K2233" s="4">
        <v>29821.69</v>
      </c>
      <c r="L2233" s="4">
        <v>29821.69</v>
      </c>
      <c r="M2233" t="s">
        <v>44</v>
      </c>
      <c r="N2233" t="s">
        <v>77</v>
      </c>
      <c r="O2233" t="s">
        <v>99</v>
      </c>
      <c r="P2233" t="s">
        <v>99</v>
      </c>
      <c r="Q2233" t="s">
        <v>159</v>
      </c>
      <c r="R2233" t="s">
        <v>160</v>
      </c>
      <c r="S2233" t="s">
        <v>161</v>
      </c>
      <c r="T2233" t="s">
        <v>162</v>
      </c>
      <c r="U2233" t="s">
        <v>163</v>
      </c>
      <c r="V2233" t="s">
        <v>164</v>
      </c>
      <c r="W2233" t="s">
        <v>116</v>
      </c>
      <c r="X2233" t="s">
        <v>166</v>
      </c>
      <c r="Y2233" t="s">
        <v>1483</v>
      </c>
      <c r="Z2233" t="s">
        <v>434</v>
      </c>
      <c r="AC2233" t="str">
        <f>IF(AA2233="",M2233,AA2233)</f>
        <v>sim</v>
      </c>
      <c r="AD2233" t="str">
        <f>IF(AB2233="",X2233,AB2233)</f>
        <v>não</v>
      </c>
      <c r="AE2233" t="str">
        <f>IF(OR(Configuracao!B9="",Configuracao!B10=""),"aguardando limiar",IF(AND(K2233&gt;=Configuracao!B9,K2233/MAX(Reconciliacao!C2,1)&gt;=Configuracao!B10/100),"sim","não"))</f>
        <v>aguardando limiar</v>
      </c>
    </row>
    <row r="2234" spans="1:31" x14ac:dyDescent="0.25">
      <c r="A2234">
        <v>11447</v>
      </c>
      <c r="D2234" t="s">
        <v>587</v>
      </c>
      <c r="E2234" t="s">
        <v>525</v>
      </c>
      <c r="F2234" t="s">
        <v>158</v>
      </c>
      <c r="G2234" t="s">
        <v>157</v>
      </c>
      <c r="H2234" t="s">
        <v>156</v>
      </c>
      <c r="I2234" t="s">
        <v>32</v>
      </c>
      <c r="J2234" t="s">
        <v>32</v>
      </c>
      <c r="K2234" s="4">
        <v>30000</v>
      </c>
      <c r="L2234" s="4">
        <v>30000</v>
      </c>
      <c r="M2234" t="s">
        <v>44</v>
      </c>
      <c r="N2234" t="s">
        <v>77</v>
      </c>
      <c r="O2234" t="s">
        <v>99</v>
      </c>
      <c r="P2234" t="s">
        <v>99</v>
      </c>
      <c r="Q2234" t="s">
        <v>159</v>
      </c>
      <c r="R2234" t="s">
        <v>160</v>
      </c>
      <c r="S2234" t="s">
        <v>161</v>
      </c>
      <c r="T2234" t="s">
        <v>162</v>
      </c>
      <c r="U2234" t="s">
        <v>163</v>
      </c>
      <c r="V2234" t="s">
        <v>164</v>
      </c>
      <c r="W2234" t="s">
        <v>116</v>
      </c>
      <c r="X2234" t="s">
        <v>166</v>
      </c>
      <c r="Y2234" t="s">
        <v>1483</v>
      </c>
      <c r="Z2234" t="s">
        <v>434</v>
      </c>
      <c r="AC2234" t="str">
        <f>IF(AA2234="",M2234,AA2234)</f>
        <v>sim</v>
      </c>
      <c r="AD2234" t="str">
        <f>IF(AB2234="",X2234,AB2234)</f>
        <v>não</v>
      </c>
      <c r="AE2234" t="str">
        <f>IF(OR(Configuracao!B9="",Configuracao!B10=""),"aguardando limiar",IF(AND(K2234&gt;=Configuracao!B9,K2234/MAX(Reconciliacao!C2,1)&gt;=Configuracao!B10/100),"sim","não"))</f>
        <v>aguardando limiar</v>
      </c>
    </row>
    <row r="2235" spans="1:31" x14ac:dyDescent="0.25">
      <c r="A2235">
        <v>12989</v>
      </c>
      <c r="D2235" t="s">
        <v>587</v>
      </c>
      <c r="E2235" t="s">
        <v>525</v>
      </c>
      <c r="F2235" t="s">
        <v>158</v>
      </c>
      <c r="G2235" t="s">
        <v>157</v>
      </c>
      <c r="H2235" t="s">
        <v>156</v>
      </c>
      <c r="I2235" t="s">
        <v>424</v>
      </c>
      <c r="J2235" t="s">
        <v>424</v>
      </c>
      <c r="K2235" s="4">
        <v>30000</v>
      </c>
      <c r="L2235" s="4">
        <v>30000</v>
      </c>
      <c r="M2235" t="s">
        <v>44</v>
      </c>
      <c r="N2235" t="s">
        <v>77</v>
      </c>
      <c r="O2235" t="s">
        <v>99</v>
      </c>
      <c r="P2235" t="s">
        <v>99</v>
      </c>
      <c r="Q2235" t="s">
        <v>159</v>
      </c>
      <c r="R2235" t="s">
        <v>160</v>
      </c>
      <c r="S2235" t="s">
        <v>161</v>
      </c>
      <c r="T2235" t="s">
        <v>162</v>
      </c>
      <c r="U2235" t="s">
        <v>163</v>
      </c>
      <c r="V2235" t="s">
        <v>164</v>
      </c>
      <c r="W2235" t="s">
        <v>116</v>
      </c>
      <c r="X2235" t="s">
        <v>166</v>
      </c>
      <c r="Y2235" t="s">
        <v>1483</v>
      </c>
      <c r="Z2235" t="s">
        <v>434</v>
      </c>
      <c r="AC2235" t="str">
        <f>IF(AA2235="",M2235,AA2235)</f>
        <v>sim</v>
      </c>
      <c r="AD2235" t="str">
        <f>IF(AB2235="",X2235,AB2235)</f>
        <v>não</v>
      </c>
      <c r="AE2235" t="str">
        <f>IF(OR(Configuracao!B9="",Configuracao!B10=""),"aguardando limiar",IF(AND(K2235&gt;=Configuracao!B9,K2235/MAX(Reconciliacao!C2,1)&gt;=Configuracao!B10/100),"sim","não"))</f>
        <v>aguardando limiar</v>
      </c>
    </row>
    <row r="2236" spans="1:31" x14ac:dyDescent="0.25">
      <c r="A2236">
        <v>14238</v>
      </c>
      <c r="D2236" t="s">
        <v>587</v>
      </c>
      <c r="E2236" t="s">
        <v>525</v>
      </c>
      <c r="F2236" t="s">
        <v>158</v>
      </c>
      <c r="G2236" t="s">
        <v>157</v>
      </c>
      <c r="H2236" t="s">
        <v>156</v>
      </c>
      <c r="I2236" t="s">
        <v>420</v>
      </c>
      <c r="J2236" t="s">
        <v>454</v>
      </c>
      <c r="K2236" s="4">
        <v>30000</v>
      </c>
      <c r="L2236" s="4">
        <v>30000</v>
      </c>
      <c r="M2236" t="s">
        <v>44</v>
      </c>
      <c r="N2236" t="s">
        <v>77</v>
      </c>
      <c r="O2236" t="s">
        <v>99</v>
      </c>
      <c r="P2236" t="s">
        <v>99</v>
      </c>
      <c r="Q2236" t="s">
        <v>159</v>
      </c>
      <c r="R2236" t="s">
        <v>160</v>
      </c>
      <c r="S2236" t="s">
        <v>161</v>
      </c>
      <c r="T2236" t="s">
        <v>162</v>
      </c>
      <c r="U2236" t="s">
        <v>163</v>
      </c>
      <c r="V2236" t="s">
        <v>164</v>
      </c>
      <c r="W2236" t="s">
        <v>116</v>
      </c>
      <c r="X2236" t="s">
        <v>166</v>
      </c>
      <c r="Y2236" t="s">
        <v>1483</v>
      </c>
      <c r="Z2236" t="s">
        <v>434</v>
      </c>
      <c r="AC2236" t="str">
        <f>IF(AA2236="",M2236,AA2236)</f>
        <v>sim</v>
      </c>
      <c r="AD2236" t="str">
        <f>IF(AB2236="",X2236,AB2236)</f>
        <v>não</v>
      </c>
      <c r="AE2236" t="str">
        <f>IF(OR(Configuracao!B9="",Configuracao!B10=""),"aguardando limiar",IF(AND(K2236&gt;=Configuracao!B9,K2236/MAX(Reconciliacao!C2,1)&gt;=Configuracao!B10/100),"sim","não"))</f>
        <v>aguardando limiar</v>
      </c>
    </row>
    <row r="2237" spans="1:31" x14ac:dyDescent="0.25">
      <c r="A2237">
        <v>16012</v>
      </c>
      <c r="C2237" t="s">
        <v>1484</v>
      </c>
      <c r="D2237" t="s">
        <v>587</v>
      </c>
      <c r="E2237" t="s">
        <v>525</v>
      </c>
      <c r="F2237" t="s">
        <v>158</v>
      </c>
      <c r="G2237" t="s">
        <v>157</v>
      </c>
      <c r="H2237" t="s">
        <v>156</v>
      </c>
      <c r="I2237" t="s">
        <v>424</v>
      </c>
      <c r="J2237" t="s">
        <v>420</v>
      </c>
      <c r="K2237" s="4">
        <v>30000</v>
      </c>
      <c r="L2237" s="4">
        <v>30000</v>
      </c>
      <c r="M2237" t="s">
        <v>44</v>
      </c>
      <c r="N2237" t="s">
        <v>77</v>
      </c>
      <c r="O2237" t="s">
        <v>99</v>
      </c>
      <c r="P2237" t="s">
        <v>99</v>
      </c>
      <c r="Q2237" t="s">
        <v>159</v>
      </c>
      <c r="R2237" t="s">
        <v>160</v>
      </c>
      <c r="S2237" t="s">
        <v>161</v>
      </c>
      <c r="T2237" t="s">
        <v>162</v>
      </c>
      <c r="U2237" t="s">
        <v>163</v>
      </c>
      <c r="V2237" t="s">
        <v>164</v>
      </c>
      <c r="W2237" t="s">
        <v>116</v>
      </c>
      <c r="X2237" t="s">
        <v>166</v>
      </c>
      <c r="Y2237" t="s">
        <v>1483</v>
      </c>
      <c r="Z2237" t="s">
        <v>434</v>
      </c>
      <c r="AC2237" t="str">
        <f>IF(AA2237="",M2237,AA2237)</f>
        <v>sim</v>
      </c>
      <c r="AD2237" t="str">
        <f>IF(AB2237="",X2237,AB2237)</f>
        <v>não</v>
      </c>
      <c r="AE2237" t="str">
        <f>IF(OR(Configuracao!B9="",Configuracao!B10=""),"aguardando limiar",IF(AND(K2237&gt;=Configuracao!B9,K2237/MAX(Reconciliacao!C2,1)&gt;=Configuracao!B10/100),"sim","não"))</f>
        <v>aguardando limiar</v>
      </c>
    </row>
    <row r="2238" spans="1:31" x14ac:dyDescent="0.25">
      <c r="A2238">
        <v>16200</v>
      </c>
      <c r="C2238" t="s">
        <v>1484</v>
      </c>
      <c r="D2238" t="s">
        <v>587</v>
      </c>
      <c r="E2238" t="s">
        <v>525</v>
      </c>
      <c r="F2238" t="s">
        <v>158</v>
      </c>
      <c r="G2238" t="s">
        <v>157</v>
      </c>
      <c r="H2238" t="s">
        <v>156</v>
      </c>
      <c r="I2238" t="s">
        <v>454</v>
      </c>
      <c r="J2238" t="s">
        <v>461</v>
      </c>
      <c r="K2238" s="4">
        <v>30000</v>
      </c>
      <c r="L2238" s="4">
        <v>30000</v>
      </c>
      <c r="M2238" t="s">
        <v>44</v>
      </c>
      <c r="N2238" t="s">
        <v>77</v>
      </c>
      <c r="O2238" t="s">
        <v>99</v>
      </c>
      <c r="P2238" t="s">
        <v>99</v>
      </c>
      <c r="Q2238" t="s">
        <v>159</v>
      </c>
      <c r="R2238" t="s">
        <v>160</v>
      </c>
      <c r="S2238" t="s">
        <v>161</v>
      </c>
      <c r="T2238" t="s">
        <v>162</v>
      </c>
      <c r="U2238" t="s">
        <v>163</v>
      </c>
      <c r="V2238" t="s">
        <v>164</v>
      </c>
      <c r="W2238" t="s">
        <v>116</v>
      </c>
      <c r="X2238" t="s">
        <v>166</v>
      </c>
      <c r="Y2238" t="s">
        <v>1483</v>
      </c>
      <c r="Z2238" t="s">
        <v>434</v>
      </c>
      <c r="AC2238" t="str">
        <f>IF(AA2238="",M2238,AA2238)</f>
        <v>sim</v>
      </c>
      <c r="AD2238" t="str">
        <f>IF(AB2238="",X2238,AB2238)</f>
        <v>não</v>
      </c>
      <c r="AE2238" t="str">
        <f>IF(OR(Configuracao!B9="",Configuracao!B10=""),"aguardando limiar",IF(AND(K2238&gt;=Configuracao!B9,K2238/MAX(Reconciliacao!C2,1)&gt;=Configuracao!B10/100),"sim","não"))</f>
        <v>aguardando limiar</v>
      </c>
    </row>
    <row r="2239" spans="1:31" x14ac:dyDescent="0.25">
      <c r="A2239">
        <v>11381</v>
      </c>
      <c r="C2239" t="s">
        <v>1486</v>
      </c>
      <c r="D2239" t="s">
        <v>657</v>
      </c>
      <c r="E2239" t="s">
        <v>451</v>
      </c>
      <c r="F2239" t="s">
        <v>158</v>
      </c>
      <c r="G2239" t="s">
        <v>205</v>
      </c>
      <c r="H2239" t="s">
        <v>204</v>
      </c>
      <c r="I2239" t="s">
        <v>737</v>
      </c>
      <c r="J2239" t="s">
        <v>32</v>
      </c>
      <c r="K2239" s="4">
        <v>0</v>
      </c>
      <c r="L2239" s="4">
        <v>1603.18</v>
      </c>
      <c r="M2239" t="s">
        <v>44</v>
      </c>
      <c r="N2239" t="s">
        <v>77</v>
      </c>
      <c r="O2239" t="s">
        <v>99</v>
      </c>
      <c r="P2239" t="s">
        <v>99</v>
      </c>
      <c r="Q2239" t="s">
        <v>159</v>
      </c>
      <c r="R2239" t="s">
        <v>206</v>
      </c>
      <c r="S2239" t="s">
        <v>161</v>
      </c>
      <c r="T2239" t="s">
        <v>162</v>
      </c>
      <c r="U2239" t="s">
        <v>163</v>
      </c>
      <c r="V2239" t="s">
        <v>164</v>
      </c>
      <c r="W2239" t="s">
        <v>116</v>
      </c>
      <c r="X2239" t="s">
        <v>44</v>
      </c>
      <c r="Y2239" t="s">
        <v>99</v>
      </c>
      <c r="Z2239" t="s">
        <v>421</v>
      </c>
      <c r="AC2239" t="str">
        <f>IF(AA2239="",M2239,AA2239)</f>
        <v>sim</v>
      </c>
      <c r="AD2239" t="str">
        <f>IF(AB2239="",X2239,AB2239)</f>
        <v>sim</v>
      </c>
      <c r="AE2239" t="str">
        <f>IF(OR(Configuracao!B9="",Configuracao!B10=""),"aguardando limiar",IF(AND(K2239&gt;=Configuracao!B9,K2239/MAX(Reconciliacao!C2,1)&gt;=Configuracao!B10/100),"sim","não"))</f>
        <v>aguardando limiar</v>
      </c>
    </row>
    <row r="2240" spans="1:31" x14ac:dyDescent="0.25">
      <c r="A2240">
        <v>11389</v>
      </c>
      <c r="C2240" t="s">
        <v>1487</v>
      </c>
      <c r="D2240" t="s">
        <v>1488</v>
      </c>
      <c r="E2240" t="s">
        <v>458</v>
      </c>
      <c r="F2240" t="s">
        <v>158</v>
      </c>
      <c r="G2240" t="s">
        <v>205</v>
      </c>
      <c r="H2240" t="s">
        <v>204</v>
      </c>
      <c r="I2240" t="s">
        <v>737</v>
      </c>
      <c r="J2240" t="s">
        <v>32</v>
      </c>
      <c r="K2240" s="4">
        <v>0</v>
      </c>
      <c r="L2240" s="4">
        <v>2171.48</v>
      </c>
      <c r="M2240" t="s">
        <v>44</v>
      </c>
      <c r="N2240" t="s">
        <v>77</v>
      </c>
      <c r="O2240" t="s">
        <v>99</v>
      </c>
      <c r="P2240" t="s">
        <v>99</v>
      </c>
      <c r="Q2240" t="s">
        <v>159</v>
      </c>
      <c r="R2240" t="s">
        <v>206</v>
      </c>
      <c r="S2240" t="s">
        <v>161</v>
      </c>
      <c r="T2240" t="s">
        <v>162</v>
      </c>
      <c r="U2240" t="s">
        <v>163</v>
      </c>
      <c r="V2240" t="s">
        <v>164</v>
      </c>
      <c r="W2240" t="s">
        <v>116</v>
      </c>
      <c r="X2240" t="s">
        <v>44</v>
      </c>
      <c r="Y2240" t="s">
        <v>99</v>
      </c>
      <c r="Z2240" t="s">
        <v>421</v>
      </c>
      <c r="AC2240" t="str">
        <f>IF(AA2240="",M2240,AA2240)</f>
        <v>sim</v>
      </c>
      <c r="AD2240" t="str">
        <f>IF(AB2240="",X2240,AB2240)</f>
        <v>sim</v>
      </c>
      <c r="AE2240" t="str">
        <f>IF(OR(Configuracao!B9="",Configuracao!B10=""),"aguardando limiar",IF(AND(K2240&gt;=Configuracao!B9,K2240/MAX(Reconciliacao!C2,1)&gt;=Configuracao!B10/100),"sim","não"))</f>
        <v>aguardando limiar</v>
      </c>
    </row>
    <row r="2241" spans="1:31" x14ac:dyDescent="0.25">
      <c r="A2241">
        <v>11390</v>
      </c>
      <c r="C2241" t="s">
        <v>1489</v>
      </c>
      <c r="D2241" t="s">
        <v>1490</v>
      </c>
      <c r="E2241" t="s">
        <v>1138</v>
      </c>
      <c r="F2241" t="s">
        <v>158</v>
      </c>
      <c r="G2241" t="s">
        <v>205</v>
      </c>
      <c r="H2241" t="s">
        <v>204</v>
      </c>
      <c r="I2241" t="s">
        <v>737</v>
      </c>
      <c r="J2241" t="s">
        <v>32</v>
      </c>
      <c r="K2241" s="4">
        <v>0</v>
      </c>
      <c r="L2241" s="4">
        <v>2698.04</v>
      </c>
      <c r="M2241" t="s">
        <v>44</v>
      </c>
      <c r="N2241" t="s">
        <v>77</v>
      </c>
      <c r="O2241" t="s">
        <v>99</v>
      </c>
      <c r="P2241" t="s">
        <v>99</v>
      </c>
      <c r="Q2241" t="s">
        <v>159</v>
      </c>
      <c r="R2241" t="s">
        <v>206</v>
      </c>
      <c r="S2241" t="s">
        <v>161</v>
      </c>
      <c r="T2241" t="s">
        <v>162</v>
      </c>
      <c r="U2241" t="s">
        <v>163</v>
      </c>
      <c r="V2241" t="s">
        <v>164</v>
      </c>
      <c r="W2241" t="s">
        <v>116</v>
      </c>
      <c r="X2241" t="s">
        <v>44</v>
      </c>
      <c r="Y2241" t="s">
        <v>99</v>
      </c>
      <c r="Z2241" t="s">
        <v>421</v>
      </c>
      <c r="AC2241" t="str">
        <f>IF(AA2241="",M2241,AA2241)</f>
        <v>sim</v>
      </c>
      <c r="AD2241" t="str">
        <f>IF(AB2241="",X2241,AB2241)</f>
        <v>sim</v>
      </c>
      <c r="AE2241" t="str">
        <f>IF(OR(Configuracao!B9="",Configuracao!B10=""),"aguardando limiar",IF(AND(K2241&gt;=Configuracao!B9,K2241/MAX(Reconciliacao!C2,1)&gt;=Configuracao!B10/100),"sim","não"))</f>
        <v>aguardando limiar</v>
      </c>
    </row>
    <row r="2242" spans="1:31" x14ac:dyDescent="0.25">
      <c r="A2242">
        <v>11391</v>
      </c>
      <c r="C2242" t="s">
        <v>1491</v>
      </c>
      <c r="D2242" t="s">
        <v>1492</v>
      </c>
      <c r="E2242" t="s">
        <v>1138</v>
      </c>
      <c r="F2242" t="s">
        <v>158</v>
      </c>
      <c r="G2242" t="s">
        <v>205</v>
      </c>
      <c r="H2242" t="s">
        <v>204</v>
      </c>
      <c r="I2242" t="s">
        <v>737</v>
      </c>
      <c r="J2242" t="s">
        <v>32</v>
      </c>
      <c r="K2242" s="4">
        <v>0</v>
      </c>
      <c r="L2242" s="4">
        <v>6795.94</v>
      </c>
      <c r="M2242" t="s">
        <v>44</v>
      </c>
      <c r="N2242" t="s">
        <v>77</v>
      </c>
      <c r="O2242" t="s">
        <v>99</v>
      </c>
      <c r="P2242" t="s">
        <v>99</v>
      </c>
      <c r="Q2242" t="s">
        <v>159</v>
      </c>
      <c r="R2242" t="s">
        <v>206</v>
      </c>
      <c r="S2242" t="s">
        <v>161</v>
      </c>
      <c r="T2242" t="s">
        <v>162</v>
      </c>
      <c r="U2242" t="s">
        <v>163</v>
      </c>
      <c r="V2242" t="s">
        <v>164</v>
      </c>
      <c r="W2242" t="s">
        <v>116</v>
      </c>
      <c r="X2242" t="s">
        <v>44</v>
      </c>
      <c r="Y2242" t="s">
        <v>99</v>
      </c>
      <c r="Z2242" t="s">
        <v>421</v>
      </c>
      <c r="AC2242" t="str">
        <f>IF(AA2242="",M2242,AA2242)</f>
        <v>sim</v>
      </c>
      <c r="AD2242" t="str">
        <f>IF(AB2242="",X2242,AB2242)</f>
        <v>sim</v>
      </c>
      <c r="AE2242" t="str">
        <f>IF(OR(Configuracao!B9="",Configuracao!B10=""),"aguardando limiar",IF(AND(K2242&gt;=Configuracao!B9,K2242/MAX(Reconciliacao!C2,1)&gt;=Configuracao!B10/100),"sim","não"))</f>
        <v>aguardando limiar</v>
      </c>
    </row>
    <row r="2243" spans="1:31" x14ac:dyDescent="0.25">
      <c r="A2243">
        <v>14890</v>
      </c>
      <c r="C2243" t="s">
        <v>1493</v>
      </c>
      <c r="D2243" t="s">
        <v>659</v>
      </c>
      <c r="E2243" t="s">
        <v>451</v>
      </c>
      <c r="F2243" t="s">
        <v>158</v>
      </c>
      <c r="G2243" t="s">
        <v>205</v>
      </c>
      <c r="H2243" t="s">
        <v>204</v>
      </c>
      <c r="I2243" t="s">
        <v>454</v>
      </c>
      <c r="J2243" t="s">
        <v>454</v>
      </c>
      <c r="K2243" s="4">
        <v>1000</v>
      </c>
      <c r="L2243" s="4">
        <v>1000</v>
      </c>
      <c r="M2243" t="s">
        <v>44</v>
      </c>
      <c r="N2243" t="s">
        <v>77</v>
      </c>
      <c r="O2243" t="s">
        <v>99</v>
      </c>
      <c r="P2243" t="s">
        <v>99</v>
      </c>
      <c r="Q2243" t="s">
        <v>159</v>
      </c>
      <c r="R2243" t="s">
        <v>206</v>
      </c>
      <c r="S2243" t="s">
        <v>161</v>
      </c>
      <c r="T2243" t="s">
        <v>162</v>
      </c>
      <c r="U2243" t="s">
        <v>163</v>
      </c>
      <c r="V2243" t="s">
        <v>164</v>
      </c>
      <c r="W2243" t="s">
        <v>116</v>
      </c>
      <c r="X2243" t="s">
        <v>44</v>
      </c>
      <c r="Y2243" t="s">
        <v>99</v>
      </c>
      <c r="Z2243" t="s">
        <v>421</v>
      </c>
      <c r="AC2243" t="str">
        <f>IF(AA2243="",M2243,AA2243)</f>
        <v>sim</v>
      </c>
      <c r="AD2243" t="str">
        <f>IF(AB2243="",X2243,AB2243)</f>
        <v>sim</v>
      </c>
      <c r="AE2243" t="str">
        <f>IF(OR(Configuracao!B9="",Configuracao!B10=""),"aguardando limiar",IF(AND(K2243&gt;=Configuracao!B9,K2243/MAX(Reconciliacao!C2,1)&gt;=Configuracao!B10/100),"sim","não"))</f>
        <v>aguardando limiar</v>
      </c>
    </row>
    <row r="2244" spans="1:31" x14ac:dyDescent="0.25">
      <c r="A2244">
        <v>18476</v>
      </c>
      <c r="C2244" t="s">
        <v>1493</v>
      </c>
      <c r="D2244" t="s">
        <v>659</v>
      </c>
      <c r="E2244" t="s">
        <v>451</v>
      </c>
      <c r="F2244" t="s">
        <v>158</v>
      </c>
      <c r="G2244" t="s">
        <v>205</v>
      </c>
      <c r="H2244" t="s">
        <v>204</v>
      </c>
      <c r="I2244" t="s">
        <v>439</v>
      </c>
      <c r="J2244" t="s">
        <v>439</v>
      </c>
      <c r="K2244" s="4">
        <v>1000</v>
      </c>
      <c r="L2244" s="4">
        <v>1000</v>
      </c>
      <c r="M2244" t="s">
        <v>44</v>
      </c>
      <c r="N2244" t="s">
        <v>77</v>
      </c>
      <c r="O2244" t="s">
        <v>99</v>
      </c>
      <c r="P2244" t="s">
        <v>99</v>
      </c>
      <c r="Q2244" t="s">
        <v>159</v>
      </c>
      <c r="R2244" t="s">
        <v>206</v>
      </c>
      <c r="S2244" t="s">
        <v>161</v>
      </c>
      <c r="T2244" t="s">
        <v>162</v>
      </c>
      <c r="U2244" t="s">
        <v>163</v>
      </c>
      <c r="V2244" t="s">
        <v>164</v>
      </c>
      <c r="W2244" t="s">
        <v>116</v>
      </c>
      <c r="X2244" t="s">
        <v>44</v>
      </c>
      <c r="Y2244" t="s">
        <v>99</v>
      </c>
      <c r="Z2244" t="s">
        <v>421</v>
      </c>
      <c r="AC2244" t="str">
        <f>IF(AA2244="",M2244,AA2244)</f>
        <v>sim</v>
      </c>
      <c r="AD2244" t="str">
        <f>IF(AB2244="",X2244,AB2244)</f>
        <v>sim</v>
      </c>
      <c r="AE2244" t="str">
        <f>IF(OR(Configuracao!B9="",Configuracao!B10=""),"aguardando limiar",IF(AND(K2244&gt;=Configuracao!B9,K2244/MAX(Reconciliacao!C2,1)&gt;=Configuracao!B10/100),"sim","não"))</f>
        <v>aguardando limiar</v>
      </c>
    </row>
    <row r="2245" spans="1:31" x14ac:dyDescent="0.25">
      <c r="A2245">
        <v>11392</v>
      </c>
      <c r="D2245" t="s">
        <v>659</v>
      </c>
      <c r="E2245" t="s">
        <v>451</v>
      </c>
      <c r="F2245" t="s">
        <v>158</v>
      </c>
      <c r="G2245" t="s">
        <v>205</v>
      </c>
      <c r="H2245" t="s">
        <v>204</v>
      </c>
      <c r="I2245" t="s">
        <v>32</v>
      </c>
      <c r="J2245" t="s">
        <v>32</v>
      </c>
      <c r="K2245" s="4">
        <v>1017.31</v>
      </c>
      <c r="L2245" s="4">
        <v>1017.31</v>
      </c>
      <c r="M2245" t="s">
        <v>44</v>
      </c>
      <c r="N2245" t="s">
        <v>77</v>
      </c>
      <c r="O2245" t="s">
        <v>99</v>
      </c>
      <c r="P2245" t="s">
        <v>99</v>
      </c>
      <c r="Q2245" t="s">
        <v>159</v>
      </c>
      <c r="R2245" t="s">
        <v>206</v>
      </c>
      <c r="S2245" t="s">
        <v>161</v>
      </c>
      <c r="T2245" t="s">
        <v>162</v>
      </c>
      <c r="U2245" t="s">
        <v>163</v>
      </c>
      <c r="V2245" t="s">
        <v>164</v>
      </c>
      <c r="W2245" t="s">
        <v>116</v>
      </c>
      <c r="X2245" t="s">
        <v>44</v>
      </c>
      <c r="Y2245" t="s">
        <v>99</v>
      </c>
      <c r="Z2245" t="s">
        <v>421</v>
      </c>
      <c r="AC2245" t="str">
        <f>IF(AA2245="",M2245,AA2245)</f>
        <v>sim</v>
      </c>
      <c r="AD2245" t="str">
        <f>IF(AB2245="",X2245,AB2245)</f>
        <v>sim</v>
      </c>
      <c r="AE2245" t="str">
        <f>IF(OR(Configuracao!B9="",Configuracao!B10=""),"aguardando limiar",IF(AND(K2245&gt;=Configuracao!B9,K2245/MAX(Reconciliacao!C2,1)&gt;=Configuracao!B10/100),"sim","não"))</f>
        <v>aguardando limiar</v>
      </c>
    </row>
    <row r="2246" spans="1:31" x14ac:dyDescent="0.25">
      <c r="A2246">
        <v>18767</v>
      </c>
      <c r="D2246" t="s">
        <v>659</v>
      </c>
      <c r="E2246" t="s">
        <v>451</v>
      </c>
      <c r="F2246" t="s">
        <v>158</v>
      </c>
      <c r="G2246" t="s">
        <v>205</v>
      </c>
      <c r="H2246" t="s">
        <v>204</v>
      </c>
      <c r="I2246" t="s">
        <v>35</v>
      </c>
      <c r="J2246" t="s">
        <v>35</v>
      </c>
      <c r="K2246" s="4">
        <v>1096.26</v>
      </c>
      <c r="L2246" s="4">
        <v>1096.26</v>
      </c>
      <c r="M2246" t="s">
        <v>44</v>
      </c>
      <c r="N2246" t="s">
        <v>77</v>
      </c>
      <c r="O2246" t="s">
        <v>99</v>
      </c>
      <c r="P2246" t="s">
        <v>99</v>
      </c>
      <c r="Q2246" t="s">
        <v>159</v>
      </c>
      <c r="R2246" t="s">
        <v>206</v>
      </c>
      <c r="S2246" t="s">
        <v>161</v>
      </c>
      <c r="T2246" t="s">
        <v>162</v>
      </c>
      <c r="U2246" t="s">
        <v>163</v>
      </c>
      <c r="V2246" t="s">
        <v>164</v>
      </c>
      <c r="W2246" t="s">
        <v>116</v>
      </c>
      <c r="X2246" t="s">
        <v>44</v>
      </c>
      <c r="Y2246" t="s">
        <v>99</v>
      </c>
      <c r="Z2246" t="s">
        <v>421</v>
      </c>
      <c r="AC2246" t="str">
        <f>IF(AA2246="",M2246,AA2246)</f>
        <v>sim</v>
      </c>
      <c r="AD2246" t="str">
        <f>IF(AB2246="",X2246,AB2246)</f>
        <v>sim</v>
      </c>
      <c r="AE2246" t="str">
        <f>IF(OR(Configuracao!B9="",Configuracao!B10=""),"aguardando limiar",IF(AND(K2246&gt;=Configuracao!B9,K2246/MAX(Reconciliacao!C2,1)&gt;=Configuracao!B10/100),"sim","não"))</f>
        <v>aguardando limiar</v>
      </c>
    </row>
    <row r="2247" spans="1:31" x14ac:dyDescent="0.25">
      <c r="A2247">
        <v>12937</v>
      </c>
      <c r="D2247" t="s">
        <v>659</v>
      </c>
      <c r="E2247" t="s">
        <v>451</v>
      </c>
      <c r="F2247" t="s">
        <v>158</v>
      </c>
      <c r="G2247" t="s">
        <v>205</v>
      </c>
      <c r="H2247" t="s">
        <v>204</v>
      </c>
      <c r="I2247" t="s">
        <v>32</v>
      </c>
      <c r="J2247" t="s">
        <v>424</v>
      </c>
      <c r="K2247" s="4">
        <v>1184.98</v>
      </c>
      <c r="L2247" s="4">
        <v>1184.98</v>
      </c>
      <c r="M2247" t="s">
        <v>44</v>
      </c>
      <c r="N2247" t="s">
        <v>77</v>
      </c>
      <c r="O2247" t="s">
        <v>99</v>
      </c>
      <c r="P2247" t="s">
        <v>99</v>
      </c>
      <c r="Q2247" t="s">
        <v>159</v>
      </c>
      <c r="R2247" t="s">
        <v>206</v>
      </c>
      <c r="S2247" t="s">
        <v>161</v>
      </c>
      <c r="T2247" t="s">
        <v>162</v>
      </c>
      <c r="U2247" t="s">
        <v>163</v>
      </c>
      <c r="V2247" t="s">
        <v>164</v>
      </c>
      <c r="W2247" t="s">
        <v>116</v>
      </c>
      <c r="X2247" t="s">
        <v>44</v>
      </c>
      <c r="Y2247" t="s">
        <v>99</v>
      </c>
      <c r="Z2247" t="s">
        <v>421</v>
      </c>
      <c r="AC2247" t="str">
        <f>IF(AA2247="",M2247,AA2247)</f>
        <v>sim</v>
      </c>
      <c r="AD2247" t="str">
        <f>IF(AB2247="",X2247,AB2247)</f>
        <v>sim</v>
      </c>
      <c r="AE2247" t="str">
        <f>IF(OR(Configuracao!B9="",Configuracao!B10=""),"aguardando limiar",IF(AND(K2247&gt;=Configuracao!B9,K2247/MAX(Reconciliacao!C2,1)&gt;=Configuracao!B10/100),"sim","não"))</f>
        <v>aguardando limiar</v>
      </c>
    </row>
    <row r="2248" spans="1:31" x14ac:dyDescent="0.25">
      <c r="A2248">
        <v>17239</v>
      </c>
      <c r="D2248" t="s">
        <v>659</v>
      </c>
      <c r="E2248" t="s">
        <v>451</v>
      </c>
      <c r="F2248" t="s">
        <v>158</v>
      </c>
      <c r="G2248" t="s">
        <v>205</v>
      </c>
      <c r="H2248" t="s">
        <v>204</v>
      </c>
      <c r="I2248" t="s">
        <v>461</v>
      </c>
      <c r="J2248" t="s">
        <v>442</v>
      </c>
      <c r="K2248" s="4">
        <v>1196.26</v>
      </c>
      <c r="L2248" s="4">
        <v>1196.26</v>
      </c>
      <c r="M2248" t="s">
        <v>44</v>
      </c>
      <c r="N2248" t="s">
        <v>77</v>
      </c>
      <c r="O2248" t="s">
        <v>99</v>
      </c>
      <c r="P2248" t="s">
        <v>99</v>
      </c>
      <c r="Q2248" t="s">
        <v>159</v>
      </c>
      <c r="R2248" t="s">
        <v>206</v>
      </c>
      <c r="S2248" t="s">
        <v>161</v>
      </c>
      <c r="T2248" t="s">
        <v>162</v>
      </c>
      <c r="U2248" t="s">
        <v>163</v>
      </c>
      <c r="V2248" t="s">
        <v>164</v>
      </c>
      <c r="W2248" t="s">
        <v>116</v>
      </c>
      <c r="X2248" t="s">
        <v>44</v>
      </c>
      <c r="Y2248" t="s">
        <v>99</v>
      </c>
      <c r="Z2248" t="s">
        <v>421</v>
      </c>
      <c r="AC2248" t="str">
        <f>IF(AA2248="",M2248,AA2248)</f>
        <v>sim</v>
      </c>
      <c r="AD2248" t="str">
        <f>IF(AB2248="",X2248,AB2248)</f>
        <v>sim</v>
      </c>
      <c r="AE2248" t="str">
        <f>IF(OR(Configuracao!B9="",Configuracao!B10=""),"aguardando limiar",IF(AND(K2248&gt;=Configuracao!B9,K2248/MAX(Reconciliacao!C2,1)&gt;=Configuracao!B10/100),"sim","não"))</f>
        <v>aguardando limiar</v>
      </c>
    </row>
    <row r="2249" spans="1:31" x14ac:dyDescent="0.25">
      <c r="A2249">
        <v>17845</v>
      </c>
      <c r="D2249" t="s">
        <v>659</v>
      </c>
      <c r="E2249" t="s">
        <v>451</v>
      </c>
      <c r="F2249" t="s">
        <v>158</v>
      </c>
      <c r="G2249" t="s">
        <v>205</v>
      </c>
      <c r="H2249" t="s">
        <v>204</v>
      </c>
      <c r="I2249" t="s">
        <v>439</v>
      </c>
      <c r="J2249" t="s">
        <v>439</v>
      </c>
      <c r="K2249" s="4">
        <v>1196.26</v>
      </c>
      <c r="L2249" s="4">
        <v>1196.26</v>
      </c>
      <c r="M2249" t="s">
        <v>44</v>
      </c>
      <c r="N2249" t="s">
        <v>77</v>
      </c>
      <c r="O2249" t="s">
        <v>99</v>
      </c>
      <c r="P2249" t="s">
        <v>99</v>
      </c>
      <c r="Q2249" t="s">
        <v>159</v>
      </c>
      <c r="R2249" t="s">
        <v>206</v>
      </c>
      <c r="S2249" t="s">
        <v>161</v>
      </c>
      <c r="T2249" t="s">
        <v>162</v>
      </c>
      <c r="U2249" t="s">
        <v>163</v>
      </c>
      <c r="V2249" t="s">
        <v>164</v>
      </c>
      <c r="W2249" t="s">
        <v>116</v>
      </c>
      <c r="X2249" t="s">
        <v>44</v>
      </c>
      <c r="Y2249" t="s">
        <v>99</v>
      </c>
      <c r="Z2249" t="s">
        <v>421</v>
      </c>
      <c r="AC2249" t="str">
        <f>IF(AA2249="",M2249,AA2249)</f>
        <v>sim</v>
      </c>
      <c r="AD2249" t="str">
        <f>IF(AB2249="",X2249,AB2249)</f>
        <v>sim</v>
      </c>
      <c r="AE2249" t="str">
        <f>IF(OR(Configuracao!B9="",Configuracao!B10=""),"aguardando limiar",IF(AND(K2249&gt;=Configuracao!B9,K2249/MAX(Reconciliacao!C2,1)&gt;=Configuracao!B10/100),"sim","não"))</f>
        <v>aguardando limiar</v>
      </c>
    </row>
    <row r="2250" spans="1:31" x14ac:dyDescent="0.25">
      <c r="A2250">
        <v>16149</v>
      </c>
      <c r="D2250" t="s">
        <v>659</v>
      </c>
      <c r="E2250" t="s">
        <v>451</v>
      </c>
      <c r="F2250" t="s">
        <v>158</v>
      </c>
      <c r="G2250" t="s">
        <v>205</v>
      </c>
      <c r="H2250" t="s">
        <v>204</v>
      </c>
      <c r="I2250" t="s">
        <v>454</v>
      </c>
      <c r="J2250" t="s">
        <v>461</v>
      </c>
      <c r="K2250" s="4">
        <v>1237.43</v>
      </c>
      <c r="L2250" s="4">
        <v>1237.43</v>
      </c>
      <c r="M2250" t="s">
        <v>44</v>
      </c>
      <c r="N2250" t="s">
        <v>77</v>
      </c>
      <c r="O2250" t="s">
        <v>99</v>
      </c>
      <c r="P2250" t="s">
        <v>99</v>
      </c>
      <c r="Q2250" t="s">
        <v>159</v>
      </c>
      <c r="R2250" t="s">
        <v>206</v>
      </c>
      <c r="S2250" t="s">
        <v>161</v>
      </c>
      <c r="T2250" t="s">
        <v>162</v>
      </c>
      <c r="U2250" t="s">
        <v>163</v>
      </c>
      <c r="V2250" t="s">
        <v>164</v>
      </c>
      <c r="W2250" t="s">
        <v>116</v>
      </c>
      <c r="X2250" t="s">
        <v>44</v>
      </c>
      <c r="Y2250" t="s">
        <v>99</v>
      </c>
      <c r="Z2250" t="s">
        <v>421</v>
      </c>
      <c r="AC2250" t="str">
        <f>IF(AA2250="",M2250,AA2250)</f>
        <v>sim</v>
      </c>
      <c r="AD2250" t="str">
        <f>IF(AB2250="",X2250,AB2250)</f>
        <v>sim</v>
      </c>
      <c r="AE2250" t="str">
        <f>IF(OR(Configuracao!B9="",Configuracao!B10=""),"aguardando limiar",IF(AND(K2250&gt;=Configuracao!B9,K2250/MAX(Reconciliacao!C2,1)&gt;=Configuracao!B10/100),"sim","não"))</f>
        <v>aguardando limiar</v>
      </c>
    </row>
    <row r="2251" spans="1:31" x14ac:dyDescent="0.25">
      <c r="A2251">
        <v>14182</v>
      </c>
      <c r="D2251" t="s">
        <v>659</v>
      </c>
      <c r="E2251" t="s">
        <v>451</v>
      </c>
      <c r="F2251" t="s">
        <v>158</v>
      </c>
      <c r="G2251" t="s">
        <v>205</v>
      </c>
      <c r="H2251" t="s">
        <v>204</v>
      </c>
      <c r="I2251" t="s">
        <v>420</v>
      </c>
      <c r="J2251" t="s">
        <v>454</v>
      </c>
      <c r="K2251" s="4">
        <v>1285.09</v>
      </c>
      <c r="L2251" s="4">
        <v>1285.09</v>
      </c>
      <c r="M2251" t="s">
        <v>44</v>
      </c>
      <c r="N2251" t="s">
        <v>77</v>
      </c>
      <c r="O2251" t="s">
        <v>99</v>
      </c>
      <c r="P2251" t="s">
        <v>99</v>
      </c>
      <c r="Q2251" t="s">
        <v>159</v>
      </c>
      <c r="R2251" t="s">
        <v>206</v>
      </c>
      <c r="S2251" t="s">
        <v>161</v>
      </c>
      <c r="T2251" t="s">
        <v>162</v>
      </c>
      <c r="U2251" t="s">
        <v>163</v>
      </c>
      <c r="V2251" t="s">
        <v>164</v>
      </c>
      <c r="W2251" t="s">
        <v>116</v>
      </c>
      <c r="X2251" t="s">
        <v>44</v>
      </c>
      <c r="Y2251" t="s">
        <v>99</v>
      </c>
      <c r="Z2251" t="s">
        <v>421</v>
      </c>
      <c r="AC2251" t="str">
        <f>IF(AA2251="",M2251,AA2251)</f>
        <v>sim</v>
      </c>
      <c r="AD2251" t="str">
        <f>IF(AB2251="",X2251,AB2251)</f>
        <v>sim</v>
      </c>
      <c r="AE2251" t="str">
        <f>IF(OR(Configuracao!B9="",Configuracao!B10=""),"aguardando limiar",IF(AND(K2251&gt;=Configuracao!B9,K2251/MAX(Reconciliacao!C2,1)&gt;=Configuracao!B10/100),"sim","não"))</f>
        <v>aguardando limiar</v>
      </c>
    </row>
    <row r="2252" spans="1:31" x14ac:dyDescent="0.25">
      <c r="A2252">
        <v>17844</v>
      </c>
      <c r="C2252" t="s">
        <v>1486</v>
      </c>
      <c r="D2252" t="s">
        <v>657</v>
      </c>
      <c r="E2252" t="s">
        <v>451</v>
      </c>
      <c r="F2252" t="s">
        <v>158</v>
      </c>
      <c r="G2252" t="s">
        <v>205</v>
      </c>
      <c r="H2252" t="s">
        <v>204</v>
      </c>
      <c r="I2252" t="s">
        <v>442</v>
      </c>
      <c r="J2252" t="s">
        <v>439</v>
      </c>
      <c r="K2252" s="4">
        <v>1438.79</v>
      </c>
      <c r="L2252" s="4">
        <v>1438.79</v>
      </c>
      <c r="M2252" t="s">
        <v>44</v>
      </c>
      <c r="N2252" t="s">
        <v>77</v>
      </c>
      <c r="O2252" t="s">
        <v>99</v>
      </c>
      <c r="P2252" t="s">
        <v>99</v>
      </c>
      <c r="Q2252" t="s">
        <v>159</v>
      </c>
      <c r="R2252" t="s">
        <v>206</v>
      </c>
      <c r="S2252" t="s">
        <v>161</v>
      </c>
      <c r="T2252" t="s">
        <v>162</v>
      </c>
      <c r="U2252" t="s">
        <v>163</v>
      </c>
      <c r="V2252" t="s">
        <v>164</v>
      </c>
      <c r="W2252" t="s">
        <v>116</v>
      </c>
      <c r="X2252" t="s">
        <v>44</v>
      </c>
      <c r="Y2252" t="s">
        <v>99</v>
      </c>
      <c r="Z2252" t="s">
        <v>421</v>
      </c>
      <c r="AC2252" t="str">
        <f>IF(AA2252="",M2252,AA2252)</f>
        <v>sim</v>
      </c>
      <c r="AD2252" t="str">
        <f>IF(AB2252="",X2252,AB2252)</f>
        <v>sim</v>
      </c>
      <c r="AE2252" t="str">
        <f>IF(OR(Configuracao!B9="",Configuracao!B10=""),"aguardando limiar",IF(AND(K2252&gt;=Configuracao!B9,K2252/MAX(Reconciliacao!C2,1)&gt;=Configuracao!B10/100),"sim","não"))</f>
        <v>aguardando limiar</v>
      </c>
    </row>
    <row r="2253" spans="1:31" x14ac:dyDescent="0.25">
      <c r="A2253">
        <v>12678</v>
      </c>
      <c r="D2253" t="s">
        <v>659</v>
      </c>
      <c r="E2253" t="s">
        <v>451</v>
      </c>
      <c r="F2253" t="s">
        <v>158</v>
      </c>
      <c r="G2253" t="s">
        <v>205</v>
      </c>
      <c r="H2253" t="s">
        <v>204</v>
      </c>
      <c r="I2253" t="s">
        <v>424</v>
      </c>
      <c r="J2253" t="s">
        <v>420</v>
      </c>
      <c r="K2253" s="4">
        <v>2054.93</v>
      </c>
      <c r="L2253" s="4">
        <v>2054.93</v>
      </c>
      <c r="M2253" t="s">
        <v>44</v>
      </c>
      <c r="N2253" t="s">
        <v>77</v>
      </c>
      <c r="O2253" t="s">
        <v>99</v>
      </c>
      <c r="P2253" t="s">
        <v>99</v>
      </c>
      <c r="Q2253" t="s">
        <v>159</v>
      </c>
      <c r="R2253" t="s">
        <v>206</v>
      </c>
      <c r="S2253" t="s">
        <v>161</v>
      </c>
      <c r="T2253" t="s">
        <v>162</v>
      </c>
      <c r="U2253" t="s">
        <v>163</v>
      </c>
      <c r="V2253" t="s">
        <v>164</v>
      </c>
      <c r="W2253" t="s">
        <v>116</v>
      </c>
      <c r="X2253" t="s">
        <v>44</v>
      </c>
      <c r="Y2253" t="s">
        <v>99</v>
      </c>
      <c r="Z2253" t="s">
        <v>421</v>
      </c>
      <c r="AC2253" t="str">
        <f>IF(AA2253="",M2253,AA2253)</f>
        <v>sim</v>
      </c>
      <c r="AD2253" t="str">
        <f>IF(AB2253="",X2253,AB2253)</f>
        <v>sim</v>
      </c>
      <c r="AE2253" t="str">
        <f>IF(OR(Configuracao!B9="",Configuracao!B10=""),"aguardando limiar",IF(AND(K2253&gt;=Configuracao!B9,K2253/MAX(Reconciliacao!C2,1)&gt;=Configuracao!B10/100),"sim","não"))</f>
        <v>aguardando limiar</v>
      </c>
    </row>
    <row r="2254" spans="1:31" x14ac:dyDescent="0.25">
      <c r="A2254">
        <v>12965</v>
      </c>
      <c r="C2254" t="s">
        <v>1486</v>
      </c>
      <c r="D2254" t="s">
        <v>657</v>
      </c>
      <c r="E2254" t="s">
        <v>451</v>
      </c>
      <c r="F2254" t="s">
        <v>158</v>
      </c>
      <c r="G2254" t="s">
        <v>205</v>
      </c>
      <c r="H2254" t="s">
        <v>204</v>
      </c>
      <c r="I2254" t="s">
        <v>424</v>
      </c>
      <c r="J2254" t="s">
        <v>424</v>
      </c>
      <c r="K2254" s="4">
        <v>2387.45</v>
      </c>
      <c r="L2254" s="4">
        <v>2387.45</v>
      </c>
      <c r="M2254" t="s">
        <v>44</v>
      </c>
      <c r="N2254" t="s">
        <v>77</v>
      </c>
      <c r="O2254" t="s">
        <v>99</v>
      </c>
      <c r="P2254" t="s">
        <v>99</v>
      </c>
      <c r="Q2254" t="s">
        <v>159</v>
      </c>
      <c r="R2254" t="s">
        <v>206</v>
      </c>
      <c r="S2254" t="s">
        <v>161</v>
      </c>
      <c r="T2254" t="s">
        <v>162</v>
      </c>
      <c r="U2254" t="s">
        <v>163</v>
      </c>
      <c r="V2254" t="s">
        <v>164</v>
      </c>
      <c r="W2254" t="s">
        <v>116</v>
      </c>
      <c r="X2254" t="s">
        <v>44</v>
      </c>
      <c r="Y2254" t="s">
        <v>99</v>
      </c>
      <c r="Z2254" t="s">
        <v>421</v>
      </c>
      <c r="AC2254" t="str">
        <f>IF(AA2254="",M2254,AA2254)</f>
        <v>sim</v>
      </c>
      <c r="AD2254" t="str">
        <f>IF(AB2254="",X2254,AB2254)</f>
        <v>sim</v>
      </c>
      <c r="AE2254" t="str">
        <f>IF(OR(Configuracao!B9="",Configuracao!B10=""),"aguardando limiar",IF(AND(K2254&gt;=Configuracao!B9,K2254/MAX(Reconciliacao!C2,1)&gt;=Configuracao!B10/100),"sim","não"))</f>
        <v>aguardando limiar</v>
      </c>
    </row>
    <row r="2255" spans="1:31" x14ac:dyDescent="0.25">
      <c r="A2255">
        <v>12936</v>
      </c>
      <c r="C2255" t="s">
        <v>1487</v>
      </c>
      <c r="D2255" t="s">
        <v>1488</v>
      </c>
      <c r="E2255" t="s">
        <v>458</v>
      </c>
      <c r="F2255" t="s">
        <v>158</v>
      </c>
      <c r="G2255" t="s">
        <v>205</v>
      </c>
      <c r="H2255" t="s">
        <v>204</v>
      </c>
      <c r="I2255" t="s">
        <v>424</v>
      </c>
      <c r="J2255" t="s">
        <v>424</v>
      </c>
      <c r="K2255" s="4">
        <v>2740.13</v>
      </c>
      <c r="L2255" s="4">
        <v>2740.13</v>
      </c>
      <c r="M2255" t="s">
        <v>44</v>
      </c>
      <c r="N2255" t="s">
        <v>77</v>
      </c>
      <c r="O2255" t="s">
        <v>99</v>
      </c>
      <c r="P2255" t="s">
        <v>99</v>
      </c>
      <c r="Q2255" t="s">
        <v>159</v>
      </c>
      <c r="R2255" t="s">
        <v>206</v>
      </c>
      <c r="S2255" t="s">
        <v>161</v>
      </c>
      <c r="T2255" t="s">
        <v>162</v>
      </c>
      <c r="U2255" t="s">
        <v>163</v>
      </c>
      <c r="V2255" t="s">
        <v>164</v>
      </c>
      <c r="W2255" t="s">
        <v>116</v>
      </c>
      <c r="X2255" t="s">
        <v>44</v>
      </c>
      <c r="Y2255" t="s">
        <v>99</v>
      </c>
      <c r="Z2255" t="s">
        <v>421</v>
      </c>
      <c r="AC2255" t="str">
        <f>IF(AA2255="",M2255,AA2255)</f>
        <v>sim</v>
      </c>
      <c r="AD2255" t="str">
        <f>IF(AB2255="",X2255,AB2255)</f>
        <v>sim</v>
      </c>
      <c r="AE2255" t="str">
        <f>IF(OR(Configuracao!B9="",Configuracao!B10=""),"aguardando limiar",IF(AND(K2255&gt;=Configuracao!B9,K2255/MAX(Reconciliacao!C2,1)&gt;=Configuracao!B10/100),"sim","não"))</f>
        <v>aguardando limiar</v>
      </c>
    </row>
    <row r="2256" spans="1:31" x14ac:dyDescent="0.25">
      <c r="A2256">
        <v>15928</v>
      </c>
      <c r="C2256" t="s">
        <v>1486</v>
      </c>
      <c r="D2256" t="s">
        <v>657</v>
      </c>
      <c r="E2256" t="s">
        <v>451</v>
      </c>
      <c r="F2256" t="s">
        <v>158</v>
      </c>
      <c r="G2256" t="s">
        <v>205</v>
      </c>
      <c r="H2256" t="s">
        <v>204</v>
      </c>
      <c r="I2256" t="s">
        <v>454</v>
      </c>
      <c r="J2256" t="s">
        <v>461</v>
      </c>
      <c r="K2256" s="4">
        <v>2943.55</v>
      </c>
      <c r="L2256" s="4">
        <v>2943.55</v>
      </c>
      <c r="M2256" t="s">
        <v>44</v>
      </c>
      <c r="N2256" t="s">
        <v>77</v>
      </c>
      <c r="O2256" t="s">
        <v>99</v>
      </c>
      <c r="P2256" t="s">
        <v>99</v>
      </c>
      <c r="Q2256" t="s">
        <v>159</v>
      </c>
      <c r="R2256" t="s">
        <v>206</v>
      </c>
      <c r="S2256" t="s">
        <v>161</v>
      </c>
      <c r="T2256" t="s">
        <v>162</v>
      </c>
      <c r="U2256" t="s">
        <v>163</v>
      </c>
      <c r="V2256" t="s">
        <v>164</v>
      </c>
      <c r="W2256" t="s">
        <v>116</v>
      </c>
      <c r="X2256" t="s">
        <v>44</v>
      </c>
      <c r="Y2256" t="s">
        <v>99</v>
      </c>
      <c r="Z2256" t="s">
        <v>421</v>
      </c>
      <c r="AC2256" t="str">
        <f>IF(AA2256="",M2256,AA2256)</f>
        <v>sim</v>
      </c>
      <c r="AD2256" t="str">
        <f>IF(AB2256="",X2256,AB2256)</f>
        <v>sim</v>
      </c>
      <c r="AE2256" t="str">
        <f>IF(OR(Configuracao!B9="",Configuracao!B10=""),"aguardando limiar",IF(AND(K2256&gt;=Configuracao!B9,K2256/MAX(Reconciliacao!C2,1)&gt;=Configuracao!B10/100),"sim","não"))</f>
        <v>aguardando limiar</v>
      </c>
    </row>
    <row r="2257" spans="1:31" x14ac:dyDescent="0.25">
      <c r="A2257">
        <v>17266</v>
      </c>
      <c r="C2257" t="s">
        <v>1486</v>
      </c>
      <c r="D2257" t="s">
        <v>657</v>
      </c>
      <c r="E2257" t="s">
        <v>451</v>
      </c>
      <c r="F2257" t="s">
        <v>158</v>
      </c>
      <c r="G2257" t="s">
        <v>205</v>
      </c>
      <c r="H2257" t="s">
        <v>204</v>
      </c>
      <c r="I2257" t="s">
        <v>461</v>
      </c>
      <c r="J2257" t="s">
        <v>442</v>
      </c>
      <c r="K2257" s="4">
        <v>2943.55</v>
      </c>
      <c r="L2257" s="4">
        <v>2943.55</v>
      </c>
      <c r="M2257" t="s">
        <v>44</v>
      </c>
      <c r="N2257" t="s">
        <v>77</v>
      </c>
      <c r="O2257" t="s">
        <v>99</v>
      </c>
      <c r="P2257" t="s">
        <v>99</v>
      </c>
      <c r="Q2257" t="s">
        <v>159</v>
      </c>
      <c r="R2257" t="s">
        <v>206</v>
      </c>
      <c r="S2257" t="s">
        <v>161</v>
      </c>
      <c r="T2257" t="s">
        <v>162</v>
      </c>
      <c r="U2257" t="s">
        <v>163</v>
      </c>
      <c r="V2257" t="s">
        <v>164</v>
      </c>
      <c r="W2257" t="s">
        <v>116</v>
      </c>
      <c r="X2257" t="s">
        <v>44</v>
      </c>
      <c r="Y2257" t="s">
        <v>99</v>
      </c>
      <c r="Z2257" t="s">
        <v>421</v>
      </c>
      <c r="AC2257" t="str">
        <f>IF(AA2257="",M2257,AA2257)</f>
        <v>sim</v>
      </c>
      <c r="AD2257" t="str">
        <f>IF(AB2257="",X2257,AB2257)</f>
        <v>sim</v>
      </c>
      <c r="AE2257" t="str">
        <f>IF(OR(Configuracao!B9="",Configuracao!B10=""),"aguardando limiar",IF(AND(K2257&gt;=Configuracao!B9,K2257/MAX(Reconciliacao!C2,1)&gt;=Configuracao!B10/100),"sim","não"))</f>
        <v>aguardando limiar</v>
      </c>
    </row>
    <row r="2258" spans="1:31" x14ac:dyDescent="0.25">
      <c r="A2258">
        <v>18766</v>
      </c>
      <c r="C2258" t="s">
        <v>1486</v>
      </c>
      <c r="D2258" t="s">
        <v>657</v>
      </c>
      <c r="E2258" t="s">
        <v>451</v>
      </c>
      <c r="F2258" t="s">
        <v>158</v>
      </c>
      <c r="G2258" t="s">
        <v>205</v>
      </c>
      <c r="H2258" t="s">
        <v>204</v>
      </c>
      <c r="I2258" t="s">
        <v>439</v>
      </c>
      <c r="J2258" t="s">
        <v>35</v>
      </c>
      <c r="K2258" s="4">
        <v>2943.55</v>
      </c>
      <c r="L2258" s="4">
        <v>2943.55</v>
      </c>
      <c r="M2258" t="s">
        <v>44</v>
      </c>
      <c r="N2258" t="s">
        <v>77</v>
      </c>
      <c r="O2258" t="s">
        <v>99</v>
      </c>
      <c r="P2258" t="s">
        <v>99</v>
      </c>
      <c r="Q2258" t="s">
        <v>159</v>
      </c>
      <c r="R2258" t="s">
        <v>206</v>
      </c>
      <c r="S2258" t="s">
        <v>161</v>
      </c>
      <c r="T2258" t="s">
        <v>162</v>
      </c>
      <c r="U2258" t="s">
        <v>163</v>
      </c>
      <c r="V2258" t="s">
        <v>164</v>
      </c>
      <c r="W2258" t="s">
        <v>116</v>
      </c>
      <c r="X2258" t="s">
        <v>44</v>
      </c>
      <c r="Y2258" t="s">
        <v>99</v>
      </c>
      <c r="Z2258" t="s">
        <v>421</v>
      </c>
      <c r="AC2258" t="str">
        <f>IF(AA2258="",M2258,AA2258)</f>
        <v>sim</v>
      </c>
      <c r="AD2258" t="str">
        <f>IF(AB2258="",X2258,AB2258)</f>
        <v>sim</v>
      </c>
      <c r="AE2258" t="str">
        <f>IF(OR(Configuracao!B9="",Configuracao!B10=""),"aguardando limiar",IF(AND(K2258&gt;=Configuracao!B9,K2258/MAX(Reconciliacao!C2,1)&gt;=Configuracao!B10/100),"sim","não"))</f>
        <v>aguardando limiar</v>
      </c>
    </row>
    <row r="2259" spans="1:31" x14ac:dyDescent="0.25">
      <c r="A2259">
        <v>14181</v>
      </c>
      <c r="C2259" t="s">
        <v>1486</v>
      </c>
      <c r="D2259" t="s">
        <v>657</v>
      </c>
      <c r="E2259" t="s">
        <v>451</v>
      </c>
      <c r="F2259" t="s">
        <v>158</v>
      </c>
      <c r="G2259" t="s">
        <v>205</v>
      </c>
      <c r="H2259" t="s">
        <v>204</v>
      </c>
      <c r="I2259" t="s">
        <v>420</v>
      </c>
      <c r="J2259" t="s">
        <v>454</v>
      </c>
      <c r="K2259" s="4">
        <v>3020.91</v>
      </c>
      <c r="L2259" s="4">
        <v>3020.91</v>
      </c>
      <c r="M2259" t="s">
        <v>44</v>
      </c>
      <c r="N2259" t="s">
        <v>77</v>
      </c>
      <c r="O2259" t="s">
        <v>99</v>
      </c>
      <c r="P2259" t="s">
        <v>99</v>
      </c>
      <c r="Q2259" t="s">
        <v>159</v>
      </c>
      <c r="R2259" t="s">
        <v>206</v>
      </c>
      <c r="S2259" t="s">
        <v>161</v>
      </c>
      <c r="T2259" t="s">
        <v>162</v>
      </c>
      <c r="U2259" t="s">
        <v>163</v>
      </c>
      <c r="V2259" t="s">
        <v>164</v>
      </c>
      <c r="W2259" t="s">
        <v>116</v>
      </c>
      <c r="X2259" t="s">
        <v>44</v>
      </c>
      <c r="Y2259" t="s">
        <v>99</v>
      </c>
      <c r="Z2259" t="s">
        <v>421</v>
      </c>
      <c r="AC2259" t="str">
        <f>IF(AA2259="",M2259,AA2259)</f>
        <v>sim</v>
      </c>
      <c r="AD2259" t="str">
        <f>IF(AB2259="",X2259,AB2259)</f>
        <v>sim</v>
      </c>
      <c r="AE2259" t="str">
        <f>IF(OR(Configuracao!B9="",Configuracao!B10=""),"aguardando limiar",IF(AND(K2259&gt;=Configuracao!B9,K2259/MAX(Reconciliacao!C2,1)&gt;=Configuracao!B10/100),"sim","não"))</f>
        <v>aguardando limiar</v>
      </c>
    </row>
    <row r="2260" spans="1:31" x14ac:dyDescent="0.25">
      <c r="A2260">
        <v>12959</v>
      </c>
      <c r="C2260" t="s">
        <v>1489</v>
      </c>
      <c r="D2260" t="s">
        <v>1490</v>
      </c>
      <c r="E2260" t="s">
        <v>1138</v>
      </c>
      <c r="F2260" t="s">
        <v>158</v>
      </c>
      <c r="G2260" t="s">
        <v>205</v>
      </c>
      <c r="H2260" t="s">
        <v>204</v>
      </c>
      <c r="I2260" t="s">
        <v>424</v>
      </c>
      <c r="J2260" t="s">
        <v>424</v>
      </c>
      <c r="K2260" s="4">
        <v>3201.19</v>
      </c>
      <c r="L2260" s="4">
        <v>3201.19</v>
      </c>
      <c r="M2260" t="s">
        <v>44</v>
      </c>
      <c r="N2260" t="s">
        <v>77</v>
      </c>
      <c r="O2260" t="s">
        <v>99</v>
      </c>
      <c r="P2260" t="s">
        <v>99</v>
      </c>
      <c r="Q2260" t="s">
        <v>159</v>
      </c>
      <c r="R2260" t="s">
        <v>206</v>
      </c>
      <c r="S2260" t="s">
        <v>161</v>
      </c>
      <c r="T2260" t="s">
        <v>162</v>
      </c>
      <c r="U2260" t="s">
        <v>163</v>
      </c>
      <c r="V2260" t="s">
        <v>164</v>
      </c>
      <c r="W2260" t="s">
        <v>116</v>
      </c>
      <c r="X2260" t="s">
        <v>44</v>
      </c>
      <c r="Y2260" t="s">
        <v>99</v>
      </c>
      <c r="Z2260" t="s">
        <v>421</v>
      </c>
      <c r="AC2260" t="str">
        <f>IF(AA2260="",M2260,AA2260)</f>
        <v>sim</v>
      </c>
      <c r="AD2260" t="str">
        <f>IF(AB2260="",X2260,AB2260)</f>
        <v>sim</v>
      </c>
      <c r="AE2260" t="str">
        <f>IF(OR(Configuracao!B9="",Configuracao!B10=""),"aguardando limiar",IF(AND(K2260&gt;=Configuracao!B9,K2260/MAX(Reconciliacao!C2,1)&gt;=Configuracao!B10/100),"sim","não"))</f>
        <v>aguardando limiar</v>
      </c>
    </row>
    <row r="2261" spans="1:31" x14ac:dyDescent="0.25">
      <c r="A2261">
        <v>12674</v>
      </c>
      <c r="C2261" t="s">
        <v>1487</v>
      </c>
      <c r="D2261" t="s">
        <v>1488</v>
      </c>
      <c r="E2261" t="s">
        <v>458</v>
      </c>
      <c r="F2261" t="s">
        <v>158</v>
      </c>
      <c r="G2261" t="s">
        <v>205</v>
      </c>
      <c r="H2261" t="s">
        <v>204</v>
      </c>
      <c r="I2261" t="s">
        <v>424</v>
      </c>
      <c r="J2261" t="s">
        <v>420</v>
      </c>
      <c r="K2261" s="4">
        <v>3237.27</v>
      </c>
      <c r="L2261" s="4">
        <v>3237.27</v>
      </c>
      <c r="M2261" t="s">
        <v>44</v>
      </c>
      <c r="N2261" t="s">
        <v>77</v>
      </c>
      <c r="O2261" t="s">
        <v>99</v>
      </c>
      <c r="P2261" t="s">
        <v>99</v>
      </c>
      <c r="Q2261" t="s">
        <v>159</v>
      </c>
      <c r="R2261" t="s">
        <v>206</v>
      </c>
      <c r="S2261" t="s">
        <v>161</v>
      </c>
      <c r="T2261" t="s">
        <v>162</v>
      </c>
      <c r="U2261" t="s">
        <v>163</v>
      </c>
      <c r="V2261" t="s">
        <v>164</v>
      </c>
      <c r="W2261" t="s">
        <v>116</v>
      </c>
      <c r="X2261" t="s">
        <v>44</v>
      </c>
      <c r="Y2261" t="s">
        <v>99</v>
      </c>
      <c r="Z2261" t="s">
        <v>421</v>
      </c>
      <c r="AC2261" t="str">
        <f>IF(AA2261="",M2261,AA2261)</f>
        <v>sim</v>
      </c>
      <c r="AD2261" t="str">
        <f>IF(AB2261="",X2261,AB2261)</f>
        <v>sim</v>
      </c>
      <c r="AE2261" t="str">
        <f>IF(OR(Configuracao!B9="",Configuracao!B10=""),"aguardando limiar",IF(AND(K2261&gt;=Configuracao!B9,K2261/MAX(Reconciliacao!C2,1)&gt;=Configuracao!B10/100),"sim","não"))</f>
        <v>aguardando limiar</v>
      </c>
    </row>
    <row r="2262" spans="1:31" x14ac:dyDescent="0.25">
      <c r="A2262">
        <v>14178</v>
      </c>
      <c r="C2262" t="s">
        <v>1487</v>
      </c>
      <c r="D2262" t="s">
        <v>1488</v>
      </c>
      <c r="E2262" t="s">
        <v>458</v>
      </c>
      <c r="F2262" t="s">
        <v>158</v>
      </c>
      <c r="G2262" t="s">
        <v>205</v>
      </c>
      <c r="H2262" t="s">
        <v>204</v>
      </c>
      <c r="I2262" t="s">
        <v>420</v>
      </c>
      <c r="J2262" t="s">
        <v>454</v>
      </c>
      <c r="K2262" s="4">
        <v>3499.75</v>
      </c>
      <c r="L2262" s="4">
        <v>3499.75</v>
      </c>
      <c r="M2262" t="s">
        <v>44</v>
      </c>
      <c r="N2262" t="s">
        <v>77</v>
      </c>
      <c r="O2262" t="s">
        <v>99</v>
      </c>
      <c r="P2262" t="s">
        <v>99</v>
      </c>
      <c r="Q2262" t="s">
        <v>159</v>
      </c>
      <c r="R2262" t="s">
        <v>206</v>
      </c>
      <c r="S2262" t="s">
        <v>161</v>
      </c>
      <c r="T2262" t="s">
        <v>162</v>
      </c>
      <c r="U2262" t="s">
        <v>163</v>
      </c>
      <c r="V2262" t="s">
        <v>164</v>
      </c>
      <c r="W2262" t="s">
        <v>116</v>
      </c>
      <c r="X2262" t="s">
        <v>44</v>
      </c>
      <c r="Y2262" t="s">
        <v>99</v>
      </c>
      <c r="Z2262" t="s">
        <v>421</v>
      </c>
      <c r="AC2262" t="str">
        <f>IF(AA2262="",M2262,AA2262)</f>
        <v>sim</v>
      </c>
      <c r="AD2262" t="str">
        <f>IF(AB2262="",X2262,AB2262)</f>
        <v>sim</v>
      </c>
      <c r="AE2262" t="str">
        <f>IF(OR(Configuracao!B9="",Configuracao!B10=""),"aguardando limiar",IF(AND(K2262&gt;=Configuracao!B9,K2262/MAX(Reconciliacao!C2,1)&gt;=Configuracao!B10/100),"sim","não"))</f>
        <v>aguardando limiar</v>
      </c>
    </row>
    <row r="2263" spans="1:31" x14ac:dyDescent="0.25">
      <c r="A2263">
        <v>15929</v>
      </c>
      <c r="C2263" t="s">
        <v>1487</v>
      </c>
      <c r="D2263" t="s">
        <v>1488</v>
      </c>
      <c r="E2263" t="s">
        <v>458</v>
      </c>
      <c r="F2263" t="s">
        <v>158</v>
      </c>
      <c r="G2263" t="s">
        <v>205</v>
      </c>
      <c r="H2263" t="s">
        <v>204</v>
      </c>
      <c r="I2263" t="s">
        <v>454</v>
      </c>
      <c r="J2263" t="s">
        <v>461</v>
      </c>
      <c r="K2263" s="4">
        <v>3499.75</v>
      </c>
      <c r="L2263" s="4">
        <v>3499.75</v>
      </c>
      <c r="M2263" t="s">
        <v>44</v>
      </c>
      <c r="N2263" t="s">
        <v>77</v>
      </c>
      <c r="O2263" t="s">
        <v>99</v>
      </c>
      <c r="P2263" t="s">
        <v>99</v>
      </c>
      <c r="Q2263" t="s">
        <v>159</v>
      </c>
      <c r="R2263" t="s">
        <v>206</v>
      </c>
      <c r="S2263" t="s">
        <v>161</v>
      </c>
      <c r="T2263" t="s">
        <v>162</v>
      </c>
      <c r="U2263" t="s">
        <v>163</v>
      </c>
      <c r="V2263" t="s">
        <v>164</v>
      </c>
      <c r="W2263" t="s">
        <v>116</v>
      </c>
      <c r="X2263" t="s">
        <v>44</v>
      </c>
      <c r="Y2263" t="s">
        <v>99</v>
      </c>
      <c r="Z2263" t="s">
        <v>421</v>
      </c>
      <c r="AC2263" t="str">
        <f>IF(AA2263="",M2263,AA2263)</f>
        <v>sim</v>
      </c>
      <c r="AD2263" t="str">
        <f>IF(AB2263="",X2263,AB2263)</f>
        <v>sim</v>
      </c>
      <c r="AE2263" t="str">
        <f>IF(OR(Configuracao!B9="",Configuracao!B10=""),"aguardando limiar",IF(AND(K2263&gt;=Configuracao!B9,K2263/MAX(Reconciliacao!C2,1)&gt;=Configuracao!B10/100),"sim","não"))</f>
        <v>aguardando limiar</v>
      </c>
    </row>
    <row r="2264" spans="1:31" x14ac:dyDescent="0.25">
      <c r="A2264">
        <v>17243</v>
      </c>
      <c r="C2264" t="s">
        <v>1487</v>
      </c>
      <c r="D2264" t="s">
        <v>1488</v>
      </c>
      <c r="E2264" t="s">
        <v>458</v>
      </c>
      <c r="F2264" t="s">
        <v>158</v>
      </c>
      <c r="G2264" t="s">
        <v>205</v>
      </c>
      <c r="H2264" t="s">
        <v>204</v>
      </c>
      <c r="I2264" t="s">
        <v>461</v>
      </c>
      <c r="J2264" t="s">
        <v>442</v>
      </c>
      <c r="K2264" s="4">
        <v>3499.75</v>
      </c>
      <c r="L2264" s="4">
        <v>3499.75</v>
      </c>
      <c r="M2264" t="s">
        <v>44</v>
      </c>
      <c r="N2264" t="s">
        <v>77</v>
      </c>
      <c r="O2264" t="s">
        <v>99</v>
      </c>
      <c r="P2264" t="s">
        <v>99</v>
      </c>
      <c r="Q2264" t="s">
        <v>159</v>
      </c>
      <c r="R2264" t="s">
        <v>206</v>
      </c>
      <c r="S2264" t="s">
        <v>161</v>
      </c>
      <c r="T2264" t="s">
        <v>162</v>
      </c>
      <c r="U2264" t="s">
        <v>163</v>
      </c>
      <c r="V2264" t="s">
        <v>164</v>
      </c>
      <c r="W2264" t="s">
        <v>116</v>
      </c>
      <c r="X2264" t="s">
        <v>44</v>
      </c>
      <c r="Y2264" t="s">
        <v>99</v>
      </c>
      <c r="Z2264" t="s">
        <v>421</v>
      </c>
      <c r="AC2264" t="str">
        <f>IF(AA2264="",M2264,AA2264)</f>
        <v>sim</v>
      </c>
      <c r="AD2264" t="str">
        <f>IF(AB2264="",X2264,AB2264)</f>
        <v>sim</v>
      </c>
      <c r="AE2264" t="str">
        <f>IF(OR(Configuracao!B9="",Configuracao!B10=""),"aguardando limiar",IF(AND(K2264&gt;=Configuracao!B9,K2264/MAX(Reconciliacao!C2,1)&gt;=Configuracao!B10/100),"sim","não"))</f>
        <v>aguardando limiar</v>
      </c>
    </row>
    <row r="2265" spans="1:31" x14ac:dyDescent="0.25">
      <c r="A2265">
        <v>17841</v>
      </c>
      <c r="C2265" t="s">
        <v>1487</v>
      </c>
      <c r="D2265" t="s">
        <v>1488</v>
      </c>
      <c r="E2265" t="s">
        <v>458</v>
      </c>
      <c r="F2265" t="s">
        <v>158</v>
      </c>
      <c r="G2265" t="s">
        <v>205</v>
      </c>
      <c r="H2265" t="s">
        <v>204</v>
      </c>
      <c r="I2265" t="s">
        <v>442</v>
      </c>
      <c r="J2265" t="s">
        <v>439</v>
      </c>
      <c r="K2265" s="4">
        <v>3499.75</v>
      </c>
      <c r="L2265" s="4">
        <v>3499.75</v>
      </c>
      <c r="M2265" t="s">
        <v>44</v>
      </c>
      <c r="N2265" t="s">
        <v>77</v>
      </c>
      <c r="O2265" t="s">
        <v>99</v>
      </c>
      <c r="P2265" t="s">
        <v>99</v>
      </c>
      <c r="Q2265" t="s">
        <v>159</v>
      </c>
      <c r="R2265" t="s">
        <v>206</v>
      </c>
      <c r="S2265" t="s">
        <v>161</v>
      </c>
      <c r="T2265" t="s">
        <v>162</v>
      </c>
      <c r="U2265" t="s">
        <v>163</v>
      </c>
      <c r="V2265" t="s">
        <v>164</v>
      </c>
      <c r="W2265" t="s">
        <v>116</v>
      </c>
      <c r="X2265" t="s">
        <v>44</v>
      </c>
      <c r="Y2265" t="s">
        <v>99</v>
      </c>
      <c r="Z2265" t="s">
        <v>421</v>
      </c>
      <c r="AC2265" t="str">
        <f>IF(AA2265="",M2265,AA2265)</f>
        <v>sim</v>
      </c>
      <c r="AD2265" t="str">
        <f>IF(AB2265="",X2265,AB2265)</f>
        <v>sim</v>
      </c>
      <c r="AE2265" t="str">
        <f>IF(OR(Configuracao!B9="",Configuracao!B10=""),"aguardando limiar",IF(AND(K2265&gt;=Configuracao!B9,K2265/MAX(Reconciliacao!C2,1)&gt;=Configuracao!B10/100),"sim","não"))</f>
        <v>aguardando limiar</v>
      </c>
    </row>
    <row r="2266" spans="1:31" x14ac:dyDescent="0.25">
      <c r="A2266">
        <v>18763</v>
      </c>
      <c r="C2266" t="s">
        <v>1487</v>
      </c>
      <c r="D2266" t="s">
        <v>1488</v>
      </c>
      <c r="E2266" t="s">
        <v>458</v>
      </c>
      <c r="F2266" t="s">
        <v>158</v>
      </c>
      <c r="G2266" t="s">
        <v>205</v>
      </c>
      <c r="H2266" t="s">
        <v>204</v>
      </c>
      <c r="I2266" t="s">
        <v>439</v>
      </c>
      <c r="J2266" t="s">
        <v>35</v>
      </c>
      <c r="K2266" s="4">
        <v>3499.75</v>
      </c>
      <c r="L2266" s="4">
        <v>3499.75</v>
      </c>
      <c r="M2266" t="s">
        <v>44</v>
      </c>
      <c r="N2266" t="s">
        <v>77</v>
      </c>
      <c r="O2266" t="s">
        <v>99</v>
      </c>
      <c r="P2266" t="s">
        <v>99</v>
      </c>
      <c r="Q2266" t="s">
        <v>159</v>
      </c>
      <c r="R2266" t="s">
        <v>206</v>
      </c>
      <c r="S2266" t="s">
        <v>161</v>
      </c>
      <c r="T2266" t="s">
        <v>162</v>
      </c>
      <c r="U2266" t="s">
        <v>163</v>
      </c>
      <c r="V2266" t="s">
        <v>164</v>
      </c>
      <c r="W2266" t="s">
        <v>116</v>
      </c>
      <c r="X2266" t="s">
        <v>44</v>
      </c>
      <c r="Y2266" t="s">
        <v>99</v>
      </c>
      <c r="Z2266" t="s">
        <v>421</v>
      </c>
      <c r="AC2266" t="str">
        <f>IF(AA2266="",M2266,AA2266)</f>
        <v>sim</v>
      </c>
      <c r="AD2266" t="str">
        <f>IF(AB2266="",X2266,AB2266)</f>
        <v>sim</v>
      </c>
      <c r="AE2266" t="str">
        <f>IF(OR(Configuracao!B9="",Configuracao!B10=""),"aguardando limiar",IF(AND(K2266&gt;=Configuracao!B9,K2266/MAX(Reconciliacao!C2,1)&gt;=Configuracao!B10/100),"sim","não"))</f>
        <v>aguardando limiar</v>
      </c>
    </row>
    <row r="2267" spans="1:31" x14ac:dyDescent="0.25">
      <c r="A2267">
        <v>14179</v>
      </c>
      <c r="C2267" t="s">
        <v>1489</v>
      </c>
      <c r="D2267" t="s">
        <v>1490</v>
      </c>
      <c r="E2267" t="s">
        <v>1138</v>
      </c>
      <c r="F2267" t="s">
        <v>158</v>
      </c>
      <c r="G2267" t="s">
        <v>205</v>
      </c>
      <c r="H2267" t="s">
        <v>204</v>
      </c>
      <c r="I2267" t="s">
        <v>420</v>
      </c>
      <c r="J2267" t="s">
        <v>454</v>
      </c>
      <c r="K2267" s="4">
        <v>3756.96</v>
      </c>
      <c r="L2267" s="4">
        <v>3756.96</v>
      </c>
      <c r="M2267" t="s">
        <v>44</v>
      </c>
      <c r="N2267" t="s">
        <v>77</v>
      </c>
      <c r="O2267" t="s">
        <v>99</v>
      </c>
      <c r="P2267" t="s">
        <v>99</v>
      </c>
      <c r="Q2267" t="s">
        <v>159</v>
      </c>
      <c r="R2267" t="s">
        <v>206</v>
      </c>
      <c r="S2267" t="s">
        <v>161</v>
      </c>
      <c r="T2267" t="s">
        <v>162</v>
      </c>
      <c r="U2267" t="s">
        <v>163</v>
      </c>
      <c r="V2267" t="s">
        <v>164</v>
      </c>
      <c r="W2267" t="s">
        <v>116</v>
      </c>
      <c r="X2267" t="s">
        <v>44</v>
      </c>
      <c r="Y2267" t="s">
        <v>99</v>
      </c>
      <c r="Z2267" t="s">
        <v>421</v>
      </c>
      <c r="AC2267" t="str">
        <f>IF(AA2267="",M2267,AA2267)</f>
        <v>sim</v>
      </c>
      <c r="AD2267" t="str">
        <f>IF(AB2267="",X2267,AB2267)</f>
        <v>sim</v>
      </c>
      <c r="AE2267" t="str">
        <f>IF(OR(Configuracao!B9="",Configuracao!B10=""),"aguardando limiar",IF(AND(K2267&gt;=Configuracao!B9,K2267/MAX(Reconciliacao!C2,1)&gt;=Configuracao!B10/100),"sim","não"))</f>
        <v>aguardando limiar</v>
      </c>
    </row>
    <row r="2268" spans="1:31" x14ac:dyDescent="0.25">
      <c r="A2268">
        <v>15930</v>
      </c>
      <c r="C2268" t="s">
        <v>1489</v>
      </c>
      <c r="D2268" t="s">
        <v>1490</v>
      </c>
      <c r="E2268" t="s">
        <v>1138</v>
      </c>
      <c r="F2268" t="s">
        <v>158</v>
      </c>
      <c r="G2268" t="s">
        <v>205</v>
      </c>
      <c r="H2268" t="s">
        <v>204</v>
      </c>
      <c r="I2268" t="s">
        <v>454</v>
      </c>
      <c r="J2268" t="s">
        <v>461</v>
      </c>
      <c r="K2268" s="4">
        <v>3756.96</v>
      </c>
      <c r="L2268" s="4">
        <v>3756.96</v>
      </c>
      <c r="M2268" t="s">
        <v>44</v>
      </c>
      <c r="N2268" t="s">
        <v>77</v>
      </c>
      <c r="O2268" t="s">
        <v>99</v>
      </c>
      <c r="P2268" t="s">
        <v>99</v>
      </c>
      <c r="Q2268" t="s">
        <v>159</v>
      </c>
      <c r="R2268" t="s">
        <v>206</v>
      </c>
      <c r="S2268" t="s">
        <v>161</v>
      </c>
      <c r="T2268" t="s">
        <v>162</v>
      </c>
      <c r="U2268" t="s">
        <v>163</v>
      </c>
      <c r="V2268" t="s">
        <v>164</v>
      </c>
      <c r="W2268" t="s">
        <v>116</v>
      </c>
      <c r="X2268" t="s">
        <v>44</v>
      </c>
      <c r="Y2268" t="s">
        <v>99</v>
      </c>
      <c r="Z2268" t="s">
        <v>421</v>
      </c>
      <c r="AC2268" t="str">
        <f>IF(AA2268="",M2268,AA2268)</f>
        <v>sim</v>
      </c>
      <c r="AD2268" t="str">
        <f>IF(AB2268="",X2268,AB2268)</f>
        <v>sim</v>
      </c>
      <c r="AE2268" t="str">
        <f>IF(OR(Configuracao!B9="",Configuracao!B10=""),"aguardando limiar",IF(AND(K2268&gt;=Configuracao!B9,K2268/MAX(Reconciliacao!C2,1)&gt;=Configuracao!B10/100),"sim","não"))</f>
        <v>aguardando limiar</v>
      </c>
    </row>
    <row r="2269" spans="1:31" x14ac:dyDescent="0.25">
      <c r="A2269">
        <v>17256</v>
      </c>
      <c r="C2269" t="s">
        <v>1489</v>
      </c>
      <c r="D2269" t="s">
        <v>1490</v>
      </c>
      <c r="E2269" t="s">
        <v>1138</v>
      </c>
      <c r="F2269" t="s">
        <v>158</v>
      </c>
      <c r="G2269" t="s">
        <v>205</v>
      </c>
      <c r="H2269" t="s">
        <v>204</v>
      </c>
      <c r="I2269" t="s">
        <v>461</v>
      </c>
      <c r="J2269" t="s">
        <v>442</v>
      </c>
      <c r="K2269" s="4">
        <v>3756.96</v>
      </c>
      <c r="L2269" s="4">
        <v>3756.96</v>
      </c>
      <c r="M2269" t="s">
        <v>44</v>
      </c>
      <c r="N2269" t="s">
        <v>77</v>
      </c>
      <c r="O2269" t="s">
        <v>99</v>
      </c>
      <c r="P2269" t="s">
        <v>99</v>
      </c>
      <c r="Q2269" t="s">
        <v>159</v>
      </c>
      <c r="R2269" t="s">
        <v>206</v>
      </c>
      <c r="S2269" t="s">
        <v>161</v>
      </c>
      <c r="T2269" t="s">
        <v>162</v>
      </c>
      <c r="U2269" t="s">
        <v>163</v>
      </c>
      <c r="V2269" t="s">
        <v>164</v>
      </c>
      <c r="W2269" t="s">
        <v>116</v>
      </c>
      <c r="X2269" t="s">
        <v>44</v>
      </c>
      <c r="Y2269" t="s">
        <v>99</v>
      </c>
      <c r="Z2269" t="s">
        <v>421</v>
      </c>
      <c r="AC2269" t="str">
        <f>IF(AA2269="",M2269,AA2269)</f>
        <v>sim</v>
      </c>
      <c r="AD2269" t="str">
        <f>IF(AB2269="",X2269,AB2269)</f>
        <v>sim</v>
      </c>
      <c r="AE2269" t="str">
        <f>IF(OR(Configuracao!B9="",Configuracao!B10=""),"aguardando limiar",IF(AND(K2269&gt;=Configuracao!B9,K2269/MAX(Reconciliacao!C2,1)&gt;=Configuracao!B10/100),"sim","não"))</f>
        <v>aguardando limiar</v>
      </c>
    </row>
    <row r="2270" spans="1:31" x14ac:dyDescent="0.25">
      <c r="A2270">
        <v>17842</v>
      </c>
      <c r="C2270" t="s">
        <v>1489</v>
      </c>
      <c r="D2270" t="s">
        <v>1490</v>
      </c>
      <c r="E2270" t="s">
        <v>1138</v>
      </c>
      <c r="F2270" t="s">
        <v>158</v>
      </c>
      <c r="G2270" t="s">
        <v>205</v>
      </c>
      <c r="H2270" t="s">
        <v>204</v>
      </c>
      <c r="I2270" t="s">
        <v>442</v>
      </c>
      <c r="J2270" t="s">
        <v>439</v>
      </c>
      <c r="K2270" s="4">
        <v>3756.96</v>
      </c>
      <c r="L2270" s="4">
        <v>3756.96</v>
      </c>
      <c r="M2270" t="s">
        <v>44</v>
      </c>
      <c r="N2270" t="s">
        <v>77</v>
      </c>
      <c r="O2270" t="s">
        <v>99</v>
      </c>
      <c r="P2270" t="s">
        <v>99</v>
      </c>
      <c r="Q2270" t="s">
        <v>159</v>
      </c>
      <c r="R2270" t="s">
        <v>206</v>
      </c>
      <c r="S2270" t="s">
        <v>161</v>
      </c>
      <c r="T2270" t="s">
        <v>162</v>
      </c>
      <c r="U2270" t="s">
        <v>163</v>
      </c>
      <c r="V2270" t="s">
        <v>164</v>
      </c>
      <c r="W2270" t="s">
        <v>116</v>
      </c>
      <c r="X2270" t="s">
        <v>44</v>
      </c>
      <c r="Y2270" t="s">
        <v>99</v>
      </c>
      <c r="Z2270" t="s">
        <v>421</v>
      </c>
      <c r="AC2270" t="str">
        <f>IF(AA2270="",M2270,AA2270)</f>
        <v>sim</v>
      </c>
      <c r="AD2270" t="str">
        <f>IF(AB2270="",X2270,AB2270)</f>
        <v>sim</v>
      </c>
      <c r="AE2270" t="str">
        <f>IF(OR(Configuracao!B9="",Configuracao!B10=""),"aguardando limiar",IF(AND(K2270&gt;=Configuracao!B9,K2270/MAX(Reconciliacao!C2,1)&gt;=Configuracao!B10/100),"sim","não"))</f>
        <v>aguardando limiar</v>
      </c>
    </row>
    <row r="2271" spans="1:31" x14ac:dyDescent="0.25">
      <c r="A2271">
        <v>18764</v>
      </c>
      <c r="C2271" t="s">
        <v>1489</v>
      </c>
      <c r="D2271" t="s">
        <v>1490</v>
      </c>
      <c r="E2271" t="s">
        <v>1138</v>
      </c>
      <c r="F2271" t="s">
        <v>158</v>
      </c>
      <c r="G2271" t="s">
        <v>205</v>
      </c>
      <c r="H2271" t="s">
        <v>204</v>
      </c>
      <c r="I2271" t="s">
        <v>439</v>
      </c>
      <c r="J2271" t="s">
        <v>35</v>
      </c>
      <c r="K2271" s="4">
        <v>3756.96</v>
      </c>
      <c r="L2271" s="4">
        <v>3756.96</v>
      </c>
      <c r="M2271" t="s">
        <v>44</v>
      </c>
      <c r="N2271" t="s">
        <v>77</v>
      </c>
      <c r="O2271" t="s">
        <v>99</v>
      </c>
      <c r="P2271" t="s">
        <v>99</v>
      </c>
      <c r="Q2271" t="s">
        <v>159</v>
      </c>
      <c r="R2271" t="s">
        <v>206</v>
      </c>
      <c r="S2271" t="s">
        <v>161</v>
      </c>
      <c r="T2271" t="s">
        <v>162</v>
      </c>
      <c r="U2271" t="s">
        <v>163</v>
      </c>
      <c r="V2271" t="s">
        <v>164</v>
      </c>
      <c r="W2271" t="s">
        <v>116</v>
      </c>
      <c r="X2271" t="s">
        <v>44</v>
      </c>
      <c r="Y2271" t="s">
        <v>99</v>
      </c>
      <c r="Z2271" t="s">
        <v>421</v>
      </c>
      <c r="AC2271" t="str">
        <f>IF(AA2271="",M2271,AA2271)</f>
        <v>sim</v>
      </c>
      <c r="AD2271" t="str">
        <f>IF(AB2271="",X2271,AB2271)</f>
        <v>sim</v>
      </c>
      <c r="AE2271" t="str">
        <f>IF(OR(Configuracao!B9="",Configuracao!B10=""),"aguardando limiar",IF(AND(K2271&gt;=Configuracao!B9,K2271/MAX(Reconciliacao!C2,1)&gt;=Configuracao!B10/100),"sim","não"))</f>
        <v>aguardando limiar</v>
      </c>
    </row>
    <row r="2272" spans="1:31" x14ac:dyDescent="0.25">
      <c r="A2272">
        <v>12675</v>
      </c>
      <c r="C2272" t="s">
        <v>1489</v>
      </c>
      <c r="D2272" t="s">
        <v>1490</v>
      </c>
      <c r="E2272" t="s">
        <v>1138</v>
      </c>
      <c r="F2272" t="s">
        <v>158</v>
      </c>
      <c r="G2272" t="s">
        <v>205</v>
      </c>
      <c r="H2272" t="s">
        <v>204</v>
      </c>
      <c r="I2272" t="s">
        <v>424</v>
      </c>
      <c r="J2272" t="s">
        <v>420</v>
      </c>
      <c r="K2272" s="4">
        <v>4156.44</v>
      </c>
      <c r="L2272" s="4">
        <v>4156.44</v>
      </c>
      <c r="M2272" t="s">
        <v>44</v>
      </c>
      <c r="N2272" t="s">
        <v>77</v>
      </c>
      <c r="O2272" t="s">
        <v>99</v>
      </c>
      <c r="P2272" t="s">
        <v>99</v>
      </c>
      <c r="Q2272" t="s">
        <v>159</v>
      </c>
      <c r="R2272" t="s">
        <v>206</v>
      </c>
      <c r="S2272" t="s">
        <v>161</v>
      </c>
      <c r="T2272" t="s">
        <v>162</v>
      </c>
      <c r="U2272" t="s">
        <v>163</v>
      </c>
      <c r="V2272" t="s">
        <v>164</v>
      </c>
      <c r="W2272" t="s">
        <v>116</v>
      </c>
      <c r="X2272" t="s">
        <v>44</v>
      </c>
      <c r="Y2272" t="s">
        <v>99</v>
      </c>
      <c r="Z2272" t="s">
        <v>421</v>
      </c>
      <c r="AC2272" t="str">
        <f>IF(AA2272="",M2272,AA2272)</f>
        <v>sim</v>
      </c>
      <c r="AD2272" t="str">
        <f>IF(AB2272="",X2272,AB2272)</f>
        <v>sim</v>
      </c>
      <c r="AE2272" t="str">
        <f>IF(OR(Configuracao!B9="",Configuracao!B10=""),"aguardando limiar",IF(AND(K2272&gt;=Configuracao!B9,K2272/MAX(Reconciliacao!C2,1)&gt;=Configuracao!B10/100),"sim","não"))</f>
        <v>aguardando limiar</v>
      </c>
    </row>
    <row r="2273" spans="1:31" x14ac:dyDescent="0.25">
      <c r="A2273">
        <v>12677</v>
      </c>
      <c r="C2273" t="s">
        <v>1486</v>
      </c>
      <c r="D2273" t="s">
        <v>657</v>
      </c>
      <c r="E2273" t="s">
        <v>451</v>
      </c>
      <c r="F2273" t="s">
        <v>158</v>
      </c>
      <c r="G2273" t="s">
        <v>205</v>
      </c>
      <c r="H2273" t="s">
        <v>204</v>
      </c>
      <c r="I2273" t="s">
        <v>424</v>
      </c>
      <c r="J2273" t="s">
        <v>420</v>
      </c>
      <c r="K2273" s="4">
        <v>6086.73</v>
      </c>
      <c r="L2273" s="4">
        <v>6086.73</v>
      </c>
      <c r="M2273" t="s">
        <v>44</v>
      </c>
      <c r="N2273" t="s">
        <v>77</v>
      </c>
      <c r="O2273" t="s">
        <v>99</v>
      </c>
      <c r="P2273" t="s">
        <v>99</v>
      </c>
      <c r="Q2273" t="s">
        <v>159</v>
      </c>
      <c r="R2273" t="s">
        <v>206</v>
      </c>
      <c r="S2273" t="s">
        <v>161</v>
      </c>
      <c r="T2273" t="s">
        <v>162</v>
      </c>
      <c r="U2273" t="s">
        <v>163</v>
      </c>
      <c r="V2273" t="s">
        <v>164</v>
      </c>
      <c r="W2273" t="s">
        <v>116</v>
      </c>
      <c r="X2273" t="s">
        <v>44</v>
      </c>
      <c r="Y2273" t="s">
        <v>99</v>
      </c>
      <c r="Z2273" t="s">
        <v>421</v>
      </c>
      <c r="AC2273" t="str">
        <f>IF(AA2273="",M2273,AA2273)</f>
        <v>sim</v>
      </c>
      <c r="AD2273" t="str">
        <f>IF(AB2273="",X2273,AB2273)</f>
        <v>sim</v>
      </c>
      <c r="AE2273" t="str">
        <f>IF(OR(Configuracao!B9="",Configuracao!B10=""),"aguardando limiar",IF(AND(K2273&gt;=Configuracao!B9,K2273/MAX(Reconciliacao!C2,1)&gt;=Configuracao!B10/100),"sim","não"))</f>
        <v>aguardando limiar</v>
      </c>
    </row>
    <row r="2274" spans="1:31" x14ac:dyDescent="0.25">
      <c r="A2274">
        <v>12676</v>
      </c>
      <c r="C2274" t="s">
        <v>1491</v>
      </c>
      <c r="D2274" t="s">
        <v>1492</v>
      </c>
      <c r="E2274" t="s">
        <v>1138</v>
      </c>
      <c r="F2274" t="s">
        <v>158</v>
      </c>
      <c r="G2274" t="s">
        <v>205</v>
      </c>
      <c r="H2274" t="s">
        <v>204</v>
      </c>
      <c r="I2274" t="s">
        <v>424</v>
      </c>
      <c r="J2274" t="s">
        <v>420</v>
      </c>
      <c r="K2274" s="4">
        <v>6769.52</v>
      </c>
      <c r="L2274" s="4">
        <v>6769.52</v>
      </c>
      <c r="M2274" t="s">
        <v>44</v>
      </c>
      <c r="N2274" t="s">
        <v>77</v>
      </c>
      <c r="O2274" t="s">
        <v>99</v>
      </c>
      <c r="P2274" t="s">
        <v>99</v>
      </c>
      <c r="Q2274" t="s">
        <v>159</v>
      </c>
      <c r="R2274" t="s">
        <v>206</v>
      </c>
      <c r="S2274" t="s">
        <v>161</v>
      </c>
      <c r="T2274" t="s">
        <v>162</v>
      </c>
      <c r="U2274" t="s">
        <v>163</v>
      </c>
      <c r="V2274" t="s">
        <v>164</v>
      </c>
      <c r="W2274" t="s">
        <v>116</v>
      </c>
      <c r="X2274" t="s">
        <v>44</v>
      </c>
      <c r="Y2274" t="s">
        <v>99</v>
      </c>
      <c r="Z2274" t="s">
        <v>421</v>
      </c>
      <c r="AC2274" t="str">
        <f>IF(AA2274="",M2274,AA2274)</f>
        <v>sim</v>
      </c>
      <c r="AD2274" t="str">
        <f>IF(AB2274="",X2274,AB2274)</f>
        <v>sim</v>
      </c>
      <c r="AE2274" t="str">
        <f>IF(OR(Configuracao!B9="",Configuracao!B10=""),"aguardando limiar",IF(AND(K2274&gt;=Configuracao!B9,K2274/MAX(Reconciliacao!C2,1)&gt;=Configuracao!B10/100),"sim","não"))</f>
        <v>aguardando limiar</v>
      </c>
    </row>
    <row r="2275" spans="1:31" x14ac:dyDescent="0.25">
      <c r="A2275">
        <v>12962</v>
      </c>
      <c r="C2275" t="s">
        <v>1491</v>
      </c>
      <c r="D2275" t="s">
        <v>1492</v>
      </c>
      <c r="E2275" t="s">
        <v>1138</v>
      </c>
      <c r="F2275" t="s">
        <v>158</v>
      </c>
      <c r="G2275" t="s">
        <v>205</v>
      </c>
      <c r="H2275" t="s">
        <v>204</v>
      </c>
      <c r="I2275" t="s">
        <v>424</v>
      </c>
      <c r="J2275" t="s">
        <v>424</v>
      </c>
      <c r="K2275" s="4">
        <v>6769.52</v>
      </c>
      <c r="L2275" s="4">
        <v>6769.52</v>
      </c>
      <c r="M2275" t="s">
        <v>44</v>
      </c>
      <c r="N2275" t="s">
        <v>77</v>
      </c>
      <c r="O2275" t="s">
        <v>99</v>
      </c>
      <c r="P2275" t="s">
        <v>99</v>
      </c>
      <c r="Q2275" t="s">
        <v>159</v>
      </c>
      <c r="R2275" t="s">
        <v>206</v>
      </c>
      <c r="S2275" t="s">
        <v>161</v>
      </c>
      <c r="T2275" t="s">
        <v>162</v>
      </c>
      <c r="U2275" t="s">
        <v>163</v>
      </c>
      <c r="V2275" t="s">
        <v>164</v>
      </c>
      <c r="W2275" t="s">
        <v>116</v>
      </c>
      <c r="X2275" t="s">
        <v>44</v>
      </c>
      <c r="Y2275" t="s">
        <v>99</v>
      </c>
      <c r="Z2275" t="s">
        <v>421</v>
      </c>
      <c r="AC2275" t="str">
        <f>IF(AA2275="",M2275,AA2275)</f>
        <v>sim</v>
      </c>
      <c r="AD2275" t="str">
        <f>IF(AB2275="",X2275,AB2275)</f>
        <v>sim</v>
      </c>
      <c r="AE2275" t="str">
        <f>IF(OR(Configuracao!B9="",Configuracao!B10=""),"aguardando limiar",IF(AND(K2275&gt;=Configuracao!B9,K2275/MAX(Reconciliacao!C2,1)&gt;=Configuracao!B10/100),"sim","não"))</f>
        <v>aguardando limiar</v>
      </c>
    </row>
    <row r="2276" spans="1:31" x14ac:dyDescent="0.25">
      <c r="A2276">
        <v>14180</v>
      </c>
      <c r="C2276" t="s">
        <v>1491</v>
      </c>
      <c r="D2276" t="s">
        <v>1492</v>
      </c>
      <c r="E2276" t="s">
        <v>1138</v>
      </c>
      <c r="F2276" t="s">
        <v>158</v>
      </c>
      <c r="G2276" t="s">
        <v>205</v>
      </c>
      <c r="H2276" t="s">
        <v>204</v>
      </c>
      <c r="I2276" t="s">
        <v>420</v>
      </c>
      <c r="J2276" t="s">
        <v>454</v>
      </c>
      <c r="K2276" s="4">
        <v>6769.52</v>
      </c>
      <c r="L2276" s="4">
        <v>6769.52</v>
      </c>
      <c r="M2276" t="s">
        <v>44</v>
      </c>
      <c r="N2276" t="s">
        <v>77</v>
      </c>
      <c r="O2276" t="s">
        <v>99</v>
      </c>
      <c r="P2276" t="s">
        <v>99</v>
      </c>
      <c r="Q2276" t="s">
        <v>159</v>
      </c>
      <c r="R2276" t="s">
        <v>206</v>
      </c>
      <c r="S2276" t="s">
        <v>161</v>
      </c>
      <c r="T2276" t="s">
        <v>162</v>
      </c>
      <c r="U2276" t="s">
        <v>163</v>
      </c>
      <c r="V2276" t="s">
        <v>164</v>
      </c>
      <c r="W2276" t="s">
        <v>116</v>
      </c>
      <c r="X2276" t="s">
        <v>44</v>
      </c>
      <c r="Y2276" t="s">
        <v>99</v>
      </c>
      <c r="Z2276" t="s">
        <v>421</v>
      </c>
      <c r="AC2276" t="str">
        <f>IF(AA2276="",M2276,AA2276)</f>
        <v>sim</v>
      </c>
      <c r="AD2276" t="str">
        <f>IF(AB2276="",X2276,AB2276)</f>
        <v>sim</v>
      </c>
      <c r="AE2276" t="str">
        <f>IF(OR(Configuracao!B9="",Configuracao!B10=""),"aguardando limiar",IF(AND(K2276&gt;=Configuracao!B9,K2276/MAX(Reconciliacao!C2,1)&gt;=Configuracao!B10/100),"sim","não"))</f>
        <v>aguardando limiar</v>
      </c>
    </row>
    <row r="2277" spans="1:31" x14ac:dyDescent="0.25">
      <c r="A2277">
        <v>15931</v>
      </c>
      <c r="C2277" t="s">
        <v>1491</v>
      </c>
      <c r="D2277" t="s">
        <v>1492</v>
      </c>
      <c r="E2277" t="s">
        <v>1138</v>
      </c>
      <c r="F2277" t="s">
        <v>158</v>
      </c>
      <c r="G2277" t="s">
        <v>205</v>
      </c>
      <c r="H2277" t="s">
        <v>204</v>
      </c>
      <c r="I2277" t="s">
        <v>454</v>
      </c>
      <c r="J2277" t="s">
        <v>461</v>
      </c>
      <c r="K2277" s="4">
        <v>6769.52</v>
      </c>
      <c r="L2277" s="4">
        <v>6769.52</v>
      </c>
      <c r="M2277" t="s">
        <v>44</v>
      </c>
      <c r="N2277" t="s">
        <v>77</v>
      </c>
      <c r="O2277" t="s">
        <v>99</v>
      </c>
      <c r="P2277" t="s">
        <v>99</v>
      </c>
      <c r="Q2277" t="s">
        <v>159</v>
      </c>
      <c r="R2277" t="s">
        <v>206</v>
      </c>
      <c r="S2277" t="s">
        <v>161</v>
      </c>
      <c r="T2277" t="s">
        <v>162</v>
      </c>
      <c r="U2277" t="s">
        <v>163</v>
      </c>
      <c r="V2277" t="s">
        <v>164</v>
      </c>
      <c r="W2277" t="s">
        <v>116</v>
      </c>
      <c r="X2277" t="s">
        <v>44</v>
      </c>
      <c r="Y2277" t="s">
        <v>99</v>
      </c>
      <c r="Z2277" t="s">
        <v>421</v>
      </c>
      <c r="AC2277" t="str">
        <f>IF(AA2277="",M2277,AA2277)</f>
        <v>sim</v>
      </c>
      <c r="AD2277" t="str">
        <f>IF(AB2277="",X2277,AB2277)</f>
        <v>sim</v>
      </c>
      <c r="AE2277" t="str">
        <f>IF(OR(Configuracao!B9="",Configuracao!B10=""),"aguardando limiar",IF(AND(K2277&gt;=Configuracao!B9,K2277/MAX(Reconciliacao!C2,1)&gt;=Configuracao!B10/100),"sim","não"))</f>
        <v>aguardando limiar</v>
      </c>
    </row>
    <row r="2278" spans="1:31" x14ac:dyDescent="0.25">
      <c r="A2278">
        <v>17261</v>
      </c>
      <c r="C2278" t="s">
        <v>1491</v>
      </c>
      <c r="D2278" t="s">
        <v>1492</v>
      </c>
      <c r="E2278" t="s">
        <v>1138</v>
      </c>
      <c r="F2278" t="s">
        <v>158</v>
      </c>
      <c r="G2278" t="s">
        <v>205</v>
      </c>
      <c r="H2278" t="s">
        <v>204</v>
      </c>
      <c r="I2278" t="s">
        <v>461</v>
      </c>
      <c r="J2278" t="s">
        <v>442</v>
      </c>
      <c r="K2278" s="4">
        <v>6769.52</v>
      </c>
      <c r="L2278" s="4">
        <v>6769.52</v>
      </c>
      <c r="M2278" t="s">
        <v>44</v>
      </c>
      <c r="N2278" t="s">
        <v>77</v>
      </c>
      <c r="O2278" t="s">
        <v>99</v>
      </c>
      <c r="P2278" t="s">
        <v>99</v>
      </c>
      <c r="Q2278" t="s">
        <v>159</v>
      </c>
      <c r="R2278" t="s">
        <v>206</v>
      </c>
      <c r="S2278" t="s">
        <v>161</v>
      </c>
      <c r="T2278" t="s">
        <v>162</v>
      </c>
      <c r="U2278" t="s">
        <v>163</v>
      </c>
      <c r="V2278" t="s">
        <v>164</v>
      </c>
      <c r="W2278" t="s">
        <v>116</v>
      </c>
      <c r="X2278" t="s">
        <v>44</v>
      </c>
      <c r="Y2278" t="s">
        <v>99</v>
      </c>
      <c r="Z2278" t="s">
        <v>421</v>
      </c>
      <c r="AC2278" t="str">
        <f>IF(AA2278="",M2278,AA2278)</f>
        <v>sim</v>
      </c>
      <c r="AD2278" t="str">
        <f>IF(AB2278="",X2278,AB2278)</f>
        <v>sim</v>
      </c>
      <c r="AE2278" t="str">
        <f>IF(OR(Configuracao!B9="",Configuracao!B10=""),"aguardando limiar",IF(AND(K2278&gt;=Configuracao!B9,K2278/MAX(Reconciliacao!C2,1)&gt;=Configuracao!B10/100),"sim","não"))</f>
        <v>aguardando limiar</v>
      </c>
    </row>
    <row r="2279" spans="1:31" x14ac:dyDescent="0.25">
      <c r="A2279">
        <v>17843</v>
      </c>
      <c r="C2279" t="s">
        <v>1491</v>
      </c>
      <c r="D2279" t="s">
        <v>1492</v>
      </c>
      <c r="E2279" t="s">
        <v>1138</v>
      </c>
      <c r="F2279" t="s">
        <v>158</v>
      </c>
      <c r="G2279" t="s">
        <v>205</v>
      </c>
      <c r="H2279" t="s">
        <v>204</v>
      </c>
      <c r="I2279" t="s">
        <v>442</v>
      </c>
      <c r="J2279" t="s">
        <v>439</v>
      </c>
      <c r="K2279" s="4">
        <v>6769.52</v>
      </c>
      <c r="L2279" s="4">
        <v>6769.52</v>
      </c>
      <c r="M2279" t="s">
        <v>44</v>
      </c>
      <c r="N2279" t="s">
        <v>77</v>
      </c>
      <c r="O2279" t="s">
        <v>99</v>
      </c>
      <c r="P2279" t="s">
        <v>99</v>
      </c>
      <c r="Q2279" t="s">
        <v>159</v>
      </c>
      <c r="R2279" t="s">
        <v>206</v>
      </c>
      <c r="S2279" t="s">
        <v>161</v>
      </c>
      <c r="T2279" t="s">
        <v>162</v>
      </c>
      <c r="U2279" t="s">
        <v>163</v>
      </c>
      <c r="V2279" t="s">
        <v>164</v>
      </c>
      <c r="W2279" t="s">
        <v>116</v>
      </c>
      <c r="X2279" t="s">
        <v>44</v>
      </c>
      <c r="Y2279" t="s">
        <v>99</v>
      </c>
      <c r="Z2279" t="s">
        <v>421</v>
      </c>
      <c r="AC2279" t="str">
        <f>IF(AA2279="",M2279,AA2279)</f>
        <v>sim</v>
      </c>
      <c r="AD2279" t="str">
        <f>IF(AB2279="",X2279,AB2279)</f>
        <v>sim</v>
      </c>
      <c r="AE2279" t="str">
        <f>IF(OR(Configuracao!B9="",Configuracao!B10=""),"aguardando limiar",IF(AND(K2279&gt;=Configuracao!B9,K2279/MAX(Reconciliacao!C2,1)&gt;=Configuracao!B10/100),"sim","não"))</f>
        <v>aguardando limiar</v>
      </c>
    </row>
    <row r="2280" spans="1:31" x14ac:dyDescent="0.25">
      <c r="A2280">
        <v>18765</v>
      </c>
      <c r="C2280" t="s">
        <v>1491</v>
      </c>
      <c r="D2280" t="s">
        <v>1492</v>
      </c>
      <c r="E2280" t="s">
        <v>1138</v>
      </c>
      <c r="F2280" t="s">
        <v>158</v>
      </c>
      <c r="G2280" t="s">
        <v>205</v>
      </c>
      <c r="H2280" t="s">
        <v>204</v>
      </c>
      <c r="I2280" t="s">
        <v>439</v>
      </c>
      <c r="J2280" t="s">
        <v>35</v>
      </c>
      <c r="K2280" s="4">
        <v>6769.52</v>
      </c>
      <c r="L2280" s="4">
        <v>6769.52</v>
      </c>
      <c r="M2280" t="s">
        <v>44</v>
      </c>
      <c r="N2280" t="s">
        <v>77</v>
      </c>
      <c r="O2280" t="s">
        <v>99</v>
      </c>
      <c r="P2280" t="s">
        <v>99</v>
      </c>
      <c r="Q2280" t="s">
        <v>159</v>
      </c>
      <c r="R2280" t="s">
        <v>206</v>
      </c>
      <c r="S2280" t="s">
        <v>161</v>
      </c>
      <c r="T2280" t="s">
        <v>162</v>
      </c>
      <c r="U2280" t="s">
        <v>163</v>
      </c>
      <c r="V2280" t="s">
        <v>164</v>
      </c>
      <c r="W2280" t="s">
        <v>116</v>
      </c>
      <c r="X2280" t="s">
        <v>44</v>
      </c>
      <c r="Y2280" t="s">
        <v>99</v>
      </c>
      <c r="Z2280" t="s">
        <v>421</v>
      </c>
      <c r="AC2280" t="str">
        <f>IF(AA2280="",M2280,AA2280)</f>
        <v>sim</v>
      </c>
      <c r="AD2280" t="str">
        <f>IF(AB2280="",X2280,AB2280)</f>
        <v>sim</v>
      </c>
      <c r="AE2280" t="str">
        <f>IF(OR(Configuracao!B9="",Configuracao!B10=""),"aguardando limiar",IF(AND(K2280&gt;=Configuracao!B9,K2280/MAX(Reconciliacao!C2,1)&gt;=Configuracao!B10/100),"sim","não"))</f>
        <v>aguardando limiar</v>
      </c>
    </row>
    <row r="2281" spans="1:31" x14ac:dyDescent="0.25">
      <c r="A2281">
        <v>17361</v>
      </c>
      <c r="D2281" t="s">
        <v>471</v>
      </c>
      <c r="E2281" t="s">
        <v>471</v>
      </c>
      <c r="F2281" t="s">
        <v>158</v>
      </c>
      <c r="G2281" t="s">
        <v>171</v>
      </c>
      <c r="H2281" t="s">
        <v>85</v>
      </c>
      <c r="I2281" t="s">
        <v>442</v>
      </c>
      <c r="J2281" t="s">
        <v>442</v>
      </c>
      <c r="K2281" s="4">
        <v>5000</v>
      </c>
      <c r="L2281" s="4">
        <v>5000</v>
      </c>
      <c r="M2281" t="s">
        <v>166</v>
      </c>
      <c r="N2281" t="s">
        <v>77</v>
      </c>
      <c r="O2281" t="s">
        <v>86</v>
      </c>
      <c r="P2281" t="s">
        <v>170</v>
      </c>
      <c r="Q2281" t="s">
        <v>86</v>
      </c>
      <c r="R2281" t="s">
        <v>86</v>
      </c>
      <c r="S2281" t="s">
        <v>167</v>
      </c>
      <c r="T2281" t="s">
        <v>167</v>
      </c>
      <c r="U2281" t="s">
        <v>168</v>
      </c>
      <c r="V2281" t="s">
        <v>169</v>
      </c>
      <c r="W2281" t="s">
        <v>77</v>
      </c>
      <c r="X2281" t="s">
        <v>44</v>
      </c>
      <c r="Y2281" t="s">
        <v>99</v>
      </c>
      <c r="Z2281" t="s">
        <v>421</v>
      </c>
      <c r="AC2281" t="str">
        <f>IF(AA2281="",M2281,AA2281)</f>
        <v>não</v>
      </c>
      <c r="AD2281" t="str">
        <f>IF(AB2281="",X2281,AB2281)</f>
        <v>sim</v>
      </c>
      <c r="AE2281" t="str">
        <f>IF(OR(Configuracao!B9="",Configuracao!B10=""),"aguardando limiar",IF(AND(K2281&gt;=Configuracao!B9,K2281/MAX(Reconciliacao!C2,1)&gt;=Configuracao!B10/100),"sim","não"))</f>
        <v>aguardando limiar</v>
      </c>
    </row>
    <row r="2282" spans="1:31" x14ac:dyDescent="0.25">
      <c r="A2282">
        <v>18853</v>
      </c>
      <c r="D2282" t="s">
        <v>474</v>
      </c>
      <c r="E2282" t="s">
        <v>474</v>
      </c>
      <c r="F2282" t="s">
        <v>158</v>
      </c>
      <c r="G2282" t="s">
        <v>171</v>
      </c>
      <c r="H2282" t="s">
        <v>85</v>
      </c>
      <c r="I2282" t="s">
        <v>32</v>
      </c>
      <c r="J2282" t="s">
        <v>32</v>
      </c>
      <c r="K2282" s="4">
        <v>5000</v>
      </c>
      <c r="L2282" s="4">
        <v>5000</v>
      </c>
      <c r="M2282" t="s">
        <v>166</v>
      </c>
      <c r="N2282" t="s">
        <v>77</v>
      </c>
      <c r="O2282" t="s">
        <v>86</v>
      </c>
      <c r="P2282" t="s">
        <v>170</v>
      </c>
      <c r="Q2282" t="s">
        <v>86</v>
      </c>
      <c r="R2282" t="s">
        <v>86</v>
      </c>
      <c r="S2282" t="s">
        <v>167</v>
      </c>
      <c r="T2282" t="s">
        <v>167</v>
      </c>
      <c r="U2282" t="s">
        <v>168</v>
      </c>
      <c r="V2282" t="s">
        <v>169</v>
      </c>
      <c r="W2282" t="s">
        <v>77</v>
      </c>
      <c r="X2282" t="s">
        <v>44</v>
      </c>
      <c r="Y2282" t="s">
        <v>99</v>
      </c>
      <c r="Z2282" t="s">
        <v>421</v>
      </c>
      <c r="AC2282" t="str">
        <f>IF(AA2282="",M2282,AA2282)</f>
        <v>não</v>
      </c>
      <c r="AD2282" t="str">
        <f>IF(AB2282="",X2282,AB2282)</f>
        <v>sim</v>
      </c>
      <c r="AE2282" t="str">
        <f>IF(OR(Configuracao!B9="",Configuracao!B10=""),"aguardando limiar",IF(AND(K2282&gt;=Configuracao!B9,K2282/MAX(Reconciliacao!C2,1)&gt;=Configuracao!B10/100),"sim","não"))</f>
        <v>aguardando limiar</v>
      </c>
    </row>
    <row r="2283" spans="1:31" x14ac:dyDescent="0.25">
      <c r="A2283">
        <v>11632</v>
      </c>
      <c r="D2283" t="s">
        <v>474</v>
      </c>
      <c r="E2283" t="s">
        <v>474</v>
      </c>
      <c r="F2283" t="s">
        <v>158</v>
      </c>
      <c r="G2283" t="s">
        <v>171</v>
      </c>
      <c r="H2283" t="s">
        <v>85</v>
      </c>
      <c r="I2283" t="s">
        <v>32</v>
      </c>
      <c r="J2283" t="s">
        <v>32</v>
      </c>
      <c r="K2283" s="4">
        <v>10000</v>
      </c>
      <c r="L2283" s="4">
        <v>10000</v>
      </c>
      <c r="M2283" t="s">
        <v>166</v>
      </c>
      <c r="N2283" t="s">
        <v>77</v>
      </c>
      <c r="O2283" t="s">
        <v>86</v>
      </c>
      <c r="P2283" t="s">
        <v>170</v>
      </c>
      <c r="Q2283" t="s">
        <v>86</v>
      </c>
      <c r="R2283" t="s">
        <v>86</v>
      </c>
      <c r="S2283" t="s">
        <v>167</v>
      </c>
      <c r="T2283" t="s">
        <v>167</v>
      </c>
      <c r="U2283" t="s">
        <v>168</v>
      </c>
      <c r="V2283" t="s">
        <v>169</v>
      </c>
      <c r="W2283" t="s">
        <v>77</v>
      </c>
      <c r="X2283" t="s">
        <v>44</v>
      </c>
      <c r="Y2283" t="s">
        <v>99</v>
      </c>
      <c r="Z2283" t="s">
        <v>421</v>
      </c>
      <c r="AC2283" t="str">
        <f>IF(AA2283="",M2283,AA2283)</f>
        <v>não</v>
      </c>
      <c r="AD2283" t="str">
        <f>IF(AB2283="",X2283,AB2283)</f>
        <v>sim</v>
      </c>
      <c r="AE2283" t="str">
        <f>IF(OR(Configuracao!B9="",Configuracao!B10=""),"aguardando limiar",IF(AND(K2283&gt;=Configuracao!B9,K2283/MAX(Reconciliacao!C2,1)&gt;=Configuracao!B10/100),"sim","não"))</f>
        <v>aguardando limiar</v>
      </c>
    </row>
    <row r="2284" spans="1:31" x14ac:dyDescent="0.25">
      <c r="A2284">
        <v>17062</v>
      </c>
      <c r="D2284" t="s">
        <v>474</v>
      </c>
      <c r="E2284" t="s">
        <v>474</v>
      </c>
      <c r="F2284" t="s">
        <v>158</v>
      </c>
      <c r="G2284" t="s">
        <v>171</v>
      </c>
      <c r="H2284" t="s">
        <v>85</v>
      </c>
      <c r="I2284" t="s">
        <v>461</v>
      </c>
      <c r="J2284" t="s">
        <v>461</v>
      </c>
      <c r="K2284" s="4">
        <v>10000</v>
      </c>
      <c r="L2284" s="4">
        <v>10000</v>
      </c>
      <c r="M2284" t="s">
        <v>166</v>
      </c>
      <c r="N2284" t="s">
        <v>77</v>
      </c>
      <c r="O2284" t="s">
        <v>86</v>
      </c>
      <c r="P2284" t="s">
        <v>170</v>
      </c>
      <c r="Q2284" t="s">
        <v>86</v>
      </c>
      <c r="R2284" t="s">
        <v>86</v>
      </c>
      <c r="S2284" t="s">
        <v>167</v>
      </c>
      <c r="T2284" t="s">
        <v>167</v>
      </c>
      <c r="U2284" t="s">
        <v>168</v>
      </c>
      <c r="V2284" t="s">
        <v>169</v>
      </c>
      <c r="W2284" t="s">
        <v>77</v>
      </c>
      <c r="X2284" t="s">
        <v>44</v>
      </c>
      <c r="Y2284" t="s">
        <v>99</v>
      </c>
      <c r="Z2284" t="s">
        <v>421</v>
      </c>
      <c r="AC2284" t="str">
        <f>IF(AA2284="",M2284,AA2284)</f>
        <v>não</v>
      </c>
      <c r="AD2284" t="str">
        <f>IF(AB2284="",X2284,AB2284)</f>
        <v>sim</v>
      </c>
      <c r="AE2284" t="str">
        <f>IF(OR(Configuracao!B9="",Configuracao!B10=""),"aguardando limiar",IF(AND(K2284&gt;=Configuracao!B9,K2284/MAX(Reconciliacao!C2,1)&gt;=Configuracao!B10/100),"sim","não"))</f>
        <v>aguardando limiar</v>
      </c>
    </row>
    <row r="2285" spans="1:31" x14ac:dyDescent="0.25">
      <c r="A2285">
        <v>17926</v>
      </c>
      <c r="D2285" t="s">
        <v>474</v>
      </c>
      <c r="E2285" t="s">
        <v>474</v>
      </c>
      <c r="F2285" t="s">
        <v>158</v>
      </c>
      <c r="G2285" t="s">
        <v>171</v>
      </c>
      <c r="H2285" t="s">
        <v>85</v>
      </c>
      <c r="I2285" t="s">
        <v>439</v>
      </c>
      <c r="J2285" t="s">
        <v>439</v>
      </c>
      <c r="K2285" s="4">
        <v>10000</v>
      </c>
      <c r="L2285" s="4">
        <v>10000</v>
      </c>
      <c r="M2285" t="s">
        <v>166</v>
      </c>
      <c r="N2285" t="s">
        <v>77</v>
      </c>
      <c r="O2285" t="s">
        <v>86</v>
      </c>
      <c r="P2285" t="s">
        <v>170</v>
      </c>
      <c r="Q2285" t="s">
        <v>86</v>
      </c>
      <c r="R2285" t="s">
        <v>86</v>
      </c>
      <c r="S2285" t="s">
        <v>167</v>
      </c>
      <c r="T2285" t="s">
        <v>167</v>
      </c>
      <c r="U2285" t="s">
        <v>168</v>
      </c>
      <c r="V2285" t="s">
        <v>169</v>
      </c>
      <c r="W2285" t="s">
        <v>77</v>
      </c>
      <c r="X2285" t="s">
        <v>44</v>
      </c>
      <c r="Y2285" t="s">
        <v>99</v>
      </c>
      <c r="Z2285" t="s">
        <v>421</v>
      </c>
      <c r="AC2285" t="str">
        <f>IF(AA2285="",M2285,AA2285)</f>
        <v>não</v>
      </c>
      <c r="AD2285" t="str">
        <f>IF(AB2285="",X2285,AB2285)</f>
        <v>sim</v>
      </c>
      <c r="AE2285" t="str">
        <f>IF(OR(Configuracao!B9="",Configuracao!B10=""),"aguardando limiar",IF(AND(K2285&gt;=Configuracao!B9,K2285/MAX(Reconciliacao!C2,1)&gt;=Configuracao!B10/100),"sim","não"))</f>
        <v>aguardando limiar</v>
      </c>
    </row>
    <row r="2286" spans="1:31" x14ac:dyDescent="0.25">
      <c r="A2286">
        <v>18838</v>
      </c>
      <c r="D2286" t="s">
        <v>474</v>
      </c>
      <c r="E2286" t="s">
        <v>474</v>
      </c>
      <c r="F2286" t="s">
        <v>158</v>
      </c>
      <c r="G2286" t="s">
        <v>171</v>
      </c>
      <c r="H2286" t="s">
        <v>85</v>
      </c>
      <c r="I2286" t="s">
        <v>35</v>
      </c>
      <c r="J2286" t="s">
        <v>35</v>
      </c>
      <c r="K2286" s="4">
        <v>10000</v>
      </c>
      <c r="L2286" s="4">
        <v>10000</v>
      </c>
      <c r="M2286" t="s">
        <v>166</v>
      </c>
      <c r="N2286" t="s">
        <v>77</v>
      </c>
      <c r="O2286" t="s">
        <v>86</v>
      </c>
      <c r="P2286" t="s">
        <v>170</v>
      </c>
      <c r="Q2286" t="s">
        <v>86</v>
      </c>
      <c r="R2286" t="s">
        <v>86</v>
      </c>
      <c r="S2286" t="s">
        <v>167</v>
      </c>
      <c r="T2286" t="s">
        <v>167</v>
      </c>
      <c r="U2286" t="s">
        <v>168</v>
      </c>
      <c r="V2286" t="s">
        <v>169</v>
      </c>
      <c r="W2286" t="s">
        <v>77</v>
      </c>
      <c r="X2286" t="s">
        <v>44</v>
      </c>
      <c r="Y2286" t="s">
        <v>99</v>
      </c>
      <c r="Z2286" t="s">
        <v>421</v>
      </c>
      <c r="AC2286" t="str">
        <f>IF(AA2286="",M2286,AA2286)</f>
        <v>não</v>
      </c>
      <c r="AD2286" t="str">
        <f>IF(AB2286="",X2286,AB2286)</f>
        <v>sim</v>
      </c>
      <c r="AE2286" t="str">
        <f>IF(OR(Configuracao!B9="",Configuracao!B10=""),"aguardando limiar",IF(AND(K2286&gt;=Configuracao!B9,K2286/MAX(Reconciliacao!C2,1)&gt;=Configuracao!B10/100),"sim","não"))</f>
        <v>aguardando limiar</v>
      </c>
    </row>
    <row r="2287" spans="1:31" x14ac:dyDescent="0.25">
      <c r="A2287">
        <v>18842</v>
      </c>
      <c r="D2287" t="s">
        <v>471</v>
      </c>
      <c r="E2287" t="s">
        <v>471</v>
      </c>
      <c r="F2287" t="s">
        <v>158</v>
      </c>
      <c r="G2287" t="s">
        <v>171</v>
      </c>
      <c r="H2287" t="s">
        <v>85</v>
      </c>
      <c r="I2287" t="s">
        <v>35</v>
      </c>
      <c r="J2287" t="s">
        <v>35</v>
      </c>
      <c r="K2287" s="4">
        <v>10000</v>
      </c>
      <c r="L2287" s="4">
        <v>10000</v>
      </c>
      <c r="M2287" t="s">
        <v>166</v>
      </c>
      <c r="N2287" t="s">
        <v>77</v>
      </c>
      <c r="O2287" t="s">
        <v>86</v>
      </c>
      <c r="P2287" t="s">
        <v>170</v>
      </c>
      <c r="Q2287" t="s">
        <v>86</v>
      </c>
      <c r="R2287" t="s">
        <v>86</v>
      </c>
      <c r="S2287" t="s">
        <v>167</v>
      </c>
      <c r="T2287" t="s">
        <v>167</v>
      </c>
      <c r="U2287" t="s">
        <v>168</v>
      </c>
      <c r="V2287" t="s">
        <v>169</v>
      </c>
      <c r="W2287" t="s">
        <v>77</v>
      </c>
      <c r="X2287" t="s">
        <v>44</v>
      </c>
      <c r="Y2287" t="s">
        <v>99</v>
      </c>
      <c r="Z2287" t="s">
        <v>421</v>
      </c>
      <c r="AC2287" t="str">
        <f>IF(AA2287="",M2287,AA2287)</f>
        <v>não</v>
      </c>
      <c r="AD2287" t="str">
        <f>IF(AB2287="",X2287,AB2287)</f>
        <v>sim</v>
      </c>
      <c r="AE2287" t="str">
        <f>IF(OR(Configuracao!B9="",Configuracao!B10=""),"aguardando limiar",IF(AND(K2287&gt;=Configuracao!B9,K2287/MAX(Reconciliacao!C2,1)&gt;=Configuracao!B10/100),"sim","não"))</f>
        <v>aguardando limiar</v>
      </c>
    </row>
    <row r="2288" spans="1:31" x14ac:dyDescent="0.25">
      <c r="A2288">
        <v>18855</v>
      </c>
      <c r="D2288" t="s">
        <v>474</v>
      </c>
      <c r="E2288" t="s">
        <v>474</v>
      </c>
      <c r="F2288" t="s">
        <v>158</v>
      </c>
      <c r="G2288" t="s">
        <v>171</v>
      </c>
      <c r="H2288" t="s">
        <v>85</v>
      </c>
      <c r="I2288" t="s">
        <v>424</v>
      </c>
      <c r="J2288" t="s">
        <v>424</v>
      </c>
      <c r="K2288" s="4">
        <v>10000</v>
      </c>
      <c r="L2288" s="4">
        <v>10000</v>
      </c>
      <c r="M2288" t="s">
        <v>166</v>
      </c>
      <c r="N2288" t="s">
        <v>77</v>
      </c>
      <c r="O2288" t="s">
        <v>86</v>
      </c>
      <c r="P2288" t="s">
        <v>170</v>
      </c>
      <c r="Q2288" t="s">
        <v>86</v>
      </c>
      <c r="R2288" t="s">
        <v>86</v>
      </c>
      <c r="S2288" t="s">
        <v>167</v>
      </c>
      <c r="T2288" t="s">
        <v>167</v>
      </c>
      <c r="U2288" t="s">
        <v>168</v>
      </c>
      <c r="V2288" t="s">
        <v>169</v>
      </c>
      <c r="W2288" t="s">
        <v>77</v>
      </c>
      <c r="X2288" t="s">
        <v>44</v>
      </c>
      <c r="Y2288" t="s">
        <v>99</v>
      </c>
      <c r="Z2288" t="s">
        <v>421</v>
      </c>
      <c r="AC2288" t="str">
        <f>IF(AA2288="",M2288,AA2288)</f>
        <v>não</v>
      </c>
      <c r="AD2288" t="str">
        <f>IF(AB2288="",X2288,AB2288)</f>
        <v>sim</v>
      </c>
      <c r="AE2288" t="str">
        <f>IF(OR(Configuracao!B9="",Configuracao!B10=""),"aguardando limiar",IF(AND(K2288&gt;=Configuracao!B9,K2288/MAX(Reconciliacao!C2,1)&gt;=Configuracao!B10/100),"sim","não"))</f>
        <v>aguardando limiar</v>
      </c>
    </row>
    <row r="2289" spans="1:31" x14ac:dyDescent="0.25">
      <c r="A2289">
        <v>18856</v>
      </c>
      <c r="D2289" t="s">
        <v>474</v>
      </c>
      <c r="E2289" t="s">
        <v>474</v>
      </c>
      <c r="F2289" t="s">
        <v>158</v>
      </c>
      <c r="G2289" t="s">
        <v>171</v>
      </c>
      <c r="H2289" t="s">
        <v>85</v>
      </c>
      <c r="I2289" t="s">
        <v>454</v>
      </c>
      <c r="J2289" t="s">
        <v>454</v>
      </c>
      <c r="K2289" s="4">
        <v>10000</v>
      </c>
      <c r="L2289" s="4">
        <v>10000</v>
      </c>
      <c r="M2289" t="s">
        <v>166</v>
      </c>
      <c r="N2289" t="s">
        <v>77</v>
      </c>
      <c r="O2289" t="s">
        <v>86</v>
      </c>
      <c r="P2289" t="s">
        <v>170</v>
      </c>
      <c r="Q2289" t="s">
        <v>86</v>
      </c>
      <c r="R2289" t="s">
        <v>86</v>
      </c>
      <c r="S2289" t="s">
        <v>167</v>
      </c>
      <c r="T2289" t="s">
        <v>167</v>
      </c>
      <c r="U2289" t="s">
        <v>168</v>
      </c>
      <c r="V2289" t="s">
        <v>169</v>
      </c>
      <c r="W2289" t="s">
        <v>77</v>
      </c>
      <c r="X2289" t="s">
        <v>44</v>
      </c>
      <c r="Y2289" t="s">
        <v>99</v>
      </c>
      <c r="Z2289" t="s">
        <v>421</v>
      </c>
      <c r="AC2289" t="str">
        <f>IF(AA2289="",M2289,AA2289)</f>
        <v>não</v>
      </c>
      <c r="AD2289" t="str">
        <f>IF(AB2289="",X2289,AB2289)</f>
        <v>sim</v>
      </c>
      <c r="AE2289" t="str">
        <f>IF(OR(Configuracao!B9="",Configuracao!B10=""),"aguardando limiar",IF(AND(K2289&gt;=Configuracao!B9,K2289/MAX(Reconciliacao!C2,1)&gt;=Configuracao!B10/100),"sim","não"))</f>
        <v>aguardando limiar</v>
      </c>
    </row>
    <row r="2290" spans="1:31" x14ac:dyDescent="0.25">
      <c r="A2290">
        <v>19049</v>
      </c>
      <c r="D2290" t="s">
        <v>474</v>
      </c>
      <c r="E2290" t="s">
        <v>474</v>
      </c>
      <c r="F2290" t="s">
        <v>158</v>
      </c>
      <c r="G2290" t="s">
        <v>171</v>
      </c>
      <c r="H2290" t="s">
        <v>85</v>
      </c>
      <c r="I2290" t="s">
        <v>32</v>
      </c>
      <c r="J2290" t="s">
        <v>32</v>
      </c>
      <c r="K2290" s="4">
        <v>10000</v>
      </c>
      <c r="L2290" s="4">
        <v>10000</v>
      </c>
      <c r="M2290" t="s">
        <v>166</v>
      </c>
      <c r="N2290" t="s">
        <v>77</v>
      </c>
      <c r="O2290" t="s">
        <v>86</v>
      </c>
      <c r="P2290" t="s">
        <v>170</v>
      </c>
      <c r="Q2290" t="s">
        <v>86</v>
      </c>
      <c r="R2290" t="s">
        <v>86</v>
      </c>
      <c r="S2290" t="s">
        <v>167</v>
      </c>
      <c r="T2290" t="s">
        <v>167</v>
      </c>
      <c r="U2290" t="s">
        <v>168</v>
      </c>
      <c r="V2290" t="s">
        <v>169</v>
      </c>
      <c r="W2290" t="s">
        <v>77</v>
      </c>
      <c r="X2290" t="s">
        <v>44</v>
      </c>
      <c r="Y2290" t="s">
        <v>99</v>
      </c>
      <c r="Z2290" t="s">
        <v>421</v>
      </c>
      <c r="AC2290" t="str">
        <f>IF(AA2290="",M2290,AA2290)</f>
        <v>não</v>
      </c>
      <c r="AD2290" t="str">
        <f>IF(AB2290="",X2290,AB2290)</f>
        <v>sim</v>
      </c>
      <c r="AE2290" t="str">
        <f>IF(OR(Configuracao!B9="",Configuracao!B10=""),"aguardando limiar",IF(AND(K2290&gt;=Configuracao!B9,K2290/MAX(Reconciliacao!C2,1)&gt;=Configuracao!B10/100),"sim","não"))</f>
        <v>aguardando limiar</v>
      </c>
    </row>
    <row r="2291" spans="1:31" x14ac:dyDescent="0.25">
      <c r="A2291">
        <v>11781</v>
      </c>
      <c r="D2291" t="s">
        <v>474</v>
      </c>
      <c r="E2291" t="s">
        <v>474</v>
      </c>
      <c r="F2291" t="s">
        <v>158</v>
      </c>
      <c r="G2291" t="s">
        <v>171</v>
      </c>
      <c r="H2291" t="s">
        <v>85</v>
      </c>
      <c r="I2291" t="s">
        <v>32</v>
      </c>
      <c r="J2291" t="s">
        <v>32</v>
      </c>
      <c r="K2291" s="4">
        <v>15000</v>
      </c>
      <c r="L2291" s="4">
        <v>15000</v>
      </c>
      <c r="M2291" t="s">
        <v>166</v>
      </c>
      <c r="N2291" t="s">
        <v>77</v>
      </c>
      <c r="O2291" t="s">
        <v>86</v>
      </c>
      <c r="P2291" t="s">
        <v>170</v>
      </c>
      <c r="Q2291" t="s">
        <v>86</v>
      </c>
      <c r="R2291" t="s">
        <v>86</v>
      </c>
      <c r="S2291" t="s">
        <v>167</v>
      </c>
      <c r="T2291" t="s">
        <v>167</v>
      </c>
      <c r="U2291" t="s">
        <v>168</v>
      </c>
      <c r="V2291" t="s">
        <v>169</v>
      </c>
      <c r="W2291" t="s">
        <v>77</v>
      </c>
      <c r="X2291" t="s">
        <v>44</v>
      </c>
      <c r="Y2291" t="s">
        <v>99</v>
      </c>
      <c r="Z2291" t="s">
        <v>421</v>
      </c>
      <c r="AC2291" t="str">
        <f>IF(AA2291="",M2291,AA2291)</f>
        <v>não</v>
      </c>
      <c r="AD2291" t="str">
        <f>IF(AB2291="",X2291,AB2291)</f>
        <v>sim</v>
      </c>
      <c r="AE2291" t="str">
        <f>IF(OR(Configuracao!B9="",Configuracao!B10=""),"aguardando limiar",IF(AND(K2291&gt;=Configuracao!B9,K2291/MAX(Reconciliacao!C2,1)&gt;=Configuracao!B10/100),"sim","não"))</f>
        <v>aguardando limiar</v>
      </c>
    </row>
    <row r="2292" spans="1:31" x14ac:dyDescent="0.25">
      <c r="A2292">
        <v>12204</v>
      </c>
      <c r="D2292" t="s">
        <v>471</v>
      </c>
      <c r="E2292" t="s">
        <v>471</v>
      </c>
      <c r="F2292" t="s">
        <v>158</v>
      </c>
      <c r="G2292" t="s">
        <v>171</v>
      </c>
      <c r="H2292" t="s">
        <v>85</v>
      </c>
      <c r="I2292" t="s">
        <v>424</v>
      </c>
      <c r="J2292" t="s">
        <v>424</v>
      </c>
      <c r="K2292" s="4">
        <v>15000</v>
      </c>
      <c r="L2292" s="4">
        <v>15000</v>
      </c>
      <c r="M2292" t="s">
        <v>166</v>
      </c>
      <c r="N2292" t="s">
        <v>77</v>
      </c>
      <c r="O2292" t="s">
        <v>86</v>
      </c>
      <c r="P2292" t="s">
        <v>170</v>
      </c>
      <c r="Q2292" t="s">
        <v>86</v>
      </c>
      <c r="R2292" t="s">
        <v>86</v>
      </c>
      <c r="S2292" t="s">
        <v>167</v>
      </c>
      <c r="T2292" t="s">
        <v>167</v>
      </c>
      <c r="U2292" t="s">
        <v>168</v>
      </c>
      <c r="V2292" t="s">
        <v>169</v>
      </c>
      <c r="W2292" t="s">
        <v>77</v>
      </c>
      <c r="X2292" t="s">
        <v>44</v>
      </c>
      <c r="Y2292" t="s">
        <v>99</v>
      </c>
      <c r="Z2292" t="s">
        <v>421</v>
      </c>
      <c r="AC2292" t="str">
        <f>IF(AA2292="",M2292,AA2292)</f>
        <v>não</v>
      </c>
      <c r="AD2292" t="str">
        <f>IF(AB2292="",X2292,AB2292)</f>
        <v>sim</v>
      </c>
      <c r="AE2292" t="str">
        <f>IF(OR(Configuracao!B9="",Configuracao!B10=""),"aguardando limiar",IF(AND(K2292&gt;=Configuracao!B9,K2292/MAX(Reconciliacao!C2,1)&gt;=Configuracao!B10/100),"sim","não"))</f>
        <v>aguardando limiar</v>
      </c>
    </row>
    <row r="2293" spans="1:31" x14ac:dyDescent="0.25">
      <c r="A2293">
        <v>17297</v>
      </c>
      <c r="D2293" t="s">
        <v>474</v>
      </c>
      <c r="E2293" t="s">
        <v>474</v>
      </c>
      <c r="F2293" t="s">
        <v>158</v>
      </c>
      <c r="G2293" t="s">
        <v>171</v>
      </c>
      <c r="H2293" t="s">
        <v>85</v>
      </c>
      <c r="I2293" t="s">
        <v>442</v>
      </c>
      <c r="J2293" t="s">
        <v>442</v>
      </c>
      <c r="K2293" s="4">
        <v>15000</v>
      </c>
      <c r="L2293" s="4">
        <v>15000</v>
      </c>
      <c r="M2293" t="s">
        <v>166</v>
      </c>
      <c r="N2293" t="s">
        <v>77</v>
      </c>
      <c r="O2293" t="s">
        <v>86</v>
      </c>
      <c r="P2293" t="s">
        <v>170</v>
      </c>
      <c r="Q2293" t="s">
        <v>86</v>
      </c>
      <c r="R2293" t="s">
        <v>86</v>
      </c>
      <c r="S2293" t="s">
        <v>167</v>
      </c>
      <c r="T2293" t="s">
        <v>167</v>
      </c>
      <c r="U2293" t="s">
        <v>168</v>
      </c>
      <c r="V2293" t="s">
        <v>169</v>
      </c>
      <c r="W2293" t="s">
        <v>77</v>
      </c>
      <c r="X2293" t="s">
        <v>44</v>
      </c>
      <c r="Y2293" t="s">
        <v>99</v>
      </c>
      <c r="Z2293" t="s">
        <v>421</v>
      </c>
      <c r="AC2293" t="str">
        <f>IF(AA2293="",M2293,AA2293)</f>
        <v>não</v>
      </c>
      <c r="AD2293" t="str">
        <f>IF(AB2293="",X2293,AB2293)</f>
        <v>sim</v>
      </c>
      <c r="AE2293" t="str">
        <f>IF(OR(Configuracao!B9="",Configuracao!B10=""),"aguardando limiar",IF(AND(K2293&gt;=Configuracao!B9,K2293/MAX(Reconciliacao!C2,1)&gt;=Configuracao!B10/100),"sim","não"))</f>
        <v>aguardando limiar</v>
      </c>
    </row>
    <row r="2294" spans="1:31" x14ac:dyDescent="0.25">
      <c r="A2294">
        <v>17927</v>
      </c>
      <c r="D2294" t="s">
        <v>471</v>
      </c>
      <c r="E2294" t="s">
        <v>471</v>
      </c>
      <c r="F2294" t="s">
        <v>158</v>
      </c>
      <c r="G2294" t="s">
        <v>171</v>
      </c>
      <c r="H2294" t="s">
        <v>85</v>
      </c>
      <c r="I2294" t="s">
        <v>439</v>
      </c>
      <c r="J2294" t="s">
        <v>439</v>
      </c>
      <c r="K2294" s="4">
        <v>15000</v>
      </c>
      <c r="L2294" s="4">
        <v>15000</v>
      </c>
      <c r="M2294" t="s">
        <v>166</v>
      </c>
      <c r="N2294" t="s">
        <v>77</v>
      </c>
      <c r="O2294" t="s">
        <v>86</v>
      </c>
      <c r="P2294" t="s">
        <v>170</v>
      </c>
      <c r="Q2294" t="s">
        <v>86</v>
      </c>
      <c r="R2294" t="s">
        <v>86</v>
      </c>
      <c r="S2294" t="s">
        <v>167</v>
      </c>
      <c r="T2294" t="s">
        <v>167</v>
      </c>
      <c r="U2294" t="s">
        <v>168</v>
      </c>
      <c r="V2294" t="s">
        <v>169</v>
      </c>
      <c r="W2294" t="s">
        <v>77</v>
      </c>
      <c r="X2294" t="s">
        <v>44</v>
      </c>
      <c r="Y2294" t="s">
        <v>99</v>
      </c>
      <c r="Z2294" t="s">
        <v>421</v>
      </c>
      <c r="AC2294" t="str">
        <f>IF(AA2294="",M2294,AA2294)</f>
        <v>não</v>
      </c>
      <c r="AD2294" t="str">
        <f>IF(AB2294="",X2294,AB2294)</f>
        <v>sim</v>
      </c>
      <c r="AE2294" t="str">
        <f>IF(OR(Configuracao!B9="",Configuracao!B10=""),"aguardando limiar",IF(AND(K2294&gt;=Configuracao!B9,K2294/MAX(Reconciliacao!C2,1)&gt;=Configuracao!B10/100),"sim","não"))</f>
        <v>aguardando limiar</v>
      </c>
    </row>
    <row r="2295" spans="1:31" x14ac:dyDescent="0.25">
      <c r="A2295">
        <v>18857</v>
      </c>
      <c r="D2295" t="s">
        <v>471</v>
      </c>
      <c r="E2295" t="s">
        <v>471</v>
      </c>
      <c r="F2295" t="s">
        <v>158</v>
      </c>
      <c r="G2295" t="s">
        <v>171</v>
      </c>
      <c r="H2295" t="s">
        <v>85</v>
      </c>
      <c r="I2295" t="s">
        <v>454</v>
      </c>
      <c r="J2295" t="s">
        <v>454</v>
      </c>
      <c r="K2295" s="4">
        <v>15000</v>
      </c>
      <c r="L2295" s="4">
        <v>15000</v>
      </c>
      <c r="M2295" t="s">
        <v>166</v>
      </c>
      <c r="N2295" t="s">
        <v>77</v>
      </c>
      <c r="O2295" t="s">
        <v>86</v>
      </c>
      <c r="P2295" t="s">
        <v>170</v>
      </c>
      <c r="Q2295" t="s">
        <v>86</v>
      </c>
      <c r="R2295" t="s">
        <v>86</v>
      </c>
      <c r="S2295" t="s">
        <v>167</v>
      </c>
      <c r="T2295" t="s">
        <v>167</v>
      </c>
      <c r="U2295" t="s">
        <v>168</v>
      </c>
      <c r="V2295" t="s">
        <v>169</v>
      </c>
      <c r="W2295" t="s">
        <v>77</v>
      </c>
      <c r="X2295" t="s">
        <v>44</v>
      </c>
      <c r="Y2295" t="s">
        <v>99</v>
      </c>
      <c r="Z2295" t="s">
        <v>421</v>
      </c>
      <c r="AC2295" t="str">
        <f>IF(AA2295="",M2295,AA2295)</f>
        <v>não</v>
      </c>
      <c r="AD2295" t="str">
        <f>IF(AB2295="",X2295,AB2295)</f>
        <v>sim</v>
      </c>
      <c r="AE2295" t="str">
        <f>IF(OR(Configuracao!B9="",Configuracao!B10=""),"aguardando limiar",IF(AND(K2295&gt;=Configuracao!B9,K2295/MAX(Reconciliacao!C2,1)&gt;=Configuracao!B10/100),"sim","não"))</f>
        <v>aguardando limiar</v>
      </c>
    </row>
    <row r="2296" spans="1:31" x14ac:dyDescent="0.25">
      <c r="A2296">
        <v>11638</v>
      </c>
      <c r="D2296" t="s">
        <v>471</v>
      </c>
      <c r="E2296" t="s">
        <v>471</v>
      </c>
      <c r="F2296" t="s">
        <v>158</v>
      </c>
      <c r="G2296" t="s">
        <v>171</v>
      </c>
      <c r="H2296" t="s">
        <v>85</v>
      </c>
      <c r="I2296" t="s">
        <v>32</v>
      </c>
      <c r="J2296" t="s">
        <v>32</v>
      </c>
      <c r="K2296" s="4">
        <v>20000</v>
      </c>
      <c r="L2296" s="4">
        <v>20000</v>
      </c>
      <c r="M2296" t="s">
        <v>166</v>
      </c>
      <c r="N2296" t="s">
        <v>77</v>
      </c>
      <c r="O2296" t="s">
        <v>86</v>
      </c>
      <c r="P2296" t="s">
        <v>170</v>
      </c>
      <c r="Q2296" t="s">
        <v>86</v>
      </c>
      <c r="R2296" t="s">
        <v>86</v>
      </c>
      <c r="S2296" t="s">
        <v>167</v>
      </c>
      <c r="T2296" t="s">
        <v>167</v>
      </c>
      <c r="U2296" t="s">
        <v>168</v>
      </c>
      <c r="V2296" t="s">
        <v>169</v>
      </c>
      <c r="W2296" t="s">
        <v>77</v>
      </c>
      <c r="X2296" t="s">
        <v>44</v>
      </c>
      <c r="Y2296" t="s">
        <v>99</v>
      </c>
      <c r="Z2296" t="s">
        <v>421</v>
      </c>
      <c r="AC2296" t="str">
        <f>IF(AA2296="",M2296,AA2296)</f>
        <v>não</v>
      </c>
      <c r="AD2296" t="str">
        <f>IF(AB2296="",X2296,AB2296)</f>
        <v>sim</v>
      </c>
      <c r="AE2296" t="str">
        <f>IF(OR(Configuracao!B9="",Configuracao!B10=""),"aguardando limiar",IF(AND(K2296&gt;=Configuracao!B9,K2296/MAX(Reconciliacao!C2,1)&gt;=Configuracao!B10/100),"sim","não"))</f>
        <v>aguardando limiar</v>
      </c>
    </row>
    <row r="2297" spans="1:31" x14ac:dyDescent="0.25">
      <c r="A2297">
        <v>11786</v>
      </c>
      <c r="D2297" t="s">
        <v>474</v>
      </c>
      <c r="E2297" t="s">
        <v>474</v>
      </c>
      <c r="F2297" t="s">
        <v>158</v>
      </c>
      <c r="G2297" t="s">
        <v>171</v>
      </c>
      <c r="H2297" t="s">
        <v>85</v>
      </c>
      <c r="I2297" t="s">
        <v>32</v>
      </c>
      <c r="J2297" t="s">
        <v>32</v>
      </c>
      <c r="K2297" s="4">
        <v>20000</v>
      </c>
      <c r="L2297" s="4">
        <v>20000</v>
      </c>
      <c r="M2297" t="s">
        <v>166</v>
      </c>
      <c r="N2297" t="s">
        <v>77</v>
      </c>
      <c r="O2297" t="s">
        <v>86</v>
      </c>
      <c r="P2297" t="s">
        <v>170</v>
      </c>
      <c r="Q2297" t="s">
        <v>86</v>
      </c>
      <c r="R2297" t="s">
        <v>86</v>
      </c>
      <c r="S2297" t="s">
        <v>167</v>
      </c>
      <c r="T2297" t="s">
        <v>167</v>
      </c>
      <c r="U2297" t="s">
        <v>168</v>
      </c>
      <c r="V2297" t="s">
        <v>169</v>
      </c>
      <c r="W2297" t="s">
        <v>77</v>
      </c>
      <c r="X2297" t="s">
        <v>44</v>
      </c>
      <c r="Y2297" t="s">
        <v>99</v>
      </c>
      <c r="Z2297" t="s">
        <v>421</v>
      </c>
      <c r="AC2297" t="str">
        <f>IF(AA2297="",M2297,AA2297)</f>
        <v>não</v>
      </c>
      <c r="AD2297" t="str">
        <f>IF(AB2297="",X2297,AB2297)</f>
        <v>sim</v>
      </c>
      <c r="AE2297" t="str">
        <f>IF(OR(Configuracao!B9="",Configuracao!B10=""),"aguardando limiar",IF(AND(K2297&gt;=Configuracao!B9,K2297/MAX(Reconciliacao!C2,1)&gt;=Configuracao!B10/100),"sim","não"))</f>
        <v>aguardando limiar</v>
      </c>
    </row>
    <row r="2298" spans="1:31" x14ac:dyDescent="0.25">
      <c r="A2298">
        <v>12692</v>
      </c>
      <c r="D2298" t="s">
        <v>474</v>
      </c>
      <c r="E2298" t="s">
        <v>474</v>
      </c>
      <c r="F2298" t="s">
        <v>158</v>
      </c>
      <c r="G2298" t="s">
        <v>171</v>
      </c>
      <c r="H2298" t="s">
        <v>85</v>
      </c>
      <c r="I2298" t="s">
        <v>420</v>
      </c>
      <c r="J2298" t="s">
        <v>420</v>
      </c>
      <c r="K2298" s="4">
        <v>20000</v>
      </c>
      <c r="L2298" s="4">
        <v>20000</v>
      </c>
      <c r="M2298" t="s">
        <v>166</v>
      </c>
      <c r="N2298" t="s">
        <v>77</v>
      </c>
      <c r="O2298" t="s">
        <v>86</v>
      </c>
      <c r="P2298" t="s">
        <v>170</v>
      </c>
      <c r="Q2298" t="s">
        <v>86</v>
      </c>
      <c r="R2298" t="s">
        <v>86</v>
      </c>
      <c r="S2298" t="s">
        <v>167</v>
      </c>
      <c r="T2298" t="s">
        <v>167</v>
      </c>
      <c r="U2298" t="s">
        <v>168</v>
      </c>
      <c r="V2298" t="s">
        <v>169</v>
      </c>
      <c r="W2298" t="s">
        <v>77</v>
      </c>
      <c r="X2298" t="s">
        <v>44</v>
      </c>
      <c r="Y2298" t="s">
        <v>99</v>
      </c>
      <c r="Z2298" t="s">
        <v>421</v>
      </c>
      <c r="AC2298" t="str">
        <f>IF(AA2298="",M2298,AA2298)</f>
        <v>não</v>
      </c>
      <c r="AD2298" t="str">
        <f>IF(AB2298="",X2298,AB2298)</f>
        <v>sim</v>
      </c>
      <c r="AE2298" t="str">
        <f>IF(OR(Configuracao!B9="",Configuracao!B10=""),"aguardando limiar",IF(AND(K2298&gt;=Configuracao!B9,K2298/MAX(Reconciliacao!C2,1)&gt;=Configuracao!B10/100),"sim","não"))</f>
        <v>aguardando limiar</v>
      </c>
    </row>
    <row r="2299" spans="1:31" x14ac:dyDescent="0.25">
      <c r="A2299">
        <v>13034</v>
      </c>
      <c r="D2299" t="s">
        <v>471</v>
      </c>
      <c r="E2299" t="s">
        <v>471</v>
      </c>
      <c r="F2299" t="s">
        <v>158</v>
      </c>
      <c r="G2299" t="s">
        <v>171</v>
      </c>
      <c r="H2299" t="s">
        <v>85</v>
      </c>
      <c r="I2299" t="s">
        <v>424</v>
      </c>
      <c r="J2299" t="s">
        <v>424</v>
      </c>
      <c r="K2299" s="4">
        <v>20000</v>
      </c>
      <c r="L2299" s="4">
        <v>20000</v>
      </c>
      <c r="M2299" t="s">
        <v>166</v>
      </c>
      <c r="N2299" t="s">
        <v>77</v>
      </c>
      <c r="O2299" t="s">
        <v>86</v>
      </c>
      <c r="P2299" t="s">
        <v>170</v>
      </c>
      <c r="Q2299" t="s">
        <v>86</v>
      </c>
      <c r="R2299" t="s">
        <v>86</v>
      </c>
      <c r="S2299" t="s">
        <v>167</v>
      </c>
      <c r="T2299" t="s">
        <v>167</v>
      </c>
      <c r="U2299" t="s">
        <v>168</v>
      </c>
      <c r="V2299" t="s">
        <v>169</v>
      </c>
      <c r="W2299" t="s">
        <v>77</v>
      </c>
      <c r="X2299" t="s">
        <v>44</v>
      </c>
      <c r="Y2299" t="s">
        <v>99</v>
      </c>
      <c r="Z2299" t="s">
        <v>421</v>
      </c>
      <c r="AC2299" t="str">
        <f>IF(AA2299="",M2299,AA2299)</f>
        <v>não</v>
      </c>
      <c r="AD2299" t="str">
        <f>IF(AB2299="",X2299,AB2299)</f>
        <v>sim</v>
      </c>
      <c r="AE2299" t="str">
        <f>IF(OR(Configuracao!B9="",Configuracao!B10=""),"aguardando limiar",IF(AND(K2299&gt;=Configuracao!B9,K2299/MAX(Reconciliacao!C2,1)&gt;=Configuracao!B10/100),"sim","não"))</f>
        <v>aguardando limiar</v>
      </c>
    </row>
    <row r="2300" spans="1:31" x14ac:dyDescent="0.25">
      <c r="A2300">
        <v>15784</v>
      </c>
      <c r="D2300" t="s">
        <v>471</v>
      </c>
      <c r="E2300" t="s">
        <v>471</v>
      </c>
      <c r="F2300" t="s">
        <v>158</v>
      </c>
      <c r="G2300" t="s">
        <v>171</v>
      </c>
      <c r="H2300" t="s">
        <v>85</v>
      </c>
      <c r="I2300" t="s">
        <v>454</v>
      </c>
      <c r="J2300" t="s">
        <v>454</v>
      </c>
      <c r="K2300" s="4">
        <v>20000</v>
      </c>
      <c r="L2300" s="4">
        <v>20000</v>
      </c>
      <c r="M2300" t="s">
        <v>166</v>
      </c>
      <c r="N2300" t="s">
        <v>77</v>
      </c>
      <c r="O2300" t="s">
        <v>86</v>
      </c>
      <c r="P2300" t="s">
        <v>170</v>
      </c>
      <c r="Q2300" t="s">
        <v>86</v>
      </c>
      <c r="R2300" t="s">
        <v>86</v>
      </c>
      <c r="S2300" t="s">
        <v>167</v>
      </c>
      <c r="T2300" t="s">
        <v>167</v>
      </c>
      <c r="U2300" t="s">
        <v>168</v>
      </c>
      <c r="V2300" t="s">
        <v>169</v>
      </c>
      <c r="W2300" t="s">
        <v>77</v>
      </c>
      <c r="X2300" t="s">
        <v>44</v>
      </c>
      <c r="Y2300" t="s">
        <v>99</v>
      </c>
      <c r="Z2300" t="s">
        <v>421</v>
      </c>
      <c r="AC2300" t="str">
        <f>IF(AA2300="",M2300,AA2300)</f>
        <v>não</v>
      </c>
      <c r="AD2300" t="str">
        <f>IF(AB2300="",X2300,AB2300)</f>
        <v>sim</v>
      </c>
      <c r="AE2300" t="str">
        <f>IF(OR(Configuracao!B9="",Configuracao!B10=""),"aguardando limiar",IF(AND(K2300&gt;=Configuracao!B9,K2300/MAX(Reconciliacao!C2,1)&gt;=Configuracao!B10/100),"sim","não"))</f>
        <v>aguardando limiar</v>
      </c>
    </row>
    <row r="2301" spans="1:31" x14ac:dyDescent="0.25">
      <c r="A2301">
        <v>17156</v>
      </c>
      <c r="D2301" t="s">
        <v>474</v>
      </c>
      <c r="E2301" t="s">
        <v>474</v>
      </c>
      <c r="F2301" t="s">
        <v>158</v>
      </c>
      <c r="G2301" t="s">
        <v>171</v>
      </c>
      <c r="H2301" t="s">
        <v>85</v>
      </c>
      <c r="I2301" t="s">
        <v>442</v>
      </c>
      <c r="J2301" t="s">
        <v>442</v>
      </c>
      <c r="K2301" s="4">
        <v>20000</v>
      </c>
      <c r="L2301" s="4">
        <v>20000</v>
      </c>
      <c r="M2301" t="s">
        <v>166</v>
      </c>
      <c r="N2301" t="s">
        <v>77</v>
      </c>
      <c r="O2301" t="s">
        <v>86</v>
      </c>
      <c r="P2301" t="s">
        <v>170</v>
      </c>
      <c r="Q2301" t="s">
        <v>86</v>
      </c>
      <c r="R2301" t="s">
        <v>86</v>
      </c>
      <c r="S2301" t="s">
        <v>167</v>
      </c>
      <c r="T2301" t="s">
        <v>167</v>
      </c>
      <c r="U2301" t="s">
        <v>168</v>
      </c>
      <c r="V2301" t="s">
        <v>169</v>
      </c>
      <c r="W2301" t="s">
        <v>77</v>
      </c>
      <c r="X2301" t="s">
        <v>44</v>
      </c>
      <c r="Y2301" t="s">
        <v>99</v>
      </c>
      <c r="Z2301" t="s">
        <v>421</v>
      </c>
      <c r="AC2301" t="str">
        <f>IF(AA2301="",M2301,AA2301)</f>
        <v>não</v>
      </c>
      <c r="AD2301" t="str">
        <f>IF(AB2301="",X2301,AB2301)</f>
        <v>sim</v>
      </c>
      <c r="AE2301" t="str">
        <f>IF(OR(Configuracao!B9="",Configuracao!B10=""),"aguardando limiar",IF(AND(K2301&gt;=Configuracao!B9,K2301/MAX(Reconciliacao!C2,1)&gt;=Configuracao!B10/100),"sim","não"))</f>
        <v>aguardando limiar</v>
      </c>
    </row>
    <row r="2302" spans="1:31" x14ac:dyDescent="0.25">
      <c r="A2302">
        <v>11982</v>
      </c>
      <c r="D2302" t="s">
        <v>471</v>
      </c>
      <c r="E2302" t="s">
        <v>471</v>
      </c>
      <c r="F2302" t="s">
        <v>158</v>
      </c>
      <c r="G2302" t="s">
        <v>171</v>
      </c>
      <c r="H2302" t="s">
        <v>85</v>
      </c>
      <c r="I2302" t="s">
        <v>32</v>
      </c>
      <c r="J2302" t="s">
        <v>32</v>
      </c>
      <c r="K2302" s="4">
        <v>22000</v>
      </c>
      <c r="L2302" s="4">
        <v>22000</v>
      </c>
      <c r="M2302" t="s">
        <v>166</v>
      </c>
      <c r="N2302" t="s">
        <v>77</v>
      </c>
      <c r="O2302" t="s">
        <v>86</v>
      </c>
      <c r="P2302" t="s">
        <v>170</v>
      </c>
      <c r="Q2302" t="s">
        <v>86</v>
      </c>
      <c r="R2302" t="s">
        <v>86</v>
      </c>
      <c r="S2302" t="s">
        <v>167</v>
      </c>
      <c r="T2302" t="s">
        <v>167</v>
      </c>
      <c r="U2302" t="s">
        <v>168</v>
      </c>
      <c r="V2302" t="s">
        <v>169</v>
      </c>
      <c r="W2302" t="s">
        <v>77</v>
      </c>
      <c r="X2302" t="s">
        <v>44</v>
      </c>
      <c r="Y2302" t="s">
        <v>99</v>
      </c>
      <c r="Z2302" t="s">
        <v>421</v>
      </c>
      <c r="AC2302" t="str">
        <f>IF(AA2302="",M2302,AA2302)</f>
        <v>não</v>
      </c>
      <c r="AD2302" t="str">
        <f>IF(AB2302="",X2302,AB2302)</f>
        <v>sim</v>
      </c>
      <c r="AE2302" t="str">
        <f>IF(OR(Configuracao!B9="",Configuracao!B10=""),"aguardando limiar",IF(AND(K2302&gt;=Configuracao!B9,K2302/MAX(Reconciliacao!C2,1)&gt;=Configuracao!B10/100),"sim","não"))</f>
        <v>aguardando limiar</v>
      </c>
    </row>
    <row r="2303" spans="1:31" x14ac:dyDescent="0.25">
      <c r="A2303">
        <v>12234</v>
      </c>
      <c r="D2303" t="s">
        <v>471</v>
      </c>
      <c r="E2303" t="s">
        <v>471</v>
      </c>
      <c r="F2303" t="s">
        <v>158</v>
      </c>
      <c r="G2303" t="s">
        <v>171</v>
      </c>
      <c r="H2303" t="s">
        <v>85</v>
      </c>
      <c r="I2303" t="s">
        <v>424</v>
      </c>
      <c r="J2303" t="s">
        <v>424</v>
      </c>
      <c r="K2303" s="4">
        <v>25000</v>
      </c>
      <c r="L2303" s="4">
        <v>25000</v>
      </c>
      <c r="M2303" t="s">
        <v>166</v>
      </c>
      <c r="N2303" t="s">
        <v>77</v>
      </c>
      <c r="O2303" t="s">
        <v>86</v>
      </c>
      <c r="P2303" t="s">
        <v>170</v>
      </c>
      <c r="Q2303" t="s">
        <v>86</v>
      </c>
      <c r="R2303" t="s">
        <v>86</v>
      </c>
      <c r="S2303" t="s">
        <v>167</v>
      </c>
      <c r="T2303" t="s">
        <v>167</v>
      </c>
      <c r="U2303" t="s">
        <v>168</v>
      </c>
      <c r="V2303" t="s">
        <v>169</v>
      </c>
      <c r="W2303" t="s">
        <v>77</v>
      </c>
      <c r="X2303" t="s">
        <v>44</v>
      </c>
      <c r="Y2303" t="s">
        <v>99</v>
      </c>
      <c r="Z2303" t="s">
        <v>421</v>
      </c>
      <c r="AC2303" t="str">
        <f>IF(AA2303="",M2303,AA2303)</f>
        <v>não</v>
      </c>
      <c r="AD2303" t="str">
        <f>IF(AB2303="",X2303,AB2303)</f>
        <v>sim</v>
      </c>
      <c r="AE2303" t="str">
        <f>IF(OR(Configuracao!B9="",Configuracao!B10=""),"aguardando limiar",IF(AND(K2303&gt;=Configuracao!B9,K2303/MAX(Reconciliacao!C2,1)&gt;=Configuracao!B10/100),"sim","não"))</f>
        <v>aguardando limiar</v>
      </c>
    </row>
    <row r="2304" spans="1:31" x14ac:dyDescent="0.25">
      <c r="A2304">
        <v>12712</v>
      </c>
      <c r="D2304" t="s">
        <v>471</v>
      </c>
      <c r="E2304" t="s">
        <v>471</v>
      </c>
      <c r="F2304" t="s">
        <v>158</v>
      </c>
      <c r="G2304" t="s">
        <v>171</v>
      </c>
      <c r="H2304" t="s">
        <v>85</v>
      </c>
      <c r="I2304" t="s">
        <v>420</v>
      </c>
      <c r="J2304" t="s">
        <v>420</v>
      </c>
      <c r="K2304" s="4">
        <v>25000</v>
      </c>
      <c r="L2304" s="4">
        <v>25000</v>
      </c>
      <c r="M2304" t="s">
        <v>166</v>
      </c>
      <c r="N2304" t="s">
        <v>77</v>
      </c>
      <c r="O2304" t="s">
        <v>86</v>
      </c>
      <c r="P2304" t="s">
        <v>170</v>
      </c>
      <c r="Q2304" t="s">
        <v>86</v>
      </c>
      <c r="R2304" t="s">
        <v>86</v>
      </c>
      <c r="S2304" t="s">
        <v>167</v>
      </c>
      <c r="T2304" t="s">
        <v>167</v>
      </c>
      <c r="U2304" t="s">
        <v>168</v>
      </c>
      <c r="V2304" t="s">
        <v>169</v>
      </c>
      <c r="W2304" t="s">
        <v>77</v>
      </c>
      <c r="X2304" t="s">
        <v>44</v>
      </c>
      <c r="Y2304" t="s">
        <v>99</v>
      </c>
      <c r="Z2304" t="s">
        <v>421</v>
      </c>
      <c r="AC2304" t="str">
        <f>IF(AA2304="",M2304,AA2304)</f>
        <v>não</v>
      </c>
      <c r="AD2304" t="str">
        <f>IF(AB2304="",X2304,AB2304)</f>
        <v>sim</v>
      </c>
      <c r="AE2304" t="str">
        <f>IF(OR(Configuracao!B9="",Configuracao!B10=""),"aguardando limiar",IF(AND(K2304&gt;=Configuracao!B9,K2304/MAX(Reconciliacao!C2,1)&gt;=Configuracao!B10/100),"sim","não"))</f>
        <v>aguardando limiar</v>
      </c>
    </row>
    <row r="2305" spans="1:31" x14ac:dyDescent="0.25">
      <c r="A2305">
        <v>14877</v>
      </c>
      <c r="D2305" t="s">
        <v>471</v>
      </c>
      <c r="E2305" t="s">
        <v>471</v>
      </c>
      <c r="F2305" t="s">
        <v>158</v>
      </c>
      <c r="G2305" t="s">
        <v>171</v>
      </c>
      <c r="H2305" t="s">
        <v>85</v>
      </c>
      <c r="I2305" t="s">
        <v>454</v>
      </c>
      <c r="J2305" t="s">
        <v>454</v>
      </c>
      <c r="K2305" s="4">
        <v>25000</v>
      </c>
      <c r="L2305" s="4">
        <v>25000</v>
      </c>
      <c r="M2305" t="s">
        <v>166</v>
      </c>
      <c r="N2305" t="s">
        <v>77</v>
      </c>
      <c r="O2305" t="s">
        <v>86</v>
      </c>
      <c r="P2305" t="s">
        <v>170</v>
      </c>
      <c r="Q2305" t="s">
        <v>86</v>
      </c>
      <c r="R2305" t="s">
        <v>86</v>
      </c>
      <c r="S2305" t="s">
        <v>167</v>
      </c>
      <c r="T2305" t="s">
        <v>167</v>
      </c>
      <c r="U2305" t="s">
        <v>168</v>
      </c>
      <c r="V2305" t="s">
        <v>169</v>
      </c>
      <c r="W2305" t="s">
        <v>77</v>
      </c>
      <c r="X2305" t="s">
        <v>44</v>
      </c>
      <c r="Y2305" t="s">
        <v>99</v>
      </c>
      <c r="Z2305" t="s">
        <v>421</v>
      </c>
      <c r="AC2305" t="str">
        <f>IF(AA2305="",M2305,AA2305)</f>
        <v>não</v>
      </c>
      <c r="AD2305" t="str">
        <f>IF(AB2305="",X2305,AB2305)</f>
        <v>sim</v>
      </c>
      <c r="AE2305" t="str">
        <f>IF(OR(Configuracao!B9="",Configuracao!B10=""),"aguardando limiar",IF(AND(K2305&gt;=Configuracao!B9,K2305/MAX(Reconciliacao!C2,1)&gt;=Configuracao!B10/100),"sim","não"))</f>
        <v>aguardando limiar</v>
      </c>
    </row>
    <row r="2306" spans="1:31" x14ac:dyDescent="0.25">
      <c r="A2306">
        <v>17048</v>
      </c>
      <c r="D2306" t="s">
        <v>474</v>
      </c>
      <c r="E2306" t="s">
        <v>474</v>
      </c>
      <c r="F2306" t="s">
        <v>158</v>
      </c>
      <c r="G2306" t="s">
        <v>171</v>
      </c>
      <c r="H2306" t="s">
        <v>85</v>
      </c>
      <c r="I2306" t="s">
        <v>442</v>
      </c>
      <c r="J2306" t="s">
        <v>442</v>
      </c>
      <c r="K2306" s="4">
        <v>25000</v>
      </c>
      <c r="L2306" s="4">
        <v>25000</v>
      </c>
      <c r="M2306" t="s">
        <v>166</v>
      </c>
      <c r="N2306" t="s">
        <v>77</v>
      </c>
      <c r="O2306" t="s">
        <v>86</v>
      </c>
      <c r="P2306" t="s">
        <v>170</v>
      </c>
      <c r="Q2306" t="s">
        <v>86</v>
      </c>
      <c r="R2306" t="s">
        <v>86</v>
      </c>
      <c r="S2306" t="s">
        <v>167</v>
      </c>
      <c r="T2306" t="s">
        <v>167</v>
      </c>
      <c r="U2306" t="s">
        <v>168</v>
      </c>
      <c r="V2306" t="s">
        <v>169</v>
      </c>
      <c r="W2306" t="s">
        <v>77</v>
      </c>
      <c r="X2306" t="s">
        <v>44</v>
      </c>
      <c r="Y2306" t="s">
        <v>99</v>
      </c>
      <c r="Z2306" t="s">
        <v>421</v>
      </c>
      <c r="AC2306" t="str">
        <f>IF(AA2306="",M2306,AA2306)</f>
        <v>não</v>
      </c>
      <c r="AD2306" t="str">
        <f>IF(AB2306="",X2306,AB2306)</f>
        <v>sim</v>
      </c>
      <c r="AE2306" t="str">
        <f>IF(OR(Configuracao!B9="",Configuracao!B10=""),"aguardando limiar",IF(AND(K2306&gt;=Configuracao!B9,K2306/MAX(Reconciliacao!C2,1)&gt;=Configuracao!B10/100),"sim","não"))</f>
        <v>aguardando limiar</v>
      </c>
    </row>
    <row r="2307" spans="1:31" x14ac:dyDescent="0.25">
      <c r="A2307">
        <v>17055</v>
      </c>
      <c r="D2307" t="s">
        <v>471</v>
      </c>
      <c r="E2307" t="s">
        <v>471</v>
      </c>
      <c r="F2307" t="s">
        <v>158</v>
      </c>
      <c r="G2307" t="s">
        <v>171</v>
      </c>
      <c r="H2307" t="s">
        <v>85</v>
      </c>
      <c r="I2307" t="s">
        <v>442</v>
      </c>
      <c r="J2307" t="s">
        <v>442</v>
      </c>
      <c r="K2307" s="4">
        <v>25000</v>
      </c>
      <c r="L2307" s="4">
        <v>25000</v>
      </c>
      <c r="M2307" t="s">
        <v>166</v>
      </c>
      <c r="N2307" t="s">
        <v>77</v>
      </c>
      <c r="O2307" t="s">
        <v>86</v>
      </c>
      <c r="P2307" t="s">
        <v>170</v>
      </c>
      <c r="Q2307" t="s">
        <v>86</v>
      </c>
      <c r="R2307" t="s">
        <v>86</v>
      </c>
      <c r="S2307" t="s">
        <v>167</v>
      </c>
      <c r="T2307" t="s">
        <v>167</v>
      </c>
      <c r="U2307" t="s">
        <v>168</v>
      </c>
      <c r="V2307" t="s">
        <v>169</v>
      </c>
      <c r="W2307" t="s">
        <v>77</v>
      </c>
      <c r="X2307" t="s">
        <v>44</v>
      </c>
      <c r="Y2307" t="s">
        <v>99</v>
      </c>
      <c r="Z2307" t="s">
        <v>421</v>
      </c>
      <c r="AC2307" t="str">
        <f>IF(AA2307="",M2307,AA2307)</f>
        <v>não</v>
      </c>
      <c r="AD2307" t="str">
        <f>IF(AB2307="",X2307,AB2307)</f>
        <v>sim</v>
      </c>
      <c r="AE2307" t="str">
        <f>IF(OR(Configuracao!B9="",Configuracao!B10=""),"aguardando limiar",IF(AND(K2307&gt;=Configuracao!B9,K2307/MAX(Reconciliacao!C2,1)&gt;=Configuracao!B10/100),"sim","não"))</f>
        <v>aguardando limiar</v>
      </c>
    </row>
    <row r="2308" spans="1:31" x14ac:dyDescent="0.25">
      <c r="A2308">
        <v>16140</v>
      </c>
      <c r="D2308" t="s">
        <v>471</v>
      </c>
      <c r="E2308" t="s">
        <v>471</v>
      </c>
      <c r="F2308" t="s">
        <v>158</v>
      </c>
      <c r="G2308" t="s">
        <v>171</v>
      </c>
      <c r="H2308" t="s">
        <v>85</v>
      </c>
      <c r="I2308" t="s">
        <v>461</v>
      </c>
      <c r="J2308" t="s">
        <v>461</v>
      </c>
      <c r="K2308" s="4">
        <v>30000</v>
      </c>
      <c r="L2308" s="4">
        <v>30000</v>
      </c>
      <c r="M2308" t="s">
        <v>166</v>
      </c>
      <c r="N2308" t="s">
        <v>77</v>
      </c>
      <c r="O2308" t="s">
        <v>86</v>
      </c>
      <c r="P2308" t="s">
        <v>170</v>
      </c>
      <c r="Q2308" t="s">
        <v>86</v>
      </c>
      <c r="R2308" t="s">
        <v>86</v>
      </c>
      <c r="S2308" t="s">
        <v>167</v>
      </c>
      <c r="T2308" t="s">
        <v>167</v>
      </c>
      <c r="U2308" t="s">
        <v>168</v>
      </c>
      <c r="V2308" t="s">
        <v>169</v>
      </c>
      <c r="W2308" t="s">
        <v>77</v>
      </c>
      <c r="X2308" t="s">
        <v>44</v>
      </c>
      <c r="Y2308" t="s">
        <v>99</v>
      </c>
      <c r="Z2308" t="s">
        <v>421</v>
      </c>
      <c r="AC2308" t="str">
        <f>IF(AA2308="",M2308,AA2308)</f>
        <v>não</v>
      </c>
      <c r="AD2308" t="str">
        <f>IF(AB2308="",X2308,AB2308)</f>
        <v>sim</v>
      </c>
      <c r="AE2308" t="str">
        <f>IF(OR(Configuracao!B9="",Configuracao!B10=""),"aguardando limiar",IF(AND(K2308&gt;=Configuracao!B9,K2308/MAX(Reconciliacao!C2,1)&gt;=Configuracao!B10/100),"sim","não"))</f>
        <v>aguardando limiar</v>
      </c>
    </row>
    <row r="2309" spans="1:31" x14ac:dyDescent="0.25">
      <c r="A2309">
        <v>16220</v>
      </c>
      <c r="D2309" t="s">
        <v>471</v>
      </c>
      <c r="E2309" t="s">
        <v>471</v>
      </c>
      <c r="F2309" t="s">
        <v>158</v>
      </c>
      <c r="G2309" t="s">
        <v>171</v>
      </c>
      <c r="H2309" t="s">
        <v>85</v>
      </c>
      <c r="I2309" t="s">
        <v>461</v>
      </c>
      <c r="J2309" t="s">
        <v>461</v>
      </c>
      <c r="K2309" s="4">
        <v>30000</v>
      </c>
      <c r="L2309" s="4">
        <v>30000</v>
      </c>
      <c r="M2309" t="s">
        <v>166</v>
      </c>
      <c r="N2309" t="s">
        <v>77</v>
      </c>
      <c r="O2309" t="s">
        <v>86</v>
      </c>
      <c r="P2309" t="s">
        <v>170</v>
      </c>
      <c r="Q2309" t="s">
        <v>86</v>
      </c>
      <c r="R2309" t="s">
        <v>86</v>
      </c>
      <c r="S2309" t="s">
        <v>167</v>
      </c>
      <c r="T2309" t="s">
        <v>167</v>
      </c>
      <c r="U2309" t="s">
        <v>168</v>
      </c>
      <c r="V2309" t="s">
        <v>169</v>
      </c>
      <c r="W2309" t="s">
        <v>77</v>
      </c>
      <c r="X2309" t="s">
        <v>44</v>
      </c>
      <c r="Y2309" t="s">
        <v>99</v>
      </c>
      <c r="Z2309" t="s">
        <v>421</v>
      </c>
      <c r="AC2309" t="str">
        <f>IF(AA2309="",M2309,AA2309)</f>
        <v>não</v>
      </c>
      <c r="AD2309" t="str">
        <f>IF(AB2309="",X2309,AB2309)</f>
        <v>sim</v>
      </c>
      <c r="AE2309" t="str">
        <f>IF(OR(Configuracao!B9="",Configuracao!B10=""),"aguardando limiar",IF(AND(K2309&gt;=Configuracao!B9,K2309/MAX(Reconciliacao!C2,1)&gt;=Configuracao!B10/100),"sim","não"))</f>
        <v>aguardando limiar</v>
      </c>
    </row>
    <row r="2310" spans="1:31" x14ac:dyDescent="0.25">
      <c r="A2310">
        <v>17179</v>
      </c>
      <c r="D2310" t="s">
        <v>471</v>
      </c>
      <c r="E2310" t="s">
        <v>471</v>
      </c>
      <c r="F2310" t="s">
        <v>158</v>
      </c>
      <c r="G2310" t="s">
        <v>171</v>
      </c>
      <c r="H2310" t="s">
        <v>85</v>
      </c>
      <c r="I2310" t="s">
        <v>442</v>
      </c>
      <c r="J2310" t="s">
        <v>442</v>
      </c>
      <c r="K2310" s="4">
        <v>30000</v>
      </c>
      <c r="L2310" s="4">
        <v>30000</v>
      </c>
      <c r="M2310" t="s">
        <v>166</v>
      </c>
      <c r="N2310" t="s">
        <v>77</v>
      </c>
      <c r="O2310" t="s">
        <v>86</v>
      </c>
      <c r="P2310" t="s">
        <v>170</v>
      </c>
      <c r="Q2310" t="s">
        <v>86</v>
      </c>
      <c r="R2310" t="s">
        <v>86</v>
      </c>
      <c r="S2310" t="s">
        <v>167</v>
      </c>
      <c r="T2310" t="s">
        <v>167</v>
      </c>
      <c r="U2310" t="s">
        <v>168</v>
      </c>
      <c r="V2310" t="s">
        <v>169</v>
      </c>
      <c r="W2310" t="s">
        <v>77</v>
      </c>
      <c r="X2310" t="s">
        <v>44</v>
      </c>
      <c r="Y2310" t="s">
        <v>99</v>
      </c>
      <c r="Z2310" t="s">
        <v>421</v>
      </c>
      <c r="AC2310" t="str">
        <f>IF(AA2310="",M2310,AA2310)</f>
        <v>não</v>
      </c>
      <c r="AD2310" t="str">
        <f>IF(AB2310="",X2310,AB2310)</f>
        <v>sim</v>
      </c>
      <c r="AE2310" t="str">
        <f>IF(OR(Configuracao!B9="",Configuracao!B10=""),"aguardando limiar",IF(AND(K2310&gt;=Configuracao!B9,K2310/MAX(Reconciliacao!C2,1)&gt;=Configuracao!B10/100),"sim","não"))</f>
        <v>aguardando limiar</v>
      </c>
    </row>
    <row r="2311" spans="1:31" x14ac:dyDescent="0.25">
      <c r="A2311">
        <v>12762</v>
      </c>
      <c r="D2311" t="s">
        <v>471</v>
      </c>
      <c r="E2311" t="s">
        <v>471</v>
      </c>
      <c r="F2311" t="s">
        <v>158</v>
      </c>
      <c r="G2311" t="s">
        <v>171</v>
      </c>
      <c r="H2311" t="s">
        <v>85</v>
      </c>
      <c r="I2311" t="s">
        <v>420</v>
      </c>
      <c r="J2311" t="s">
        <v>420</v>
      </c>
      <c r="K2311" s="4">
        <v>35000</v>
      </c>
      <c r="L2311" s="4">
        <v>35000</v>
      </c>
      <c r="M2311" t="s">
        <v>166</v>
      </c>
      <c r="N2311" t="s">
        <v>77</v>
      </c>
      <c r="O2311" t="s">
        <v>86</v>
      </c>
      <c r="P2311" t="s">
        <v>170</v>
      </c>
      <c r="Q2311" t="s">
        <v>86</v>
      </c>
      <c r="R2311" t="s">
        <v>86</v>
      </c>
      <c r="S2311" t="s">
        <v>167</v>
      </c>
      <c r="T2311" t="s">
        <v>167</v>
      </c>
      <c r="U2311" t="s">
        <v>168</v>
      </c>
      <c r="V2311" t="s">
        <v>169</v>
      </c>
      <c r="W2311" t="s">
        <v>77</v>
      </c>
      <c r="X2311" t="s">
        <v>44</v>
      </c>
      <c r="Y2311" t="s">
        <v>99</v>
      </c>
      <c r="Z2311" t="s">
        <v>421</v>
      </c>
      <c r="AC2311" t="str">
        <f>IF(AA2311="",M2311,AA2311)</f>
        <v>não</v>
      </c>
      <c r="AD2311" t="str">
        <f>IF(AB2311="",X2311,AB2311)</f>
        <v>sim</v>
      </c>
      <c r="AE2311" t="str">
        <f>IF(OR(Configuracao!B9="",Configuracao!B10=""),"aguardando limiar",IF(AND(K2311&gt;=Configuracao!B9,K2311/MAX(Reconciliacao!C2,1)&gt;=Configuracao!B10/100),"sim","não"))</f>
        <v>aguardando limiar</v>
      </c>
    </row>
    <row r="2312" spans="1:31" x14ac:dyDescent="0.25">
      <c r="A2312">
        <v>12761</v>
      </c>
      <c r="D2312" t="s">
        <v>474</v>
      </c>
      <c r="E2312" t="s">
        <v>474</v>
      </c>
      <c r="F2312" t="s">
        <v>158</v>
      </c>
      <c r="G2312" t="s">
        <v>171</v>
      </c>
      <c r="H2312" t="s">
        <v>85</v>
      </c>
      <c r="I2312" t="s">
        <v>420</v>
      </c>
      <c r="J2312" t="s">
        <v>420</v>
      </c>
      <c r="K2312" s="4">
        <v>40000</v>
      </c>
      <c r="L2312" s="4">
        <v>40000</v>
      </c>
      <c r="M2312" t="s">
        <v>166</v>
      </c>
      <c r="N2312" t="s">
        <v>77</v>
      </c>
      <c r="O2312" t="s">
        <v>86</v>
      </c>
      <c r="P2312" t="s">
        <v>170</v>
      </c>
      <c r="Q2312" t="s">
        <v>86</v>
      </c>
      <c r="R2312" t="s">
        <v>86</v>
      </c>
      <c r="S2312" t="s">
        <v>167</v>
      </c>
      <c r="T2312" t="s">
        <v>167</v>
      </c>
      <c r="U2312" t="s">
        <v>168</v>
      </c>
      <c r="V2312" t="s">
        <v>169</v>
      </c>
      <c r="W2312" t="s">
        <v>77</v>
      </c>
      <c r="X2312" t="s">
        <v>44</v>
      </c>
      <c r="Y2312" t="s">
        <v>99</v>
      </c>
      <c r="Z2312" t="s">
        <v>421</v>
      </c>
      <c r="AC2312" t="str">
        <f>IF(AA2312="",M2312,AA2312)</f>
        <v>não</v>
      </c>
      <c r="AD2312" t="str">
        <f>IF(AB2312="",X2312,AB2312)</f>
        <v>sim</v>
      </c>
      <c r="AE2312" t="str">
        <f>IF(OR(Configuracao!B9="",Configuracao!B10=""),"aguardando limiar",IF(AND(K2312&gt;=Configuracao!B9,K2312/MAX(Reconciliacao!C2,1)&gt;=Configuracao!B10/100),"sim","não"))</f>
        <v>aguardando limiar</v>
      </c>
    </row>
    <row r="2313" spans="1:31" x14ac:dyDescent="0.25">
      <c r="A2313">
        <v>17056</v>
      </c>
      <c r="D2313" t="s">
        <v>471</v>
      </c>
      <c r="E2313" t="s">
        <v>471</v>
      </c>
      <c r="F2313" t="s">
        <v>158</v>
      </c>
      <c r="G2313" t="s">
        <v>171</v>
      </c>
      <c r="H2313" t="s">
        <v>85</v>
      </c>
      <c r="I2313" t="s">
        <v>439</v>
      </c>
      <c r="J2313" t="s">
        <v>439</v>
      </c>
      <c r="K2313" s="4">
        <v>45000</v>
      </c>
      <c r="L2313" s="4">
        <v>45000</v>
      </c>
      <c r="M2313" t="s">
        <v>166</v>
      </c>
      <c r="N2313" t="s">
        <v>77</v>
      </c>
      <c r="O2313" t="s">
        <v>86</v>
      </c>
      <c r="P2313" t="s">
        <v>170</v>
      </c>
      <c r="Q2313" t="s">
        <v>86</v>
      </c>
      <c r="R2313" t="s">
        <v>86</v>
      </c>
      <c r="S2313" t="s">
        <v>167</v>
      </c>
      <c r="T2313" t="s">
        <v>167</v>
      </c>
      <c r="U2313" t="s">
        <v>168</v>
      </c>
      <c r="V2313" t="s">
        <v>169</v>
      </c>
      <c r="W2313" t="s">
        <v>77</v>
      </c>
      <c r="X2313" t="s">
        <v>44</v>
      </c>
      <c r="Y2313" t="s">
        <v>99</v>
      </c>
      <c r="Z2313" t="s">
        <v>421</v>
      </c>
      <c r="AC2313" t="str">
        <f>IF(AA2313="",M2313,AA2313)</f>
        <v>não</v>
      </c>
      <c r="AD2313" t="str">
        <f>IF(AB2313="",X2313,AB2313)</f>
        <v>sim</v>
      </c>
      <c r="AE2313" t="str">
        <f>IF(OR(Configuracao!B9="",Configuracao!B10=""),"aguardando limiar",IF(AND(K2313&gt;=Configuracao!B9,K2313/MAX(Reconciliacao!C2,1)&gt;=Configuracao!B10/100),"sim","não"))</f>
        <v>aguardando limiar</v>
      </c>
    </row>
    <row r="2314" spans="1:31" x14ac:dyDescent="0.25">
      <c r="A2314">
        <v>12230</v>
      </c>
      <c r="D2314" t="s">
        <v>474</v>
      </c>
      <c r="E2314" t="s">
        <v>474</v>
      </c>
      <c r="F2314" t="s">
        <v>158</v>
      </c>
      <c r="G2314" t="s">
        <v>171</v>
      </c>
      <c r="H2314" t="s">
        <v>85</v>
      </c>
      <c r="I2314" t="s">
        <v>424</v>
      </c>
      <c r="J2314" t="s">
        <v>424</v>
      </c>
      <c r="K2314" s="4">
        <v>50000</v>
      </c>
      <c r="L2314" s="4">
        <v>50000</v>
      </c>
      <c r="M2314" t="s">
        <v>166</v>
      </c>
      <c r="N2314" t="s">
        <v>77</v>
      </c>
      <c r="O2314" t="s">
        <v>86</v>
      </c>
      <c r="P2314" t="s">
        <v>170</v>
      </c>
      <c r="Q2314" t="s">
        <v>86</v>
      </c>
      <c r="R2314" t="s">
        <v>86</v>
      </c>
      <c r="S2314" t="s">
        <v>167</v>
      </c>
      <c r="T2314" t="s">
        <v>167</v>
      </c>
      <c r="U2314" t="s">
        <v>168</v>
      </c>
      <c r="V2314" t="s">
        <v>169</v>
      </c>
      <c r="W2314" t="s">
        <v>77</v>
      </c>
      <c r="X2314" t="s">
        <v>44</v>
      </c>
      <c r="Y2314" t="s">
        <v>99</v>
      </c>
      <c r="Z2314" t="s">
        <v>421</v>
      </c>
      <c r="AC2314" t="str">
        <f>IF(AA2314="",M2314,AA2314)</f>
        <v>não</v>
      </c>
      <c r="AD2314" t="str">
        <f>IF(AB2314="",X2314,AB2314)</f>
        <v>sim</v>
      </c>
      <c r="AE2314" t="str">
        <f>IF(OR(Configuracao!B9="",Configuracao!B10=""),"aguardando limiar",IF(AND(K2314&gt;=Configuracao!B9,K2314/MAX(Reconciliacao!C2,1)&gt;=Configuracao!B10/100),"sim","não"))</f>
        <v>aguardando limiar</v>
      </c>
    </row>
    <row r="2315" spans="1:31" x14ac:dyDescent="0.25">
      <c r="A2315">
        <v>14183</v>
      </c>
      <c r="D2315" t="s">
        <v>474</v>
      </c>
      <c r="E2315" t="s">
        <v>474</v>
      </c>
      <c r="F2315" t="s">
        <v>158</v>
      </c>
      <c r="G2315" t="s">
        <v>171</v>
      </c>
      <c r="H2315" t="s">
        <v>85</v>
      </c>
      <c r="I2315" t="s">
        <v>454</v>
      </c>
      <c r="J2315" t="s">
        <v>454</v>
      </c>
      <c r="K2315" s="4">
        <v>50000</v>
      </c>
      <c r="L2315" s="4">
        <v>50000</v>
      </c>
      <c r="M2315" t="s">
        <v>166</v>
      </c>
      <c r="N2315" t="s">
        <v>77</v>
      </c>
      <c r="O2315" t="s">
        <v>86</v>
      </c>
      <c r="P2315" t="s">
        <v>170</v>
      </c>
      <c r="Q2315" t="s">
        <v>86</v>
      </c>
      <c r="R2315" t="s">
        <v>86</v>
      </c>
      <c r="S2315" t="s">
        <v>167</v>
      </c>
      <c r="T2315" t="s">
        <v>167</v>
      </c>
      <c r="U2315" t="s">
        <v>168</v>
      </c>
      <c r="V2315" t="s">
        <v>169</v>
      </c>
      <c r="W2315" t="s">
        <v>77</v>
      </c>
      <c r="X2315" t="s">
        <v>44</v>
      </c>
      <c r="Y2315" t="s">
        <v>99</v>
      </c>
      <c r="Z2315" t="s">
        <v>421</v>
      </c>
      <c r="AC2315" t="str">
        <f>IF(AA2315="",M2315,AA2315)</f>
        <v>não</v>
      </c>
      <c r="AD2315" t="str">
        <f>IF(AB2315="",X2315,AB2315)</f>
        <v>sim</v>
      </c>
      <c r="AE2315" t="str">
        <f>IF(OR(Configuracao!B9="",Configuracao!B10=""),"aguardando limiar",IF(AND(K2315&gt;=Configuracao!B9,K2315/MAX(Reconciliacao!C2,1)&gt;=Configuracao!B10/100),"sim","não"))</f>
        <v>aguardando limiar</v>
      </c>
    </row>
    <row r="2316" spans="1:31" x14ac:dyDescent="0.25">
      <c r="A2316">
        <v>16211</v>
      </c>
      <c r="D2316" t="s">
        <v>474</v>
      </c>
      <c r="E2316" t="s">
        <v>474</v>
      </c>
      <c r="F2316" t="s">
        <v>158</v>
      </c>
      <c r="G2316" t="s">
        <v>171</v>
      </c>
      <c r="H2316" t="s">
        <v>85</v>
      </c>
      <c r="I2316" t="s">
        <v>461</v>
      </c>
      <c r="J2316" t="s">
        <v>461</v>
      </c>
      <c r="K2316" s="4">
        <v>50000</v>
      </c>
      <c r="L2316" s="4">
        <v>50000</v>
      </c>
      <c r="M2316" t="s">
        <v>166</v>
      </c>
      <c r="N2316" t="s">
        <v>77</v>
      </c>
      <c r="O2316" t="s">
        <v>86</v>
      </c>
      <c r="P2316" t="s">
        <v>170</v>
      </c>
      <c r="Q2316" t="s">
        <v>86</v>
      </c>
      <c r="R2316" t="s">
        <v>86</v>
      </c>
      <c r="S2316" t="s">
        <v>167</v>
      </c>
      <c r="T2316" t="s">
        <v>167</v>
      </c>
      <c r="U2316" t="s">
        <v>168</v>
      </c>
      <c r="V2316" t="s">
        <v>169</v>
      </c>
      <c r="W2316" t="s">
        <v>77</v>
      </c>
      <c r="X2316" t="s">
        <v>44</v>
      </c>
      <c r="Y2316" t="s">
        <v>99</v>
      </c>
      <c r="Z2316" t="s">
        <v>421</v>
      </c>
      <c r="AC2316" t="str">
        <f>IF(AA2316="",M2316,AA2316)</f>
        <v>não</v>
      </c>
      <c r="AD2316" t="str">
        <f>IF(AB2316="",X2316,AB2316)</f>
        <v>sim</v>
      </c>
      <c r="AE2316" t="str">
        <f>IF(OR(Configuracao!B9="",Configuracao!B10=""),"aguardando limiar",IF(AND(K2316&gt;=Configuracao!B9,K2316/MAX(Reconciliacao!C2,1)&gt;=Configuracao!B10/100),"sim","não"))</f>
        <v>aguardando limiar</v>
      </c>
    </row>
    <row r="2317" spans="1:31" x14ac:dyDescent="0.25">
      <c r="A2317">
        <v>17049</v>
      </c>
      <c r="D2317" t="s">
        <v>474</v>
      </c>
      <c r="E2317" t="s">
        <v>474</v>
      </c>
      <c r="F2317" t="s">
        <v>158</v>
      </c>
      <c r="G2317" t="s">
        <v>171</v>
      </c>
      <c r="H2317" t="s">
        <v>85</v>
      </c>
      <c r="I2317" t="s">
        <v>439</v>
      </c>
      <c r="J2317" t="s">
        <v>439</v>
      </c>
      <c r="K2317" s="4">
        <v>50000</v>
      </c>
      <c r="L2317" s="4">
        <v>50000</v>
      </c>
      <c r="M2317" t="s">
        <v>166</v>
      </c>
      <c r="N2317" t="s">
        <v>77</v>
      </c>
      <c r="O2317" t="s">
        <v>86</v>
      </c>
      <c r="P2317" t="s">
        <v>170</v>
      </c>
      <c r="Q2317" t="s">
        <v>86</v>
      </c>
      <c r="R2317" t="s">
        <v>86</v>
      </c>
      <c r="S2317" t="s">
        <v>167</v>
      </c>
      <c r="T2317" t="s">
        <v>167</v>
      </c>
      <c r="U2317" t="s">
        <v>168</v>
      </c>
      <c r="V2317" t="s">
        <v>169</v>
      </c>
      <c r="W2317" t="s">
        <v>77</v>
      </c>
      <c r="X2317" t="s">
        <v>44</v>
      </c>
      <c r="Y2317" t="s">
        <v>99</v>
      </c>
      <c r="Z2317" t="s">
        <v>421</v>
      </c>
      <c r="AC2317" t="str">
        <f>IF(AA2317="",M2317,AA2317)</f>
        <v>não</v>
      </c>
      <c r="AD2317" t="str">
        <f>IF(AB2317="",X2317,AB2317)</f>
        <v>sim</v>
      </c>
      <c r="AE2317" t="str">
        <f>IF(OR(Configuracao!B9="",Configuracao!B10=""),"aguardando limiar",IF(AND(K2317&gt;=Configuracao!B9,K2317/MAX(Reconciliacao!C2,1)&gt;=Configuracao!B10/100),"sim","não"))</f>
        <v>aguardando limiar</v>
      </c>
    </row>
    <row r="2318" spans="1:31" x14ac:dyDescent="0.25">
      <c r="A2318">
        <v>17050</v>
      </c>
      <c r="D2318" t="s">
        <v>474</v>
      </c>
      <c r="E2318" t="s">
        <v>474</v>
      </c>
      <c r="F2318" t="s">
        <v>158</v>
      </c>
      <c r="G2318" t="s">
        <v>171</v>
      </c>
      <c r="H2318" t="s">
        <v>85</v>
      </c>
      <c r="I2318" t="s">
        <v>35</v>
      </c>
      <c r="J2318" t="s">
        <v>35</v>
      </c>
      <c r="K2318" s="4">
        <v>50000</v>
      </c>
      <c r="L2318" s="4">
        <v>50000</v>
      </c>
      <c r="M2318" t="s">
        <v>166</v>
      </c>
      <c r="N2318" t="s">
        <v>77</v>
      </c>
      <c r="O2318" t="s">
        <v>86</v>
      </c>
      <c r="P2318" t="s">
        <v>170</v>
      </c>
      <c r="Q2318" t="s">
        <v>86</v>
      </c>
      <c r="R2318" t="s">
        <v>86</v>
      </c>
      <c r="S2318" t="s">
        <v>167</v>
      </c>
      <c r="T2318" t="s">
        <v>167</v>
      </c>
      <c r="U2318" t="s">
        <v>168</v>
      </c>
      <c r="V2318" t="s">
        <v>169</v>
      </c>
      <c r="W2318" t="s">
        <v>77</v>
      </c>
      <c r="X2318" t="s">
        <v>44</v>
      </c>
      <c r="Y2318" t="s">
        <v>99</v>
      </c>
      <c r="Z2318" t="s">
        <v>421</v>
      </c>
      <c r="AC2318" t="str">
        <f>IF(AA2318="",M2318,AA2318)</f>
        <v>não</v>
      </c>
      <c r="AD2318" t="str">
        <f>IF(AB2318="",X2318,AB2318)</f>
        <v>sim</v>
      </c>
      <c r="AE2318" t="str">
        <f>IF(OR(Configuracao!B9="",Configuracao!B10=""),"aguardando limiar",IF(AND(K2318&gt;=Configuracao!B9,K2318/MAX(Reconciliacao!C2,1)&gt;=Configuracao!B10/100),"sim","não"))</f>
        <v>aguardando limiar</v>
      </c>
    </row>
    <row r="2319" spans="1:31" x14ac:dyDescent="0.25">
      <c r="A2319">
        <v>17057</v>
      </c>
      <c r="D2319" t="s">
        <v>471</v>
      </c>
      <c r="E2319" t="s">
        <v>471</v>
      </c>
      <c r="F2319" t="s">
        <v>158</v>
      </c>
      <c r="G2319" t="s">
        <v>171</v>
      </c>
      <c r="H2319" t="s">
        <v>85</v>
      </c>
      <c r="I2319" t="s">
        <v>35</v>
      </c>
      <c r="J2319" t="s">
        <v>35</v>
      </c>
      <c r="K2319" s="4">
        <v>50000</v>
      </c>
      <c r="L2319" s="4">
        <v>50000</v>
      </c>
      <c r="M2319" t="s">
        <v>166</v>
      </c>
      <c r="N2319" t="s">
        <v>77</v>
      </c>
      <c r="O2319" t="s">
        <v>86</v>
      </c>
      <c r="P2319" t="s">
        <v>170</v>
      </c>
      <c r="Q2319" t="s">
        <v>86</v>
      </c>
      <c r="R2319" t="s">
        <v>86</v>
      </c>
      <c r="S2319" t="s">
        <v>167</v>
      </c>
      <c r="T2319" t="s">
        <v>167</v>
      </c>
      <c r="U2319" t="s">
        <v>168</v>
      </c>
      <c r="V2319" t="s">
        <v>169</v>
      </c>
      <c r="W2319" t="s">
        <v>77</v>
      </c>
      <c r="X2319" t="s">
        <v>44</v>
      </c>
      <c r="Y2319" t="s">
        <v>99</v>
      </c>
      <c r="Z2319" t="s">
        <v>421</v>
      </c>
      <c r="AC2319" t="str">
        <f>IF(AA2319="",M2319,AA2319)</f>
        <v>não</v>
      </c>
      <c r="AD2319" t="str">
        <f>IF(AB2319="",X2319,AB2319)</f>
        <v>sim</v>
      </c>
      <c r="AE2319" t="str">
        <f>IF(OR(Configuracao!B9="",Configuracao!B10=""),"aguardando limiar",IF(AND(K2319&gt;=Configuracao!B9,K2319/MAX(Reconciliacao!C2,1)&gt;=Configuracao!B10/100),"sim","não"))</f>
        <v>aguardando limiar</v>
      </c>
    </row>
    <row r="2320" spans="1:31" x14ac:dyDescent="0.25">
      <c r="A2320">
        <v>12046</v>
      </c>
      <c r="C2320" t="s">
        <v>1494</v>
      </c>
      <c r="D2320" t="s">
        <v>1407</v>
      </c>
      <c r="E2320" t="s">
        <v>467</v>
      </c>
      <c r="F2320" t="s">
        <v>218</v>
      </c>
      <c r="G2320" t="s">
        <v>217</v>
      </c>
      <c r="H2320" t="s">
        <v>216</v>
      </c>
      <c r="I2320" t="s">
        <v>737</v>
      </c>
      <c r="J2320" t="s">
        <v>424</v>
      </c>
      <c r="K2320" s="4">
        <v>0</v>
      </c>
      <c r="L2320" s="4">
        <v>4000</v>
      </c>
      <c r="M2320" t="s">
        <v>44</v>
      </c>
      <c r="N2320" t="s">
        <v>77</v>
      </c>
      <c r="O2320" t="s">
        <v>99</v>
      </c>
      <c r="P2320" t="s">
        <v>99</v>
      </c>
      <c r="Q2320" t="s">
        <v>159</v>
      </c>
      <c r="R2320" t="s">
        <v>219</v>
      </c>
      <c r="S2320" t="s">
        <v>197</v>
      </c>
      <c r="T2320" t="s">
        <v>198</v>
      </c>
      <c r="U2320" t="s">
        <v>163</v>
      </c>
      <c r="V2320" t="s">
        <v>164</v>
      </c>
      <c r="W2320" t="s">
        <v>116</v>
      </c>
      <c r="X2320" t="s">
        <v>44</v>
      </c>
      <c r="Y2320" t="s">
        <v>99</v>
      </c>
      <c r="Z2320" t="s">
        <v>421</v>
      </c>
      <c r="AC2320" t="str">
        <f>IF(AA2320="",M2320,AA2320)</f>
        <v>sim</v>
      </c>
      <c r="AD2320" t="str">
        <f>IF(AB2320="",X2320,AB2320)</f>
        <v>sim</v>
      </c>
      <c r="AE2320" t="str">
        <f>IF(OR(Configuracao!B9="",Configuracao!B10=""),"aguardando limiar",IF(AND(K2320&gt;=Configuracao!B9,K2320/MAX(Reconciliacao!C2,1)&gt;=Configuracao!B10/100),"sim","não"))</f>
        <v>aguardando limiar</v>
      </c>
    </row>
    <row r="2321" spans="1:31" x14ac:dyDescent="0.25">
      <c r="A2321">
        <v>11797</v>
      </c>
      <c r="C2321" t="s">
        <v>1385</v>
      </c>
      <c r="D2321" t="s">
        <v>1386</v>
      </c>
      <c r="E2321" t="s">
        <v>465</v>
      </c>
      <c r="F2321" t="s">
        <v>218</v>
      </c>
      <c r="G2321" t="s">
        <v>217</v>
      </c>
      <c r="H2321" t="s">
        <v>216</v>
      </c>
      <c r="I2321" t="s">
        <v>32</v>
      </c>
      <c r="J2321" t="s">
        <v>32</v>
      </c>
      <c r="K2321" s="4">
        <v>291.67</v>
      </c>
      <c r="L2321" s="4">
        <v>291.67</v>
      </c>
      <c r="M2321" t="s">
        <v>44</v>
      </c>
      <c r="N2321" t="s">
        <v>77</v>
      </c>
      <c r="O2321" t="s">
        <v>99</v>
      </c>
      <c r="P2321" t="s">
        <v>99</v>
      </c>
      <c r="Q2321" t="s">
        <v>159</v>
      </c>
      <c r="R2321" t="s">
        <v>219</v>
      </c>
      <c r="S2321" t="s">
        <v>197</v>
      </c>
      <c r="T2321" t="s">
        <v>198</v>
      </c>
      <c r="U2321" t="s">
        <v>163</v>
      </c>
      <c r="V2321" t="s">
        <v>164</v>
      </c>
      <c r="W2321" t="s">
        <v>116</v>
      </c>
      <c r="X2321" t="s">
        <v>44</v>
      </c>
      <c r="Y2321" t="s">
        <v>99</v>
      </c>
      <c r="Z2321" t="s">
        <v>421</v>
      </c>
      <c r="AC2321" t="str">
        <f>IF(AA2321="",M2321,AA2321)</f>
        <v>sim</v>
      </c>
      <c r="AD2321" t="str">
        <f>IF(AB2321="",X2321,AB2321)</f>
        <v>sim</v>
      </c>
      <c r="AE2321" t="str">
        <f>IF(OR(Configuracao!B9="",Configuracao!B10=""),"aguardando limiar",IF(AND(K2321&gt;=Configuracao!B9,K2321/MAX(Reconciliacao!C2,1)&gt;=Configuracao!B10/100),"sim","não"))</f>
        <v>aguardando limiar</v>
      </c>
    </row>
    <row r="2322" spans="1:31" x14ac:dyDescent="0.25">
      <c r="A2322">
        <v>11795</v>
      </c>
      <c r="C2322" t="s">
        <v>1379</v>
      </c>
      <c r="D2322" t="s">
        <v>423</v>
      </c>
      <c r="E2322" t="s">
        <v>525</v>
      </c>
      <c r="F2322" t="s">
        <v>218</v>
      </c>
      <c r="G2322" t="s">
        <v>217</v>
      </c>
      <c r="H2322" t="s">
        <v>216</v>
      </c>
      <c r="I2322" t="s">
        <v>32</v>
      </c>
      <c r="J2322" t="s">
        <v>32</v>
      </c>
      <c r="K2322" s="4">
        <v>300</v>
      </c>
      <c r="L2322" s="4">
        <v>300</v>
      </c>
      <c r="M2322" t="s">
        <v>44</v>
      </c>
      <c r="N2322" t="s">
        <v>77</v>
      </c>
      <c r="O2322" t="s">
        <v>99</v>
      </c>
      <c r="P2322" t="s">
        <v>99</v>
      </c>
      <c r="Q2322" t="s">
        <v>159</v>
      </c>
      <c r="R2322" t="s">
        <v>219</v>
      </c>
      <c r="S2322" t="s">
        <v>197</v>
      </c>
      <c r="T2322" t="s">
        <v>198</v>
      </c>
      <c r="U2322" t="s">
        <v>163</v>
      </c>
      <c r="V2322" t="s">
        <v>164</v>
      </c>
      <c r="W2322" t="s">
        <v>116</v>
      </c>
      <c r="X2322" t="s">
        <v>44</v>
      </c>
      <c r="Y2322" t="s">
        <v>99</v>
      </c>
      <c r="Z2322" t="s">
        <v>421</v>
      </c>
      <c r="AC2322" t="str">
        <f>IF(AA2322="",M2322,AA2322)</f>
        <v>sim</v>
      </c>
      <c r="AD2322" t="str">
        <f>IF(AB2322="",X2322,AB2322)</f>
        <v>sim</v>
      </c>
      <c r="AE2322" t="str">
        <f>IF(OR(Configuracao!B9="",Configuracao!B10=""),"aguardando limiar",IF(AND(K2322&gt;=Configuracao!B9,K2322/MAX(Reconciliacao!C2,1)&gt;=Configuracao!B10/100),"sim","não"))</f>
        <v>aguardando limiar</v>
      </c>
    </row>
    <row r="2323" spans="1:31" x14ac:dyDescent="0.25">
      <c r="A2323">
        <v>11814</v>
      </c>
      <c r="C2323" t="s">
        <v>1396</v>
      </c>
      <c r="D2323" t="s">
        <v>1397</v>
      </c>
      <c r="E2323" t="s">
        <v>477</v>
      </c>
      <c r="F2323" t="s">
        <v>218</v>
      </c>
      <c r="G2323" t="s">
        <v>217</v>
      </c>
      <c r="H2323" t="s">
        <v>216</v>
      </c>
      <c r="I2323" t="s">
        <v>32</v>
      </c>
      <c r="J2323" t="s">
        <v>32</v>
      </c>
      <c r="K2323" s="4">
        <v>320.83</v>
      </c>
      <c r="L2323" s="4">
        <v>320.83</v>
      </c>
      <c r="M2323" t="s">
        <v>44</v>
      </c>
      <c r="N2323" t="s">
        <v>77</v>
      </c>
      <c r="O2323" t="s">
        <v>99</v>
      </c>
      <c r="P2323" t="s">
        <v>99</v>
      </c>
      <c r="Q2323" t="s">
        <v>159</v>
      </c>
      <c r="R2323" t="s">
        <v>219</v>
      </c>
      <c r="S2323" t="s">
        <v>197</v>
      </c>
      <c r="T2323" t="s">
        <v>198</v>
      </c>
      <c r="U2323" t="s">
        <v>163</v>
      </c>
      <c r="V2323" t="s">
        <v>164</v>
      </c>
      <c r="W2323" t="s">
        <v>116</v>
      </c>
      <c r="X2323" t="s">
        <v>44</v>
      </c>
      <c r="Y2323" t="s">
        <v>99</v>
      </c>
      <c r="Z2323" t="s">
        <v>421</v>
      </c>
      <c r="AC2323" t="str">
        <f>IF(AA2323="",M2323,AA2323)</f>
        <v>sim</v>
      </c>
      <c r="AD2323" t="str">
        <f>IF(AB2323="",X2323,AB2323)</f>
        <v>sim</v>
      </c>
      <c r="AE2323" t="str">
        <f>IF(OR(Configuracao!B9="",Configuracao!B10=""),"aguardando limiar",IF(AND(K2323&gt;=Configuracao!B9,K2323/MAX(Reconciliacao!C2,1)&gt;=Configuracao!B10/100),"sim","não"))</f>
        <v>aguardando limiar</v>
      </c>
    </row>
    <row r="2324" spans="1:31" x14ac:dyDescent="0.25">
      <c r="A2324">
        <v>11826</v>
      </c>
      <c r="C2324" t="s">
        <v>1412</v>
      </c>
      <c r="D2324" t="s">
        <v>1413</v>
      </c>
      <c r="E2324" t="s">
        <v>445</v>
      </c>
      <c r="F2324" t="s">
        <v>218</v>
      </c>
      <c r="G2324" t="s">
        <v>217</v>
      </c>
      <c r="H2324" t="s">
        <v>216</v>
      </c>
      <c r="I2324" t="s">
        <v>32</v>
      </c>
      <c r="J2324" t="s">
        <v>32</v>
      </c>
      <c r="K2324" s="4">
        <v>433.33</v>
      </c>
      <c r="L2324" s="4">
        <v>433.33</v>
      </c>
      <c r="M2324" t="s">
        <v>44</v>
      </c>
      <c r="N2324" t="s">
        <v>77</v>
      </c>
      <c r="O2324" t="s">
        <v>99</v>
      </c>
      <c r="P2324" t="s">
        <v>99</v>
      </c>
      <c r="Q2324" t="s">
        <v>159</v>
      </c>
      <c r="R2324" t="s">
        <v>219</v>
      </c>
      <c r="S2324" t="s">
        <v>197</v>
      </c>
      <c r="T2324" t="s">
        <v>198</v>
      </c>
      <c r="U2324" t="s">
        <v>163</v>
      </c>
      <c r="V2324" t="s">
        <v>164</v>
      </c>
      <c r="W2324" t="s">
        <v>116</v>
      </c>
      <c r="X2324" t="s">
        <v>44</v>
      </c>
      <c r="Y2324" t="s">
        <v>99</v>
      </c>
      <c r="Z2324" t="s">
        <v>421</v>
      </c>
      <c r="AC2324" t="str">
        <f>IF(AA2324="",M2324,AA2324)</f>
        <v>sim</v>
      </c>
      <c r="AD2324" t="str">
        <f>IF(AB2324="",X2324,AB2324)</f>
        <v>sim</v>
      </c>
      <c r="AE2324" t="str">
        <f>IF(OR(Configuracao!B9="",Configuracao!B10=""),"aguardando limiar",IF(AND(K2324&gt;=Configuracao!B9,K2324/MAX(Reconciliacao!C2,1)&gt;=Configuracao!B10/100),"sim","não"))</f>
        <v>aguardando limiar</v>
      </c>
    </row>
    <row r="2325" spans="1:31" x14ac:dyDescent="0.25">
      <c r="A2325">
        <v>11809</v>
      </c>
      <c r="C2325" t="s">
        <v>1439</v>
      </c>
      <c r="D2325" t="s">
        <v>1440</v>
      </c>
      <c r="E2325" t="s">
        <v>224</v>
      </c>
      <c r="F2325" t="s">
        <v>218</v>
      </c>
      <c r="G2325" t="s">
        <v>217</v>
      </c>
      <c r="H2325" t="s">
        <v>216</v>
      </c>
      <c r="I2325" t="s">
        <v>32</v>
      </c>
      <c r="J2325" t="s">
        <v>32</v>
      </c>
      <c r="K2325" s="4">
        <v>450</v>
      </c>
      <c r="L2325" s="4">
        <v>450</v>
      </c>
      <c r="M2325" t="s">
        <v>44</v>
      </c>
      <c r="N2325" t="s">
        <v>77</v>
      </c>
      <c r="O2325" t="s">
        <v>99</v>
      </c>
      <c r="P2325" t="s">
        <v>99</v>
      </c>
      <c r="Q2325" t="s">
        <v>159</v>
      </c>
      <c r="R2325" t="s">
        <v>219</v>
      </c>
      <c r="S2325" t="s">
        <v>197</v>
      </c>
      <c r="T2325" t="s">
        <v>198</v>
      </c>
      <c r="U2325" t="s">
        <v>163</v>
      </c>
      <c r="V2325" t="s">
        <v>164</v>
      </c>
      <c r="W2325" t="s">
        <v>116</v>
      </c>
      <c r="X2325" t="s">
        <v>44</v>
      </c>
      <c r="Y2325" t="s">
        <v>99</v>
      </c>
      <c r="Z2325" t="s">
        <v>421</v>
      </c>
      <c r="AC2325" t="str">
        <f>IF(AA2325="",M2325,AA2325)</f>
        <v>sim</v>
      </c>
      <c r="AD2325" t="str">
        <f>IF(AB2325="",X2325,AB2325)</f>
        <v>sim</v>
      </c>
      <c r="AE2325" t="str">
        <f>IF(OR(Configuracao!B9="",Configuracao!B10=""),"aguardando limiar",IF(AND(K2325&gt;=Configuracao!B9,K2325/MAX(Reconciliacao!C2,1)&gt;=Configuracao!B10/100),"sim","não"))</f>
        <v>aguardando limiar</v>
      </c>
    </row>
    <row r="2326" spans="1:31" x14ac:dyDescent="0.25">
      <c r="A2326">
        <v>11790</v>
      </c>
      <c r="C2326" t="s">
        <v>1375</v>
      </c>
      <c r="D2326" t="s">
        <v>1376</v>
      </c>
      <c r="E2326" t="s">
        <v>467</v>
      </c>
      <c r="F2326" t="s">
        <v>218</v>
      </c>
      <c r="G2326" t="s">
        <v>217</v>
      </c>
      <c r="H2326" t="s">
        <v>216</v>
      </c>
      <c r="I2326" t="s">
        <v>32</v>
      </c>
      <c r="J2326" t="s">
        <v>32</v>
      </c>
      <c r="K2326" s="4">
        <v>500</v>
      </c>
      <c r="L2326" s="4">
        <v>500</v>
      </c>
      <c r="M2326" t="s">
        <v>44</v>
      </c>
      <c r="N2326" t="s">
        <v>77</v>
      </c>
      <c r="O2326" t="s">
        <v>99</v>
      </c>
      <c r="P2326" t="s">
        <v>99</v>
      </c>
      <c r="Q2326" t="s">
        <v>159</v>
      </c>
      <c r="R2326" t="s">
        <v>219</v>
      </c>
      <c r="S2326" t="s">
        <v>197</v>
      </c>
      <c r="T2326" t="s">
        <v>198</v>
      </c>
      <c r="U2326" t="s">
        <v>163</v>
      </c>
      <c r="V2326" t="s">
        <v>164</v>
      </c>
      <c r="W2326" t="s">
        <v>116</v>
      </c>
      <c r="X2326" t="s">
        <v>44</v>
      </c>
      <c r="Y2326" t="s">
        <v>99</v>
      </c>
      <c r="Z2326" t="s">
        <v>421</v>
      </c>
      <c r="AC2326" t="str">
        <f>IF(AA2326="",M2326,AA2326)</f>
        <v>sim</v>
      </c>
      <c r="AD2326" t="str">
        <f>IF(AB2326="",X2326,AB2326)</f>
        <v>sim</v>
      </c>
      <c r="AE2326" t="str">
        <f>IF(OR(Configuracao!B9="",Configuracao!B10=""),"aguardando limiar",IF(AND(K2326&gt;=Configuracao!B9,K2326/MAX(Reconciliacao!C2,1)&gt;=Configuracao!B10/100),"sim","não"))</f>
        <v>aguardando limiar</v>
      </c>
    </row>
    <row r="2327" spans="1:31" x14ac:dyDescent="0.25">
      <c r="A2327">
        <v>11805</v>
      </c>
      <c r="C2327" t="s">
        <v>1381</v>
      </c>
      <c r="D2327" t="s">
        <v>1382</v>
      </c>
      <c r="E2327" t="s">
        <v>467</v>
      </c>
      <c r="F2327" t="s">
        <v>218</v>
      </c>
      <c r="G2327" t="s">
        <v>217</v>
      </c>
      <c r="H2327" t="s">
        <v>216</v>
      </c>
      <c r="I2327" t="s">
        <v>32</v>
      </c>
      <c r="J2327" t="s">
        <v>32</v>
      </c>
      <c r="K2327" s="4">
        <v>550</v>
      </c>
      <c r="L2327" s="4">
        <v>550</v>
      </c>
      <c r="M2327" t="s">
        <v>44</v>
      </c>
      <c r="N2327" t="s">
        <v>77</v>
      </c>
      <c r="O2327" t="s">
        <v>99</v>
      </c>
      <c r="P2327" t="s">
        <v>99</v>
      </c>
      <c r="Q2327" t="s">
        <v>159</v>
      </c>
      <c r="R2327" t="s">
        <v>219</v>
      </c>
      <c r="S2327" t="s">
        <v>197</v>
      </c>
      <c r="T2327" t="s">
        <v>198</v>
      </c>
      <c r="U2327" t="s">
        <v>163</v>
      </c>
      <c r="V2327" t="s">
        <v>164</v>
      </c>
      <c r="W2327" t="s">
        <v>116</v>
      </c>
      <c r="X2327" t="s">
        <v>44</v>
      </c>
      <c r="Y2327" t="s">
        <v>99</v>
      </c>
      <c r="Z2327" t="s">
        <v>421</v>
      </c>
      <c r="AC2327" t="str">
        <f>IF(AA2327="",M2327,AA2327)</f>
        <v>sim</v>
      </c>
      <c r="AD2327" t="str">
        <f>IF(AB2327="",X2327,AB2327)</f>
        <v>sim</v>
      </c>
      <c r="AE2327" t="str">
        <f>IF(OR(Configuracao!B9="",Configuracao!B10=""),"aguardando limiar",IF(AND(K2327&gt;=Configuracao!B9,K2327/MAX(Reconciliacao!C2,1)&gt;=Configuracao!B10/100),"sim","não"))</f>
        <v>aguardando limiar</v>
      </c>
    </row>
    <row r="2328" spans="1:31" x14ac:dyDescent="0.25">
      <c r="A2328">
        <v>11824</v>
      </c>
      <c r="C2328" t="s">
        <v>1401</v>
      </c>
      <c r="D2328" t="s">
        <v>1402</v>
      </c>
      <c r="E2328" t="s">
        <v>467</v>
      </c>
      <c r="F2328" t="s">
        <v>218</v>
      </c>
      <c r="G2328" t="s">
        <v>217</v>
      </c>
      <c r="H2328" t="s">
        <v>216</v>
      </c>
      <c r="I2328" t="s">
        <v>32</v>
      </c>
      <c r="J2328" t="s">
        <v>32</v>
      </c>
      <c r="K2328" s="4">
        <v>550</v>
      </c>
      <c r="L2328" s="4">
        <v>550</v>
      </c>
      <c r="M2328" t="s">
        <v>44</v>
      </c>
      <c r="N2328" t="s">
        <v>77</v>
      </c>
      <c r="O2328" t="s">
        <v>99</v>
      </c>
      <c r="P2328" t="s">
        <v>99</v>
      </c>
      <c r="Q2328" t="s">
        <v>159</v>
      </c>
      <c r="R2328" t="s">
        <v>219</v>
      </c>
      <c r="S2328" t="s">
        <v>197</v>
      </c>
      <c r="T2328" t="s">
        <v>198</v>
      </c>
      <c r="U2328" t="s">
        <v>163</v>
      </c>
      <c r="V2328" t="s">
        <v>164</v>
      </c>
      <c r="W2328" t="s">
        <v>116</v>
      </c>
      <c r="X2328" t="s">
        <v>44</v>
      </c>
      <c r="Y2328" t="s">
        <v>99</v>
      </c>
      <c r="Z2328" t="s">
        <v>421</v>
      </c>
      <c r="AC2328" t="str">
        <f>IF(AA2328="",M2328,AA2328)</f>
        <v>sim</v>
      </c>
      <c r="AD2328" t="str">
        <f>IF(AB2328="",X2328,AB2328)</f>
        <v>sim</v>
      </c>
      <c r="AE2328" t="str">
        <f>IF(OR(Configuracao!B9="",Configuracao!B10=""),"aguardando limiar",IF(AND(K2328&gt;=Configuracao!B9,K2328/MAX(Reconciliacao!C2,1)&gt;=Configuracao!B10/100),"sim","não"))</f>
        <v>aguardando limiar</v>
      </c>
    </row>
    <row r="2329" spans="1:31" x14ac:dyDescent="0.25">
      <c r="A2329">
        <v>11808</v>
      </c>
      <c r="C2329" t="s">
        <v>1408</v>
      </c>
      <c r="D2329" t="s">
        <v>1409</v>
      </c>
      <c r="E2329" t="s">
        <v>467</v>
      </c>
      <c r="F2329" t="s">
        <v>218</v>
      </c>
      <c r="G2329" t="s">
        <v>217</v>
      </c>
      <c r="H2329" t="s">
        <v>216</v>
      </c>
      <c r="I2329" t="s">
        <v>32</v>
      </c>
      <c r="J2329" t="s">
        <v>32</v>
      </c>
      <c r="K2329" s="4">
        <v>583.33</v>
      </c>
      <c r="L2329" s="4">
        <v>583.33</v>
      </c>
      <c r="M2329" t="s">
        <v>44</v>
      </c>
      <c r="N2329" t="s">
        <v>77</v>
      </c>
      <c r="O2329" t="s">
        <v>99</v>
      </c>
      <c r="P2329" t="s">
        <v>99</v>
      </c>
      <c r="Q2329" t="s">
        <v>159</v>
      </c>
      <c r="R2329" t="s">
        <v>219</v>
      </c>
      <c r="S2329" t="s">
        <v>197</v>
      </c>
      <c r="T2329" t="s">
        <v>198</v>
      </c>
      <c r="U2329" t="s">
        <v>163</v>
      </c>
      <c r="V2329" t="s">
        <v>164</v>
      </c>
      <c r="W2329" t="s">
        <v>116</v>
      </c>
      <c r="X2329" t="s">
        <v>44</v>
      </c>
      <c r="Y2329" t="s">
        <v>99</v>
      </c>
      <c r="Z2329" t="s">
        <v>421</v>
      </c>
      <c r="AC2329" t="str">
        <f>IF(AA2329="",M2329,AA2329)</f>
        <v>sim</v>
      </c>
      <c r="AD2329" t="str">
        <f>IF(AB2329="",X2329,AB2329)</f>
        <v>sim</v>
      </c>
      <c r="AE2329" t="str">
        <f>IF(OR(Configuracao!B9="",Configuracao!B10=""),"aguardando limiar",IF(AND(K2329&gt;=Configuracao!B9,K2329/MAX(Reconciliacao!C2,1)&gt;=Configuracao!B10/100),"sim","não"))</f>
        <v>aguardando limiar</v>
      </c>
    </row>
    <row r="2330" spans="1:31" x14ac:dyDescent="0.25">
      <c r="A2330">
        <v>11827</v>
      </c>
      <c r="D2330" t="s">
        <v>1459</v>
      </c>
      <c r="E2330" t="s">
        <v>465</v>
      </c>
      <c r="F2330" t="s">
        <v>218</v>
      </c>
      <c r="G2330" t="s">
        <v>217</v>
      </c>
      <c r="H2330" t="s">
        <v>216</v>
      </c>
      <c r="I2330" t="s">
        <v>32</v>
      </c>
      <c r="J2330" t="s">
        <v>32</v>
      </c>
      <c r="K2330" s="4">
        <v>750</v>
      </c>
      <c r="L2330" s="4">
        <v>750</v>
      </c>
      <c r="M2330" t="s">
        <v>44</v>
      </c>
      <c r="N2330" t="s">
        <v>77</v>
      </c>
      <c r="O2330" t="s">
        <v>99</v>
      </c>
      <c r="P2330" t="s">
        <v>99</v>
      </c>
      <c r="Q2330" t="s">
        <v>159</v>
      </c>
      <c r="R2330" t="s">
        <v>219</v>
      </c>
      <c r="S2330" t="s">
        <v>197</v>
      </c>
      <c r="T2330" t="s">
        <v>198</v>
      </c>
      <c r="U2330" t="s">
        <v>163</v>
      </c>
      <c r="V2330" t="s">
        <v>164</v>
      </c>
      <c r="W2330" t="s">
        <v>116</v>
      </c>
      <c r="X2330" t="s">
        <v>44</v>
      </c>
      <c r="Y2330" t="s">
        <v>99</v>
      </c>
      <c r="Z2330" t="s">
        <v>421</v>
      </c>
      <c r="AC2330" t="str">
        <f>IF(AA2330="",M2330,AA2330)</f>
        <v>sim</v>
      </c>
      <c r="AD2330" t="str">
        <f>IF(AB2330="",X2330,AB2330)</f>
        <v>sim</v>
      </c>
      <c r="AE2330" t="str">
        <f>IF(OR(Configuracao!B9="",Configuracao!B10=""),"aguardando limiar",IF(AND(K2330&gt;=Configuracao!B9,K2330/MAX(Reconciliacao!C2,1)&gt;=Configuracao!B10/100),"sim","não"))</f>
        <v>aguardando limiar</v>
      </c>
    </row>
    <row r="2331" spans="1:31" x14ac:dyDescent="0.25">
      <c r="A2331">
        <v>11788</v>
      </c>
      <c r="C2331" t="s">
        <v>1371</v>
      </c>
      <c r="D2331" t="s">
        <v>1372</v>
      </c>
      <c r="E2331" t="s">
        <v>477</v>
      </c>
      <c r="F2331" t="s">
        <v>218</v>
      </c>
      <c r="G2331" t="s">
        <v>217</v>
      </c>
      <c r="H2331" t="s">
        <v>216</v>
      </c>
      <c r="I2331" t="s">
        <v>32</v>
      </c>
      <c r="J2331" t="s">
        <v>32</v>
      </c>
      <c r="K2331" s="4">
        <v>916.67</v>
      </c>
      <c r="L2331" s="4">
        <v>916.67</v>
      </c>
      <c r="M2331" t="s">
        <v>44</v>
      </c>
      <c r="N2331" t="s">
        <v>77</v>
      </c>
      <c r="O2331" t="s">
        <v>99</v>
      </c>
      <c r="P2331" t="s">
        <v>99</v>
      </c>
      <c r="Q2331" t="s">
        <v>159</v>
      </c>
      <c r="R2331" t="s">
        <v>219</v>
      </c>
      <c r="S2331" t="s">
        <v>197</v>
      </c>
      <c r="T2331" t="s">
        <v>198</v>
      </c>
      <c r="U2331" t="s">
        <v>163</v>
      </c>
      <c r="V2331" t="s">
        <v>164</v>
      </c>
      <c r="W2331" t="s">
        <v>116</v>
      </c>
      <c r="X2331" t="s">
        <v>44</v>
      </c>
      <c r="Y2331" t="s">
        <v>99</v>
      </c>
      <c r="Z2331" t="s">
        <v>421</v>
      </c>
      <c r="AC2331" t="str">
        <f>IF(AA2331="",M2331,AA2331)</f>
        <v>sim</v>
      </c>
      <c r="AD2331" t="str">
        <f>IF(AB2331="",X2331,AB2331)</f>
        <v>sim</v>
      </c>
      <c r="AE2331" t="str">
        <f>IF(OR(Configuracao!B9="",Configuracao!B10=""),"aguardando limiar",IF(AND(K2331&gt;=Configuracao!B9,K2331/MAX(Reconciliacao!C2,1)&gt;=Configuracao!B10/100),"sim","não"))</f>
        <v>aguardando limiar</v>
      </c>
    </row>
    <row r="2332" spans="1:31" x14ac:dyDescent="0.25">
      <c r="A2332">
        <v>11800</v>
      </c>
      <c r="C2332" t="s">
        <v>1405</v>
      </c>
      <c r="D2332" t="s">
        <v>870</v>
      </c>
      <c r="E2332" t="s">
        <v>445</v>
      </c>
      <c r="F2332" t="s">
        <v>218</v>
      </c>
      <c r="G2332" t="s">
        <v>217</v>
      </c>
      <c r="H2332" t="s">
        <v>216</v>
      </c>
      <c r="I2332" t="s">
        <v>32</v>
      </c>
      <c r="J2332" t="s">
        <v>32</v>
      </c>
      <c r="K2332" s="4">
        <v>950</v>
      </c>
      <c r="L2332" s="4">
        <v>950</v>
      </c>
      <c r="M2332" t="s">
        <v>44</v>
      </c>
      <c r="N2332" t="s">
        <v>77</v>
      </c>
      <c r="O2332" t="s">
        <v>99</v>
      </c>
      <c r="P2332" t="s">
        <v>99</v>
      </c>
      <c r="Q2332" t="s">
        <v>159</v>
      </c>
      <c r="R2332" t="s">
        <v>219</v>
      </c>
      <c r="S2332" t="s">
        <v>197</v>
      </c>
      <c r="T2332" t="s">
        <v>198</v>
      </c>
      <c r="U2332" t="s">
        <v>163</v>
      </c>
      <c r="V2332" t="s">
        <v>164</v>
      </c>
      <c r="W2332" t="s">
        <v>116</v>
      </c>
      <c r="X2332" t="s">
        <v>44</v>
      </c>
      <c r="Y2332" t="s">
        <v>99</v>
      </c>
      <c r="Z2332" t="s">
        <v>421</v>
      </c>
      <c r="AC2332" t="str">
        <f>IF(AA2332="",M2332,AA2332)</f>
        <v>sim</v>
      </c>
      <c r="AD2332" t="str">
        <f>IF(AB2332="",X2332,AB2332)</f>
        <v>sim</v>
      </c>
      <c r="AE2332" t="str">
        <f>IF(OR(Configuracao!B9="",Configuracao!B10=""),"aguardando limiar",IF(AND(K2332&gt;=Configuracao!B9,K2332/MAX(Reconciliacao!C2,1)&gt;=Configuracao!B10/100),"sim","não"))</f>
        <v>aguardando limiar</v>
      </c>
    </row>
    <row r="2333" spans="1:31" x14ac:dyDescent="0.25">
      <c r="A2333">
        <v>11818</v>
      </c>
      <c r="C2333" t="s">
        <v>1438</v>
      </c>
      <c r="D2333" t="s">
        <v>979</v>
      </c>
      <c r="E2333" t="s">
        <v>467</v>
      </c>
      <c r="F2333" t="s">
        <v>218</v>
      </c>
      <c r="G2333" t="s">
        <v>217</v>
      </c>
      <c r="H2333" t="s">
        <v>216</v>
      </c>
      <c r="I2333" t="s">
        <v>32</v>
      </c>
      <c r="J2333" t="s">
        <v>32</v>
      </c>
      <c r="K2333" s="4">
        <v>1495.83</v>
      </c>
      <c r="L2333" s="4">
        <v>1495.83</v>
      </c>
      <c r="M2333" t="s">
        <v>44</v>
      </c>
      <c r="N2333" t="s">
        <v>77</v>
      </c>
      <c r="O2333" t="s">
        <v>99</v>
      </c>
      <c r="P2333" t="s">
        <v>99</v>
      </c>
      <c r="Q2333" t="s">
        <v>159</v>
      </c>
      <c r="R2333" t="s">
        <v>219</v>
      </c>
      <c r="S2333" t="s">
        <v>197</v>
      </c>
      <c r="T2333" t="s">
        <v>198</v>
      </c>
      <c r="U2333" t="s">
        <v>163</v>
      </c>
      <c r="V2333" t="s">
        <v>164</v>
      </c>
      <c r="W2333" t="s">
        <v>116</v>
      </c>
      <c r="X2333" t="s">
        <v>44</v>
      </c>
      <c r="Y2333" t="s">
        <v>99</v>
      </c>
      <c r="Z2333" t="s">
        <v>421</v>
      </c>
      <c r="AC2333" t="str">
        <f>IF(AA2333="",M2333,AA2333)</f>
        <v>sim</v>
      </c>
      <c r="AD2333" t="str">
        <f>IF(AB2333="",X2333,AB2333)</f>
        <v>sim</v>
      </c>
      <c r="AE2333" t="str">
        <f>IF(OR(Configuracao!B9="",Configuracao!B10=""),"aguardando limiar",IF(AND(K2333&gt;=Configuracao!B9,K2333/MAX(Reconciliacao!C2,1)&gt;=Configuracao!B10/100),"sim","não"))</f>
        <v>aguardando limiar</v>
      </c>
    </row>
    <row r="2334" spans="1:31" x14ac:dyDescent="0.25">
      <c r="A2334">
        <v>11820</v>
      </c>
      <c r="C2334" t="s">
        <v>1414</v>
      </c>
      <c r="D2334" t="s">
        <v>1415</v>
      </c>
      <c r="E2334" t="s">
        <v>467</v>
      </c>
      <c r="F2334" t="s">
        <v>218</v>
      </c>
      <c r="G2334" t="s">
        <v>217</v>
      </c>
      <c r="H2334" t="s">
        <v>216</v>
      </c>
      <c r="I2334" t="s">
        <v>32</v>
      </c>
      <c r="J2334" t="s">
        <v>32</v>
      </c>
      <c r="K2334" s="4">
        <v>1541.67</v>
      </c>
      <c r="L2334" s="4">
        <v>1541.67</v>
      </c>
      <c r="M2334" t="s">
        <v>44</v>
      </c>
      <c r="N2334" t="s">
        <v>77</v>
      </c>
      <c r="O2334" t="s">
        <v>99</v>
      </c>
      <c r="P2334" t="s">
        <v>99</v>
      </c>
      <c r="Q2334" t="s">
        <v>159</v>
      </c>
      <c r="R2334" t="s">
        <v>219</v>
      </c>
      <c r="S2334" t="s">
        <v>197</v>
      </c>
      <c r="T2334" t="s">
        <v>198</v>
      </c>
      <c r="U2334" t="s">
        <v>163</v>
      </c>
      <c r="V2334" t="s">
        <v>164</v>
      </c>
      <c r="W2334" t="s">
        <v>116</v>
      </c>
      <c r="X2334" t="s">
        <v>44</v>
      </c>
      <c r="Y2334" t="s">
        <v>99</v>
      </c>
      <c r="Z2334" t="s">
        <v>421</v>
      </c>
      <c r="AC2334" t="str">
        <f>IF(AA2334="",M2334,AA2334)</f>
        <v>sim</v>
      </c>
      <c r="AD2334" t="str">
        <f>IF(AB2334="",X2334,AB2334)</f>
        <v>sim</v>
      </c>
      <c r="AE2334" t="str">
        <f>IF(OR(Configuracao!B9="",Configuracao!B10=""),"aguardando limiar",IF(AND(K2334&gt;=Configuracao!B9,K2334/MAX(Reconciliacao!C2,1)&gt;=Configuracao!B10/100),"sim","não"))</f>
        <v>aguardando limiar</v>
      </c>
    </row>
    <row r="2335" spans="1:31" x14ac:dyDescent="0.25">
      <c r="A2335">
        <v>11792</v>
      </c>
      <c r="C2335" t="s">
        <v>1377</v>
      </c>
      <c r="D2335" t="s">
        <v>1378</v>
      </c>
      <c r="E2335" t="s">
        <v>477</v>
      </c>
      <c r="F2335" t="s">
        <v>218</v>
      </c>
      <c r="G2335" t="s">
        <v>217</v>
      </c>
      <c r="H2335" t="s">
        <v>216</v>
      </c>
      <c r="I2335" t="s">
        <v>32</v>
      </c>
      <c r="J2335" t="s">
        <v>32</v>
      </c>
      <c r="K2335" s="4">
        <v>1562.5</v>
      </c>
      <c r="L2335" s="4">
        <v>1562.5</v>
      </c>
      <c r="M2335" t="s">
        <v>44</v>
      </c>
      <c r="N2335" t="s">
        <v>77</v>
      </c>
      <c r="O2335" t="s">
        <v>99</v>
      </c>
      <c r="P2335" t="s">
        <v>99</v>
      </c>
      <c r="Q2335" t="s">
        <v>159</v>
      </c>
      <c r="R2335" t="s">
        <v>219</v>
      </c>
      <c r="S2335" t="s">
        <v>197</v>
      </c>
      <c r="T2335" t="s">
        <v>198</v>
      </c>
      <c r="U2335" t="s">
        <v>163</v>
      </c>
      <c r="V2335" t="s">
        <v>164</v>
      </c>
      <c r="W2335" t="s">
        <v>116</v>
      </c>
      <c r="X2335" t="s">
        <v>44</v>
      </c>
      <c r="Y2335" t="s">
        <v>99</v>
      </c>
      <c r="Z2335" t="s">
        <v>421</v>
      </c>
      <c r="AC2335" t="str">
        <f>IF(AA2335="",M2335,AA2335)</f>
        <v>sim</v>
      </c>
      <c r="AD2335" t="str">
        <f>IF(AB2335="",X2335,AB2335)</f>
        <v>sim</v>
      </c>
      <c r="AE2335" t="str">
        <f>IF(OR(Configuracao!B9="",Configuracao!B10=""),"aguardando limiar",IF(AND(K2335&gt;=Configuracao!B9,K2335/MAX(Reconciliacao!C2,1)&gt;=Configuracao!B10/100),"sim","não"))</f>
        <v>aguardando limiar</v>
      </c>
    </row>
    <row r="2336" spans="1:31" x14ac:dyDescent="0.25">
      <c r="A2336">
        <v>10659</v>
      </c>
      <c r="D2336" t="s">
        <v>1453</v>
      </c>
      <c r="E2336" t="s">
        <v>467</v>
      </c>
      <c r="F2336" t="s">
        <v>218</v>
      </c>
      <c r="G2336" t="s">
        <v>217</v>
      </c>
      <c r="H2336" t="s">
        <v>216</v>
      </c>
      <c r="I2336" t="s">
        <v>32</v>
      </c>
      <c r="J2336" t="s">
        <v>32</v>
      </c>
      <c r="K2336" s="4">
        <v>1700</v>
      </c>
      <c r="L2336" s="4">
        <v>1700</v>
      </c>
      <c r="M2336" t="s">
        <v>44</v>
      </c>
      <c r="N2336" t="s">
        <v>77</v>
      </c>
      <c r="O2336" t="s">
        <v>99</v>
      </c>
      <c r="P2336" t="s">
        <v>99</v>
      </c>
      <c r="Q2336" t="s">
        <v>159</v>
      </c>
      <c r="R2336" t="s">
        <v>219</v>
      </c>
      <c r="S2336" t="s">
        <v>197</v>
      </c>
      <c r="T2336" t="s">
        <v>198</v>
      </c>
      <c r="U2336" t="s">
        <v>163</v>
      </c>
      <c r="V2336" t="s">
        <v>164</v>
      </c>
      <c r="W2336" t="s">
        <v>116</v>
      </c>
      <c r="X2336" t="s">
        <v>44</v>
      </c>
      <c r="Y2336" t="s">
        <v>99</v>
      </c>
      <c r="Z2336" t="s">
        <v>421</v>
      </c>
      <c r="AC2336" t="str">
        <f>IF(AA2336="",M2336,AA2336)</f>
        <v>sim</v>
      </c>
      <c r="AD2336" t="str">
        <f>IF(AB2336="",X2336,AB2336)</f>
        <v>sim</v>
      </c>
      <c r="AE2336" t="str">
        <f>IF(OR(Configuracao!B9="",Configuracao!B10=""),"aguardando limiar",IF(AND(K2336&gt;=Configuracao!B9,K2336/MAX(Reconciliacao!C2,1)&gt;=Configuracao!B10/100),"sim","não"))</f>
        <v>aguardando limiar</v>
      </c>
    </row>
    <row r="2337" spans="1:31" x14ac:dyDescent="0.25">
      <c r="A2337">
        <v>11798</v>
      </c>
      <c r="C2337" t="s">
        <v>1388</v>
      </c>
      <c r="D2337" t="s">
        <v>430</v>
      </c>
      <c r="E2337" t="s">
        <v>467</v>
      </c>
      <c r="F2337" t="s">
        <v>218</v>
      </c>
      <c r="G2337" t="s">
        <v>217</v>
      </c>
      <c r="H2337" t="s">
        <v>216</v>
      </c>
      <c r="I2337" t="s">
        <v>32</v>
      </c>
      <c r="J2337" t="s">
        <v>32</v>
      </c>
      <c r="K2337" s="4">
        <v>1700</v>
      </c>
      <c r="L2337" s="4">
        <v>1700</v>
      </c>
      <c r="M2337" t="s">
        <v>44</v>
      </c>
      <c r="N2337" t="s">
        <v>77</v>
      </c>
      <c r="O2337" t="s">
        <v>99</v>
      </c>
      <c r="P2337" t="s">
        <v>99</v>
      </c>
      <c r="Q2337" t="s">
        <v>159</v>
      </c>
      <c r="R2337" t="s">
        <v>219</v>
      </c>
      <c r="S2337" t="s">
        <v>197</v>
      </c>
      <c r="T2337" t="s">
        <v>198</v>
      </c>
      <c r="U2337" t="s">
        <v>163</v>
      </c>
      <c r="V2337" t="s">
        <v>164</v>
      </c>
      <c r="W2337" t="s">
        <v>116</v>
      </c>
      <c r="X2337" t="s">
        <v>44</v>
      </c>
      <c r="Y2337" t="s">
        <v>99</v>
      </c>
      <c r="Z2337" t="s">
        <v>421</v>
      </c>
      <c r="AC2337" t="str">
        <f>IF(AA2337="",M2337,AA2337)</f>
        <v>sim</v>
      </c>
      <c r="AD2337" t="str">
        <f>IF(AB2337="",X2337,AB2337)</f>
        <v>sim</v>
      </c>
      <c r="AE2337" t="str">
        <f>IF(OR(Configuracao!B9="",Configuracao!B10=""),"aguardando limiar",IF(AND(K2337&gt;=Configuracao!B9,K2337/MAX(Reconciliacao!C2,1)&gt;=Configuracao!B10/100),"sim","não"))</f>
        <v>aguardando limiar</v>
      </c>
    </row>
    <row r="2338" spans="1:31" x14ac:dyDescent="0.25">
      <c r="A2338">
        <v>11815</v>
      </c>
      <c r="C2338" t="s">
        <v>1420</v>
      </c>
      <c r="D2338" t="s">
        <v>1421</v>
      </c>
      <c r="E2338" t="s">
        <v>465</v>
      </c>
      <c r="F2338" t="s">
        <v>218</v>
      </c>
      <c r="G2338" t="s">
        <v>217</v>
      </c>
      <c r="H2338" t="s">
        <v>216</v>
      </c>
      <c r="I2338" t="s">
        <v>32</v>
      </c>
      <c r="J2338" t="s">
        <v>32</v>
      </c>
      <c r="K2338" s="4">
        <v>1833.33</v>
      </c>
      <c r="L2338" s="4">
        <v>1833.33</v>
      </c>
      <c r="M2338" t="s">
        <v>44</v>
      </c>
      <c r="N2338" t="s">
        <v>77</v>
      </c>
      <c r="O2338" t="s">
        <v>99</v>
      </c>
      <c r="P2338" t="s">
        <v>99</v>
      </c>
      <c r="Q2338" t="s">
        <v>159</v>
      </c>
      <c r="R2338" t="s">
        <v>219</v>
      </c>
      <c r="S2338" t="s">
        <v>197</v>
      </c>
      <c r="T2338" t="s">
        <v>198</v>
      </c>
      <c r="U2338" t="s">
        <v>163</v>
      </c>
      <c r="V2338" t="s">
        <v>164</v>
      </c>
      <c r="W2338" t="s">
        <v>116</v>
      </c>
      <c r="X2338" t="s">
        <v>44</v>
      </c>
      <c r="Y2338" t="s">
        <v>99</v>
      </c>
      <c r="Z2338" t="s">
        <v>421</v>
      </c>
      <c r="AC2338" t="str">
        <f>IF(AA2338="",M2338,AA2338)</f>
        <v>sim</v>
      </c>
      <c r="AD2338" t="str">
        <f>IF(AB2338="",X2338,AB2338)</f>
        <v>sim</v>
      </c>
      <c r="AE2338" t="str">
        <f>IF(OR(Configuracao!B9="",Configuracao!B10=""),"aguardando limiar",IF(AND(K2338&gt;=Configuracao!B9,K2338/MAX(Reconciliacao!C2,1)&gt;=Configuracao!B10/100),"sim","não"))</f>
        <v>aguardando limiar</v>
      </c>
    </row>
    <row r="2339" spans="1:31" x14ac:dyDescent="0.25">
      <c r="A2339">
        <v>11825</v>
      </c>
      <c r="C2339" t="s">
        <v>1403</v>
      </c>
      <c r="D2339" t="s">
        <v>1404</v>
      </c>
      <c r="E2339" t="s">
        <v>525</v>
      </c>
      <c r="F2339" t="s">
        <v>218</v>
      </c>
      <c r="G2339" t="s">
        <v>217</v>
      </c>
      <c r="H2339" t="s">
        <v>216</v>
      </c>
      <c r="I2339" t="s">
        <v>32</v>
      </c>
      <c r="J2339" t="s">
        <v>32</v>
      </c>
      <c r="K2339" s="4">
        <v>1833.34</v>
      </c>
      <c r="L2339" s="4">
        <v>1833.34</v>
      </c>
      <c r="M2339" t="s">
        <v>44</v>
      </c>
      <c r="N2339" t="s">
        <v>77</v>
      </c>
      <c r="O2339" t="s">
        <v>99</v>
      </c>
      <c r="P2339" t="s">
        <v>99</v>
      </c>
      <c r="Q2339" t="s">
        <v>159</v>
      </c>
      <c r="R2339" t="s">
        <v>219</v>
      </c>
      <c r="S2339" t="s">
        <v>197</v>
      </c>
      <c r="T2339" t="s">
        <v>198</v>
      </c>
      <c r="U2339" t="s">
        <v>163</v>
      </c>
      <c r="V2339" t="s">
        <v>164</v>
      </c>
      <c r="W2339" t="s">
        <v>116</v>
      </c>
      <c r="X2339" t="s">
        <v>44</v>
      </c>
      <c r="Y2339" t="s">
        <v>99</v>
      </c>
      <c r="Z2339" t="s">
        <v>421</v>
      </c>
      <c r="AC2339" t="str">
        <f>IF(AA2339="",M2339,AA2339)</f>
        <v>sim</v>
      </c>
      <c r="AD2339" t="str">
        <f>IF(AB2339="",X2339,AB2339)</f>
        <v>sim</v>
      </c>
      <c r="AE2339" t="str">
        <f>IF(OR(Configuracao!B9="",Configuracao!B10=""),"aguardando limiar",IF(AND(K2339&gt;=Configuracao!B9,K2339/MAX(Reconciliacao!C2,1)&gt;=Configuracao!B10/100),"sim","não"))</f>
        <v>aguardando limiar</v>
      </c>
    </row>
    <row r="2340" spans="1:31" x14ac:dyDescent="0.25">
      <c r="A2340">
        <v>11823</v>
      </c>
      <c r="D2340" t="s">
        <v>1474</v>
      </c>
      <c r="E2340" t="s">
        <v>224</v>
      </c>
      <c r="F2340" t="s">
        <v>218</v>
      </c>
      <c r="G2340" t="s">
        <v>217</v>
      </c>
      <c r="H2340" t="s">
        <v>216</v>
      </c>
      <c r="I2340" t="s">
        <v>32</v>
      </c>
      <c r="J2340" t="s">
        <v>32</v>
      </c>
      <c r="K2340" s="4">
        <v>1840</v>
      </c>
      <c r="L2340" s="4">
        <v>1840</v>
      </c>
      <c r="M2340" t="s">
        <v>44</v>
      </c>
      <c r="N2340" t="s">
        <v>77</v>
      </c>
      <c r="O2340" t="s">
        <v>99</v>
      </c>
      <c r="P2340" t="s">
        <v>99</v>
      </c>
      <c r="Q2340" t="s">
        <v>159</v>
      </c>
      <c r="R2340" t="s">
        <v>219</v>
      </c>
      <c r="S2340" t="s">
        <v>197</v>
      </c>
      <c r="T2340" t="s">
        <v>198</v>
      </c>
      <c r="U2340" t="s">
        <v>163</v>
      </c>
      <c r="V2340" t="s">
        <v>164</v>
      </c>
      <c r="W2340" t="s">
        <v>116</v>
      </c>
      <c r="X2340" t="s">
        <v>44</v>
      </c>
      <c r="Y2340" t="s">
        <v>99</v>
      </c>
      <c r="Z2340" t="s">
        <v>421</v>
      </c>
      <c r="AC2340" t="str">
        <f>IF(AA2340="",M2340,AA2340)</f>
        <v>sim</v>
      </c>
      <c r="AD2340" t="str">
        <f>IF(AB2340="",X2340,AB2340)</f>
        <v>sim</v>
      </c>
      <c r="AE2340" t="str">
        <f>IF(OR(Configuracao!B9="",Configuracao!B10=""),"aguardando limiar",IF(AND(K2340&gt;=Configuracao!B9,K2340/MAX(Reconciliacao!C2,1)&gt;=Configuracao!B10/100),"sim","não"))</f>
        <v>aguardando limiar</v>
      </c>
    </row>
    <row r="2341" spans="1:31" x14ac:dyDescent="0.25">
      <c r="A2341">
        <v>11819</v>
      </c>
      <c r="C2341" t="s">
        <v>1434</v>
      </c>
      <c r="D2341" t="s">
        <v>1435</v>
      </c>
      <c r="E2341" t="s">
        <v>467</v>
      </c>
      <c r="F2341" t="s">
        <v>218</v>
      </c>
      <c r="G2341" t="s">
        <v>217</v>
      </c>
      <c r="H2341" t="s">
        <v>216</v>
      </c>
      <c r="I2341" t="s">
        <v>32</v>
      </c>
      <c r="J2341" t="s">
        <v>32</v>
      </c>
      <c r="K2341" s="4">
        <v>2016.5</v>
      </c>
      <c r="L2341" s="4">
        <v>2016.5</v>
      </c>
      <c r="M2341" t="s">
        <v>44</v>
      </c>
      <c r="N2341" t="s">
        <v>77</v>
      </c>
      <c r="O2341" t="s">
        <v>99</v>
      </c>
      <c r="P2341" t="s">
        <v>99</v>
      </c>
      <c r="Q2341" t="s">
        <v>159</v>
      </c>
      <c r="R2341" t="s">
        <v>219</v>
      </c>
      <c r="S2341" t="s">
        <v>197</v>
      </c>
      <c r="T2341" t="s">
        <v>198</v>
      </c>
      <c r="U2341" t="s">
        <v>163</v>
      </c>
      <c r="V2341" t="s">
        <v>164</v>
      </c>
      <c r="W2341" t="s">
        <v>116</v>
      </c>
      <c r="X2341" t="s">
        <v>44</v>
      </c>
      <c r="Y2341" t="s">
        <v>99</v>
      </c>
      <c r="Z2341" t="s">
        <v>421</v>
      </c>
      <c r="AC2341" t="str">
        <f>IF(AA2341="",M2341,AA2341)</f>
        <v>sim</v>
      </c>
      <c r="AD2341" t="str">
        <f>IF(AB2341="",X2341,AB2341)</f>
        <v>sim</v>
      </c>
      <c r="AE2341" t="str">
        <f>IF(OR(Configuracao!B9="",Configuracao!B10=""),"aguardando limiar",IF(AND(K2341&gt;=Configuracao!B9,K2341/MAX(Reconciliacao!C2,1)&gt;=Configuracao!B10/100),"sim","não"))</f>
        <v>aguardando limiar</v>
      </c>
    </row>
    <row r="2342" spans="1:31" x14ac:dyDescent="0.25">
      <c r="A2342">
        <v>11806</v>
      </c>
      <c r="C2342" t="s">
        <v>1390</v>
      </c>
      <c r="D2342" t="s">
        <v>1391</v>
      </c>
      <c r="E2342" t="s">
        <v>467</v>
      </c>
      <c r="F2342" t="s">
        <v>218</v>
      </c>
      <c r="G2342" t="s">
        <v>217</v>
      </c>
      <c r="H2342" t="s">
        <v>216</v>
      </c>
      <c r="I2342" t="s">
        <v>32</v>
      </c>
      <c r="J2342" t="s">
        <v>32</v>
      </c>
      <c r="K2342" s="4">
        <v>2016.67</v>
      </c>
      <c r="L2342" s="4">
        <v>2016.67</v>
      </c>
      <c r="M2342" t="s">
        <v>44</v>
      </c>
      <c r="N2342" t="s">
        <v>77</v>
      </c>
      <c r="O2342" t="s">
        <v>99</v>
      </c>
      <c r="P2342" t="s">
        <v>99</v>
      </c>
      <c r="Q2342" t="s">
        <v>159</v>
      </c>
      <c r="R2342" t="s">
        <v>219</v>
      </c>
      <c r="S2342" t="s">
        <v>197</v>
      </c>
      <c r="T2342" t="s">
        <v>198</v>
      </c>
      <c r="U2342" t="s">
        <v>163</v>
      </c>
      <c r="V2342" t="s">
        <v>164</v>
      </c>
      <c r="W2342" t="s">
        <v>116</v>
      </c>
      <c r="X2342" t="s">
        <v>44</v>
      </c>
      <c r="Y2342" t="s">
        <v>99</v>
      </c>
      <c r="Z2342" t="s">
        <v>421</v>
      </c>
      <c r="AC2342" t="str">
        <f>IF(AA2342="",M2342,AA2342)</f>
        <v>sim</v>
      </c>
      <c r="AD2342" t="str">
        <f>IF(AB2342="",X2342,AB2342)</f>
        <v>sim</v>
      </c>
      <c r="AE2342" t="str">
        <f>IF(OR(Configuracao!B9="",Configuracao!B10=""),"aguardando limiar",IF(AND(K2342&gt;=Configuracao!B9,K2342/MAX(Reconciliacao!C2,1)&gt;=Configuracao!B10/100),"sim","não"))</f>
        <v>aguardando limiar</v>
      </c>
    </row>
    <row r="2343" spans="1:31" x14ac:dyDescent="0.25">
      <c r="A2343">
        <v>11811</v>
      </c>
      <c r="C2343" t="s">
        <v>1429</v>
      </c>
      <c r="D2343" t="s">
        <v>914</v>
      </c>
      <c r="E2343" t="s">
        <v>511</v>
      </c>
      <c r="F2343" t="s">
        <v>218</v>
      </c>
      <c r="G2343" t="s">
        <v>217</v>
      </c>
      <c r="H2343" t="s">
        <v>216</v>
      </c>
      <c r="I2343" t="s">
        <v>32</v>
      </c>
      <c r="J2343" t="s">
        <v>32</v>
      </c>
      <c r="K2343" s="4">
        <v>2035.66</v>
      </c>
      <c r="L2343" s="4">
        <v>2035.66</v>
      </c>
      <c r="M2343" t="s">
        <v>44</v>
      </c>
      <c r="N2343" t="s">
        <v>77</v>
      </c>
      <c r="O2343" t="s">
        <v>99</v>
      </c>
      <c r="P2343" t="s">
        <v>99</v>
      </c>
      <c r="Q2343" t="s">
        <v>159</v>
      </c>
      <c r="R2343" t="s">
        <v>219</v>
      </c>
      <c r="S2343" t="s">
        <v>197</v>
      </c>
      <c r="T2343" t="s">
        <v>198</v>
      </c>
      <c r="U2343" t="s">
        <v>163</v>
      </c>
      <c r="V2343" t="s">
        <v>164</v>
      </c>
      <c r="W2343" t="s">
        <v>116</v>
      </c>
      <c r="X2343" t="s">
        <v>44</v>
      </c>
      <c r="Y2343" t="s">
        <v>99</v>
      </c>
      <c r="Z2343" t="s">
        <v>421</v>
      </c>
      <c r="AC2343" t="str">
        <f>IF(AA2343="",M2343,AA2343)</f>
        <v>sim</v>
      </c>
      <c r="AD2343" t="str">
        <f>IF(AB2343="",X2343,AB2343)</f>
        <v>sim</v>
      </c>
      <c r="AE2343" t="str">
        <f>IF(OR(Configuracao!B9="",Configuracao!B10=""),"aguardando limiar",IF(AND(K2343&gt;=Configuracao!B9,K2343/MAX(Reconciliacao!C2,1)&gt;=Configuracao!B10/100),"sim","não"))</f>
        <v>aguardando limiar</v>
      </c>
    </row>
    <row r="2344" spans="1:31" x14ac:dyDescent="0.25">
      <c r="A2344">
        <v>11822</v>
      </c>
      <c r="C2344" t="s">
        <v>1398</v>
      </c>
      <c r="D2344" t="s">
        <v>1399</v>
      </c>
      <c r="E2344" t="s">
        <v>467</v>
      </c>
      <c r="F2344" t="s">
        <v>218</v>
      </c>
      <c r="G2344" t="s">
        <v>217</v>
      </c>
      <c r="H2344" t="s">
        <v>216</v>
      </c>
      <c r="I2344" t="s">
        <v>32</v>
      </c>
      <c r="J2344" t="s">
        <v>32</v>
      </c>
      <c r="K2344" s="4">
        <v>2112.5</v>
      </c>
      <c r="L2344" s="4">
        <v>2112.5</v>
      </c>
      <c r="M2344" t="s">
        <v>44</v>
      </c>
      <c r="N2344" t="s">
        <v>77</v>
      </c>
      <c r="O2344" t="s">
        <v>99</v>
      </c>
      <c r="P2344" t="s">
        <v>99</v>
      </c>
      <c r="Q2344" t="s">
        <v>159</v>
      </c>
      <c r="R2344" t="s">
        <v>219</v>
      </c>
      <c r="S2344" t="s">
        <v>197</v>
      </c>
      <c r="T2344" t="s">
        <v>198</v>
      </c>
      <c r="U2344" t="s">
        <v>163</v>
      </c>
      <c r="V2344" t="s">
        <v>164</v>
      </c>
      <c r="W2344" t="s">
        <v>116</v>
      </c>
      <c r="X2344" t="s">
        <v>44</v>
      </c>
      <c r="Y2344" t="s">
        <v>99</v>
      </c>
      <c r="Z2344" t="s">
        <v>421</v>
      </c>
      <c r="AC2344" t="str">
        <f>IF(AA2344="",M2344,AA2344)</f>
        <v>sim</v>
      </c>
      <c r="AD2344" t="str">
        <f>IF(AB2344="",X2344,AB2344)</f>
        <v>sim</v>
      </c>
      <c r="AE2344" t="str">
        <f>IF(OR(Configuracao!B9="",Configuracao!B10=""),"aguardando limiar",IF(AND(K2344&gt;=Configuracao!B9,K2344/MAX(Reconciliacao!C2,1)&gt;=Configuracao!B10/100),"sim","não"))</f>
        <v>aguardando limiar</v>
      </c>
    </row>
    <row r="2345" spans="1:31" x14ac:dyDescent="0.25">
      <c r="A2345">
        <v>11803</v>
      </c>
      <c r="C2345" t="s">
        <v>1393</v>
      </c>
      <c r="D2345" t="s">
        <v>917</v>
      </c>
      <c r="E2345" t="s">
        <v>511</v>
      </c>
      <c r="F2345" t="s">
        <v>218</v>
      </c>
      <c r="G2345" t="s">
        <v>217</v>
      </c>
      <c r="H2345" t="s">
        <v>216</v>
      </c>
      <c r="I2345" t="s">
        <v>32</v>
      </c>
      <c r="J2345" t="s">
        <v>32</v>
      </c>
      <c r="K2345" s="4">
        <v>2562.5</v>
      </c>
      <c r="L2345" s="4">
        <v>2562.5</v>
      </c>
      <c r="M2345" t="s">
        <v>44</v>
      </c>
      <c r="N2345" t="s">
        <v>77</v>
      </c>
      <c r="O2345" t="s">
        <v>99</v>
      </c>
      <c r="P2345" t="s">
        <v>99</v>
      </c>
      <c r="Q2345" t="s">
        <v>159</v>
      </c>
      <c r="R2345" t="s">
        <v>219</v>
      </c>
      <c r="S2345" t="s">
        <v>197</v>
      </c>
      <c r="T2345" t="s">
        <v>198</v>
      </c>
      <c r="U2345" t="s">
        <v>163</v>
      </c>
      <c r="V2345" t="s">
        <v>164</v>
      </c>
      <c r="W2345" t="s">
        <v>116</v>
      </c>
      <c r="X2345" t="s">
        <v>44</v>
      </c>
      <c r="Y2345" t="s">
        <v>99</v>
      </c>
      <c r="Z2345" t="s">
        <v>421</v>
      </c>
      <c r="AC2345" t="str">
        <f>IF(AA2345="",M2345,AA2345)</f>
        <v>sim</v>
      </c>
      <c r="AD2345" t="str">
        <f>IF(AB2345="",X2345,AB2345)</f>
        <v>sim</v>
      </c>
      <c r="AE2345" t="str">
        <f>IF(OR(Configuracao!B9="",Configuracao!B10=""),"aguardando limiar",IF(AND(K2345&gt;=Configuracao!B9,K2345/MAX(Reconciliacao!C2,1)&gt;=Configuracao!B10/100),"sim","não"))</f>
        <v>aguardando limiar</v>
      </c>
    </row>
    <row r="2346" spans="1:31" x14ac:dyDescent="0.25">
      <c r="A2346">
        <v>11801</v>
      </c>
      <c r="C2346" t="s">
        <v>1410</v>
      </c>
      <c r="D2346" t="s">
        <v>1411</v>
      </c>
      <c r="E2346" t="s">
        <v>467</v>
      </c>
      <c r="F2346" t="s">
        <v>218</v>
      </c>
      <c r="G2346" t="s">
        <v>217</v>
      </c>
      <c r="H2346" t="s">
        <v>216</v>
      </c>
      <c r="I2346" t="s">
        <v>32</v>
      </c>
      <c r="J2346" t="s">
        <v>32</v>
      </c>
      <c r="K2346" s="4">
        <v>2875</v>
      </c>
      <c r="L2346" s="4">
        <v>2875</v>
      </c>
      <c r="M2346" t="s">
        <v>44</v>
      </c>
      <c r="N2346" t="s">
        <v>77</v>
      </c>
      <c r="O2346" t="s">
        <v>99</v>
      </c>
      <c r="P2346" t="s">
        <v>99</v>
      </c>
      <c r="Q2346" t="s">
        <v>159</v>
      </c>
      <c r="R2346" t="s">
        <v>219</v>
      </c>
      <c r="S2346" t="s">
        <v>197</v>
      </c>
      <c r="T2346" t="s">
        <v>198</v>
      </c>
      <c r="U2346" t="s">
        <v>163</v>
      </c>
      <c r="V2346" t="s">
        <v>164</v>
      </c>
      <c r="W2346" t="s">
        <v>116</v>
      </c>
      <c r="X2346" t="s">
        <v>44</v>
      </c>
      <c r="Y2346" t="s">
        <v>99</v>
      </c>
      <c r="Z2346" t="s">
        <v>421</v>
      </c>
      <c r="AC2346" t="str">
        <f>IF(AA2346="",M2346,AA2346)</f>
        <v>sim</v>
      </c>
      <c r="AD2346" t="str">
        <f>IF(AB2346="",X2346,AB2346)</f>
        <v>sim</v>
      </c>
      <c r="AE2346" t="str">
        <f>IF(OR(Configuracao!B9="",Configuracao!B10=""),"aguardando limiar",IF(AND(K2346&gt;=Configuracao!B9,K2346/MAX(Reconciliacao!C2,1)&gt;=Configuracao!B10/100),"sim","não"))</f>
        <v>aguardando limiar</v>
      </c>
    </row>
    <row r="2347" spans="1:31" x14ac:dyDescent="0.25">
      <c r="A2347">
        <v>11812</v>
      </c>
      <c r="C2347" t="s">
        <v>1441</v>
      </c>
      <c r="D2347" t="s">
        <v>1442</v>
      </c>
      <c r="E2347" t="s">
        <v>465</v>
      </c>
      <c r="F2347" t="s">
        <v>218</v>
      </c>
      <c r="G2347" t="s">
        <v>217</v>
      </c>
      <c r="H2347" t="s">
        <v>216</v>
      </c>
      <c r="I2347" t="s">
        <v>32</v>
      </c>
      <c r="J2347" t="s">
        <v>32</v>
      </c>
      <c r="K2347" s="4">
        <v>2916.67</v>
      </c>
      <c r="L2347" s="4">
        <v>2916.67</v>
      </c>
      <c r="M2347" t="s">
        <v>44</v>
      </c>
      <c r="N2347" t="s">
        <v>77</v>
      </c>
      <c r="O2347" t="s">
        <v>99</v>
      </c>
      <c r="P2347" t="s">
        <v>99</v>
      </c>
      <c r="Q2347" t="s">
        <v>159</v>
      </c>
      <c r="R2347" t="s">
        <v>219</v>
      </c>
      <c r="S2347" t="s">
        <v>197</v>
      </c>
      <c r="T2347" t="s">
        <v>198</v>
      </c>
      <c r="U2347" t="s">
        <v>163</v>
      </c>
      <c r="V2347" t="s">
        <v>164</v>
      </c>
      <c r="W2347" t="s">
        <v>116</v>
      </c>
      <c r="X2347" t="s">
        <v>44</v>
      </c>
      <c r="Y2347" t="s">
        <v>99</v>
      </c>
      <c r="Z2347" t="s">
        <v>421</v>
      </c>
      <c r="AC2347" t="str">
        <f>IF(AA2347="",M2347,AA2347)</f>
        <v>sim</v>
      </c>
      <c r="AD2347" t="str">
        <f>IF(AB2347="",X2347,AB2347)</f>
        <v>sim</v>
      </c>
      <c r="AE2347" t="str">
        <f>IF(OR(Configuracao!B9="",Configuracao!B10=""),"aguardando limiar",IF(AND(K2347&gt;=Configuracao!B9,K2347/MAX(Reconciliacao!C2,1)&gt;=Configuracao!B10/100),"sim","não"))</f>
        <v>aguardando limiar</v>
      </c>
    </row>
    <row r="2348" spans="1:31" x14ac:dyDescent="0.25">
      <c r="A2348">
        <v>11804</v>
      </c>
      <c r="C2348" t="s">
        <v>1389</v>
      </c>
      <c r="D2348" t="s">
        <v>865</v>
      </c>
      <c r="E2348" t="s">
        <v>445</v>
      </c>
      <c r="F2348" t="s">
        <v>218</v>
      </c>
      <c r="G2348" t="s">
        <v>217</v>
      </c>
      <c r="H2348" t="s">
        <v>216</v>
      </c>
      <c r="I2348" t="s">
        <v>32</v>
      </c>
      <c r="J2348" t="s">
        <v>32</v>
      </c>
      <c r="K2348" s="4">
        <v>2933.34</v>
      </c>
      <c r="L2348" s="4">
        <v>2933.34</v>
      </c>
      <c r="M2348" t="s">
        <v>44</v>
      </c>
      <c r="N2348" t="s">
        <v>77</v>
      </c>
      <c r="O2348" t="s">
        <v>99</v>
      </c>
      <c r="P2348" t="s">
        <v>99</v>
      </c>
      <c r="Q2348" t="s">
        <v>159</v>
      </c>
      <c r="R2348" t="s">
        <v>219</v>
      </c>
      <c r="S2348" t="s">
        <v>197</v>
      </c>
      <c r="T2348" t="s">
        <v>198</v>
      </c>
      <c r="U2348" t="s">
        <v>163</v>
      </c>
      <c r="V2348" t="s">
        <v>164</v>
      </c>
      <c r="W2348" t="s">
        <v>116</v>
      </c>
      <c r="X2348" t="s">
        <v>44</v>
      </c>
      <c r="Y2348" t="s">
        <v>99</v>
      </c>
      <c r="Z2348" t="s">
        <v>421</v>
      </c>
      <c r="AC2348" t="str">
        <f>IF(AA2348="",M2348,AA2348)</f>
        <v>sim</v>
      </c>
      <c r="AD2348" t="str">
        <f>IF(AB2348="",X2348,AB2348)</f>
        <v>sim</v>
      </c>
      <c r="AE2348" t="str">
        <f>IF(OR(Configuracao!B9="",Configuracao!B10=""),"aguardando limiar",IF(AND(K2348&gt;=Configuracao!B9,K2348/MAX(Reconciliacao!C2,1)&gt;=Configuracao!B10/100),"sim","não"))</f>
        <v>aguardando limiar</v>
      </c>
    </row>
    <row r="2349" spans="1:31" x14ac:dyDescent="0.25">
      <c r="A2349">
        <v>11817</v>
      </c>
      <c r="C2349" t="s">
        <v>1431</v>
      </c>
      <c r="D2349" t="s">
        <v>885</v>
      </c>
      <c r="E2349" t="s">
        <v>445</v>
      </c>
      <c r="F2349" t="s">
        <v>218</v>
      </c>
      <c r="G2349" t="s">
        <v>217</v>
      </c>
      <c r="H2349" t="s">
        <v>216</v>
      </c>
      <c r="I2349" t="s">
        <v>32</v>
      </c>
      <c r="J2349" t="s">
        <v>32</v>
      </c>
      <c r="K2349" s="4">
        <v>2933.34</v>
      </c>
      <c r="L2349" s="4">
        <v>2933.34</v>
      </c>
      <c r="M2349" t="s">
        <v>44</v>
      </c>
      <c r="N2349" t="s">
        <v>77</v>
      </c>
      <c r="O2349" t="s">
        <v>99</v>
      </c>
      <c r="P2349" t="s">
        <v>99</v>
      </c>
      <c r="Q2349" t="s">
        <v>159</v>
      </c>
      <c r="R2349" t="s">
        <v>219</v>
      </c>
      <c r="S2349" t="s">
        <v>197</v>
      </c>
      <c r="T2349" t="s">
        <v>198</v>
      </c>
      <c r="U2349" t="s">
        <v>163</v>
      </c>
      <c r="V2349" t="s">
        <v>164</v>
      </c>
      <c r="W2349" t="s">
        <v>116</v>
      </c>
      <c r="X2349" t="s">
        <v>44</v>
      </c>
      <c r="Y2349" t="s">
        <v>99</v>
      </c>
      <c r="Z2349" t="s">
        <v>421</v>
      </c>
      <c r="AC2349" t="str">
        <f>IF(AA2349="",M2349,AA2349)</f>
        <v>sim</v>
      </c>
      <c r="AD2349" t="str">
        <f>IF(AB2349="",X2349,AB2349)</f>
        <v>sim</v>
      </c>
      <c r="AE2349" t="str">
        <f>IF(OR(Configuracao!B9="",Configuracao!B10=""),"aguardando limiar",IF(AND(K2349&gt;=Configuracao!B9,K2349/MAX(Reconciliacao!C2,1)&gt;=Configuracao!B10/100),"sim","não"))</f>
        <v>aguardando limiar</v>
      </c>
    </row>
    <row r="2350" spans="1:31" x14ac:dyDescent="0.25">
      <c r="A2350">
        <v>11810</v>
      </c>
      <c r="C2350" t="s">
        <v>1424</v>
      </c>
      <c r="D2350" t="s">
        <v>923</v>
      </c>
      <c r="E2350" t="s">
        <v>467</v>
      </c>
      <c r="F2350" t="s">
        <v>218</v>
      </c>
      <c r="G2350" t="s">
        <v>217</v>
      </c>
      <c r="H2350" t="s">
        <v>216</v>
      </c>
      <c r="I2350" t="s">
        <v>32</v>
      </c>
      <c r="J2350" t="s">
        <v>32</v>
      </c>
      <c r="K2350" s="4">
        <v>3000</v>
      </c>
      <c r="L2350" s="4">
        <v>3000</v>
      </c>
      <c r="M2350" t="s">
        <v>44</v>
      </c>
      <c r="N2350" t="s">
        <v>77</v>
      </c>
      <c r="O2350" t="s">
        <v>99</v>
      </c>
      <c r="P2350" t="s">
        <v>99</v>
      </c>
      <c r="Q2350" t="s">
        <v>159</v>
      </c>
      <c r="R2350" t="s">
        <v>219</v>
      </c>
      <c r="S2350" t="s">
        <v>197</v>
      </c>
      <c r="T2350" t="s">
        <v>198</v>
      </c>
      <c r="U2350" t="s">
        <v>163</v>
      </c>
      <c r="V2350" t="s">
        <v>164</v>
      </c>
      <c r="W2350" t="s">
        <v>116</v>
      </c>
      <c r="X2350" t="s">
        <v>44</v>
      </c>
      <c r="Y2350" t="s">
        <v>99</v>
      </c>
      <c r="Z2350" t="s">
        <v>421</v>
      </c>
      <c r="AC2350" t="str">
        <f>IF(AA2350="",M2350,AA2350)</f>
        <v>sim</v>
      </c>
      <c r="AD2350" t="str">
        <f>IF(AB2350="",X2350,AB2350)</f>
        <v>sim</v>
      </c>
      <c r="AE2350" t="str">
        <f>IF(OR(Configuracao!B9="",Configuracao!B10=""),"aguardando limiar",IF(AND(K2350&gt;=Configuracao!B9,K2350/MAX(Reconciliacao!C2,1)&gt;=Configuracao!B10/100),"sim","não"))</f>
        <v>aguardando limiar</v>
      </c>
    </row>
    <row r="2351" spans="1:31" x14ac:dyDescent="0.25">
      <c r="A2351">
        <v>11813</v>
      </c>
      <c r="C2351" t="s">
        <v>1416</v>
      </c>
      <c r="D2351" t="s">
        <v>1417</v>
      </c>
      <c r="E2351" t="s">
        <v>511</v>
      </c>
      <c r="F2351" t="s">
        <v>218</v>
      </c>
      <c r="G2351" t="s">
        <v>217</v>
      </c>
      <c r="H2351" t="s">
        <v>216</v>
      </c>
      <c r="I2351" t="s">
        <v>32</v>
      </c>
      <c r="J2351" t="s">
        <v>32</v>
      </c>
      <c r="K2351" s="4">
        <v>3000</v>
      </c>
      <c r="L2351" s="4">
        <v>3000</v>
      </c>
      <c r="M2351" t="s">
        <v>44</v>
      </c>
      <c r="N2351" t="s">
        <v>77</v>
      </c>
      <c r="O2351" t="s">
        <v>99</v>
      </c>
      <c r="P2351" t="s">
        <v>99</v>
      </c>
      <c r="Q2351" t="s">
        <v>159</v>
      </c>
      <c r="R2351" t="s">
        <v>219</v>
      </c>
      <c r="S2351" t="s">
        <v>197</v>
      </c>
      <c r="T2351" t="s">
        <v>198</v>
      </c>
      <c r="U2351" t="s">
        <v>163</v>
      </c>
      <c r="V2351" t="s">
        <v>164</v>
      </c>
      <c r="W2351" t="s">
        <v>116</v>
      </c>
      <c r="X2351" t="s">
        <v>44</v>
      </c>
      <c r="Y2351" t="s">
        <v>99</v>
      </c>
      <c r="Z2351" t="s">
        <v>421</v>
      </c>
      <c r="AC2351" t="str">
        <f>IF(AA2351="",M2351,AA2351)</f>
        <v>sim</v>
      </c>
      <c r="AD2351" t="str">
        <f>IF(AB2351="",X2351,AB2351)</f>
        <v>sim</v>
      </c>
      <c r="AE2351" t="str">
        <f>IF(OR(Configuracao!B9="",Configuracao!B10=""),"aguardando limiar",IF(AND(K2351&gt;=Configuracao!B9,K2351/MAX(Reconciliacao!C2,1)&gt;=Configuracao!B10/100),"sim","não"))</f>
        <v>aguardando limiar</v>
      </c>
    </row>
    <row r="2352" spans="1:31" x14ac:dyDescent="0.25">
      <c r="A2352">
        <v>10692</v>
      </c>
      <c r="D2352" t="s">
        <v>1495</v>
      </c>
      <c r="E2352" t="s">
        <v>1138</v>
      </c>
      <c r="F2352" t="s">
        <v>218</v>
      </c>
      <c r="G2352" t="s">
        <v>217</v>
      </c>
      <c r="H2352" t="s">
        <v>216</v>
      </c>
      <c r="I2352" t="s">
        <v>32</v>
      </c>
      <c r="J2352" t="s">
        <v>32</v>
      </c>
      <c r="K2352" s="4">
        <v>3416.66</v>
      </c>
      <c r="L2352" s="4">
        <v>3416.66</v>
      </c>
      <c r="M2352" t="s">
        <v>44</v>
      </c>
      <c r="N2352" t="s">
        <v>77</v>
      </c>
      <c r="O2352" t="s">
        <v>99</v>
      </c>
      <c r="P2352" t="s">
        <v>99</v>
      </c>
      <c r="Q2352" t="s">
        <v>159</v>
      </c>
      <c r="R2352" t="s">
        <v>219</v>
      </c>
      <c r="S2352" t="s">
        <v>197</v>
      </c>
      <c r="T2352" t="s">
        <v>198</v>
      </c>
      <c r="U2352" t="s">
        <v>163</v>
      </c>
      <c r="V2352" t="s">
        <v>164</v>
      </c>
      <c r="W2352" t="s">
        <v>116</v>
      </c>
      <c r="X2352" t="s">
        <v>44</v>
      </c>
      <c r="Y2352" t="s">
        <v>99</v>
      </c>
      <c r="Z2352" t="s">
        <v>421</v>
      </c>
      <c r="AC2352" t="str">
        <f>IF(AA2352="",M2352,AA2352)</f>
        <v>sim</v>
      </c>
      <c r="AD2352" t="str">
        <f>IF(AB2352="",X2352,AB2352)</f>
        <v>sim</v>
      </c>
      <c r="AE2352" t="str">
        <f>IF(OR(Configuracao!B9="",Configuracao!B10=""),"aguardando limiar",IF(AND(K2352&gt;=Configuracao!B9,K2352/MAX(Reconciliacao!C2,1)&gt;=Configuracao!B10/100),"sim","não"))</f>
        <v>aguardando limiar</v>
      </c>
    </row>
    <row r="2353" spans="1:31" x14ac:dyDescent="0.25">
      <c r="A2353">
        <v>11802</v>
      </c>
      <c r="C2353" t="s">
        <v>1406</v>
      </c>
      <c r="D2353" t="s">
        <v>1407</v>
      </c>
      <c r="E2353" t="s">
        <v>467</v>
      </c>
      <c r="F2353" t="s">
        <v>218</v>
      </c>
      <c r="G2353" t="s">
        <v>217</v>
      </c>
      <c r="H2353" t="s">
        <v>216</v>
      </c>
      <c r="I2353" t="s">
        <v>32</v>
      </c>
      <c r="J2353" t="s">
        <v>32</v>
      </c>
      <c r="K2353" s="4">
        <v>3875</v>
      </c>
      <c r="L2353" s="4">
        <v>3875</v>
      </c>
      <c r="M2353" t="s">
        <v>44</v>
      </c>
      <c r="N2353" t="s">
        <v>77</v>
      </c>
      <c r="O2353" t="s">
        <v>99</v>
      </c>
      <c r="P2353" t="s">
        <v>99</v>
      </c>
      <c r="Q2353" t="s">
        <v>159</v>
      </c>
      <c r="R2353" t="s">
        <v>219</v>
      </c>
      <c r="S2353" t="s">
        <v>197</v>
      </c>
      <c r="T2353" t="s">
        <v>198</v>
      </c>
      <c r="U2353" t="s">
        <v>163</v>
      </c>
      <c r="V2353" t="s">
        <v>164</v>
      </c>
      <c r="W2353" t="s">
        <v>116</v>
      </c>
      <c r="X2353" t="s">
        <v>44</v>
      </c>
      <c r="Y2353" t="s">
        <v>99</v>
      </c>
      <c r="Z2353" t="s">
        <v>421</v>
      </c>
      <c r="AC2353" t="str">
        <f>IF(AA2353="",M2353,AA2353)</f>
        <v>sim</v>
      </c>
      <c r="AD2353" t="str">
        <f>IF(AB2353="",X2353,AB2353)</f>
        <v>sim</v>
      </c>
      <c r="AE2353" t="str">
        <f>IF(OR(Configuracao!B9="",Configuracao!B10=""),"aguardando limiar",IF(AND(K2353&gt;=Configuracao!B9,K2353/MAX(Reconciliacao!C2,1)&gt;=Configuracao!B10/100),"sim","não"))</f>
        <v>aguardando limiar</v>
      </c>
    </row>
    <row r="2354" spans="1:31" x14ac:dyDescent="0.25">
      <c r="A2354">
        <v>11796</v>
      </c>
      <c r="C2354" t="s">
        <v>1383</v>
      </c>
      <c r="D2354" t="s">
        <v>1384</v>
      </c>
      <c r="E2354" t="s">
        <v>477</v>
      </c>
      <c r="F2354" t="s">
        <v>218</v>
      </c>
      <c r="G2354" t="s">
        <v>217</v>
      </c>
      <c r="H2354" t="s">
        <v>216</v>
      </c>
      <c r="I2354" t="s">
        <v>32</v>
      </c>
      <c r="J2354" t="s">
        <v>32</v>
      </c>
      <c r="K2354" s="4">
        <v>4104.17</v>
      </c>
      <c r="L2354" s="4">
        <v>4104.17</v>
      </c>
      <c r="M2354" t="s">
        <v>44</v>
      </c>
      <c r="N2354" t="s">
        <v>77</v>
      </c>
      <c r="O2354" t="s">
        <v>99</v>
      </c>
      <c r="P2354" t="s">
        <v>99</v>
      </c>
      <c r="Q2354" t="s">
        <v>159</v>
      </c>
      <c r="R2354" t="s">
        <v>219</v>
      </c>
      <c r="S2354" t="s">
        <v>197</v>
      </c>
      <c r="T2354" t="s">
        <v>198</v>
      </c>
      <c r="U2354" t="s">
        <v>163</v>
      </c>
      <c r="V2354" t="s">
        <v>164</v>
      </c>
      <c r="W2354" t="s">
        <v>116</v>
      </c>
      <c r="X2354" t="s">
        <v>44</v>
      </c>
      <c r="Y2354" t="s">
        <v>99</v>
      </c>
      <c r="Z2354" t="s">
        <v>421</v>
      </c>
      <c r="AC2354" t="str">
        <f>IF(AA2354="",M2354,AA2354)</f>
        <v>sim</v>
      </c>
      <c r="AD2354" t="str">
        <f>IF(AB2354="",X2354,AB2354)</f>
        <v>sim</v>
      </c>
      <c r="AE2354" t="str">
        <f>IF(OR(Configuracao!B9="",Configuracao!B10=""),"aguardando limiar",IF(AND(K2354&gt;=Configuracao!B9,K2354/MAX(Reconciliacao!C2,1)&gt;=Configuracao!B10/100),"sim","não"))</f>
        <v>aguardando limiar</v>
      </c>
    </row>
    <row r="2355" spans="1:31" x14ac:dyDescent="0.25">
      <c r="A2355">
        <v>11789</v>
      </c>
      <c r="C2355" t="s">
        <v>1373</v>
      </c>
      <c r="D2355" t="s">
        <v>1374</v>
      </c>
      <c r="E2355" t="s">
        <v>467</v>
      </c>
      <c r="F2355" t="s">
        <v>218</v>
      </c>
      <c r="G2355" t="s">
        <v>217</v>
      </c>
      <c r="H2355" t="s">
        <v>216</v>
      </c>
      <c r="I2355" t="s">
        <v>32</v>
      </c>
      <c r="J2355" t="s">
        <v>32</v>
      </c>
      <c r="K2355" s="4">
        <v>4250</v>
      </c>
      <c r="L2355" s="4">
        <v>4250</v>
      </c>
      <c r="M2355" t="s">
        <v>44</v>
      </c>
      <c r="N2355" t="s">
        <v>77</v>
      </c>
      <c r="O2355" t="s">
        <v>99</v>
      </c>
      <c r="P2355" t="s">
        <v>99</v>
      </c>
      <c r="Q2355" t="s">
        <v>159</v>
      </c>
      <c r="R2355" t="s">
        <v>219</v>
      </c>
      <c r="S2355" t="s">
        <v>197</v>
      </c>
      <c r="T2355" t="s">
        <v>198</v>
      </c>
      <c r="U2355" t="s">
        <v>163</v>
      </c>
      <c r="V2355" t="s">
        <v>164</v>
      </c>
      <c r="W2355" t="s">
        <v>116</v>
      </c>
      <c r="X2355" t="s">
        <v>44</v>
      </c>
      <c r="Y2355" t="s">
        <v>99</v>
      </c>
      <c r="Z2355" t="s">
        <v>421</v>
      </c>
      <c r="AC2355" t="str">
        <f>IF(AA2355="",M2355,AA2355)</f>
        <v>sim</v>
      </c>
      <c r="AD2355" t="str">
        <f>IF(AB2355="",X2355,AB2355)</f>
        <v>sim</v>
      </c>
      <c r="AE2355" t="str">
        <f>IF(OR(Configuracao!B9="",Configuracao!B10=""),"aguardando limiar",IF(AND(K2355&gt;=Configuracao!B9,K2355/MAX(Reconciliacao!C2,1)&gt;=Configuracao!B10/100),"sim","não"))</f>
        <v>aguardando limiar</v>
      </c>
    </row>
    <row r="2356" spans="1:31" x14ac:dyDescent="0.25">
      <c r="A2356">
        <v>11821</v>
      </c>
      <c r="C2356" t="s">
        <v>1394</v>
      </c>
      <c r="D2356" t="s">
        <v>578</v>
      </c>
      <c r="E2356" t="s">
        <v>525</v>
      </c>
      <c r="F2356" t="s">
        <v>218</v>
      </c>
      <c r="G2356" t="s">
        <v>217</v>
      </c>
      <c r="H2356" t="s">
        <v>216</v>
      </c>
      <c r="I2356" t="s">
        <v>32</v>
      </c>
      <c r="J2356" t="s">
        <v>32</v>
      </c>
      <c r="K2356" s="4">
        <v>4441.5</v>
      </c>
      <c r="L2356" s="4">
        <v>4441.5</v>
      </c>
      <c r="M2356" t="s">
        <v>44</v>
      </c>
      <c r="N2356" t="s">
        <v>77</v>
      </c>
      <c r="O2356" t="s">
        <v>99</v>
      </c>
      <c r="P2356" t="s">
        <v>99</v>
      </c>
      <c r="Q2356" t="s">
        <v>159</v>
      </c>
      <c r="R2356" t="s">
        <v>219</v>
      </c>
      <c r="S2356" t="s">
        <v>197</v>
      </c>
      <c r="T2356" t="s">
        <v>198</v>
      </c>
      <c r="U2356" t="s">
        <v>163</v>
      </c>
      <c r="V2356" t="s">
        <v>164</v>
      </c>
      <c r="W2356" t="s">
        <v>116</v>
      </c>
      <c r="X2356" t="s">
        <v>44</v>
      </c>
      <c r="Y2356" t="s">
        <v>99</v>
      </c>
      <c r="Z2356" t="s">
        <v>421</v>
      </c>
      <c r="AC2356" t="str">
        <f>IF(AA2356="",M2356,AA2356)</f>
        <v>sim</v>
      </c>
      <c r="AD2356" t="str">
        <f>IF(AB2356="",X2356,AB2356)</f>
        <v>sim</v>
      </c>
      <c r="AE2356" t="str">
        <f>IF(OR(Configuracao!B9="",Configuracao!B10=""),"aguardando limiar",IF(AND(K2356&gt;=Configuracao!B9,K2356/MAX(Reconciliacao!C2,1)&gt;=Configuracao!B10/100),"sim","não"))</f>
        <v>aguardando limiar</v>
      </c>
    </row>
    <row r="2357" spans="1:31" x14ac:dyDescent="0.25">
      <c r="A2357">
        <v>11816</v>
      </c>
      <c r="C2357" t="s">
        <v>1437</v>
      </c>
      <c r="D2357" t="s">
        <v>856</v>
      </c>
      <c r="E2357" t="s">
        <v>465</v>
      </c>
      <c r="F2357" t="s">
        <v>218</v>
      </c>
      <c r="G2357" t="s">
        <v>217</v>
      </c>
      <c r="H2357" t="s">
        <v>216</v>
      </c>
      <c r="I2357" t="s">
        <v>32</v>
      </c>
      <c r="J2357" t="s">
        <v>32</v>
      </c>
      <c r="K2357" s="4">
        <v>5000</v>
      </c>
      <c r="L2357" s="4">
        <v>5000</v>
      </c>
      <c r="M2357" t="s">
        <v>44</v>
      </c>
      <c r="N2357" t="s">
        <v>77</v>
      </c>
      <c r="O2357" t="s">
        <v>99</v>
      </c>
      <c r="P2357" t="s">
        <v>99</v>
      </c>
      <c r="Q2357" t="s">
        <v>159</v>
      </c>
      <c r="R2357" t="s">
        <v>219</v>
      </c>
      <c r="S2357" t="s">
        <v>197</v>
      </c>
      <c r="T2357" t="s">
        <v>198</v>
      </c>
      <c r="U2357" t="s">
        <v>163</v>
      </c>
      <c r="V2357" t="s">
        <v>164</v>
      </c>
      <c r="W2357" t="s">
        <v>116</v>
      </c>
      <c r="X2357" t="s">
        <v>44</v>
      </c>
      <c r="Y2357" t="s">
        <v>99</v>
      </c>
      <c r="Z2357" t="s">
        <v>421</v>
      </c>
      <c r="AC2357" t="str">
        <f>IF(AA2357="",M2357,AA2357)</f>
        <v>sim</v>
      </c>
      <c r="AD2357" t="str">
        <f>IF(AB2357="",X2357,AB2357)</f>
        <v>sim</v>
      </c>
      <c r="AE2357" t="str">
        <f>IF(OR(Configuracao!B9="",Configuracao!B10=""),"aguardando limiar",IF(AND(K2357&gt;=Configuracao!B9,K2357/MAX(Reconciliacao!C2,1)&gt;=Configuracao!B10/100),"sim","não"))</f>
        <v>aguardando limiar</v>
      </c>
    </row>
    <row r="2358" spans="1:31" x14ac:dyDescent="0.25">
      <c r="A2358">
        <v>11807</v>
      </c>
      <c r="C2358" t="s">
        <v>1400</v>
      </c>
      <c r="D2358" t="s">
        <v>575</v>
      </c>
      <c r="E2358" t="s">
        <v>467</v>
      </c>
      <c r="F2358" t="s">
        <v>218</v>
      </c>
      <c r="G2358" t="s">
        <v>217</v>
      </c>
      <c r="H2358" t="s">
        <v>216</v>
      </c>
      <c r="I2358" t="s">
        <v>32</v>
      </c>
      <c r="J2358" t="s">
        <v>32</v>
      </c>
      <c r="K2358" s="4">
        <v>6000</v>
      </c>
      <c r="L2358" s="4">
        <v>6000</v>
      </c>
      <c r="M2358" t="s">
        <v>44</v>
      </c>
      <c r="N2358" t="s">
        <v>77</v>
      </c>
      <c r="O2358" t="s">
        <v>99</v>
      </c>
      <c r="P2358" t="s">
        <v>99</v>
      </c>
      <c r="Q2358" t="s">
        <v>159</v>
      </c>
      <c r="R2358" t="s">
        <v>219</v>
      </c>
      <c r="S2358" t="s">
        <v>197</v>
      </c>
      <c r="T2358" t="s">
        <v>198</v>
      </c>
      <c r="U2358" t="s">
        <v>163</v>
      </c>
      <c r="V2358" t="s">
        <v>164</v>
      </c>
      <c r="W2358" t="s">
        <v>116</v>
      </c>
      <c r="X2358" t="s">
        <v>44</v>
      </c>
      <c r="Y2358" t="s">
        <v>99</v>
      </c>
      <c r="Z2358" t="s">
        <v>421</v>
      </c>
      <c r="AC2358" t="str">
        <f>IF(AA2358="",M2358,AA2358)</f>
        <v>sim</v>
      </c>
      <c r="AD2358" t="str">
        <f>IF(AB2358="",X2358,AB2358)</f>
        <v>sim</v>
      </c>
      <c r="AE2358" t="str">
        <f>IF(OR(Configuracao!B9="",Configuracao!B10=""),"aguardando limiar",IF(AND(K2358&gt;=Configuracao!B9,K2358/MAX(Reconciliacao!C2,1)&gt;=Configuracao!B10/100),"sim","não"))</f>
        <v>aguardando limiar</v>
      </c>
    </row>
    <row r="2359" spans="1:31" x14ac:dyDescent="0.25">
      <c r="A2359">
        <v>11799</v>
      </c>
      <c r="C2359" t="s">
        <v>1387</v>
      </c>
      <c r="D2359" t="s">
        <v>597</v>
      </c>
      <c r="E2359" t="s">
        <v>465</v>
      </c>
      <c r="F2359" t="s">
        <v>218</v>
      </c>
      <c r="G2359" t="s">
        <v>217</v>
      </c>
      <c r="H2359" t="s">
        <v>216</v>
      </c>
      <c r="I2359" t="s">
        <v>32</v>
      </c>
      <c r="J2359" t="s">
        <v>32</v>
      </c>
      <c r="K2359" s="4">
        <v>7316</v>
      </c>
      <c r="L2359" s="4">
        <v>7316</v>
      </c>
      <c r="M2359" t="s">
        <v>44</v>
      </c>
      <c r="N2359" t="s">
        <v>77</v>
      </c>
      <c r="O2359" t="s">
        <v>99</v>
      </c>
      <c r="P2359" t="s">
        <v>99</v>
      </c>
      <c r="Q2359" t="s">
        <v>159</v>
      </c>
      <c r="R2359" t="s">
        <v>219</v>
      </c>
      <c r="S2359" t="s">
        <v>197</v>
      </c>
      <c r="T2359" t="s">
        <v>198</v>
      </c>
      <c r="U2359" t="s">
        <v>163</v>
      </c>
      <c r="V2359" t="s">
        <v>164</v>
      </c>
      <c r="W2359" t="s">
        <v>116</v>
      </c>
      <c r="X2359" t="s">
        <v>166</v>
      </c>
      <c r="Y2359" t="s">
        <v>1496</v>
      </c>
      <c r="Z2359" t="s">
        <v>434</v>
      </c>
      <c r="AC2359" t="str">
        <f>IF(AA2359="",M2359,AA2359)</f>
        <v>sim</v>
      </c>
      <c r="AD2359" t="str">
        <f>IF(AB2359="",X2359,AB2359)</f>
        <v>não</v>
      </c>
      <c r="AE2359" t="str">
        <f>IF(OR(Configuracao!B9="",Configuracao!B10=""),"aguardando limiar",IF(AND(K2359&gt;=Configuracao!B9,K2359/MAX(Reconciliacao!C2,1)&gt;=Configuracao!B10/100),"sim","não"))</f>
        <v>aguardando limiar</v>
      </c>
    </row>
    <row r="2360" spans="1:31" x14ac:dyDescent="0.25">
      <c r="A2360">
        <v>13029</v>
      </c>
      <c r="C2360" t="s">
        <v>336</v>
      </c>
      <c r="D2360" t="s">
        <v>659</v>
      </c>
      <c r="E2360" t="s">
        <v>451</v>
      </c>
      <c r="F2360" t="s">
        <v>218</v>
      </c>
      <c r="G2360" t="s">
        <v>336</v>
      </c>
      <c r="H2360" t="s">
        <v>335</v>
      </c>
      <c r="I2360" t="s">
        <v>420</v>
      </c>
      <c r="J2360" t="s">
        <v>420</v>
      </c>
      <c r="K2360" s="4">
        <v>420.89</v>
      </c>
      <c r="L2360" s="4">
        <v>420.89</v>
      </c>
      <c r="M2360" t="s">
        <v>44</v>
      </c>
      <c r="N2360" t="s">
        <v>77</v>
      </c>
      <c r="O2360" t="s">
        <v>99</v>
      </c>
      <c r="P2360" t="s">
        <v>99</v>
      </c>
      <c r="Q2360" t="s">
        <v>159</v>
      </c>
      <c r="R2360" t="s">
        <v>26</v>
      </c>
      <c r="S2360" t="s">
        <v>185</v>
      </c>
      <c r="T2360" t="s">
        <v>211</v>
      </c>
      <c r="U2360" t="s">
        <v>163</v>
      </c>
      <c r="V2360" t="s">
        <v>193</v>
      </c>
      <c r="W2360" t="s">
        <v>116</v>
      </c>
      <c r="X2360" t="s">
        <v>44</v>
      </c>
      <c r="Y2360" t="s">
        <v>99</v>
      </c>
      <c r="Z2360" t="s">
        <v>421</v>
      </c>
      <c r="AC2360" t="str">
        <f>IF(AA2360="",M2360,AA2360)</f>
        <v>sim</v>
      </c>
      <c r="AD2360" t="str">
        <f>IF(AB2360="",X2360,AB2360)</f>
        <v>sim</v>
      </c>
      <c r="AE2360" t="str">
        <f>IF(OR(Configuracao!B9="",Configuracao!B10=""),"aguardando limiar",IF(AND(K2360&gt;=Configuracao!B9,K2360/MAX(Reconciliacao!C2,1)&gt;=Configuracao!B10/100),"sim","não"))</f>
        <v>aguardando limiar</v>
      </c>
    </row>
    <row r="2361" spans="1:31" x14ac:dyDescent="0.25">
      <c r="A2361">
        <v>16763</v>
      </c>
      <c r="C2361" t="s">
        <v>336</v>
      </c>
      <c r="D2361" t="s">
        <v>657</v>
      </c>
      <c r="E2361" t="s">
        <v>451</v>
      </c>
      <c r="F2361" t="s">
        <v>218</v>
      </c>
      <c r="G2361" t="s">
        <v>336</v>
      </c>
      <c r="H2361" t="s">
        <v>335</v>
      </c>
      <c r="I2361" t="s">
        <v>442</v>
      </c>
      <c r="J2361" t="s">
        <v>442</v>
      </c>
      <c r="K2361" s="4">
        <v>1976.78</v>
      </c>
      <c r="L2361" s="4">
        <v>1976.78</v>
      </c>
      <c r="M2361" t="s">
        <v>44</v>
      </c>
      <c r="N2361" t="s">
        <v>77</v>
      </c>
      <c r="O2361" t="s">
        <v>99</v>
      </c>
      <c r="P2361" t="s">
        <v>99</v>
      </c>
      <c r="Q2361" t="s">
        <v>159</v>
      </c>
      <c r="R2361" t="s">
        <v>26</v>
      </c>
      <c r="S2361" t="s">
        <v>185</v>
      </c>
      <c r="T2361" t="s">
        <v>211</v>
      </c>
      <c r="U2361" t="s">
        <v>163</v>
      </c>
      <c r="V2361" t="s">
        <v>193</v>
      </c>
      <c r="W2361" t="s">
        <v>116</v>
      </c>
      <c r="X2361" t="s">
        <v>44</v>
      </c>
      <c r="Y2361" t="s">
        <v>99</v>
      </c>
      <c r="Z2361" t="s">
        <v>421</v>
      </c>
      <c r="AC2361" t="str">
        <f>IF(AA2361="",M2361,AA2361)</f>
        <v>sim</v>
      </c>
      <c r="AD2361" t="str">
        <f>IF(AB2361="",X2361,AB2361)</f>
        <v>sim</v>
      </c>
      <c r="AE2361" t="str">
        <f>IF(OR(Configuracao!B9="",Configuracao!B10=""),"aguardando limiar",IF(AND(K2361&gt;=Configuracao!B9,K2361/MAX(Reconciliacao!C2,1)&gt;=Configuracao!B10/100),"sim","não"))</f>
        <v>aguardando limiar</v>
      </c>
    </row>
    <row r="2362" spans="1:31" x14ac:dyDescent="0.25">
      <c r="A2362">
        <v>11975</v>
      </c>
      <c r="C2362" t="s">
        <v>336</v>
      </c>
      <c r="D2362" t="s">
        <v>1488</v>
      </c>
      <c r="E2362" t="s">
        <v>458</v>
      </c>
      <c r="F2362" t="s">
        <v>218</v>
      </c>
      <c r="G2362" t="s">
        <v>336</v>
      </c>
      <c r="H2362" t="s">
        <v>335</v>
      </c>
      <c r="I2362" t="s">
        <v>424</v>
      </c>
      <c r="J2362" t="s">
        <v>424</v>
      </c>
      <c r="K2362" s="4">
        <v>2225.3</v>
      </c>
      <c r="L2362" s="4">
        <v>2225.3</v>
      </c>
      <c r="M2362" t="s">
        <v>44</v>
      </c>
      <c r="N2362" t="s">
        <v>77</v>
      </c>
      <c r="O2362" t="s">
        <v>99</v>
      </c>
      <c r="P2362" t="s">
        <v>99</v>
      </c>
      <c r="Q2362" t="s">
        <v>159</v>
      </c>
      <c r="R2362" t="s">
        <v>26</v>
      </c>
      <c r="S2362" t="s">
        <v>185</v>
      </c>
      <c r="T2362" t="s">
        <v>211</v>
      </c>
      <c r="U2362" t="s">
        <v>163</v>
      </c>
      <c r="V2362" t="s">
        <v>193</v>
      </c>
      <c r="W2362" t="s">
        <v>116</v>
      </c>
      <c r="X2362" t="s">
        <v>44</v>
      </c>
      <c r="Y2362" t="s">
        <v>99</v>
      </c>
      <c r="Z2362" t="s">
        <v>421</v>
      </c>
      <c r="AC2362" t="str">
        <f>IF(AA2362="",M2362,AA2362)</f>
        <v>sim</v>
      </c>
      <c r="AD2362" t="str">
        <f>IF(AB2362="",X2362,AB2362)</f>
        <v>sim</v>
      </c>
      <c r="AE2362" t="str">
        <f>IF(OR(Configuracao!B9="",Configuracao!B10=""),"aguardando limiar",IF(AND(K2362&gt;=Configuracao!B9,K2362/MAX(Reconciliacao!C2,1)&gt;=Configuracao!B10/100),"sim","não"))</f>
        <v>aguardando limiar</v>
      </c>
    </row>
    <row r="2363" spans="1:31" x14ac:dyDescent="0.25">
      <c r="A2363">
        <v>11509</v>
      </c>
      <c r="C2363" t="s">
        <v>1497</v>
      </c>
      <c r="D2363" t="s">
        <v>1299</v>
      </c>
      <c r="E2363" t="s">
        <v>458</v>
      </c>
      <c r="F2363" t="s">
        <v>209</v>
      </c>
      <c r="G2363" t="s">
        <v>285</v>
      </c>
      <c r="H2363" t="s">
        <v>284</v>
      </c>
      <c r="I2363" t="s">
        <v>32</v>
      </c>
      <c r="J2363" t="s">
        <v>32</v>
      </c>
      <c r="K2363" s="4">
        <v>145.11</v>
      </c>
      <c r="L2363" s="4">
        <v>145.11</v>
      </c>
      <c r="M2363" t="s">
        <v>44</v>
      </c>
      <c r="N2363" t="s">
        <v>77</v>
      </c>
      <c r="O2363" t="s">
        <v>99</v>
      </c>
      <c r="P2363" t="s">
        <v>99</v>
      </c>
      <c r="Q2363" t="s">
        <v>159</v>
      </c>
      <c r="R2363" t="s">
        <v>210</v>
      </c>
      <c r="S2363" t="s">
        <v>161</v>
      </c>
      <c r="T2363" t="s">
        <v>211</v>
      </c>
      <c r="U2363" t="s">
        <v>163</v>
      </c>
      <c r="V2363" t="s">
        <v>193</v>
      </c>
      <c r="W2363" t="s">
        <v>116</v>
      </c>
      <c r="X2363" t="s">
        <v>44</v>
      </c>
      <c r="Y2363" t="s">
        <v>99</v>
      </c>
      <c r="Z2363" t="s">
        <v>421</v>
      </c>
      <c r="AC2363" t="str">
        <f>IF(AA2363="",M2363,AA2363)</f>
        <v>sim</v>
      </c>
      <c r="AD2363" t="str">
        <f>IF(AB2363="",X2363,AB2363)</f>
        <v>sim</v>
      </c>
      <c r="AE2363" t="str">
        <f>IF(OR(Configuracao!B9="",Configuracao!B10=""),"aguardando limiar",IF(AND(K2363&gt;=Configuracao!B9,K2363/MAX(Reconciliacao!C2,1)&gt;=Configuracao!B10/100),"sim","não"))</f>
        <v>aguardando limiar</v>
      </c>
    </row>
    <row r="2364" spans="1:31" x14ac:dyDescent="0.25">
      <c r="A2364">
        <v>11510</v>
      </c>
      <c r="C2364" t="s">
        <v>1497</v>
      </c>
      <c r="D2364" t="s">
        <v>1299</v>
      </c>
      <c r="E2364" t="s">
        <v>451</v>
      </c>
      <c r="F2364" t="s">
        <v>209</v>
      </c>
      <c r="G2364" t="s">
        <v>285</v>
      </c>
      <c r="H2364" t="s">
        <v>284</v>
      </c>
      <c r="I2364" t="s">
        <v>32</v>
      </c>
      <c r="J2364" t="s">
        <v>32</v>
      </c>
      <c r="K2364" s="4">
        <v>152.13</v>
      </c>
      <c r="L2364" s="4">
        <v>152.13</v>
      </c>
      <c r="M2364" t="s">
        <v>44</v>
      </c>
      <c r="N2364" t="s">
        <v>77</v>
      </c>
      <c r="O2364" t="s">
        <v>99</v>
      </c>
      <c r="P2364" t="s">
        <v>99</v>
      </c>
      <c r="Q2364" t="s">
        <v>159</v>
      </c>
      <c r="R2364" t="s">
        <v>210</v>
      </c>
      <c r="S2364" t="s">
        <v>161</v>
      </c>
      <c r="T2364" t="s">
        <v>211</v>
      </c>
      <c r="U2364" t="s">
        <v>163</v>
      </c>
      <c r="V2364" t="s">
        <v>193</v>
      </c>
      <c r="W2364" t="s">
        <v>116</v>
      </c>
      <c r="X2364" t="s">
        <v>44</v>
      </c>
      <c r="Y2364" t="s">
        <v>99</v>
      </c>
      <c r="Z2364" t="s">
        <v>421</v>
      </c>
      <c r="AC2364" t="str">
        <f>IF(AA2364="",M2364,AA2364)</f>
        <v>sim</v>
      </c>
      <c r="AD2364" t="str">
        <f>IF(AB2364="",X2364,AB2364)</f>
        <v>sim</v>
      </c>
      <c r="AE2364" t="str">
        <f>IF(OR(Configuracao!B9="",Configuracao!B10=""),"aguardando limiar",IF(AND(K2364&gt;=Configuracao!B9,K2364/MAX(Reconciliacao!C2,1)&gt;=Configuracao!B10/100),"sim","não"))</f>
        <v>aguardando limiar</v>
      </c>
    </row>
    <row r="2365" spans="1:31" x14ac:dyDescent="0.25">
      <c r="A2365">
        <v>11511</v>
      </c>
      <c r="C2365" t="s">
        <v>1497</v>
      </c>
      <c r="D2365" t="s">
        <v>1299</v>
      </c>
      <c r="E2365" t="s">
        <v>1138</v>
      </c>
      <c r="F2365" t="s">
        <v>209</v>
      </c>
      <c r="G2365" t="s">
        <v>285</v>
      </c>
      <c r="H2365" t="s">
        <v>284</v>
      </c>
      <c r="I2365" t="s">
        <v>32</v>
      </c>
      <c r="J2365" t="s">
        <v>32</v>
      </c>
      <c r="K2365" s="4">
        <v>186</v>
      </c>
      <c r="L2365" s="4">
        <v>186</v>
      </c>
      <c r="M2365" t="s">
        <v>44</v>
      </c>
      <c r="N2365" t="s">
        <v>77</v>
      </c>
      <c r="O2365" t="s">
        <v>99</v>
      </c>
      <c r="P2365" t="s">
        <v>99</v>
      </c>
      <c r="Q2365" t="s">
        <v>159</v>
      </c>
      <c r="R2365" t="s">
        <v>210</v>
      </c>
      <c r="S2365" t="s">
        <v>161</v>
      </c>
      <c r="T2365" t="s">
        <v>211</v>
      </c>
      <c r="U2365" t="s">
        <v>163</v>
      </c>
      <c r="V2365" t="s">
        <v>193</v>
      </c>
      <c r="W2365" t="s">
        <v>116</v>
      </c>
      <c r="X2365" t="s">
        <v>44</v>
      </c>
      <c r="Y2365" t="s">
        <v>99</v>
      </c>
      <c r="Z2365" t="s">
        <v>421</v>
      </c>
      <c r="AC2365" t="str">
        <f>IF(AA2365="",M2365,AA2365)</f>
        <v>sim</v>
      </c>
      <c r="AD2365" t="str">
        <f>IF(AB2365="",X2365,AB2365)</f>
        <v>sim</v>
      </c>
      <c r="AE2365" t="str">
        <f>IF(OR(Configuracao!B9="",Configuracao!B10=""),"aguardando limiar",IF(AND(K2365&gt;=Configuracao!B9,K2365/MAX(Reconciliacao!C2,1)&gt;=Configuracao!B10/100),"sim","não"))</f>
        <v>aguardando limiar</v>
      </c>
    </row>
    <row r="2366" spans="1:31" x14ac:dyDescent="0.25">
      <c r="A2366">
        <v>8151</v>
      </c>
      <c r="D2366" t="s">
        <v>1280</v>
      </c>
      <c r="E2366" t="s">
        <v>458</v>
      </c>
      <c r="F2366" t="s">
        <v>209</v>
      </c>
      <c r="G2366" t="s">
        <v>285</v>
      </c>
      <c r="H2366" t="s">
        <v>284</v>
      </c>
      <c r="I2366" t="s">
        <v>424</v>
      </c>
      <c r="J2366" t="s">
        <v>424</v>
      </c>
      <c r="K2366" s="4">
        <v>306.36</v>
      </c>
      <c r="L2366" s="4">
        <v>306.36</v>
      </c>
      <c r="M2366" t="s">
        <v>44</v>
      </c>
      <c r="N2366" t="s">
        <v>77</v>
      </c>
      <c r="O2366" t="s">
        <v>99</v>
      </c>
      <c r="P2366" t="s">
        <v>99</v>
      </c>
      <c r="Q2366" t="s">
        <v>159</v>
      </c>
      <c r="R2366" t="s">
        <v>210</v>
      </c>
      <c r="S2366" t="s">
        <v>161</v>
      </c>
      <c r="T2366" t="s">
        <v>211</v>
      </c>
      <c r="U2366" t="s">
        <v>163</v>
      </c>
      <c r="V2366" t="s">
        <v>193</v>
      </c>
      <c r="W2366" t="s">
        <v>116</v>
      </c>
      <c r="X2366" t="s">
        <v>44</v>
      </c>
      <c r="Y2366" t="s">
        <v>99</v>
      </c>
      <c r="Z2366" t="s">
        <v>421</v>
      </c>
      <c r="AC2366" t="str">
        <f>IF(AA2366="",M2366,AA2366)</f>
        <v>sim</v>
      </c>
      <c r="AD2366" t="str">
        <f>IF(AB2366="",X2366,AB2366)</f>
        <v>sim</v>
      </c>
      <c r="AE2366" t="str">
        <f>IF(OR(Configuracao!B9="",Configuracao!B10=""),"aguardando limiar",IF(AND(K2366&gt;=Configuracao!B9,K2366/MAX(Reconciliacao!C2,1)&gt;=Configuracao!B10/100),"sim","não"))</f>
        <v>aguardando limiar</v>
      </c>
    </row>
    <row r="2367" spans="1:31" x14ac:dyDescent="0.25">
      <c r="A2367">
        <v>8153</v>
      </c>
      <c r="D2367" t="s">
        <v>1280</v>
      </c>
      <c r="E2367" t="s">
        <v>458</v>
      </c>
      <c r="F2367" t="s">
        <v>209</v>
      </c>
      <c r="G2367" t="s">
        <v>285</v>
      </c>
      <c r="H2367" t="s">
        <v>284</v>
      </c>
      <c r="I2367" t="s">
        <v>454</v>
      </c>
      <c r="J2367" t="s">
        <v>454</v>
      </c>
      <c r="K2367" s="4">
        <v>308.03</v>
      </c>
      <c r="L2367" s="4">
        <v>308.03</v>
      </c>
      <c r="M2367" t="s">
        <v>44</v>
      </c>
      <c r="N2367" t="s">
        <v>77</v>
      </c>
      <c r="O2367" t="s">
        <v>99</v>
      </c>
      <c r="P2367" t="s">
        <v>99</v>
      </c>
      <c r="Q2367" t="s">
        <v>159</v>
      </c>
      <c r="R2367" t="s">
        <v>210</v>
      </c>
      <c r="S2367" t="s">
        <v>161</v>
      </c>
      <c r="T2367" t="s">
        <v>211</v>
      </c>
      <c r="U2367" t="s">
        <v>163</v>
      </c>
      <c r="V2367" t="s">
        <v>193</v>
      </c>
      <c r="W2367" t="s">
        <v>116</v>
      </c>
      <c r="X2367" t="s">
        <v>44</v>
      </c>
      <c r="Y2367" t="s">
        <v>99</v>
      </c>
      <c r="Z2367" t="s">
        <v>421</v>
      </c>
      <c r="AC2367" t="str">
        <f>IF(AA2367="",M2367,AA2367)</f>
        <v>sim</v>
      </c>
      <c r="AD2367" t="str">
        <f>IF(AB2367="",X2367,AB2367)</f>
        <v>sim</v>
      </c>
      <c r="AE2367" t="str">
        <f>IF(OR(Configuracao!B9="",Configuracao!B10=""),"aguardando limiar",IF(AND(K2367&gt;=Configuracao!B9,K2367/MAX(Reconciliacao!C2,1)&gt;=Configuracao!B10/100),"sim","não"))</f>
        <v>aguardando limiar</v>
      </c>
    </row>
    <row r="2368" spans="1:31" x14ac:dyDescent="0.25">
      <c r="A2368">
        <v>8154</v>
      </c>
      <c r="D2368" t="s">
        <v>1280</v>
      </c>
      <c r="E2368" t="s">
        <v>458</v>
      </c>
      <c r="F2368" t="s">
        <v>209</v>
      </c>
      <c r="G2368" t="s">
        <v>285</v>
      </c>
      <c r="H2368" t="s">
        <v>284</v>
      </c>
      <c r="I2368" t="s">
        <v>461</v>
      </c>
      <c r="J2368" t="s">
        <v>461</v>
      </c>
      <c r="K2368" s="4">
        <v>308.03</v>
      </c>
      <c r="L2368" s="4">
        <v>308.03</v>
      </c>
      <c r="M2368" t="s">
        <v>44</v>
      </c>
      <c r="N2368" t="s">
        <v>77</v>
      </c>
      <c r="O2368" t="s">
        <v>99</v>
      </c>
      <c r="P2368" t="s">
        <v>99</v>
      </c>
      <c r="Q2368" t="s">
        <v>159</v>
      </c>
      <c r="R2368" t="s">
        <v>210</v>
      </c>
      <c r="S2368" t="s">
        <v>161</v>
      </c>
      <c r="T2368" t="s">
        <v>211</v>
      </c>
      <c r="U2368" t="s">
        <v>163</v>
      </c>
      <c r="V2368" t="s">
        <v>193</v>
      </c>
      <c r="W2368" t="s">
        <v>116</v>
      </c>
      <c r="X2368" t="s">
        <v>44</v>
      </c>
      <c r="Y2368" t="s">
        <v>99</v>
      </c>
      <c r="Z2368" t="s">
        <v>421</v>
      </c>
      <c r="AC2368" t="str">
        <f>IF(AA2368="",M2368,AA2368)</f>
        <v>sim</v>
      </c>
      <c r="AD2368" t="str">
        <f>IF(AB2368="",X2368,AB2368)</f>
        <v>sim</v>
      </c>
      <c r="AE2368" t="str">
        <f>IF(OR(Configuracao!B9="",Configuracao!B10=""),"aguardando limiar",IF(AND(K2368&gt;=Configuracao!B9,K2368/MAX(Reconciliacao!C2,1)&gt;=Configuracao!B10/100),"sim","não"))</f>
        <v>aguardando limiar</v>
      </c>
    </row>
    <row r="2369" spans="1:31" x14ac:dyDescent="0.25">
      <c r="A2369">
        <v>8155</v>
      </c>
      <c r="D2369" t="s">
        <v>1280</v>
      </c>
      <c r="E2369" t="s">
        <v>458</v>
      </c>
      <c r="F2369" t="s">
        <v>209</v>
      </c>
      <c r="G2369" t="s">
        <v>285</v>
      </c>
      <c r="H2369" t="s">
        <v>284</v>
      </c>
      <c r="I2369" t="s">
        <v>442</v>
      </c>
      <c r="J2369" t="s">
        <v>442</v>
      </c>
      <c r="K2369" s="4">
        <v>308.03</v>
      </c>
      <c r="L2369" s="4">
        <v>308.03</v>
      </c>
      <c r="M2369" t="s">
        <v>44</v>
      </c>
      <c r="N2369" t="s">
        <v>77</v>
      </c>
      <c r="O2369" t="s">
        <v>99</v>
      </c>
      <c r="P2369" t="s">
        <v>99</v>
      </c>
      <c r="Q2369" t="s">
        <v>159</v>
      </c>
      <c r="R2369" t="s">
        <v>210</v>
      </c>
      <c r="S2369" t="s">
        <v>161</v>
      </c>
      <c r="T2369" t="s">
        <v>211</v>
      </c>
      <c r="U2369" t="s">
        <v>163</v>
      </c>
      <c r="V2369" t="s">
        <v>193</v>
      </c>
      <c r="W2369" t="s">
        <v>116</v>
      </c>
      <c r="X2369" t="s">
        <v>44</v>
      </c>
      <c r="Y2369" t="s">
        <v>99</v>
      </c>
      <c r="Z2369" t="s">
        <v>421</v>
      </c>
      <c r="AC2369" t="str">
        <f>IF(AA2369="",M2369,AA2369)</f>
        <v>sim</v>
      </c>
      <c r="AD2369" t="str">
        <f>IF(AB2369="",X2369,AB2369)</f>
        <v>sim</v>
      </c>
      <c r="AE2369" t="str">
        <f>IF(OR(Configuracao!B9="",Configuracao!B10=""),"aguardando limiar",IF(AND(K2369&gt;=Configuracao!B9,K2369/MAX(Reconciliacao!C2,1)&gt;=Configuracao!B10/100),"sim","não"))</f>
        <v>aguardando limiar</v>
      </c>
    </row>
    <row r="2370" spans="1:31" x14ac:dyDescent="0.25">
      <c r="A2370">
        <v>8156</v>
      </c>
      <c r="D2370" t="s">
        <v>1280</v>
      </c>
      <c r="E2370" t="s">
        <v>458</v>
      </c>
      <c r="F2370" t="s">
        <v>209</v>
      </c>
      <c r="G2370" t="s">
        <v>285</v>
      </c>
      <c r="H2370" t="s">
        <v>284</v>
      </c>
      <c r="I2370" t="s">
        <v>439</v>
      </c>
      <c r="J2370" t="s">
        <v>439</v>
      </c>
      <c r="K2370" s="4">
        <v>308.03</v>
      </c>
      <c r="L2370" s="4">
        <v>308.03</v>
      </c>
      <c r="M2370" t="s">
        <v>44</v>
      </c>
      <c r="N2370" t="s">
        <v>77</v>
      </c>
      <c r="O2370" t="s">
        <v>99</v>
      </c>
      <c r="P2370" t="s">
        <v>99</v>
      </c>
      <c r="Q2370" t="s">
        <v>159</v>
      </c>
      <c r="R2370" t="s">
        <v>210</v>
      </c>
      <c r="S2370" t="s">
        <v>161</v>
      </c>
      <c r="T2370" t="s">
        <v>211</v>
      </c>
      <c r="U2370" t="s">
        <v>163</v>
      </c>
      <c r="V2370" t="s">
        <v>193</v>
      </c>
      <c r="W2370" t="s">
        <v>116</v>
      </c>
      <c r="X2370" t="s">
        <v>44</v>
      </c>
      <c r="Y2370" t="s">
        <v>99</v>
      </c>
      <c r="Z2370" t="s">
        <v>421</v>
      </c>
      <c r="AC2370" t="str">
        <f>IF(AA2370="",M2370,AA2370)</f>
        <v>sim</v>
      </c>
      <c r="AD2370" t="str">
        <f>IF(AB2370="",X2370,AB2370)</f>
        <v>sim</v>
      </c>
      <c r="AE2370" t="str">
        <f>IF(OR(Configuracao!B9="",Configuracao!B10=""),"aguardando limiar",IF(AND(K2370&gt;=Configuracao!B9,K2370/MAX(Reconciliacao!C2,1)&gt;=Configuracao!B10/100),"sim","não"))</f>
        <v>aguardando limiar</v>
      </c>
    </row>
    <row r="2371" spans="1:31" x14ac:dyDescent="0.25">
      <c r="A2371">
        <v>8157</v>
      </c>
      <c r="D2371" t="s">
        <v>1280</v>
      </c>
      <c r="E2371" t="s">
        <v>458</v>
      </c>
      <c r="F2371" t="s">
        <v>209</v>
      </c>
      <c r="G2371" t="s">
        <v>285</v>
      </c>
      <c r="H2371" t="s">
        <v>284</v>
      </c>
      <c r="I2371" t="s">
        <v>35</v>
      </c>
      <c r="J2371" t="s">
        <v>35</v>
      </c>
      <c r="K2371" s="4">
        <v>308.03</v>
      </c>
      <c r="L2371" s="4">
        <v>308.03</v>
      </c>
      <c r="M2371" t="s">
        <v>44</v>
      </c>
      <c r="N2371" t="s">
        <v>77</v>
      </c>
      <c r="O2371" t="s">
        <v>99</v>
      </c>
      <c r="P2371" t="s">
        <v>99</v>
      </c>
      <c r="Q2371" t="s">
        <v>159</v>
      </c>
      <c r="R2371" t="s">
        <v>210</v>
      </c>
      <c r="S2371" t="s">
        <v>161</v>
      </c>
      <c r="T2371" t="s">
        <v>211</v>
      </c>
      <c r="U2371" t="s">
        <v>163</v>
      </c>
      <c r="V2371" t="s">
        <v>193</v>
      </c>
      <c r="W2371" t="s">
        <v>116</v>
      </c>
      <c r="X2371" t="s">
        <v>44</v>
      </c>
      <c r="Y2371" t="s">
        <v>99</v>
      </c>
      <c r="Z2371" t="s">
        <v>421</v>
      </c>
      <c r="AC2371" t="str">
        <f>IF(AA2371="",M2371,AA2371)</f>
        <v>sim</v>
      </c>
      <c r="AD2371" t="str">
        <f>IF(AB2371="",X2371,AB2371)</f>
        <v>sim</v>
      </c>
      <c r="AE2371" t="str">
        <f>IF(OR(Configuracao!B9="",Configuracao!B10=""),"aguardando limiar",IF(AND(K2371&gt;=Configuracao!B9,K2371/MAX(Reconciliacao!C2,1)&gt;=Configuracao!B10/100),"sim","não"))</f>
        <v>aguardando limiar</v>
      </c>
    </row>
    <row r="2372" spans="1:31" x14ac:dyDescent="0.25">
      <c r="A2372">
        <v>8150</v>
      </c>
      <c r="D2372" t="s">
        <v>1280</v>
      </c>
      <c r="E2372" t="s">
        <v>458</v>
      </c>
      <c r="F2372" t="s">
        <v>209</v>
      </c>
      <c r="G2372" t="s">
        <v>285</v>
      </c>
      <c r="H2372" t="s">
        <v>284</v>
      </c>
      <c r="I2372" t="s">
        <v>32</v>
      </c>
      <c r="J2372" t="s">
        <v>32</v>
      </c>
      <c r="K2372" s="4">
        <v>322.48</v>
      </c>
      <c r="L2372" s="4">
        <v>322.48</v>
      </c>
      <c r="M2372" t="s">
        <v>44</v>
      </c>
      <c r="N2372" t="s">
        <v>77</v>
      </c>
      <c r="O2372" t="s">
        <v>99</v>
      </c>
      <c r="P2372" t="s">
        <v>99</v>
      </c>
      <c r="Q2372" t="s">
        <v>159</v>
      </c>
      <c r="R2372" t="s">
        <v>210</v>
      </c>
      <c r="S2372" t="s">
        <v>161</v>
      </c>
      <c r="T2372" t="s">
        <v>211</v>
      </c>
      <c r="U2372" t="s">
        <v>163</v>
      </c>
      <c r="V2372" t="s">
        <v>193</v>
      </c>
      <c r="W2372" t="s">
        <v>116</v>
      </c>
      <c r="X2372" t="s">
        <v>44</v>
      </c>
      <c r="Y2372" t="s">
        <v>99</v>
      </c>
      <c r="Z2372" t="s">
        <v>421</v>
      </c>
      <c r="AC2372" t="str">
        <f>IF(AA2372="",M2372,AA2372)</f>
        <v>sim</v>
      </c>
      <c r="AD2372" t="str">
        <f>IF(AB2372="",X2372,AB2372)</f>
        <v>sim</v>
      </c>
      <c r="AE2372" t="str">
        <f>IF(OR(Configuracao!B9="",Configuracao!B10=""),"aguardando limiar",IF(AND(K2372&gt;=Configuracao!B9,K2372/MAX(Reconciliacao!C2,1)&gt;=Configuracao!B10/100),"sim","não"))</f>
        <v>aguardando limiar</v>
      </c>
    </row>
    <row r="2373" spans="1:31" x14ac:dyDescent="0.25">
      <c r="A2373">
        <v>11506</v>
      </c>
      <c r="D2373" t="s">
        <v>1280</v>
      </c>
      <c r="E2373" t="s">
        <v>451</v>
      </c>
      <c r="F2373" t="s">
        <v>209</v>
      </c>
      <c r="G2373" t="s">
        <v>285</v>
      </c>
      <c r="H2373" t="s">
        <v>284</v>
      </c>
      <c r="I2373" t="s">
        <v>32</v>
      </c>
      <c r="J2373" t="s">
        <v>32</v>
      </c>
      <c r="K2373" s="4">
        <v>412.16</v>
      </c>
      <c r="L2373" s="4">
        <v>412.16</v>
      </c>
      <c r="M2373" t="s">
        <v>44</v>
      </c>
      <c r="N2373" t="s">
        <v>77</v>
      </c>
      <c r="O2373" t="s">
        <v>99</v>
      </c>
      <c r="P2373" t="s">
        <v>99</v>
      </c>
      <c r="Q2373" t="s">
        <v>159</v>
      </c>
      <c r="R2373" t="s">
        <v>210</v>
      </c>
      <c r="S2373" t="s">
        <v>161</v>
      </c>
      <c r="T2373" t="s">
        <v>211</v>
      </c>
      <c r="U2373" t="s">
        <v>163</v>
      </c>
      <c r="V2373" t="s">
        <v>193</v>
      </c>
      <c r="W2373" t="s">
        <v>116</v>
      </c>
      <c r="X2373" t="s">
        <v>44</v>
      </c>
      <c r="Y2373" t="s">
        <v>99</v>
      </c>
      <c r="Z2373" t="s">
        <v>421</v>
      </c>
      <c r="AC2373" t="str">
        <f>IF(AA2373="",M2373,AA2373)</f>
        <v>sim</v>
      </c>
      <c r="AD2373" t="str">
        <f>IF(AB2373="",X2373,AB2373)</f>
        <v>sim</v>
      </c>
      <c r="AE2373" t="str">
        <f>IF(OR(Configuracao!B9="",Configuracao!B10=""),"aguardando limiar",IF(AND(K2373&gt;=Configuracao!B9,K2373/MAX(Reconciliacao!C2,1)&gt;=Configuracao!B10/100),"sim","não"))</f>
        <v>aguardando limiar</v>
      </c>
    </row>
    <row r="2374" spans="1:31" x14ac:dyDescent="0.25">
      <c r="A2374">
        <v>12123</v>
      </c>
      <c r="D2374" t="s">
        <v>1280</v>
      </c>
      <c r="E2374" t="s">
        <v>451</v>
      </c>
      <c r="F2374" t="s">
        <v>209</v>
      </c>
      <c r="G2374" t="s">
        <v>285</v>
      </c>
      <c r="H2374" t="s">
        <v>284</v>
      </c>
      <c r="I2374" t="s">
        <v>424</v>
      </c>
      <c r="J2374" t="s">
        <v>424</v>
      </c>
      <c r="K2374" s="4">
        <v>424.95</v>
      </c>
      <c r="L2374" s="4">
        <v>424.95</v>
      </c>
      <c r="M2374" t="s">
        <v>44</v>
      </c>
      <c r="N2374" t="s">
        <v>77</v>
      </c>
      <c r="O2374" t="s">
        <v>99</v>
      </c>
      <c r="P2374" t="s">
        <v>99</v>
      </c>
      <c r="Q2374" t="s">
        <v>159</v>
      </c>
      <c r="R2374" t="s">
        <v>210</v>
      </c>
      <c r="S2374" t="s">
        <v>161</v>
      </c>
      <c r="T2374" t="s">
        <v>211</v>
      </c>
      <c r="U2374" t="s">
        <v>163</v>
      </c>
      <c r="V2374" t="s">
        <v>193</v>
      </c>
      <c r="W2374" t="s">
        <v>116</v>
      </c>
      <c r="X2374" t="s">
        <v>44</v>
      </c>
      <c r="Y2374" t="s">
        <v>99</v>
      </c>
      <c r="Z2374" t="s">
        <v>421</v>
      </c>
      <c r="AC2374" t="str">
        <f>IF(AA2374="",M2374,AA2374)</f>
        <v>sim</v>
      </c>
      <c r="AD2374" t="str">
        <f>IF(AB2374="",X2374,AB2374)</f>
        <v>sim</v>
      </c>
      <c r="AE2374" t="str">
        <f>IF(OR(Configuracao!B9="",Configuracao!B10=""),"aguardando limiar",IF(AND(K2374&gt;=Configuracao!B9,K2374/MAX(Reconciliacao!C2,1)&gt;=Configuracao!B10/100),"sim","não"))</f>
        <v>aguardando limiar</v>
      </c>
    </row>
    <row r="2375" spans="1:31" x14ac:dyDescent="0.25">
      <c r="A2375">
        <v>16945</v>
      </c>
      <c r="D2375" t="s">
        <v>1280</v>
      </c>
      <c r="E2375" t="s">
        <v>451</v>
      </c>
      <c r="F2375" t="s">
        <v>209</v>
      </c>
      <c r="G2375" t="s">
        <v>285</v>
      </c>
      <c r="H2375" t="s">
        <v>284</v>
      </c>
      <c r="I2375" t="s">
        <v>442</v>
      </c>
      <c r="J2375" t="s">
        <v>442</v>
      </c>
      <c r="K2375" s="4">
        <v>425.46</v>
      </c>
      <c r="L2375" s="4">
        <v>425.46</v>
      </c>
      <c r="M2375" t="s">
        <v>44</v>
      </c>
      <c r="N2375" t="s">
        <v>77</v>
      </c>
      <c r="O2375" t="s">
        <v>99</v>
      </c>
      <c r="P2375" t="s">
        <v>99</v>
      </c>
      <c r="Q2375" t="s">
        <v>159</v>
      </c>
      <c r="R2375" t="s">
        <v>210</v>
      </c>
      <c r="S2375" t="s">
        <v>161</v>
      </c>
      <c r="T2375" t="s">
        <v>211</v>
      </c>
      <c r="U2375" t="s">
        <v>163</v>
      </c>
      <c r="V2375" t="s">
        <v>193</v>
      </c>
      <c r="W2375" t="s">
        <v>116</v>
      </c>
      <c r="X2375" t="s">
        <v>44</v>
      </c>
      <c r="Y2375" t="s">
        <v>99</v>
      </c>
      <c r="Z2375" t="s">
        <v>421</v>
      </c>
      <c r="AC2375" t="str">
        <f>IF(AA2375="",M2375,AA2375)</f>
        <v>sim</v>
      </c>
      <c r="AD2375" t="str">
        <f>IF(AB2375="",X2375,AB2375)</f>
        <v>sim</v>
      </c>
      <c r="AE2375" t="str">
        <f>IF(OR(Configuracao!B9="",Configuracao!B10=""),"aguardando limiar",IF(AND(K2375&gt;=Configuracao!B9,K2375/MAX(Reconciliacao!C2,1)&gt;=Configuracao!B10/100),"sim","não"))</f>
        <v>aguardando limiar</v>
      </c>
    </row>
    <row r="2376" spans="1:31" x14ac:dyDescent="0.25">
      <c r="A2376">
        <v>18648</v>
      </c>
      <c r="D2376" t="s">
        <v>1280</v>
      </c>
      <c r="E2376" t="s">
        <v>451</v>
      </c>
      <c r="F2376" t="s">
        <v>209</v>
      </c>
      <c r="G2376" t="s">
        <v>285</v>
      </c>
      <c r="H2376" t="s">
        <v>284</v>
      </c>
      <c r="I2376" t="s">
        <v>35</v>
      </c>
      <c r="J2376" t="s">
        <v>35</v>
      </c>
      <c r="K2376" s="4">
        <v>425.46</v>
      </c>
      <c r="L2376" s="4">
        <v>425.46</v>
      </c>
      <c r="M2376" t="s">
        <v>44</v>
      </c>
      <c r="N2376" t="s">
        <v>77</v>
      </c>
      <c r="O2376" t="s">
        <v>99</v>
      </c>
      <c r="P2376" t="s">
        <v>99</v>
      </c>
      <c r="Q2376" t="s">
        <v>159</v>
      </c>
      <c r="R2376" t="s">
        <v>210</v>
      </c>
      <c r="S2376" t="s">
        <v>161</v>
      </c>
      <c r="T2376" t="s">
        <v>211</v>
      </c>
      <c r="U2376" t="s">
        <v>163</v>
      </c>
      <c r="V2376" t="s">
        <v>193</v>
      </c>
      <c r="W2376" t="s">
        <v>116</v>
      </c>
      <c r="X2376" t="s">
        <v>44</v>
      </c>
      <c r="Y2376" t="s">
        <v>99</v>
      </c>
      <c r="Z2376" t="s">
        <v>421</v>
      </c>
      <c r="AC2376" t="str">
        <f>IF(AA2376="",M2376,AA2376)</f>
        <v>sim</v>
      </c>
      <c r="AD2376" t="str">
        <f>IF(AB2376="",X2376,AB2376)</f>
        <v>sim</v>
      </c>
      <c r="AE2376" t="str">
        <f>IF(OR(Configuracao!B9="",Configuracao!B10=""),"aguardando limiar",IF(AND(K2376&gt;=Configuracao!B9,K2376/MAX(Reconciliacao!C2,1)&gt;=Configuracao!B10/100),"sim","não"))</f>
        <v>aguardando limiar</v>
      </c>
    </row>
    <row r="2377" spans="1:31" x14ac:dyDescent="0.25">
      <c r="A2377">
        <v>16270</v>
      </c>
      <c r="D2377" t="s">
        <v>1280</v>
      </c>
      <c r="E2377" t="s">
        <v>451</v>
      </c>
      <c r="F2377" t="s">
        <v>209</v>
      </c>
      <c r="G2377" t="s">
        <v>285</v>
      </c>
      <c r="H2377" t="s">
        <v>284</v>
      </c>
      <c r="I2377" t="s">
        <v>461</v>
      </c>
      <c r="J2377" t="s">
        <v>461</v>
      </c>
      <c r="K2377" s="4">
        <v>431.06</v>
      </c>
      <c r="L2377" s="4">
        <v>431.06</v>
      </c>
      <c r="M2377" t="s">
        <v>44</v>
      </c>
      <c r="N2377" t="s">
        <v>77</v>
      </c>
      <c r="O2377" t="s">
        <v>99</v>
      </c>
      <c r="P2377" t="s">
        <v>99</v>
      </c>
      <c r="Q2377" t="s">
        <v>159</v>
      </c>
      <c r="R2377" t="s">
        <v>210</v>
      </c>
      <c r="S2377" t="s">
        <v>161</v>
      </c>
      <c r="T2377" t="s">
        <v>211</v>
      </c>
      <c r="U2377" t="s">
        <v>163</v>
      </c>
      <c r="V2377" t="s">
        <v>193</v>
      </c>
      <c r="W2377" t="s">
        <v>116</v>
      </c>
      <c r="X2377" t="s">
        <v>44</v>
      </c>
      <c r="Y2377" t="s">
        <v>99</v>
      </c>
      <c r="Z2377" t="s">
        <v>421</v>
      </c>
      <c r="AC2377" t="str">
        <f>IF(AA2377="",M2377,AA2377)</f>
        <v>sim</v>
      </c>
      <c r="AD2377" t="str">
        <f>IF(AB2377="",X2377,AB2377)</f>
        <v>sim</v>
      </c>
      <c r="AE2377" t="str">
        <f>IF(OR(Configuracao!B9="",Configuracao!B10=""),"aguardando limiar",IF(AND(K2377&gt;=Configuracao!B9,K2377/MAX(Reconciliacao!C2,1)&gt;=Configuracao!B10/100),"sim","não"))</f>
        <v>aguardando limiar</v>
      </c>
    </row>
    <row r="2378" spans="1:31" x14ac:dyDescent="0.25">
      <c r="A2378">
        <v>14109</v>
      </c>
      <c r="D2378" t="s">
        <v>1280</v>
      </c>
      <c r="E2378" t="s">
        <v>451</v>
      </c>
      <c r="F2378" t="s">
        <v>209</v>
      </c>
      <c r="G2378" t="s">
        <v>285</v>
      </c>
      <c r="H2378" t="s">
        <v>284</v>
      </c>
      <c r="I2378" t="s">
        <v>454</v>
      </c>
      <c r="J2378" t="s">
        <v>454</v>
      </c>
      <c r="K2378" s="4">
        <v>440.89</v>
      </c>
      <c r="L2378" s="4">
        <v>440.89</v>
      </c>
      <c r="M2378" t="s">
        <v>44</v>
      </c>
      <c r="N2378" t="s">
        <v>77</v>
      </c>
      <c r="O2378" t="s">
        <v>99</v>
      </c>
      <c r="P2378" t="s">
        <v>99</v>
      </c>
      <c r="Q2378" t="s">
        <v>159</v>
      </c>
      <c r="R2378" t="s">
        <v>210</v>
      </c>
      <c r="S2378" t="s">
        <v>161</v>
      </c>
      <c r="T2378" t="s">
        <v>211</v>
      </c>
      <c r="U2378" t="s">
        <v>163</v>
      </c>
      <c r="V2378" t="s">
        <v>193</v>
      </c>
      <c r="W2378" t="s">
        <v>116</v>
      </c>
      <c r="X2378" t="s">
        <v>44</v>
      </c>
      <c r="Y2378" t="s">
        <v>99</v>
      </c>
      <c r="Z2378" t="s">
        <v>421</v>
      </c>
      <c r="AC2378" t="str">
        <f>IF(AA2378="",M2378,AA2378)</f>
        <v>sim</v>
      </c>
      <c r="AD2378" t="str">
        <f>IF(AB2378="",X2378,AB2378)</f>
        <v>sim</v>
      </c>
      <c r="AE2378" t="str">
        <f>IF(OR(Configuracao!B9="",Configuracao!B10=""),"aguardando limiar",IF(AND(K2378&gt;=Configuracao!B9,K2378/MAX(Reconciliacao!C2,1)&gt;=Configuracao!B10/100),"sim","não"))</f>
        <v>aguardando limiar</v>
      </c>
    </row>
    <row r="2379" spans="1:31" x14ac:dyDescent="0.25">
      <c r="A2379">
        <v>17858</v>
      </c>
      <c r="D2379" t="s">
        <v>1280</v>
      </c>
      <c r="E2379" t="s">
        <v>451</v>
      </c>
      <c r="F2379" t="s">
        <v>209</v>
      </c>
      <c r="G2379" t="s">
        <v>285</v>
      </c>
      <c r="H2379" t="s">
        <v>284</v>
      </c>
      <c r="I2379" t="s">
        <v>439</v>
      </c>
      <c r="J2379" t="s">
        <v>439</v>
      </c>
      <c r="K2379" s="4">
        <v>468.37</v>
      </c>
      <c r="L2379" s="4">
        <v>468.37</v>
      </c>
      <c r="M2379" t="s">
        <v>44</v>
      </c>
      <c r="N2379" t="s">
        <v>77</v>
      </c>
      <c r="O2379" t="s">
        <v>99</v>
      </c>
      <c r="P2379" t="s">
        <v>99</v>
      </c>
      <c r="Q2379" t="s">
        <v>159</v>
      </c>
      <c r="R2379" t="s">
        <v>210</v>
      </c>
      <c r="S2379" t="s">
        <v>161</v>
      </c>
      <c r="T2379" t="s">
        <v>211</v>
      </c>
      <c r="U2379" t="s">
        <v>163</v>
      </c>
      <c r="V2379" t="s">
        <v>193</v>
      </c>
      <c r="W2379" t="s">
        <v>116</v>
      </c>
      <c r="X2379" t="s">
        <v>44</v>
      </c>
      <c r="Y2379" t="s">
        <v>99</v>
      </c>
      <c r="Z2379" t="s">
        <v>421</v>
      </c>
      <c r="AC2379" t="str">
        <f>IF(AA2379="",M2379,AA2379)</f>
        <v>sim</v>
      </c>
      <c r="AD2379" t="str">
        <f>IF(AB2379="",X2379,AB2379)</f>
        <v>sim</v>
      </c>
      <c r="AE2379" t="str">
        <f>IF(OR(Configuracao!B9="",Configuracao!B10=""),"aguardando limiar",IF(AND(K2379&gt;=Configuracao!B9,K2379/MAX(Reconciliacao!C2,1)&gt;=Configuracao!B10/100),"sim","não"))</f>
        <v>aguardando limiar</v>
      </c>
    </row>
    <row r="2380" spans="1:31" x14ac:dyDescent="0.25">
      <c r="A2380">
        <v>8152</v>
      </c>
      <c r="D2380" t="s">
        <v>1280</v>
      </c>
      <c r="E2380" t="s">
        <v>458</v>
      </c>
      <c r="F2380" t="s">
        <v>209</v>
      </c>
      <c r="G2380" t="s">
        <v>285</v>
      </c>
      <c r="H2380" t="s">
        <v>284</v>
      </c>
      <c r="I2380" t="s">
        <v>420</v>
      </c>
      <c r="J2380" t="s">
        <v>420</v>
      </c>
      <c r="K2380" s="4">
        <v>486.86</v>
      </c>
      <c r="L2380" s="4">
        <v>486.86</v>
      </c>
      <c r="M2380" t="s">
        <v>44</v>
      </c>
      <c r="N2380" t="s">
        <v>77</v>
      </c>
      <c r="O2380" t="s">
        <v>99</v>
      </c>
      <c r="P2380" t="s">
        <v>99</v>
      </c>
      <c r="Q2380" t="s">
        <v>159</v>
      </c>
      <c r="R2380" t="s">
        <v>210</v>
      </c>
      <c r="S2380" t="s">
        <v>161</v>
      </c>
      <c r="T2380" t="s">
        <v>211</v>
      </c>
      <c r="U2380" t="s">
        <v>163</v>
      </c>
      <c r="V2380" t="s">
        <v>193</v>
      </c>
      <c r="W2380" t="s">
        <v>116</v>
      </c>
      <c r="X2380" t="s">
        <v>44</v>
      </c>
      <c r="Y2380" t="s">
        <v>99</v>
      </c>
      <c r="Z2380" t="s">
        <v>421</v>
      </c>
      <c r="AC2380" t="str">
        <f>IF(AA2380="",M2380,AA2380)</f>
        <v>sim</v>
      </c>
      <c r="AD2380" t="str">
        <f>IF(AB2380="",X2380,AB2380)</f>
        <v>sim</v>
      </c>
      <c r="AE2380" t="str">
        <f>IF(OR(Configuracao!B9="",Configuracao!B10=""),"aguardando limiar",IF(AND(K2380&gt;=Configuracao!B9,K2380/MAX(Reconciliacao!C2,1)&gt;=Configuracao!B10/100),"sim","não"))</f>
        <v>aguardando limiar</v>
      </c>
    </row>
    <row r="2381" spans="1:31" x14ac:dyDescent="0.25">
      <c r="A2381">
        <v>12617</v>
      </c>
      <c r="D2381" t="s">
        <v>1280</v>
      </c>
      <c r="E2381" t="s">
        <v>451</v>
      </c>
      <c r="F2381" t="s">
        <v>209</v>
      </c>
      <c r="G2381" t="s">
        <v>285</v>
      </c>
      <c r="H2381" t="s">
        <v>284</v>
      </c>
      <c r="I2381" t="s">
        <v>420</v>
      </c>
      <c r="J2381" t="s">
        <v>420</v>
      </c>
      <c r="K2381" s="4">
        <v>786.43</v>
      </c>
      <c r="L2381" s="4">
        <v>786.43</v>
      </c>
      <c r="M2381" t="s">
        <v>44</v>
      </c>
      <c r="N2381" t="s">
        <v>77</v>
      </c>
      <c r="O2381" t="s">
        <v>99</v>
      </c>
      <c r="P2381" t="s">
        <v>99</v>
      </c>
      <c r="Q2381" t="s">
        <v>159</v>
      </c>
      <c r="R2381" t="s">
        <v>210</v>
      </c>
      <c r="S2381" t="s">
        <v>161</v>
      </c>
      <c r="T2381" t="s">
        <v>211</v>
      </c>
      <c r="U2381" t="s">
        <v>163</v>
      </c>
      <c r="V2381" t="s">
        <v>193</v>
      </c>
      <c r="W2381" t="s">
        <v>116</v>
      </c>
      <c r="X2381" t="s">
        <v>44</v>
      </c>
      <c r="Y2381" t="s">
        <v>99</v>
      </c>
      <c r="Z2381" t="s">
        <v>421</v>
      </c>
      <c r="AC2381" t="str">
        <f>IF(AA2381="",M2381,AA2381)</f>
        <v>sim</v>
      </c>
      <c r="AD2381" t="str">
        <f>IF(AB2381="",X2381,AB2381)</f>
        <v>sim</v>
      </c>
      <c r="AE2381" t="str">
        <f>IF(OR(Configuracao!B9="",Configuracao!B10=""),"aguardando limiar",IF(AND(K2381&gt;=Configuracao!B9,K2381/MAX(Reconciliacao!C2,1)&gt;=Configuracao!B10/100),"sim","não"))</f>
        <v>aguardando limiar</v>
      </c>
    </row>
    <row r="2382" spans="1:31" x14ac:dyDescent="0.25">
      <c r="A2382">
        <v>14110</v>
      </c>
      <c r="D2382" t="s">
        <v>1280</v>
      </c>
      <c r="E2382" t="s">
        <v>1138</v>
      </c>
      <c r="F2382" t="s">
        <v>209</v>
      </c>
      <c r="G2382" t="s">
        <v>285</v>
      </c>
      <c r="H2382" t="s">
        <v>284</v>
      </c>
      <c r="I2382" t="s">
        <v>454</v>
      </c>
      <c r="J2382" t="s">
        <v>454</v>
      </c>
      <c r="K2382" s="4">
        <v>981.23</v>
      </c>
      <c r="L2382" s="4">
        <v>981.23</v>
      </c>
      <c r="M2382" t="s">
        <v>44</v>
      </c>
      <c r="N2382" t="s">
        <v>77</v>
      </c>
      <c r="O2382" t="s">
        <v>99</v>
      </c>
      <c r="P2382" t="s">
        <v>99</v>
      </c>
      <c r="Q2382" t="s">
        <v>159</v>
      </c>
      <c r="R2382" t="s">
        <v>210</v>
      </c>
      <c r="S2382" t="s">
        <v>161</v>
      </c>
      <c r="T2382" t="s">
        <v>211</v>
      </c>
      <c r="U2382" t="s">
        <v>163</v>
      </c>
      <c r="V2382" t="s">
        <v>193</v>
      </c>
      <c r="W2382" t="s">
        <v>116</v>
      </c>
      <c r="X2382" t="s">
        <v>44</v>
      </c>
      <c r="Y2382" t="s">
        <v>99</v>
      </c>
      <c r="Z2382" t="s">
        <v>421</v>
      </c>
      <c r="AC2382" t="str">
        <f>IF(AA2382="",M2382,AA2382)</f>
        <v>sim</v>
      </c>
      <c r="AD2382" t="str">
        <f>IF(AB2382="",X2382,AB2382)</f>
        <v>sim</v>
      </c>
      <c r="AE2382" t="str">
        <f>IF(OR(Configuracao!B9="",Configuracao!B10=""),"aguardando limiar",IF(AND(K2382&gt;=Configuracao!B9,K2382/MAX(Reconciliacao!C2,1)&gt;=Configuracao!B10/100),"sim","não"))</f>
        <v>aguardando limiar</v>
      </c>
    </row>
    <row r="2383" spans="1:31" x14ac:dyDescent="0.25">
      <c r="A2383">
        <v>16271</v>
      </c>
      <c r="D2383" t="s">
        <v>1280</v>
      </c>
      <c r="E2383" t="s">
        <v>1138</v>
      </c>
      <c r="F2383" t="s">
        <v>209</v>
      </c>
      <c r="G2383" t="s">
        <v>285</v>
      </c>
      <c r="H2383" t="s">
        <v>284</v>
      </c>
      <c r="I2383" t="s">
        <v>461</v>
      </c>
      <c r="J2383" t="s">
        <v>461</v>
      </c>
      <c r="K2383" s="4">
        <v>981.23</v>
      </c>
      <c r="L2383" s="4">
        <v>981.23</v>
      </c>
      <c r="M2383" t="s">
        <v>44</v>
      </c>
      <c r="N2383" t="s">
        <v>77</v>
      </c>
      <c r="O2383" t="s">
        <v>99</v>
      </c>
      <c r="P2383" t="s">
        <v>99</v>
      </c>
      <c r="Q2383" t="s">
        <v>159</v>
      </c>
      <c r="R2383" t="s">
        <v>210</v>
      </c>
      <c r="S2383" t="s">
        <v>161</v>
      </c>
      <c r="T2383" t="s">
        <v>211</v>
      </c>
      <c r="U2383" t="s">
        <v>163</v>
      </c>
      <c r="V2383" t="s">
        <v>193</v>
      </c>
      <c r="W2383" t="s">
        <v>116</v>
      </c>
      <c r="X2383" t="s">
        <v>44</v>
      </c>
      <c r="Y2383" t="s">
        <v>99</v>
      </c>
      <c r="Z2383" t="s">
        <v>421</v>
      </c>
      <c r="AC2383" t="str">
        <f>IF(AA2383="",M2383,AA2383)</f>
        <v>sim</v>
      </c>
      <c r="AD2383" t="str">
        <f>IF(AB2383="",X2383,AB2383)</f>
        <v>sim</v>
      </c>
      <c r="AE2383" t="str">
        <f>IF(OR(Configuracao!B9="",Configuracao!B10=""),"aguardando limiar",IF(AND(K2383&gt;=Configuracao!B9,K2383/MAX(Reconciliacao!C2,1)&gt;=Configuracao!B10/100),"sim","não"))</f>
        <v>aguardando limiar</v>
      </c>
    </row>
    <row r="2384" spans="1:31" x14ac:dyDescent="0.25">
      <c r="A2384">
        <v>16946</v>
      </c>
      <c r="D2384" t="s">
        <v>1280</v>
      </c>
      <c r="E2384" t="s">
        <v>1138</v>
      </c>
      <c r="F2384" t="s">
        <v>209</v>
      </c>
      <c r="G2384" t="s">
        <v>285</v>
      </c>
      <c r="H2384" t="s">
        <v>284</v>
      </c>
      <c r="I2384" t="s">
        <v>442</v>
      </c>
      <c r="J2384" t="s">
        <v>442</v>
      </c>
      <c r="K2384" s="4">
        <v>981.23</v>
      </c>
      <c r="L2384" s="4">
        <v>981.23</v>
      </c>
      <c r="M2384" t="s">
        <v>44</v>
      </c>
      <c r="N2384" t="s">
        <v>77</v>
      </c>
      <c r="O2384" t="s">
        <v>99</v>
      </c>
      <c r="P2384" t="s">
        <v>99</v>
      </c>
      <c r="Q2384" t="s">
        <v>159</v>
      </c>
      <c r="R2384" t="s">
        <v>210</v>
      </c>
      <c r="S2384" t="s">
        <v>161</v>
      </c>
      <c r="T2384" t="s">
        <v>211</v>
      </c>
      <c r="U2384" t="s">
        <v>163</v>
      </c>
      <c r="V2384" t="s">
        <v>193</v>
      </c>
      <c r="W2384" t="s">
        <v>116</v>
      </c>
      <c r="X2384" t="s">
        <v>44</v>
      </c>
      <c r="Y2384" t="s">
        <v>99</v>
      </c>
      <c r="Z2384" t="s">
        <v>421</v>
      </c>
      <c r="AC2384" t="str">
        <f>IF(AA2384="",M2384,AA2384)</f>
        <v>sim</v>
      </c>
      <c r="AD2384" t="str">
        <f>IF(AB2384="",X2384,AB2384)</f>
        <v>sim</v>
      </c>
      <c r="AE2384" t="str">
        <f>IF(OR(Configuracao!B9="",Configuracao!B10=""),"aguardando limiar",IF(AND(K2384&gt;=Configuracao!B9,K2384/MAX(Reconciliacao!C2,1)&gt;=Configuracao!B10/100),"sim","não"))</f>
        <v>aguardando limiar</v>
      </c>
    </row>
    <row r="2385" spans="1:31" x14ac:dyDescent="0.25">
      <c r="A2385">
        <v>17859</v>
      </c>
      <c r="D2385" t="s">
        <v>1280</v>
      </c>
      <c r="E2385" t="s">
        <v>1138</v>
      </c>
      <c r="F2385" t="s">
        <v>209</v>
      </c>
      <c r="G2385" t="s">
        <v>285</v>
      </c>
      <c r="H2385" t="s">
        <v>284</v>
      </c>
      <c r="I2385" t="s">
        <v>439</v>
      </c>
      <c r="J2385" t="s">
        <v>439</v>
      </c>
      <c r="K2385" s="4">
        <v>981.23</v>
      </c>
      <c r="L2385" s="4">
        <v>981.23</v>
      </c>
      <c r="M2385" t="s">
        <v>44</v>
      </c>
      <c r="N2385" t="s">
        <v>77</v>
      </c>
      <c r="O2385" t="s">
        <v>99</v>
      </c>
      <c r="P2385" t="s">
        <v>99</v>
      </c>
      <c r="Q2385" t="s">
        <v>159</v>
      </c>
      <c r="R2385" t="s">
        <v>210</v>
      </c>
      <c r="S2385" t="s">
        <v>161</v>
      </c>
      <c r="T2385" t="s">
        <v>211</v>
      </c>
      <c r="U2385" t="s">
        <v>163</v>
      </c>
      <c r="V2385" t="s">
        <v>193</v>
      </c>
      <c r="W2385" t="s">
        <v>116</v>
      </c>
      <c r="X2385" t="s">
        <v>44</v>
      </c>
      <c r="Y2385" t="s">
        <v>99</v>
      </c>
      <c r="Z2385" t="s">
        <v>421</v>
      </c>
      <c r="AC2385" t="str">
        <f>IF(AA2385="",M2385,AA2385)</f>
        <v>sim</v>
      </c>
      <c r="AD2385" t="str">
        <f>IF(AB2385="",X2385,AB2385)</f>
        <v>sim</v>
      </c>
      <c r="AE2385" t="str">
        <f>IF(OR(Configuracao!B9="",Configuracao!B10=""),"aguardando limiar",IF(AND(K2385&gt;=Configuracao!B9,K2385/MAX(Reconciliacao!C2,1)&gt;=Configuracao!B10/100),"sim","não"))</f>
        <v>aguardando limiar</v>
      </c>
    </row>
    <row r="2386" spans="1:31" x14ac:dyDescent="0.25">
      <c r="A2386">
        <v>18649</v>
      </c>
      <c r="D2386" t="s">
        <v>1280</v>
      </c>
      <c r="E2386" t="s">
        <v>1138</v>
      </c>
      <c r="F2386" t="s">
        <v>209</v>
      </c>
      <c r="G2386" t="s">
        <v>285</v>
      </c>
      <c r="H2386" t="s">
        <v>284</v>
      </c>
      <c r="I2386" t="s">
        <v>35</v>
      </c>
      <c r="J2386" t="s">
        <v>35</v>
      </c>
      <c r="K2386" s="4">
        <v>981.23</v>
      </c>
      <c r="L2386" s="4">
        <v>981.23</v>
      </c>
      <c r="M2386" t="s">
        <v>44</v>
      </c>
      <c r="N2386" t="s">
        <v>77</v>
      </c>
      <c r="O2386" t="s">
        <v>99</v>
      </c>
      <c r="P2386" t="s">
        <v>99</v>
      </c>
      <c r="Q2386" t="s">
        <v>159</v>
      </c>
      <c r="R2386" t="s">
        <v>210</v>
      </c>
      <c r="S2386" t="s">
        <v>161</v>
      </c>
      <c r="T2386" t="s">
        <v>211</v>
      </c>
      <c r="U2386" t="s">
        <v>163</v>
      </c>
      <c r="V2386" t="s">
        <v>193</v>
      </c>
      <c r="W2386" t="s">
        <v>116</v>
      </c>
      <c r="X2386" t="s">
        <v>44</v>
      </c>
      <c r="Y2386" t="s">
        <v>99</v>
      </c>
      <c r="Z2386" t="s">
        <v>421</v>
      </c>
      <c r="AC2386" t="str">
        <f>IF(AA2386="",M2386,AA2386)</f>
        <v>sim</v>
      </c>
      <c r="AD2386" t="str">
        <f>IF(AB2386="",X2386,AB2386)</f>
        <v>sim</v>
      </c>
      <c r="AE2386" t="str">
        <f>IF(OR(Configuracao!B9="",Configuracao!B10=""),"aguardando limiar",IF(AND(K2386&gt;=Configuracao!B9,K2386/MAX(Reconciliacao!C2,1)&gt;=Configuracao!B10/100),"sim","não"))</f>
        <v>aguardando limiar</v>
      </c>
    </row>
    <row r="2387" spans="1:31" x14ac:dyDescent="0.25">
      <c r="A2387">
        <v>12124</v>
      </c>
      <c r="D2387" t="s">
        <v>1280</v>
      </c>
      <c r="E2387" t="s">
        <v>1138</v>
      </c>
      <c r="F2387" t="s">
        <v>209</v>
      </c>
      <c r="G2387" t="s">
        <v>285</v>
      </c>
      <c r="H2387" t="s">
        <v>284</v>
      </c>
      <c r="I2387" t="s">
        <v>424</v>
      </c>
      <c r="J2387" t="s">
        <v>424</v>
      </c>
      <c r="K2387" s="4">
        <v>990.22</v>
      </c>
      <c r="L2387" s="4">
        <v>990.22</v>
      </c>
      <c r="M2387" t="s">
        <v>44</v>
      </c>
      <c r="N2387" t="s">
        <v>77</v>
      </c>
      <c r="O2387" t="s">
        <v>99</v>
      </c>
      <c r="P2387" t="s">
        <v>99</v>
      </c>
      <c r="Q2387" t="s">
        <v>159</v>
      </c>
      <c r="R2387" t="s">
        <v>210</v>
      </c>
      <c r="S2387" t="s">
        <v>161</v>
      </c>
      <c r="T2387" t="s">
        <v>211</v>
      </c>
      <c r="U2387" t="s">
        <v>163</v>
      </c>
      <c r="V2387" t="s">
        <v>193</v>
      </c>
      <c r="W2387" t="s">
        <v>116</v>
      </c>
      <c r="X2387" t="s">
        <v>44</v>
      </c>
      <c r="Y2387" t="s">
        <v>99</v>
      </c>
      <c r="Z2387" t="s">
        <v>421</v>
      </c>
      <c r="AC2387" t="str">
        <f>IF(AA2387="",M2387,AA2387)</f>
        <v>sim</v>
      </c>
      <c r="AD2387" t="str">
        <f>IF(AB2387="",X2387,AB2387)</f>
        <v>sim</v>
      </c>
      <c r="AE2387" t="str">
        <f>IF(OR(Configuracao!B9="",Configuracao!B10=""),"aguardando limiar",IF(AND(K2387&gt;=Configuracao!B9,K2387/MAX(Reconciliacao!C2,1)&gt;=Configuracao!B10/100),"sim","não"))</f>
        <v>aguardando limiar</v>
      </c>
    </row>
    <row r="2388" spans="1:31" x14ac:dyDescent="0.25">
      <c r="A2388">
        <v>11507</v>
      </c>
      <c r="D2388" t="s">
        <v>1280</v>
      </c>
      <c r="E2388" t="s">
        <v>1138</v>
      </c>
      <c r="F2388" t="s">
        <v>209</v>
      </c>
      <c r="G2388" t="s">
        <v>285</v>
      </c>
      <c r="H2388" t="s">
        <v>284</v>
      </c>
      <c r="I2388" t="s">
        <v>32</v>
      </c>
      <c r="J2388" t="s">
        <v>32</v>
      </c>
      <c r="K2388" s="4">
        <v>1004.44</v>
      </c>
      <c r="L2388" s="4">
        <v>1004.44</v>
      </c>
      <c r="M2388" t="s">
        <v>44</v>
      </c>
      <c r="N2388" t="s">
        <v>77</v>
      </c>
      <c r="O2388" t="s">
        <v>99</v>
      </c>
      <c r="P2388" t="s">
        <v>99</v>
      </c>
      <c r="Q2388" t="s">
        <v>159</v>
      </c>
      <c r="R2388" t="s">
        <v>210</v>
      </c>
      <c r="S2388" t="s">
        <v>161</v>
      </c>
      <c r="T2388" t="s">
        <v>211</v>
      </c>
      <c r="U2388" t="s">
        <v>163</v>
      </c>
      <c r="V2388" t="s">
        <v>193</v>
      </c>
      <c r="W2388" t="s">
        <v>116</v>
      </c>
      <c r="X2388" t="s">
        <v>44</v>
      </c>
      <c r="Y2388" t="s">
        <v>99</v>
      </c>
      <c r="Z2388" t="s">
        <v>421</v>
      </c>
      <c r="AC2388" t="str">
        <f>IF(AA2388="",M2388,AA2388)</f>
        <v>sim</v>
      </c>
      <c r="AD2388" t="str">
        <f>IF(AB2388="",X2388,AB2388)</f>
        <v>sim</v>
      </c>
      <c r="AE2388" t="str">
        <f>IF(OR(Configuracao!B9="",Configuracao!B10=""),"aguardando limiar",IF(AND(K2388&gt;=Configuracao!B9,K2388/MAX(Reconciliacao!C2,1)&gt;=Configuracao!B10/100),"sim","não"))</f>
        <v>aguardando limiar</v>
      </c>
    </row>
    <row r="2389" spans="1:31" x14ac:dyDescent="0.25">
      <c r="A2389">
        <v>12618</v>
      </c>
      <c r="D2389" t="s">
        <v>1280</v>
      </c>
      <c r="E2389" t="s">
        <v>1138</v>
      </c>
      <c r="F2389" t="s">
        <v>209</v>
      </c>
      <c r="G2389" t="s">
        <v>285</v>
      </c>
      <c r="H2389" t="s">
        <v>284</v>
      </c>
      <c r="I2389" t="s">
        <v>420</v>
      </c>
      <c r="J2389" t="s">
        <v>420</v>
      </c>
      <c r="K2389" s="4">
        <v>1017.4</v>
      </c>
      <c r="L2389" s="4">
        <v>1017.4</v>
      </c>
      <c r="M2389" t="s">
        <v>44</v>
      </c>
      <c r="N2389" t="s">
        <v>77</v>
      </c>
      <c r="O2389" t="s">
        <v>99</v>
      </c>
      <c r="P2389" t="s">
        <v>99</v>
      </c>
      <c r="Q2389" t="s">
        <v>159</v>
      </c>
      <c r="R2389" t="s">
        <v>210</v>
      </c>
      <c r="S2389" t="s">
        <v>161</v>
      </c>
      <c r="T2389" t="s">
        <v>211</v>
      </c>
      <c r="U2389" t="s">
        <v>163</v>
      </c>
      <c r="V2389" t="s">
        <v>193</v>
      </c>
      <c r="W2389" t="s">
        <v>116</v>
      </c>
      <c r="X2389" t="s">
        <v>44</v>
      </c>
      <c r="Y2389" t="s">
        <v>99</v>
      </c>
      <c r="Z2389" t="s">
        <v>421</v>
      </c>
      <c r="AC2389" t="str">
        <f>IF(AA2389="",M2389,AA2389)</f>
        <v>sim</v>
      </c>
      <c r="AD2389" t="str">
        <f>IF(AB2389="",X2389,AB2389)</f>
        <v>sim</v>
      </c>
      <c r="AE2389" t="str">
        <f>IF(OR(Configuracao!B9="",Configuracao!B10=""),"aguardando limiar",IF(AND(K2389&gt;=Configuracao!B9,K2389/MAX(Reconciliacao!C2,1)&gt;=Configuracao!B10/100),"sim","não"))</f>
        <v>aguardando limiar</v>
      </c>
    </row>
    <row r="2390" spans="1:31" x14ac:dyDescent="0.25">
      <c r="A2390">
        <v>17655</v>
      </c>
      <c r="D2390" t="s">
        <v>1498</v>
      </c>
      <c r="E2390" t="s">
        <v>477</v>
      </c>
      <c r="F2390" t="s">
        <v>209</v>
      </c>
      <c r="G2390" t="s">
        <v>208</v>
      </c>
      <c r="H2390" t="s">
        <v>207</v>
      </c>
      <c r="I2390" t="s">
        <v>442</v>
      </c>
      <c r="J2390" t="s">
        <v>442</v>
      </c>
      <c r="K2390" s="4">
        <v>594.94</v>
      </c>
      <c r="L2390" s="4">
        <v>594.94</v>
      </c>
      <c r="M2390" t="s">
        <v>44</v>
      </c>
      <c r="N2390" t="s">
        <v>77</v>
      </c>
      <c r="O2390" t="s">
        <v>99</v>
      </c>
      <c r="P2390" t="s">
        <v>99</v>
      </c>
      <c r="Q2390" t="s">
        <v>159</v>
      </c>
      <c r="R2390" t="s">
        <v>210</v>
      </c>
      <c r="S2390" t="s">
        <v>161</v>
      </c>
      <c r="T2390" t="s">
        <v>211</v>
      </c>
      <c r="U2390" t="s">
        <v>163</v>
      </c>
      <c r="V2390" t="s">
        <v>193</v>
      </c>
      <c r="W2390" t="s">
        <v>116</v>
      </c>
      <c r="X2390" t="s">
        <v>44</v>
      </c>
      <c r="Y2390" t="s">
        <v>99</v>
      </c>
      <c r="Z2390" t="s">
        <v>421</v>
      </c>
      <c r="AC2390" t="str">
        <f>IF(AA2390="",M2390,AA2390)</f>
        <v>sim</v>
      </c>
      <c r="AD2390" t="str">
        <f>IF(AB2390="",X2390,AB2390)</f>
        <v>sim</v>
      </c>
      <c r="AE2390" t="str">
        <f>IF(OR(Configuracao!B9="",Configuracao!B10=""),"aguardando limiar",IF(AND(K2390&gt;=Configuracao!B9,K2390/MAX(Reconciliacao!C2,1)&gt;=Configuracao!B10/100),"sim","não"))</f>
        <v>aguardando limiar</v>
      </c>
    </row>
    <row r="2391" spans="1:31" x14ac:dyDescent="0.25">
      <c r="A2391">
        <v>16047</v>
      </c>
      <c r="D2391" t="s">
        <v>1498</v>
      </c>
      <c r="E2391" t="s">
        <v>525</v>
      </c>
      <c r="F2391" t="s">
        <v>209</v>
      </c>
      <c r="G2391" t="s">
        <v>208</v>
      </c>
      <c r="H2391" t="s">
        <v>207</v>
      </c>
      <c r="I2391" t="s">
        <v>420</v>
      </c>
      <c r="J2391" t="s">
        <v>420</v>
      </c>
      <c r="K2391" s="4">
        <v>595.04</v>
      </c>
      <c r="L2391" s="4">
        <v>595.04</v>
      </c>
      <c r="M2391" t="s">
        <v>44</v>
      </c>
      <c r="N2391" t="s">
        <v>77</v>
      </c>
      <c r="O2391" t="s">
        <v>99</v>
      </c>
      <c r="P2391" t="s">
        <v>99</v>
      </c>
      <c r="Q2391" t="s">
        <v>159</v>
      </c>
      <c r="R2391" t="s">
        <v>210</v>
      </c>
      <c r="S2391" t="s">
        <v>161</v>
      </c>
      <c r="T2391" t="s">
        <v>211</v>
      </c>
      <c r="U2391" t="s">
        <v>163</v>
      </c>
      <c r="V2391" t="s">
        <v>193</v>
      </c>
      <c r="W2391" t="s">
        <v>116</v>
      </c>
      <c r="X2391" t="s">
        <v>44</v>
      </c>
      <c r="Y2391" t="s">
        <v>99</v>
      </c>
      <c r="Z2391" t="s">
        <v>421</v>
      </c>
      <c r="AC2391" t="str">
        <f>IF(AA2391="",M2391,AA2391)</f>
        <v>sim</v>
      </c>
      <c r="AD2391" t="str">
        <f>IF(AB2391="",X2391,AB2391)</f>
        <v>sim</v>
      </c>
      <c r="AE2391" t="str">
        <f>IF(OR(Configuracao!B9="",Configuracao!B10=""),"aguardando limiar",IF(AND(K2391&gt;=Configuracao!B9,K2391/MAX(Reconciliacao!C2,1)&gt;=Configuracao!B10/100),"sim","não"))</f>
        <v>aguardando limiar</v>
      </c>
    </row>
    <row r="2392" spans="1:31" x14ac:dyDescent="0.25">
      <c r="A2392">
        <v>18057</v>
      </c>
      <c r="D2392" t="s">
        <v>1498</v>
      </c>
      <c r="E2392" t="s">
        <v>477</v>
      </c>
      <c r="F2392" t="s">
        <v>209</v>
      </c>
      <c r="G2392" t="s">
        <v>208</v>
      </c>
      <c r="H2392" t="s">
        <v>207</v>
      </c>
      <c r="I2392" t="s">
        <v>439</v>
      </c>
      <c r="J2392" t="s">
        <v>439</v>
      </c>
      <c r="K2392" s="4">
        <v>598.6</v>
      </c>
      <c r="L2392" s="4">
        <v>598.6</v>
      </c>
      <c r="M2392" t="s">
        <v>44</v>
      </c>
      <c r="N2392" t="s">
        <v>77</v>
      </c>
      <c r="O2392" t="s">
        <v>99</v>
      </c>
      <c r="P2392" t="s">
        <v>99</v>
      </c>
      <c r="Q2392" t="s">
        <v>159</v>
      </c>
      <c r="R2392" t="s">
        <v>210</v>
      </c>
      <c r="S2392" t="s">
        <v>161</v>
      </c>
      <c r="T2392" t="s">
        <v>211</v>
      </c>
      <c r="U2392" t="s">
        <v>163</v>
      </c>
      <c r="V2392" t="s">
        <v>193</v>
      </c>
      <c r="W2392" t="s">
        <v>116</v>
      </c>
      <c r="X2392" t="s">
        <v>44</v>
      </c>
      <c r="Y2392" t="s">
        <v>99</v>
      </c>
      <c r="Z2392" t="s">
        <v>421</v>
      </c>
      <c r="AC2392" t="str">
        <f>IF(AA2392="",M2392,AA2392)</f>
        <v>sim</v>
      </c>
      <c r="AD2392" t="str">
        <f>IF(AB2392="",X2392,AB2392)</f>
        <v>sim</v>
      </c>
      <c r="AE2392" t="str">
        <f>IF(OR(Configuracao!B9="",Configuracao!B10=""),"aguardando limiar",IF(AND(K2392&gt;=Configuracao!B9,K2392/MAX(Reconciliacao!C2,1)&gt;=Configuracao!B10/100),"sim","não"))</f>
        <v>aguardando limiar</v>
      </c>
    </row>
    <row r="2393" spans="1:31" x14ac:dyDescent="0.25">
      <c r="A2393">
        <v>11514</v>
      </c>
      <c r="D2393" t="s">
        <v>1498</v>
      </c>
      <c r="E2393" t="s">
        <v>525</v>
      </c>
      <c r="F2393" t="s">
        <v>209</v>
      </c>
      <c r="G2393" t="s">
        <v>208</v>
      </c>
      <c r="H2393" t="s">
        <v>207</v>
      </c>
      <c r="I2393" t="s">
        <v>32</v>
      </c>
      <c r="J2393" t="s">
        <v>32</v>
      </c>
      <c r="K2393" s="4">
        <v>610.5</v>
      </c>
      <c r="L2393" s="4">
        <v>610.5</v>
      </c>
      <c r="M2393" t="s">
        <v>44</v>
      </c>
      <c r="N2393" t="s">
        <v>77</v>
      </c>
      <c r="O2393" t="s">
        <v>99</v>
      </c>
      <c r="P2393" t="s">
        <v>99</v>
      </c>
      <c r="Q2393" t="s">
        <v>159</v>
      </c>
      <c r="R2393" t="s">
        <v>210</v>
      </c>
      <c r="S2393" t="s">
        <v>161</v>
      </c>
      <c r="T2393" t="s">
        <v>211</v>
      </c>
      <c r="U2393" t="s">
        <v>163</v>
      </c>
      <c r="V2393" t="s">
        <v>193</v>
      </c>
      <c r="W2393" t="s">
        <v>116</v>
      </c>
      <c r="X2393" t="s">
        <v>44</v>
      </c>
      <c r="Y2393" t="s">
        <v>99</v>
      </c>
      <c r="Z2393" t="s">
        <v>421</v>
      </c>
      <c r="AC2393" t="str">
        <f>IF(AA2393="",M2393,AA2393)</f>
        <v>sim</v>
      </c>
      <c r="AD2393" t="str">
        <f>IF(AB2393="",X2393,AB2393)</f>
        <v>sim</v>
      </c>
      <c r="AE2393" t="str">
        <f>IF(OR(Configuracao!B9="",Configuracao!B10=""),"aguardando limiar",IF(AND(K2393&gt;=Configuracao!B9,K2393/MAX(Reconciliacao!C2,1)&gt;=Configuracao!B10/100),"sim","não"))</f>
        <v>aguardando limiar</v>
      </c>
    </row>
    <row r="2394" spans="1:31" x14ac:dyDescent="0.25">
      <c r="A2394">
        <v>11515</v>
      </c>
      <c r="D2394" t="s">
        <v>1498</v>
      </c>
      <c r="E2394" t="s">
        <v>477</v>
      </c>
      <c r="F2394" t="s">
        <v>209</v>
      </c>
      <c r="G2394" t="s">
        <v>208</v>
      </c>
      <c r="H2394" t="s">
        <v>207</v>
      </c>
      <c r="I2394" t="s">
        <v>32</v>
      </c>
      <c r="J2394" t="s">
        <v>32</v>
      </c>
      <c r="K2394" s="4">
        <v>610.5</v>
      </c>
      <c r="L2394" s="4">
        <v>610.5</v>
      </c>
      <c r="M2394" t="s">
        <v>44</v>
      </c>
      <c r="N2394" t="s">
        <v>77</v>
      </c>
      <c r="O2394" t="s">
        <v>99</v>
      </c>
      <c r="P2394" t="s">
        <v>99</v>
      </c>
      <c r="Q2394" t="s">
        <v>159</v>
      </c>
      <c r="R2394" t="s">
        <v>210</v>
      </c>
      <c r="S2394" t="s">
        <v>161</v>
      </c>
      <c r="T2394" t="s">
        <v>211</v>
      </c>
      <c r="U2394" t="s">
        <v>163</v>
      </c>
      <c r="V2394" t="s">
        <v>193</v>
      </c>
      <c r="W2394" t="s">
        <v>116</v>
      </c>
      <c r="X2394" t="s">
        <v>44</v>
      </c>
      <c r="Y2394" t="s">
        <v>99</v>
      </c>
      <c r="Z2394" t="s">
        <v>421</v>
      </c>
      <c r="AC2394" t="str">
        <f>IF(AA2394="",M2394,AA2394)</f>
        <v>sim</v>
      </c>
      <c r="AD2394" t="str">
        <f>IF(AB2394="",X2394,AB2394)</f>
        <v>sim</v>
      </c>
      <c r="AE2394" t="str">
        <f>IF(OR(Configuracao!B9="",Configuracao!B10=""),"aguardando limiar",IF(AND(K2394&gt;=Configuracao!B9,K2394/MAX(Reconciliacao!C2,1)&gt;=Configuracao!B10/100),"sim","não"))</f>
        <v>aguardando limiar</v>
      </c>
    </row>
    <row r="2395" spans="1:31" x14ac:dyDescent="0.25">
      <c r="A2395">
        <v>11516</v>
      </c>
      <c r="D2395" t="s">
        <v>1498</v>
      </c>
      <c r="E2395" t="s">
        <v>465</v>
      </c>
      <c r="F2395" t="s">
        <v>209</v>
      </c>
      <c r="G2395" t="s">
        <v>208</v>
      </c>
      <c r="H2395" t="s">
        <v>207</v>
      </c>
      <c r="I2395" t="s">
        <v>32</v>
      </c>
      <c r="J2395" t="s">
        <v>32</v>
      </c>
      <c r="K2395" s="4">
        <v>610.5</v>
      </c>
      <c r="L2395" s="4">
        <v>610.5</v>
      </c>
      <c r="M2395" t="s">
        <v>44</v>
      </c>
      <c r="N2395" t="s">
        <v>77</v>
      </c>
      <c r="O2395" t="s">
        <v>99</v>
      </c>
      <c r="P2395" t="s">
        <v>99</v>
      </c>
      <c r="Q2395" t="s">
        <v>159</v>
      </c>
      <c r="R2395" t="s">
        <v>210</v>
      </c>
      <c r="S2395" t="s">
        <v>161</v>
      </c>
      <c r="T2395" t="s">
        <v>211</v>
      </c>
      <c r="U2395" t="s">
        <v>163</v>
      </c>
      <c r="V2395" t="s">
        <v>193</v>
      </c>
      <c r="W2395" t="s">
        <v>116</v>
      </c>
      <c r="X2395" t="s">
        <v>44</v>
      </c>
      <c r="Y2395" t="s">
        <v>99</v>
      </c>
      <c r="Z2395" t="s">
        <v>421</v>
      </c>
      <c r="AC2395" t="str">
        <f>IF(AA2395="",M2395,AA2395)</f>
        <v>sim</v>
      </c>
      <c r="AD2395" t="str">
        <f>IF(AB2395="",X2395,AB2395)</f>
        <v>sim</v>
      </c>
      <c r="AE2395" t="str">
        <f>IF(OR(Configuracao!B9="",Configuracao!B10=""),"aguardando limiar",IF(AND(K2395&gt;=Configuracao!B9,K2395/MAX(Reconciliacao!C2,1)&gt;=Configuracao!B10/100),"sim","não"))</f>
        <v>aguardando limiar</v>
      </c>
    </row>
    <row r="2396" spans="1:31" x14ac:dyDescent="0.25">
      <c r="A2396">
        <v>16261</v>
      </c>
      <c r="D2396" t="s">
        <v>1498</v>
      </c>
      <c r="E2396" t="s">
        <v>465</v>
      </c>
      <c r="F2396" t="s">
        <v>209</v>
      </c>
      <c r="G2396" t="s">
        <v>208</v>
      </c>
      <c r="H2396" t="s">
        <v>207</v>
      </c>
      <c r="I2396" t="s">
        <v>461</v>
      </c>
      <c r="J2396" t="s">
        <v>461</v>
      </c>
      <c r="K2396" s="4">
        <v>641.88</v>
      </c>
      <c r="L2396" s="4">
        <v>641.88</v>
      </c>
      <c r="M2396" t="s">
        <v>44</v>
      </c>
      <c r="N2396" t="s">
        <v>77</v>
      </c>
      <c r="O2396" t="s">
        <v>99</v>
      </c>
      <c r="P2396" t="s">
        <v>99</v>
      </c>
      <c r="Q2396" t="s">
        <v>159</v>
      </c>
      <c r="R2396" t="s">
        <v>210</v>
      </c>
      <c r="S2396" t="s">
        <v>161</v>
      </c>
      <c r="T2396" t="s">
        <v>211</v>
      </c>
      <c r="U2396" t="s">
        <v>163</v>
      </c>
      <c r="V2396" t="s">
        <v>193</v>
      </c>
      <c r="W2396" t="s">
        <v>116</v>
      </c>
      <c r="X2396" t="s">
        <v>44</v>
      </c>
      <c r="Y2396" t="s">
        <v>99</v>
      </c>
      <c r="Z2396" t="s">
        <v>421</v>
      </c>
      <c r="AC2396" t="str">
        <f>IF(AA2396="",M2396,AA2396)</f>
        <v>sim</v>
      </c>
      <c r="AD2396" t="str">
        <f>IF(AB2396="",X2396,AB2396)</f>
        <v>sim</v>
      </c>
      <c r="AE2396" t="str">
        <f>IF(OR(Configuracao!B9="",Configuracao!B10=""),"aguardando limiar",IF(AND(K2396&gt;=Configuracao!B9,K2396/MAX(Reconciliacao!C2,1)&gt;=Configuracao!B10/100),"sim","não"))</f>
        <v>aguardando limiar</v>
      </c>
    </row>
    <row r="2397" spans="1:31" x14ac:dyDescent="0.25">
      <c r="A2397">
        <v>16262</v>
      </c>
      <c r="D2397" t="s">
        <v>1498</v>
      </c>
      <c r="E2397" t="s">
        <v>477</v>
      </c>
      <c r="F2397" t="s">
        <v>209</v>
      </c>
      <c r="G2397" t="s">
        <v>208</v>
      </c>
      <c r="H2397" t="s">
        <v>207</v>
      </c>
      <c r="I2397" t="s">
        <v>461</v>
      </c>
      <c r="J2397" t="s">
        <v>461</v>
      </c>
      <c r="K2397" s="4">
        <v>641.88</v>
      </c>
      <c r="L2397" s="4">
        <v>641.88</v>
      </c>
      <c r="M2397" t="s">
        <v>44</v>
      </c>
      <c r="N2397" t="s">
        <v>77</v>
      </c>
      <c r="O2397" t="s">
        <v>99</v>
      </c>
      <c r="P2397" t="s">
        <v>99</v>
      </c>
      <c r="Q2397" t="s">
        <v>159</v>
      </c>
      <c r="R2397" t="s">
        <v>210</v>
      </c>
      <c r="S2397" t="s">
        <v>161</v>
      </c>
      <c r="T2397" t="s">
        <v>211</v>
      </c>
      <c r="U2397" t="s">
        <v>163</v>
      </c>
      <c r="V2397" t="s">
        <v>193</v>
      </c>
      <c r="W2397" t="s">
        <v>116</v>
      </c>
      <c r="X2397" t="s">
        <v>44</v>
      </c>
      <c r="Y2397" t="s">
        <v>99</v>
      </c>
      <c r="Z2397" t="s">
        <v>421</v>
      </c>
      <c r="AC2397" t="str">
        <f>IF(AA2397="",M2397,AA2397)</f>
        <v>sim</v>
      </c>
      <c r="AD2397" t="str">
        <f>IF(AB2397="",X2397,AB2397)</f>
        <v>sim</v>
      </c>
      <c r="AE2397" t="str">
        <f>IF(OR(Configuracao!B9="",Configuracao!B10=""),"aguardando limiar",IF(AND(K2397&gt;=Configuracao!B9,K2397/MAX(Reconciliacao!C2,1)&gt;=Configuracao!B10/100),"sim","não"))</f>
        <v>aguardando limiar</v>
      </c>
    </row>
    <row r="2398" spans="1:31" x14ac:dyDescent="0.25">
      <c r="A2398">
        <v>16056</v>
      </c>
      <c r="D2398" t="s">
        <v>1498</v>
      </c>
      <c r="E2398" t="s">
        <v>465</v>
      </c>
      <c r="F2398" t="s">
        <v>209</v>
      </c>
      <c r="G2398" t="s">
        <v>208</v>
      </c>
      <c r="H2398" t="s">
        <v>207</v>
      </c>
      <c r="I2398" t="s">
        <v>454</v>
      </c>
      <c r="J2398" t="s">
        <v>454</v>
      </c>
      <c r="K2398" s="4">
        <v>643.14</v>
      </c>
      <c r="L2398" s="4">
        <v>643.14</v>
      </c>
      <c r="M2398" t="s">
        <v>44</v>
      </c>
      <c r="N2398" t="s">
        <v>77</v>
      </c>
      <c r="O2398" t="s">
        <v>99</v>
      </c>
      <c r="P2398" t="s">
        <v>99</v>
      </c>
      <c r="Q2398" t="s">
        <v>159</v>
      </c>
      <c r="R2398" t="s">
        <v>210</v>
      </c>
      <c r="S2398" t="s">
        <v>161</v>
      </c>
      <c r="T2398" t="s">
        <v>211</v>
      </c>
      <c r="U2398" t="s">
        <v>163</v>
      </c>
      <c r="V2398" t="s">
        <v>193</v>
      </c>
      <c r="W2398" t="s">
        <v>116</v>
      </c>
      <c r="X2398" t="s">
        <v>44</v>
      </c>
      <c r="Y2398" t="s">
        <v>99</v>
      </c>
      <c r="Z2398" t="s">
        <v>421</v>
      </c>
      <c r="AC2398" t="str">
        <f>IF(AA2398="",M2398,AA2398)</f>
        <v>sim</v>
      </c>
      <c r="AD2398" t="str">
        <f>IF(AB2398="",X2398,AB2398)</f>
        <v>sim</v>
      </c>
      <c r="AE2398" t="str">
        <f>IF(OR(Configuracao!B9="",Configuracao!B10=""),"aguardando limiar",IF(AND(K2398&gt;=Configuracao!B9,K2398/MAX(Reconciliacao!C2,1)&gt;=Configuracao!B10/100),"sim","não"))</f>
        <v>aguardando limiar</v>
      </c>
    </row>
    <row r="2399" spans="1:31" x14ac:dyDescent="0.25">
      <c r="A2399">
        <v>16057</v>
      </c>
      <c r="D2399" t="s">
        <v>1498</v>
      </c>
      <c r="E2399" t="s">
        <v>477</v>
      </c>
      <c r="F2399" t="s">
        <v>209</v>
      </c>
      <c r="G2399" t="s">
        <v>208</v>
      </c>
      <c r="H2399" t="s">
        <v>207</v>
      </c>
      <c r="I2399" t="s">
        <v>454</v>
      </c>
      <c r="J2399" t="s">
        <v>454</v>
      </c>
      <c r="K2399" s="4">
        <v>643.14</v>
      </c>
      <c r="L2399" s="4">
        <v>643.14</v>
      </c>
      <c r="M2399" t="s">
        <v>44</v>
      </c>
      <c r="N2399" t="s">
        <v>77</v>
      </c>
      <c r="O2399" t="s">
        <v>99</v>
      </c>
      <c r="P2399" t="s">
        <v>99</v>
      </c>
      <c r="Q2399" t="s">
        <v>159</v>
      </c>
      <c r="R2399" t="s">
        <v>210</v>
      </c>
      <c r="S2399" t="s">
        <v>161</v>
      </c>
      <c r="T2399" t="s">
        <v>211</v>
      </c>
      <c r="U2399" t="s">
        <v>163</v>
      </c>
      <c r="V2399" t="s">
        <v>193</v>
      </c>
      <c r="W2399" t="s">
        <v>116</v>
      </c>
      <c r="X2399" t="s">
        <v>44</v>
      </c>
      <c r="Y2399" t="s">
        <v>99</v>
      </c>
      <c r="Z2399" t="s">
        <v>421</v>
      </c>
      <c r="AC2399" t="str">
        <f>IF(AA2399="",M2399,AA2399)</f>
        <v>sim</v>
      </c>
      <c r="AD2399" t="str">
        <f>IF(AB2399="",X2399,AB2399)</f>
        <v>sim</v>
      </c>
      <c r="AE2399" t="str">
        <f>IF(OR(Configuracao!B9="",Configuracao!B10=""),"aguardando limiar",IF(AND(K2399&gt;=Configuracao!B9,K2399/MAX(Reconciliacao!C2,1)&gt;=Configuracao!B10/100),"sim","não"))</f>
        <v>aguardando limiar</v>
      </c>
    </row>
    <row r="2400" spans="1:31" x14ac:dyDescent="0.25">
      <c r="A2400">
        <v>12128</v>
      </c>
      <c r="D2400" t="s">
        <v>1498</v>
      </c>
      <c r="E2400" t="s">
        <v>525</v>
      </c>
      <c r="F2400" t="s">
        <v>209</v>
      </c>
      <c r="G2400" t="s">
        <v>208</v>
      </c>
      <c r="H2400" t="s">
        <v>207</v>
      </c>
      <c r="I2400" t="s">
        <v>424</v>
      </c>
      <c r="J2400" t="s">
        <v>424</v>
      </c>
      <c r="K2400" s="4">
        <v>650.03</v>
      </c>
      <c r="L2400" s="4">
        <v>650.03</v>
      </c>
      <c r="M2400" t="s">
        <v>44</v>
      </c>
      <c r="N2400" t="s">
        <v>77</v>
      </c>
      <c r="O2400" t="s">
        <v>99</v>
      </c>
      <c r="P2400" t="s">
        <v>99</v>
      </c>
      <c r="Q2400" t="s">
        <v>159</v>
      </c>
      <c r="R2400" t="s">
        <v>210</v>
      </c>
      <c r="S2400" t="s">
        <v>161</v>
      </c>
      <c r="T2400" t="s">
        <v>211</v>
      </c>
      <c r="U2400" t="s">
        <v>163</v>
      </c>
      <c r="V2400" t="s">
        <v>193</v>
      </c>
      <c r="W2400" t="s">
        <v>116</v>
      </c>
      <c r="X2400" t="s">
        <v>44</v>
      </c>
      <c r="Y2400" t="s">
        <v>99</v>
      </c>
      <c r="Z2400" t="s">
        <v>421</v>
      </c>
      <c r="AC2400" t="str">
        <f>IF(AA2400="",M2400,AA2400)</f>
        <v>sim</v>
      </c>
      <c r="AD2400" t="str">
        <f>IF(AB2400="",X2400,AB2400)</f>
        <v>sim</v>
      </c>
      <c r="AE2400" t="str">
        <f>IF(OR(Configuracao!B9="",Configuracao!B10=""),"aguardando limiar",IF(AND(K2400&gt;=Configuracao!B9,K2400/MAX(Reconciliacao!C2,1)&gt;=Configuracao!B10/100),"sim","não"))</f>
        <v>aguardando limiar</v>
      </c>
    </row>
    <row r="2401" spans="1:31" x14ac:dyDescent="0.25">
      <c r="A2401">
        <v>12129</v>
      </c>
      <c r="D2401" t="s">
        <v>1498</v>
      </c>
      <c r="E2401" t="s">
        <v>477</v>
      </c>
      <c r="F2401" t="s">
        <v>209</v>
      </c>
      <c r="G2401" t="s">
        <v>208</v>
      </c>
      <c r="H2401" t="s">
        <v>207</v>
      </c>
      <c r="I2401" t="s">
        <v>424</v>
      </c>
      <c r="J2401" t="s">
        <v>424</v>
      </c>
      <c r="K2401" s="4">
        <v>650.03</v>
      </c>
      <c r="L2401" s="4">
        <v>650.03</v>
      </c>
      <c r="M2401" t="s">
        <v>44</v>
      </c>
      <c r="N2401" t="s">
        <v>77</v>
      </c>
      <c r="O2401" t="s">
        <v>99</v>
      </c>
      <c r="P2401" t="s">
        <v>99</v>
      </c>
      <c r="Q2401" t="s">
        <v>159</v>
      </c>
      <c r="R2401" t="s">
        <v>210</v>
      </c>
      <c r="S2401" t="s">
        <v>161</v>
      </c>
      <c r="T2401" t="s">
        <v>211</v>
      </c>
      <c r="U2401" t="s">
        <v>163</v>
      </c>
      <c r="V2401" t="s">
        <v>193</v>
      </c>
      <c r="W2401" t="s">
        <v>116</v>
      </c>
      <c r="X2401" t="s">
        <v>44</v>
      </c>
      <c r="Y2401" t="s">
        <v>99</v>
      </c>
      <c r="Z2401" t="s">
        <v>421</v>
      </c>
      <c r="AC2401" t="str">
        <f>IF(AA2401="",M2401,AA2401)</f>
        <v>sim</v>
      </c>
      <c r="AD2401" t="str">
        <f>IF(AB2401="",X2401,AB2401)</f>
        <v>sim</v>
      </c>
      <c r="AE2401" t="str">
        <f>IF(OR(Configuracao!B9="",Configuracao!B10=""),"aguardando limiar",IF(AND(K2401&gt;=Configuracao!B9,K2401/MAX(Reconciliacao!C2,1)&gt;=Configuracao!B10/100),"sim","não"))</f>
        <v>aguardando limiar</v>
      </c>
    </row>
    <row r="2402" spans="1:31" x14ac:dyDescent="0.25">
      <c r="A2402">
        <v>12130</v>
      </c>
      <c r="D2402" t="s">
        <v>1498</v>
      </c>
      <c r="E2402" t="s">
        <v>465</v>
      </c>
      <c r="F2402" t="s">
        <v>209</v>
      </c>
      <c r="G2402" t="s">
        <v>208</v>
      </c>
      <c r="H2402" t="s">
        <v>207</v>
      </c>
      <c r="I2402" t="s">
        <v>424</v>
      </c>
      <c r="J2402" t="s">
        <v>424</v>
      </c>
      <c r="K2402" s="4">
        <v>650.03</v>
      </c>
      <c r="L2402" s="4">
        <v>650.03</v>
      </c>
      <c r="M2402" t="s">
        <v>44</v>
      </c>
      <c r="N2402" t="s">
        <v>77</v>
      </c>
      <c r="O2402" t="s">
        <v>99</v>
      </c>
      <c r="P2402" t="s">
        <v>99</v>
      </c>
      <c r="Q2402" t="s">
        <v>159</v>
      </c>
      <c r="R2402" t="s">
        <v>210</v>
      </c>
      <c r="S2402" t="s">
        <v>161</v>
      </c>
      <c r="T2402" t="s">
        <v>211</v>
      </c>
      <c r="U2402" t="s">
        <v>163</v>
      </c>
      <c r="V2402" t="s">
        <v>193</v>
      </c>
      <c r="W2402" t="s">
        <v>116</v>
      </c>
      <c r="X2402" t="s">
        <v>44</v>
      </c>
      <c r="Y2402" t="s">
        <v>99</v>
      </c>
      <c r="Z2402" t="s">
        <v>421</v>
      </c>
      <c r="AC2402" t="str">
        <f>IF(AA2402="",M2402,AA2402)</f>
        <v>sim</v>
      </c>
      <c r="AD2402" t="str">
        <f>IF(AB2402="",X2402,AB2402)</f>
        <v>sim</v>
      </c>
      <c r="AE2402" t="str">
        <f>IF(OR(Configuracao!B9="",Configuracao!B10=""),"aguardando limiar",IF(AND(K2402&gt;=Configuracao!B9,K2402/MAX(Reconciliacao!C2,1)&gt;=Configuracao!B10/100),"sim","não"))</f>
        <v>aguardando limiar</v>
      </c>
    </row>
    <row r="2403" spans="1:31" x14ac:dyDescent="0.25">
      <c r="A2403">
        <v>16048</v>
      </c>
      <c r="D2403" t="s">
        <v>1498</v>
      </c>
      <c r="E2403" t="s">
        <v>477</v>
      </c>
      <c r="F2403" t="s">
        <v>209</v>
      </c>
      <c r="G2403" t="s">
        <v>208</v>
      </c>
      <c r="H2403" t="s">
        <v>207</v>
      </c>
      <c r="I2403" t="s">
        <v>420</v>
      </c>
      <c r="J2403" t="s">
        <v>420</v>
      </c>
      <c r="K2403" s="4">
        <v>696.1</v>
      </c>
      <c r="L2403" s="4">
        <v>696.1</v>
      </c>
      <c r="M2403" t="s">
        <v>44</v>
      </c>
      <c r="N2403" t="s">
        <v>77</v>
      </c>
      <c r="O2403" t="s">
        <v>99</v>
      </c>
      <c r="P2403" t="s">
        <v>99</v>
      </c>
      <c r="Q2403" t="s">
        <v>159</v>
      </c>
      <c r="R2403" t="s">
        <v>210</v>
      </c>
      <c r="S2403" t="s">
        <v>161</v>
      </c>
      <c r="T2403" t="s">
        <v>211</v>
      </c>
      <c r="U2403" t="s">
        <v>163</v>
      </c>
      <c r="V2403" t="s">
        <v>193</v>
      </c>
      <c r="W2403" t="s">
        <v>116</v>
      </c>
      <c r="X2403" t="s">
        <v>44</v>
      </c>
      <c r="Y2403" t="s">
        <v>99</v>
      </c>
      <c r="Z2403" t="s">
        <v>421</v>
      </c>
      <c r="AC2403" t="str">
        <f>IF(AA2403="",M2403,AA2403)</f>
        <v>sim</v>
      </c>
      <c r="AD2403" t="str">
        <f>IF(AB2403="",X2403,AB2403)</f>
        <v>sim</v>
      </c>
      <c r="AE2403" t="str">
        <f>IF(OR(Configuracao!B9="",Configuracao!B10=""),"aguardando limiar",IF(AND(K2403&gt;=Configuracao!B9,K2403/MAX(Reconciliacao!C2,1)&gt;=Configuracao!B10/100),"sim","não"))</f>
        <v>aguardando limiar</v>
      </c>
    </row>
    <row r="2404" spans="1:31" x14ac:dyDescent="0.25">
      <c r="A2404">
        <v>16049</v>
      </c>
      <c r="D2404" t="s">
        <v>1498</v>
      </c>
      <c r="E2404" t="s">
        <v>465</v>
      </c>
      <c r="F2404" t="s">
        <v>209</v>
      </c>
      <c r="G2404" t="s">
        <v>208</v>
      </c>
      <c r="H2404" t="s">
        <v>207</v>
      </c>
      <c r="I2404" t="s">
        <v>420</v>
      </c>
      <c r="J2404" t="s">
        <v>420</v>
      </c>
      <c r="K2404" s="4">
        <v>696.1</v>
      </c>
      <c r="L2404" s="4">
        <v>696.1</v>
      </c>
      <c r="M2404" t="s">
        <v>44</v>
      </c>
      <c r="N2404" t="s">
        <v>77</v>
      </c>
      <c r="O2404" t="s">
        <v>99</v>
      </c>
      <c r="P2404" t="s">
        <v>99</v>
      </c>
      <c r="Q2404" t="s">
        <v>159</v>
      </c>
      <c r="R2404" t="s">
        <v>210</v>
      </c>
      <c r="S2404" t="s">
        <v>161</v>
      </c>
      <c r="T2404" t="s">
        <v>211</v>
      </c>
      <c r="U2404" t="s">
        <v>163</v>
      </c>
      <c r="V2404" t="s">
        <v>193</v>
      </c>
      <c r="W2404" t="s">
        <v>116</v>
      </c>
      <c r="X2404" t="s">
        <v>44</v>
      </c>
      <c r="Y2404" t="s">
        <v>99</v>
      </c>
      <c r="Z2404" t="s">
        <v>421</v>
      </c>
      <c r="AC2404" t="str">
        <f>IF(AA2404="",M2404,AA2404)</f>
        <v>sim</v>
      </c>
      <c r="AD2404" t="str">
        <f>IF(AB2404="",X2404,AB2404)</f>
        <v>sim</v>
      </c>
      <c r="AE2404" t="str">
        <f>IF(OR(Configuracao!B9="",Configuracao!B10=""),"aguardando limiar",IF(AND(K2404&gt;=Configuracao!B9,K2404/MAX(Reconciliacao!C2,1)&gt;=Configuracao!B10/100),"sim","não"))</f>
        <v>aguardando limiar</v>
      </c>
    </row>
    <row r="2405" spans="1:31" x14ac:dyDescent="0.25">
      <c r="A2405">
        <v>17658</v>
      </c>
      <c r="D2405" t="s">
        <v>1498</v>
      </c>
      <c r="E2405" t="s">
        <v>458</v>
      </c>
      <c r="F2405" t="s">
        <v>209</v>
      </c>
      <c r="G2405" t="s">
        <v>208</v>
      </c>
      <c r="H2405" t="s">
        <v>207</v>
      </c>
      <c r="I2405" t="s">
        <v>442</v>
      </c>
      <c r="J2405" t="s">
        <v>442</v>
      </c>
      <c r="K2405" s="4">
        <v>767.26</v>
      </c>
      <c r="L2405" s="4">
        <v>767.26</v>
      </c>
      <c r="M2405" t="s">
        <v>44</v>
      </c>
      <c r="N2405" t="s">
        <v>77</v>
      </c>
      <c r="O2405" t="s">
        <v>99</v>
      </c>
      <c r="P2405" t="s">
        <v>99</v>
      </c>
      <c r="Q2405" t="s">
        <v>159</v>
      </c>
      <c r="R2405" t="s">
        <v>210</v>
      </c>
      <c r="S2405" t="s">
        <v>161</v>
      </c>
      <c r="T2405" t="s">
        <v>211</v>
      </c>
      <c r="U2405" t="s">
        <v>163</v>
      </c>
      <c r="V2405" t="s">
        <v>193</v>
      </c>
      <c r="W2405" t="s">
        <v>116</v>
      </c>
      <c r="X2405" t="s">
        <v>44</v>
      </c>
      <c r="Y2405" t="s">
        <v>99</v>
      </c>
      <c r="Z2405" t="s">
        <v>421</v>
      </c>
      <c r="AC2405" t="str">
        <f>IF(AA2405="",M2405,AA2405)</f>
        <v>sim</v>
      </c>
      <c r="AD2405" t="str">
        <f>IF(AB2405="",X2405,AB2405)</f>
        <v>sim</v>
      </c>
      <c r="AE2405" t="str">
        <f>IF(OR(Configuracao!B9="",Configuracao!B10=""),"aguardando limiar",IF(AND(K2405&gt;=Configuracao!B9,K2405/MAX(Reconciliacao!C2,1)&gt;=Configuracao!B10/100),"sim","não"))</f>
        <v>aguardando limiar</v>
      </c>
    </row>
    <row r="2406" spans="1:31" x14ac:dyDescent="0.25">
      <c r="A2406">
        <v>19014</v>
      </c>
      <c r="D2406" t="s">
        <v>1498</v>
      </c>
      <c r="E2406" t="s">
        <v>458</v>
      </c>
      <c r="F2406" t="s">
        <v>209</v>
      </c>
      <c r="G2406" t="s">
        <v>208</v>
      </c>
      <c r="H2406" t="s">
        <v>207</v>
      </c>
      <c r="I2406" t="s">
        <v>35</v>
      </c>
      <c r="J2406" t="s">
        <v>35</v>
      </c>
      <c r="K2406" s="4">
        <v>770.46</v>
      </c>
      <c r="L2406" s="4">
        <v>770.46</v>
      </c>
      <c r="M2406" t="s">
        <v>44</v>
      </c>
      <c r="N2406" t="s">
        <v>77</v>
      </c>
      <c r="O2406" t="s">
        <v>99</v>
      </c>
      <c r="P2406" t="s">
        <v>99</v>
      </c>
      <c r="Q2406" t="s">
        <v>159</v>
      </c>
      <c r="R2406" t="s">
        <v>210</v>
      </c>
      <c r="S2406" t="s">
        <v>161</v>
      </c>
      <c r="T2406" t="s">
        <v>211</v>
      </c>
      <c r="U2406" t="s">
        <v>163</v>
      </c>
      <c r="V2406" t="s">
        <v>193</v>
      </c>
      <c r="W2406" t="s">
        <v>116</v>
      </c>
      <c r="X2406" t="s">
        <v>44</v>
      </c>
      <c r="Y2406" t="s">
        <v>99</v>
      </c>
      <c r="Z2406" t="s">
        <v>421</v>
      </c>
      <c r="AC2406" t="str">
        <f>IF(AA2406="",M2406,AA2406)</f>
        <v>sim</v>
      </c>
      <c r="AD2406" t="str">
        <f>IF(AB2406="",X2406,AB2406)</f>
        <v>sim</v>
      </c>
      <c r="AE2406" t="str">
        <f>IF(OR(Configuracao!B9="",Configuracao!B10=""),"aguardando limiar",IF(AND(K2406&gt;=Configuracao!B9,K2406/MAX(Reconciliacao!C2,1)&gt;=Configuracao!B10/100),"sim","não"))</f>
        <v>aguardando limiar</v>
      </c>
    </row>
    <row r="2407" spans="1:31" x14ac:dyDescent="0.25">
      <c r="A2407">
        <v>18058</v>
      </c>
      <c r="D2407" t="s">
        <v>1498</v>
      </c>
      <c r="E2407" t="s">
        <v>458</v>
      </c>
      <c r="F2407" t="s">
        <v>209</v>
      </c>
      <c r="G2407" t="s">
        <v>208</v>
      </c>
      <c r="H2407" t="s">
        <v>207</v>
      </c>
      <c r="I2407" t="s">
        <v>439</v>
      </c>
      <c r="J2407" t="s">
        <v>439</v>
      </c>
      <c r="K2407" s="4">
        <v>770.92</v>
      </c>
      <c r="L2407" s="4">
        <v>770.92</v>
      </c>
      <c r="M2407" t="s">
        <v>44</v>
      </c>
      <c r="N2407" t="s">
        <v>77</v>
      </c>
      <c r="O2407" t="s">
        <v>99</v>
      </c>
      <c r="P2407" t="s">
        <v>99</v>
      </c>
      <c r="Q2407" t="s">
        <v>159</v>
      </c>
      <c r="R2407" t="s">
        <v>210</v>
      </c>
      <c r="S2407" t="s">
        <v>161</v>
      </c>
      <c r="T2407" t="s">
        <v>211</v>
      </c>
      <c r="U2407" t="s">
        <v>163</v>
      </c>
      <c r="V2407" t="s">
        <v>193</v>
      </c>
      <c r="W2407" t="s">
        <v>116</v>
      </c>
      <c r="X2407" t="s">
        <v>44</v>
      </c>
      <c r="Y2407" t="s">
        <v>99</v>
      </c>
      <c r="Z2407" t="s">
        <v>421</v>
      </c>
      <c r="AC2407" t="str">
        <f>IF(AA2407="",M2407,AA2407)</f>
        <v>sim</v>
      </c>
      <c r="AD2407" t="str">
        <f>IF(AB2407="",X2407,AB2407)</f>
        <v>sim</v>
      </c>
      <c r="AE2407" t="str">
        <f>IF(OR(Configuracao!B9="",Configuracao!B10=""),"aguardando limiar",IF(AND(K2407&gt;=Configuracao!B9,K2407/MAX(Reconciliacao!C2,1)&gt;=Configuracao!B10/100),"sim","não"))</f>
        <v>aguardando limiar</v>
      </c>
    </row>
    <row r="2408" spans="1:31" x14ac:dyDescent="0.25">
      <c r="A2408">
        <v>16263</v>
      </c>
      <c r="D2408" t="s">
        <v>1498</v>
      </c>
      <c r="E2408" t="s">
        <v>458</v>
      </c>
      <c r="F2408" t="s">
        <v>209</v>
      </c>
      <c r="G2408" t="s">
        <v>208</v>
      </c>
      <c r="H2408" t="s">
        <v>207</v>
      </c>
      <c r="I2408" t="s">
        <v>461</v>
      </c>
      <c r="J2408" t="s">
        <v>461</v>
      </c>
      <c r="K2408" s="4">
        <v>814.2</v>
      </c>
      <c r="L2408" s="4">
        <v>814.2</v>
      </c>
      <c r="M2408" t="s">
        <v>44</v>
      </c>
      <c r="N2408" t="s">
        <v>77</v>
      </c>
      <c r="O2408" t="s">
        <v>99</v>
      </c>
      <c r="P2408" t="s">
        <v>99</v>
      </c>
      <c r="Q2408" t="s">
        <v>159</v>
      </c>
      <c r="R2408" t="s">
        <v>210</v>
      </c>
      <c r="S2408" t="s">
        <v>161</v>
      </c>
      <c r="T2408" t="s">
        <v>211</v>
      </c>
      <c r="U2408" t="s">
        <v>163</v>
      </c>
      <c r="V2408" t="s">
        <v>193</v>
      </c>
      <c r="W2408" t="s">
        <v>116</v>
      </c>
      <c r="X2408" t="s">
        <v>44</v>
      </c>
      <c r="Y2408" t="s">
        <v>99</v>
      </c>
      <c r="Z2408" t="s">
        <v>421</v>
      </c>
      <c r="AC2408" t="str">
        <f>IF(AA2408="",M2408,AA2408)</f>
        <v>sim</v>
      </c>
      <c r="AD2408" t="str">
        <f>IF(AB2408="",X2408,AB2408)</f>
        <v>sim</v>
      </c>
      <c r="AE2408" t="str">
        <f>IF(OR(Configuracao!B9="",Configuracao!B10=""),"aguardando limiar",IF(AND(K2408&gt;=Configuracao!B9,K2408/MAX(Reconciliacao!C2,1)&gt;=Configuracao!B10/100),"sim","não"))</f>
        <v>aguardando limiar</v>
      </c>
    </row>
    <row r="2409" spans="1:31" x14ac:dyDescent="0.25">
      <c r="A2409">
        <v>16059</v>
      </c>
      <c r="D2409" t="s">
        <v>1498</v>
      </c>
      <c r="E2409" t="s">
        <v>458</v>
      </c>
      <c r="F2409" t="s">
        <v>209</v>
      </c>
      <c r="G2409" t="s">
        <v>208</v>
      </c>
      <c r="H2409" t="s">
        <v>207</v>
      </c>
      <c r="I2409" t="s">
        <v>454</v>
      </c>
      <c r="J2409" t="s">
        <v>454</v>
      </c>
      <c r="K2409" s="4">
        <v>815.46</v>
      </c>
      <c r="L2409" s="4">
        <v>815.46</v>
      </c>
      <c r="M2409" t="s">
        <v>44</v>
      </c>
      <c r="N2409" t="s">
        <v>77</v>
      </c>
      <c r="O2409" t="s">
        <v>99</v>
      </c>
      <c r="P2409" t="s">
        <v>99</v>
      </c>
      <c r="Q2409" t="s">
        <v>159</v>
      </c>
      <c r="R2409" t="s">
        <v>210</v>
      </c>
      <c r="S2409" t="s">
        <v>161</v>
      </c>
      <c r="T2409" t="s">
        <v>211</v>
      </c>
      <c r="U2409" t="s">
        <v>163</v>
      </c>
      <c r="V2409" t="s">
        <v>193</v>
      </c>
      <c r="W2409" t="s">
        <v>116</v>
      </c>
      <c r="X2409" t="s">
        <v>44</v>
      </c>
      <c r="Y2409" t="s">
        <v>99</v>
      </c>
      <c r="Z2409" t="s">
        <v>421</v>
      </c>
      <c r="AC2409" t="str">
        <f>IF(AA2409="",M2409,AA2409)</f>
        <v>sim</v>
      </c>
      <c r="AD2409" t="str">
        <f>IF(AB2409="",X2409,AB2409)</f>
        <v>sim</v>
      </c>
      <c r="AE2409" t="str">
        <f>IF(OR(Configuracao!B9="",Configuracao!B10=""),"aguardando limiar",IF(AND(K2409&gt;=Configuracao!B9,K2409/MAX(Reconciliacao!C2,1)&gt;=Configuracao!B10/100),"sim","não"))</f>
        <v>aguardando limiar</v>
      </c>
    </row>
    <row r="2410" spans="1:31" x14ac:dyDescent="0.25">
      <c r="A2410">
        <v>12132</v>
      </c>
      <c r="D2410" t="s">
        <v>1498</v>
      </c>
      <c r="E2410" t="s">
        <v>458</v>
      </c>
      <c r="F2410" t="s">
        <v>209</v>
      </c>
      <c r="G2410" t="s">
        <v>208</v>
      </c>
      <c r="H2410" t="s">
        <v>207</v>
      </c>
      <c r="I2410" t="s">
        <v>424</v>
      </c>
      <c r="J2410" t="s">
        <v>424</v>
      </c>
      <c r="K2410" s="4">
        <v>819.85</v>
      </c>
      <c r="L2410" s="4">
        <v>819.85</v>
      </c>
      <c r="M2410" t="s">
        <v>44</v>
      </c>
      <c r="N2410" t="s">
        <v>77</v>
      </c>
      <c r="O2410" t="s">
        <v>99</v>
      </c>
      <c r="P2410" t="s">
        <v>99</v>
      </c>
      <c r="Q2410" t="s">
        <v>159</v>
      </c>
      <c r="R2410" t="s">
        <v>210</v>
      </c>
      <c r="S2410" t="s">
        <v>161</v>
      </c>
      <c r="T2410" t="s">
        <v>211</v>
      </c>
      <c r="U2410" t="s">
        <v>163</v>
      </c>
      <c r="V2410" t="s">
        <v>193</v>
      </c>
      <c r="W2410" t="s">
        <v>116</v>
      </c>
      <c r="X2410" t="s">
        <v>44</v>
      </c>
      <c r="Y2410" t="s">
        <v>99</v>
      </c>
      <c r="Z2410" t="s">
        <v>421</v>
      </c>
      <c r="AC2410" t="str">
        <f>IF(AA2410="",M2410,AA2410)</f>
        <v>sim</v>
      </c>
      <c r="AD2410" t="str">
        <f>IF(AB2410="",X2410,AB2410)</f>
        <v>sim</v>
      </c>
      <c r="AE2410" t="str">
        <f>IF(OR(Configuracao!B9="",Configuracao!B10=""),"aguardando limiar",IF(AND(K2410&gt;=Configuracao!B9,K2410/MAX(Reconciliacao!C2,1)&gt;=Configuracao!B10/100),"sim","não"))</f>
        <v>aguardando limiar</v>
      </c>
    </row>
    <row r="2411" spans="1:31" x14ac:dyDescent="0.25">
      <c r="A2411">
        <v>11518</v>
      </c>
      <c r="D2411" t="s">
        <v>1498</v>
      </c>
      <c r="E2411" t="s">
        <v>458</v>
      </c>
      <c r="F2411" t="s">
        <v>209</v>
      </c>
      <c r="G2411" t="s">
        <v>208</v>
      </c>
      <c r="H2411" t="s">
        <v>207</v>
      </c>
      <c r="I2411" t="s">
        <v>32</v>
      </c>
      <c r="J2411" t="s">
        <v>32</v>
      </c>
      <c r="K2411" s="4">
        <v>820.65</v>
      </c>
      <c r="L2411" s="4">
        <v>820.65</v>
      </c>
      <c r="M2411" t="s">
        <v>44</v>
      </c>
      <c r="N2411" t="s">
        <v>77</v>
      </c>
      <c r="O2411" t="s">
        <v>99</v>
      </c>
      <c r="P2411" t="s">
        <v>99</v>
      </c>
      <c r="Q2411" t="s">
        <v>159</v>
      </c>
      <c r="R2411" t="s">
        <v>210</v>
      </c>
      <c r="S2411" t="s">
        <v>161</v>
      </c>
      <c r="T2411" t="s">
        <v>211</v>
      </c>
      <c r="U2411" t="s">
        <v>163</v>
      </c>
      <c r="V2411" t="s">
        <v>193</v>
      </c>
      <c r="W2411" t="s">
        <v>116</v>
      </c>
      <c r="X2411" t="s">
        <v>44</v>
      </c>
      <c r="Y2411" t="s">
        <v>99</v>
      </c>
      <c r="Z2411" t="s">
        <v>421</v>
      </c>
      <c r="AC2411" t="str">
        <f>IF(AA2411="",M2411,AA2411)</f>
        <v>sim</v>
      </c>
      <c r="AD2411" t="str">
        <f>IF(AB2411="",X2411,AB2411)</f>
        <v>sim</v>
      </c>
      <c r="AE2411" t="str">
        <f>IF(OR(Configuracao!B9="",Configuracao!B10=""),"aguardando limiar",IF(AND(K2411&gt;=Configuracao!B9,K2411/MAX(Reconciliacao!C2,1)&gt;=Configuracao!B10/100),"sim","não"))</f>
        <v>aguardando limiar</v>
      </c>
    </row>
    <row r="2412" spans="1:31" x14ac:dyDescent="0.25">
      <c r="A2412">
        <v>16051</v>
      </c>
      <c r="D2412" t="s">
        <v>1498</v>
      </c>
      <c r="E2412" t="s">
        <v>458</v>
      </c>
      <c r="F2412" t="s">
        <v>209</v>
      </c>
      <c r="G2412" t="s">
        <v>208</v>
      </c>
      <c r="H2412" t="s">
        <v>207</v>
      </c>
      <c r="I2412" t="s">
        <v>420</v>
      </c>
      <c r="J2412" t="s">
        <v>420</v>
      </c>
      <c r="K2412" s="4">
        <v>1141.2</v>
      </c>
      <c r="L2412" s="4">
        <v>1141.2</v>
      </c>
      <c r="M2412" t="s">
        <v>44</v>
      </c>
      <c r="N2412" t="s">
        <v>77</v>
      </c>
      <c r="O2412" t="s">
        <v>99</v>
      </c>
      <c r="P2412" t="s">
        <v>99</v>
      </c>
      <c r="Q2412" t="s">
        <v>159</v>
      </c>
      <c r="R2412" t="s">
        <v>210</v>
      </c>
      <c r="S2412" t="s">
        <v>161</v>
      </c>
      <c r="T2412" t="s">
        <v>211</v>
      </c>
      <c r="U2412" t="s">
        <v>163</v>
      </c>
      <c r="V2412" t="s">
        <v>193</v>
      </c>
      <c r="W2412" t="s">
        <v>116</v>
      </c>
      <c r="X2412" t="s">
        <v>44</v>
      </c>
      <c r="Y2412" t="s">
        <v>99</v>
      </c>
      <c r="Z2412" t="s">
        <v>421</v>
      </c>
      <c r="AC2412" t="str">
        <f>IF(AA2412="",M2412,AA2412)</f>
        <v>sim</v>
      </c>
      <c r="AD2412" t="str">
        <f>IF(AB2412="",X2412,AB2412)</f>
        <v>sim</v>
      </c>
      <c r="AE2412" t="str">
        <f>IF(OR(Configuracao!B9="",Configuracao!B10=""),"aguardando limiar",IF(AND(K2412&gt;=Configuracao!B9,K2412/MAX(Reconciliacao!C2,1)&gt;=Configuracao!B10/100),"sim","não"))</f>
        <v>aguardando limiar</v>
      </c>
    </row>
    <row r="2413" spans="1:31" x14ac:dyDescent="0.25">
      <c r="A2413">
        <v>17653</v>
      </c>
      <c r="D2413" t="s">
        <v>1498</v>
      </c>
      <c r="E2413" t="s">
        <v>465</v>
      </c>
      <c r="F2413" t="s">
        <v>209</v>
      </c>
      <c r="G2413" t="s">
        <v>208</v>
      </c>
      <c r="H2413" t="s">
        <v>207</v>
      </c>
      <c r="I2413" t="s">
        <v>442</v>
      </c>
      <c r="J2413" t="s">
        <v>442</v>
      </c>
      <c r="K2413" s="4">
        <v>1189.88</v>
      </c>
      <c r="L2413" s="4">
        <v>1189.88</v>
      </c>
      <c r="M2413" t="s">
        <v>44</v>
      </c>
      <c r="N2413" t="s">
        <v>77</v>
      </c>
      <c r="O2413" t="s">
        <v>99</v>
      </c>
      <c r="P2413" t="s">
        <v>99</v>
      </c>
      <c r="Q2413" t="s">
        <v>159</v>
      </c>
      <c r="R2413" t="s">
        <v>210</v>
      </c>
      <c r="S2413" t="s">
        <v>161</v>
      </c>
      <c r="T2413" t="s">
        <v>211</v>
      </c>
      <c r="U2413" t="s">
        <v>163</v>
      </c>
      <c r="V2413" t="s">
        <v>193</v>
      </c>
      <c r="W2413" t="s">
        <v>116</v>
      </c>
      <c r="X2413" t="s">
        <v>44</v>
      </c>
      <c r="Y2413" t="s">
        <v>99</v>
      </c>
      <c r="Z2413" t="s">
        <v>421</v>
      </c>
      <c r="AC2413" t="str">
        <f>IF(AA2413="",M2413,AA2413)</f>
        <v>sim</v>
      </c>
      <c r="AD2413" t="str">
        <f>IF(AB2413="",X2413,AB2413)</f>
        <v>sim</v>
      </c>
      <c r="AE2413" t="str">
        <f>IF(OR(Configuracao!B9="",Configuracao!B10=""),"aguardando limiar",IF(AND(K2413&gt;=Configuracao!B9,K2413/MAX(Reconciliacao!C2,1)&gt;=Configuracao!B10/100),"sim","não"))</f>
        <v>aguardando limiar</v>
      </c>
    </row>
    <row r="2414" spans="1:31" x14ac:dyDescent="0.25">
      <c r="A2414">
        <v>17654</v>
      </c>
      <c r="D2414" t="s">
        <v>1498</v>
      </c>
      <c r="E2414" t="s">
        <v>525</v>
      </c>
      <c r="F2414" t="s">
        <v>209</v>
      </c>
      <c r="G2414" t="s">
        <v>208</v>
      </c>
      <c r="H2414" t="s">
        <v>207</v>
      </c>
      <c r="I2414" t="s">
        <v>442</v>
      </c>
      <c r="J2414" t="s">
        <v>442</v>
      </c>
      <c r="K2414" s="4">
        <v>1189.88</v>
      </c>
      <c r="L2414" s="4">
        <v>1189.88</v>
      </c>
      <c r="M2414" t="s">
        <v>44</v>
      </c>
      <c r="N2414" t="s">
        <v>77</v>
      </c>
      <c r="O2414" t="s">
        <v>99</v>
      </c>
      <c r="P2414" t="s">
        <v>99</v>
      </c>
      <c r="Q2414" t="s">
        <v>159</v>
      </c>
      <c r="R2414" t="s">
        <v>210</v>
      </c>
      <c r="S2414" t="s">
        <v>161</v>
      </c>
      <c r="T2414" t="s">
        <v>211</v>
      </c>
      <c r="U2414" t="s">
        <v>163</v>
      </c>
      <c r="V2414" t="s">
        <v>193</v>
      </c>
      <c r="W2414" t="s">
        <v>116</v>
      </c>
      <c r="X2414" t="s">
        <v>44</v>
      </c>
      <c r="Y2414" t="s">
        <v>99</v>
      </c>
      <c r="Z2414" t="s">
        <v>421</v>
      </c>
      <c r="AC2414" t="str">
        <f>IF(AA2414="",M2414,AA2414)</f>
        <v>sim</v>
      </c>
      <c r="AD2414" t="str">
        <f>IF(AB2414="",X2414,AB2414)</f>
        <v>sim</v>
      </c>
      <c r="AE2414" t="str">
        <f>IF(OR(Configuracao!B9="",Configuracao!B10=""),"aguardando limiar",IF(AND(K2414&gt;=Configuracao!B9,K2414/MAX(Reconciliacao!C2,1)&gt;=Configuracao!B10/100),"sim","não"))</f>
        <v>aguardando limiar</v>
      </c>
    </row>
    <row r="2415" spans="1:31" x14ac:dyDescent="0.25">
      <c r="A2415">
        <v>19011</v>
      </c>
      <c r="D2415" t="s">
        <v>1498</v>
      </c>
      <c r="E2415" t="s">
        <v>525</v>
      </c>
      <c r="F2415" t="s">
        <v>209</v>
      </c>
      <c r="G2415" t="s">
        <v>208</v>
      </c>
      <c r="H2415" t="s">
        <v>207</v>
      </c>
      <c r="I2415" t="s">
        <v>35</v>
      </c>
      <c r="J2415" t="s">
        <v>35</v>
      </c>
      <c r="K2415" s="4">
        <v>1196.26</v>
      </c>
      <c r="L2415" s="4">
        <v>1196.26</v>
      </c>
      <c r="M2415" t="s">
        <v>44</v>
      </c>
      <c r="N2415" t="s">
        <v>77</v>
      </c>
      <c r="O2415" t="s">
        <v>99</v>
      </c>
      <c r="P2415" t="s">
        <v>99</v>
      </c>
      <c r="Q2415" t="s">
        <v>159</v>
      </c>
      <c r="R2415" t="s">
        <v>210</v>
      </c>
      <c r="S2415" t="s">
        <v>161</v>
      </c>
      <c r="T2415" t="s">
        <v>211</v>
      </c>
      <c r="U2415" t="s">
        <v>163</v>
      </c>
      <c r="V2415" t="s">
        <v>193</v>
      </c>
      <c r="W2415" t="s">
        <v>116</v>
      </c>
      <c r="X2415" t="s">
        <v>44</v>
      </c>
      <c r="Y2415" t="s">
        <v>99</v>
      </c>
      <c r="Z2415" t="s">
        <v>421</v>
      </c>
      <c r="AC2415" t="str">
        <f>IF(AA2415="",M2415,AA2415)</f>
        <v>sim</v>
      </c>
      <c r="AD2415" t="str">
        <f>IF(AB2415="",X2415,AB2415)</f>
        <v>sim</v>
      </c>
      <c r="AE2415" t="str">
        <f>IF(OR(Configuracao!B9="",Configuracao!B10=""),"aguardando limiar",IF(AND(K2415&gt;=Configuracao!B9,K2415/MAX(Reconciliacao!C2,1)&gt;=Configuracao!B10/100),"sim","não"))</f>
        <v>aguardando limiar</v>
      </c>
    </row>
    <row r="2416" spans="1:31" x14ac:dyDescent="0.25">
      <c r="A2416">
        <v>19013</v>
      </c>
      <c r="D2416" t="s">
        <v>1498</v>
      </c>
      <c r="E2416" t="s">
        <v>465</v>
      </c>
      <c r="F2416" t="s">
        <v>209</v>
      </c>
      <c r="G2416" t="s">
        <v>208</v>
      </c>
      <c r="H2416" t="s">
        <v>207</v>
      </c>
      <c r="I2416" t="s">
        <v>35</v>
      </c>
      <c r="J2416" t="s">
        <v>35</v>
      </c>
      <c r="K2416" s="4">
        <v>1196.26</v>
      </c>
      <c r="L2416" s="4">
        <v>1196.26</v>
      </c>
      <c r="M2416" t="s">
        <v>44</v>
      </c>
      <c r="N2416" t="s">
        <v>77</v>
      </c>
      <c r="O2416" t="s">
        <v>99</v>
      </c>
      <c r="P2416" t="s">
        <v>99</v>
      </c>
      <c r="Q2416" t="s">
        <v>159</v>
      </c>
      <c r="R2416" t="s">
        <v>210</v>
      </c>
      <c r="S2416" t="s">
        <v>161</v>
      </c>
      <c r="T2416" t="s">
        <v>211</v>
      </c>
      <c r="U2416" t="s">
        <v>163</v>
      </c>
      <c r="V2416" t="s">
        <v>193</v>
      </c>
      <c r="W2416" t="s">
        <v>116</v>
      </c>
      <c r="X2416" t="s">
        <v>44</v>
      </c>
      <c r="Y2416" t="s">
        <v>99</v>
      </c>
      <c r="Z2416" t="s">
        <v>421</v>
      </c>
      <c r="AC2416" t="str">
        <f>IF(AA2416="",M2416,AA2416)</f>
        <v>sim</v>
      </c>
      <c r="AD2416" t="str">
        <f>IF(AB2416="",X2416,AB2416)</f>
        <v>sim</v>
      </c>
      <c r="AE2416" t="str">
        <f>IF(OR(Configuracao!B9="",Configuracao!B10=""),"aguardando limiar",IF(AND(K2416&gt;=Configuracao!B9,K2416/MAX(Reconciliacao!C2,1)&gt;=Configuracao!B10/100),"sim","não"))</f>
        <v>aguardando limiar</v>
      </c>
    </row>
    <row r="2417" spans="1:31" x14ac:dyDescent="0.25">
      <c r="A2417">
        <v>18054</v>
      </c>
      <c r="D2417" t="s">
        <v>1498</v>
      </c>
      <c r="E2417" t="s">
        <v>525</v>
      </c>
      <c r="F2417" t="s">
        <v>209</v>
      </c>
      <c r="G2417" t="s">
        <v>208</v>
      </c>
      <c r="H2417" t="s">
        <v>207</v>
      </c>
      <c r="I2417" t="s">
        <v>439</v>
      </c>
      <c r="J2417" t="s">
        <v>439</v>
      </c>
      <c r="K2417" s="4">
        <v>1197.22</v>
      </c>
      <c r="L2417" s="4">
        <v>1197.22</v>
      </c>
      <c r="M2417" t="s">
        <v>44</v>
      </c>
      <c r="N2417" t="s">
        <v>77</v>
      </c>
      <c r="O2417" t="s">
        <v>99</v>
      </c>
      <c r="P2417" t="s">
        <v>99</v>
      </c>
      <c r="Q2417" t="s">
        <v>159</v>
      </c>
      <c r="R2417" t="s">
        <v>210</v>
      </c>
      <c r="S2417" t="s">
        <v>161</v>
      </c>
      <c r="T2417" t="s">
        <v>211</v>
      </c>
      <c r="U2417" t="s">
        <v>163</v>
      </c>
      <c r="V2417" t="s">
        <v>193</v>
      </c>
      <c r="W2417" t="s">
        <v>116</v>
      </c>
      <c r="X2417" t="s">
        <v>44</v>
      </c>
      <c r="Y2417" t="s">
        <v>99</v>
      </c>
      <c r="Z2417" t="s">
        <v>421</v>
      </c>
      <c r="AC2417" t="str">
        <f>IF(AA2417="",M2417,AA2417)</f>
        <v>sim</v>
      </c>
      <c r="AD2417" t="str">
        <f>IF(AB2417="",X2417,AB2417)</f>
        <v>sim</v>
      </c>
      <c r="AE2417" t="str">
        <f>IF(OR(Configuracao!B9="",Configuracao!B10=""),"aguardando limiar",IF(AND(K2417&gt;=Configuracao!B9,K2417/MAX(Reconciliacao!C2,1)&gt;=Configuracao!B10/100),"sim","não"))</f>
        <v>aguardando limiar</v>
      </c>
    </row>
    <row r="2418" spans="1:31" x14ac:dyDescent="0.25">
      <c r="A2418">
        <v>18056</v>
      </c>
      <c r="D2418" t="s">
        <v>1498</v>
      </c>
      <c r="E2418" t="s">
        <v>465</v>
      </c>
      <c r="F2418" t="s">
        <v>209</v>
      </c>
      <c r="G2418" t="s">
        <v>208</v>
      </c>
      <c r="H2418" t="s">
        <v>207</v>
      </c>
      <c r="I2418" t="s">
        <v>439</v>
      </c>
      <c r="J2418" t="s">
        <v>439</v>
      </c>
      <c r="K2418" s="4">
        <v>1197.22</v>
      </c>
      <c r="L2418" s="4">
        <v>1197.22</v>
      </c>
      <c r="M2418" t="s">
        <v>44</v>
      </c>
      <c r="N2418" t="s">
        <v>77</v>
      </c>
      <c r="O2418" t="s">
        <v>99</v>
      </c>
      <c r="P2418" t="s">
        <v>99</v>
      </c>
      <c r="Q2418" t="s">
        <v>159</v>
      </c>
      <c r="R2418" t="s">
        <v>210</v>
      </c>
      <c r="S2418" t="s">
        <v>161</v>
      </c>
      <c r="T2418" t="s">
        <v>211</v>
      </c>
      <c r="U2418" t="s">
        <v>163</v>
      </c>
      <c r="V2418" t="s">
        <v>193</v>
      </c>
      <c r="W2418" t="s">
        <v>116</v>
      </c>
      <c r="X2418" t="s">
        <v>44</v>
      </c>
      <c r="Y2418" t="s">
        <v>99</v>
      </c>
      <c r="Z2418" t="s">
        <v>421</v>
      </c>
      <c r="AC2418" t="str">
        <f>IF(AA2418="",M2418,AA2418)</f>
        <v>sim</v>
      </c>
      <c r="AD2418" t="str">
        <f>IF(AB2418="",X2418,AB2418)</f>
        <v>sim</v>
      </c>
      <c r="AE2418" t="str">
        <f>IF(OR(Configuracao!B9="",Configuracao!B10=""),"aguardando limiar",IF(AND(K2418&gt;=Configuracao!B9,K2418/MAX(Reconciliacao!C2,1)&gt;=Configuracao!B10/100),"sim","não"))</f>
        <v>aguardando limiar</v>
      </c>
    </row>
    <row r="2419" spans="1:31" x14ac:dyDescent="0.25">
      <c r="A2419">
        <v>11513</v>
      </c>
      <c r="D2419" t="s">
        <v>1498</v>
      </c>
      <c r="E2419" t="s">
        <v>511</v>
      </c>
      <c r="F2419" t="s">
        <v>209</v>
      </c>
      <c r="G2419" t="s">
        <v>208</v>
      </c>
      <c r="H2419" t="s">
        <v>207</v>
      </c>
      <c r="I2419" t="s">
        <v>32</v>
      </c>
      <c r="J2419" t="s">
        <v>32</v>
      </c>
      <c r="K2419" s="4">
        <v>1221</v>
      </c>
      <c r="L2419" s="4">
        <v>1221</v>
      </c>
      <c r="M2419" t="s">
        <v>44</v>
      </c>
      <c r="N2419" t="s">
        <v>77</v>
      </c>
      <c r="O2419" t="s">
        <v>99</v>
      </c>
      <c r="P2419" t="s">
        <v>99</v>
      </c>
      <c r="Q2419" t="s">
        <v>159</v>
      </c>
      <c r="R2419" t="s">
        <v>210</v>
      </c>
      <c r="S2419" t="s">
        <v>161</v>
      </c>
      <c r="T2419" t="s">
        <v>211</v>
      </c>
      <c r="U2419" t="s">
        <v>163</v>
      </c>
      <c r="V2419" t="s">
        <v>193</v>
      </c>
      <c r="W2419" t="s">
        <v>116</v>
      </c>
      <c r="X2419" t="s">
        <v>44</v>
      </c>
      <c r="Y2419" t="s">
        <v>99</v>
      </c>
      <c r="Z2419" t="s">
        <v>421</v>
      </c>
      <c r="AC2419" t="str">
        <f>IF(AA2419="",M2419,AA2419)</f>
        <v>sim</v>
      </c>
      <c r="AD2419" t="str">
        <f>IF(AB2419="",X2419,AB2419)</f>
        <v>sim</v>
      </c>
      <c r="AE2419" t="str">
        <f>IF(OR(Configuracao!B9="",Configuracao!B10=""),"aguardando limiar",IF(AND(K2419&gt;=Configuracao!B9,K2419/MAX(Reconciliacao!C2,1)&gt;=Configuracao!B10/100),"sim","não"))</f>
        <v>aguardando limiar</v>
      </c>
    </row>
    <row r="2420" spans="1:31" x14ac:dyDescent="0.25">
      <c r="A2420">
        <v>17656</v>
      </c>
      <c r="D2420" t="s">
        <v>1498</v>
      </c>
      <c r="E2420" t="s">
        <v>451</v>
      </c>
      <c r="F2420" t="s">
        <v>209</v>
      </c>
      <c r="G2420" t="s">
        <v>208</v>
      </c>
      <c r="H2420" t="s">
        <v>207</v>
      </c>
      <c r="I2420" t="s">
        <v>442</v>
      </c>
      <c r="J2420" t="s">
        <v>442</v>
      </c>
      <c r="K2420" s="4">
        <v>1272.72</v>
      </c>
      <c r="L2420" s="4">
        <v>1272.72</v>
      </c>
      <c r="M2420" t="s">
        <v>44</v>
      </c>
      <c r="N2420" t="s">
        <v>77</v>
      </c>
      <c r="O2420" t="s">
        <v>99</v>
      </c>
      <c r="P2420" t="s">
        <v>99</v>
      </c>
      <c r="Q2420" t="s">
        <v>159</v>
      </c>
      <c r="R2420" t="s">
        <v>210</v>
      </c>
      <c r="S2420" t="s">
        <v>161</v>
      </c>
      <c r="T2420" t="s">
        <v>211</v>
      </c>
      <c r="U2420" t="s">
        <v>163</v>
      </c>
      <c r="V2420" t="s">
        <v>193</v>
      </c>
      <c r="W2420" t="s">
        <v>116</v>
      </c>
      <c r="X2420" t="s">
        <v>44</v>
      </c>
      <c r="Y2420" t="s">
        <v>99</v>
      </c>
      <c r="Z2420" t="s">
        <v>421</v>
      </c>
      <c r="AC2420" t="str">
        <f>IF(AA2420="",M2420,AA2420)</f>
        <v>sim</v>
      </c>
      <c r="AD2420" t="str">
        <f>IF(AB2420="",X2420,AB2420)</f>
        <v>sim</v>
      </c>
      <c r="AE2420" t="str">
        <f>IF(OR(Configuracao!B9="",Configuracao!B10=""),"aguardando limiar",IF(AND(K2420&gt;=Configuracao!B9,K2420/MAX(Reconciliacao!C2,1)&gt;=Configuracao!B10/100),"sim","não"))</f>
        <v>aguardando limiar</v>
      </c>
    </row>
    <row r="2421" spans="1:31" x14ac:dyDescent="0.25">
      <c r="A2421">
        <v>19015</v>
      </c>
      <c r="D2421" t="s">
        <v>1498</v>
      </c>
      <c r="E2421" t="s">
        <v>451</v>
      </c>
      <c r="F2421" t="s">
        <v>209</v>
      </c>
      <c r="G2421" t="s">
        <v>208</v>
      </c>
      <c r="H2421" t="s">
        <v>207</v>
      </c>
      <c r="I2421" t="s">
        <v>35</v>
      </c>
      <c r="J2421" t="s">
        <v>35</v>
      </c>
      <c r="K2421" s="4">
        <v>1279.1</v>
      </c>
      <c r="L2421" s="4">
        <v>1279.1</v>
      </c>
      <c r="M2421" t="s">
        <v>44</v>
      </c>
      <c r="N2421" t="s">
        <v>77</v>
      </c>
      <c r="O2421" t="s">
        <v>99</v>
      </c>
      <c r="P2421" t="s">
        <v>99</v>
      </c>
      <c r="Q2421" t="s">
        <v>159</v>
      </c>
      <c r="R2421" t="s">
        <v>210</v>
      </c>
      <c r="S2421" t="s">
        <v>161</v>
      </c>
      <c r="T2421" t="s">
        <v>211</v>
      </c>
      <c r="U2421" t="s">
        <v>163</v>
      </c>
      <c r="V2421" t="s">
        <v>193</v>
      </c>
      <c r="W2421" t="s">
        <v>116</v>
      </c>
      <c r="X2421" t="s">
        <v>44</v>
      </c>
      <c r="Y2421" t="s">
        <v>99</v>
      </c>
      <c r="Z2421" t="s">
        <v>421</v>
      </c>
      <c r="AC2421" t="str">
        <f>IF(AA2421="",M2421,AA2421)</f>
        <v>sim</v>
      </c>
      <c r="AD2421" t="str">
        <f>IF(AB2421="",X2421,AB2421)</f>
        <v>sim</v>
      </c>
      <c r="AE2421" t="str">
        <f>IF(OR(Configuracao!B9="",Configuracao!B10=""),"aguardando limiar",IF(AND(K2421&gt;=Configuracao!B9,K2421/MAX(Reconciliacao!C2,1)&gt;=Configuracao!B10/100),"sim","não"))</f>
        <v>aguardando limiar</v>
      </c>
    </row>
    <row r="2422" spans="1:31" x14ac:dyDescent="0.25">
      <c r="A2422">
        <v>16259</v>
      </c>
      <c r="D2422" t="s">
        <v>1498</v>
      </c>
      <c r="E2422" t="s">
        <v>511</v>
      </c>
      <c r="F2422" t="s">
        <v>209</v>
      </c>
      <c r="G2422" t="s">
        <v>208</v>
      </c>
      <c r="H2422" t="s">
        <v>207</v>
      </c>
      <c r="I2422" t="s">
        <v>461</v>
      </c>
      <c r="J2422" t="s">
        <v>461</v>
      </c>
      <c r="K2422" s="4">
        <v>1283.76</v>
      </c>
      <c r="L2422" s="4">
        <v>1283.76</v>
      </c>
      <c r="M2422" t="s">
        <v>44</v>
      </c>
      <c r="N2422" t="s">
        <v>77</v>
      </c>
      <c r="O2422" t="s">
        <v>99</v>
      </c>
      <c r="P2422" t="s">
        <v>99</v>
      </c>
      <c r="Q2422" t="s">
        <v>159</v>
      </c>
      <c r="R2422" t="s">
        <v>210</v>
      </c>
      <c r="S2422" t="s">
        <v>161</v>
      </c>
      <c r="T2422" t="s">
        <v>211</v>
      </c>
      <c r="U2422" t="s">
        <v>163</v>
      </c>
      <c r="V2422" t="s">
        <v>193</v>
      </c>
      <c r="W2422" t="s">
        <v>116</v>
      </c>
      <c r="X2422" t="s">
        <v>44</v>
      </c>
      <c r="Y2422" t="s">
        <v>99</v>
      </c>
      <c r="Z2422" t="s">
        <v>421</v>
      </c>
      <c r="AC2422" t="str">
        <f>IF(AA2422="",M2422,AA2422)</f>
        <v>sim</v>
      </c>
      <c r="AD2422" t="str">
        <f>IF(AB2422="",X2422,AB2422)</f>
        <v>sim</v>
      </c>
      <c r="AE2422" t="str">
        <f>IF(OR(Configuracao!B9="",Configuracao!B10=""),"aguardando limiar",IF(AND(K2422&gt;=Configuracao!B9,K2422/MAX(Reconciliacao!C2,1)&gt;=Configuracao!B10/100),"sim","não"))</f>
        <v>aguardando limiar</v>
      </c>
    </row>
    <row r="2423" spans="1:31" x14ac:dyDescent="0.25">
      <c r="A2423">
        <v>16055</v>
      </c>
      <c r="D2423" t="s">
        <v>1498</v>
      </c>
      <c r="E2423" t="s">
        <v>511</v>
      </c>
      <c r="F2423" t="s">
        <v>209</v>
      </c>
      <c r="G2423" t="s">
        <v>208</v>
      </c>
      <c r="H2423" t="s">
        <v>207</v>
      </c>
      <c r="I2423" t="s">
        <v>454</v>
      </c>
      <c r="J2423" t="s">
        <v>454</v>
      </c>
      <c r="K2423" s="4">
        <v>1286.26</v>
      </c>
      <c r="L2423" s="4">
        <v>1286.26</v>
      </c>
      <c r="M2423" t="s">
        <v>44</v>
      </c>
      <c r="N2423" t="s">
        <v>77</v>
      </c>
      <c r="O2423" t="s">
        <v>99</v>
      </c>
      <c r="P2423" t="s">
        <v>99</v>
      </c>
      <c r="Q2423" t="s">
        <v>159</v>
      </c>
      <c r="R2423" t="s">
        <v>210</v>
      </c>
      <c r="S2423" t="s">
        <v>161</v>
      </c>
      <c r="T2423" t="s">
        <v>211</v>
      </c>
      <c r="U2423" t="s">
        <v>163</v>
      </c>
      <c r="V2423" t="s">
        <v>193</v>
      </c>
      <c r="W2423" t="s">
        <v>116</v>
      </c>
      <c r="X2423" t="s">
        <v>44</v>
      </c>
      <c r="Y2423" t="s">
        <v>99</v>
      </c>
      <c r="Z2423" t="s">
        <v>421</v>
      </c>
      <c r="AC2423" t="str">
        <f>IF(AA2423="",M2423,AA2423)</f>
        <v>sim</v>
      </c>
      <c r="AD2423" t="str">
        <f>IF(AB2423="",X2423,AB2423)</f>
        <v>sim</v>
      </c>
      <c r="AE2423" t="str">
        <f>IF(OR(Configuracao!B9="",Configuracao!B10=""),"aguardando limiar",IF(AND(K2423&gt;=Configuracao!B9,K2423/MAX(Reconciliacao!C2,1)&gt;=Configuracao!B10/100),"sim","não"))</f>
        <v>aguardando limiar</v>
      </c>
    </row>
    <row r="2424" spans="1:31" x14ac:dyDescent="0.25">
      <c r="A2424">
        <v>12127</v>
      </c>
      <c r="D2424" t="s">
        <v>1498</v>
      </c>
      <c r="E2424" t="s">
        <v>511</v>
      </c>
      <c r="F2424" t="s">
        <v>209</v>
      </c>
      <c r="G2424" t="s">
        <v>208</v>
      </c>
      <c r="H2424" t="s">
        <v>207</v>
      </c>
      <c r="I2424" t="s">
        <v>424</v>
      </c>
      <c r="J2424" t="s">
        <v>424</v>
      </c>
      <c r="K2424" s="4">
        <v>1300.06</v>
      </c>
      <c r="L2424" s="4">
        <v>1300.06</v>
      </c>
      <c r="M2424" t="s">
        <v>44</v>
      </c>
      <c r="N2424" t="s">
        <v>77</v>
      </c>
      <c r="O2424" t="s">
        <v>99</v>
      </c>
      <c r="P2424" t="s">
        <v>99</v>
      </c>
      <c r="Q2424" t="s">
        <v>159</v>
      </c>
      <c r="R2424" t="s">
        <v>210</v>
      </c>
      <c r="S2424" t="s">
        <v>161</v>
      </c>
      <c r="T2424" t="s">
        <v>211</v>
      </c>
      <c r="U2424" t="s">
        <v>163</v>
      </c>
      <c r="V2424" t="s">
        <v>193</v>
      </c>
      <c r="W2424" t="s">
        <v>116</v>
      </c>
      <c r="X2424" t="s">
        <v>44</v>
      </c>
      <c r="Y2424" t="s">
        <v>99</v>
      </c>
      <c r="Z2424" t="s">
        <v>421</v>
      </c>
      <c r="AC2424" t="str">
        <f>IF(AA2424="",M2424,AA2424)</f>
        <v>sim</v>
      </c>
      <c r="AD2424" t="str">
        <f>IF(AB2424="",X2424,AB2424)</f>
        <v>sim</v>
      </c>
      <c r="AE2424" t="str">
        <f>IF(OR(Configuracao!B9="",Configuracao!B10=""),"aguardando limiar",IF(AND(K2424&gt;=Configuracao!B9,K2424/MAX(Reconciliacao!C2,1)&gt;=Configuracao!B10/100),"sim","não"))</f>
        <v>aguardando limiar</v>
      </c>
    </row>
    <row r="2425" spans="1:31" x14ac:dyDescent="0.25">
      <c r="A2425">
        <v>18059</v>
      </c>
      <c r="D2425" t="s">
        <v>1498</v>
      </c>
      <c r="E2425" t="s">
        <v>451</v>
      </c>
      <c r="F2425" t="s">
        <v>209</v>
      </c>
      <c r="G2425" t="s">
        <v>208</v>
      </c>
      <c r="H2425" t="s">
        <v>207</v>
      </c>
      <c r="I2425" t="s">
        <v>439</v>
      </c>
      <c r="J2425" t="s">
        <v>439</v>
      </c>
      <c r="K2425" s="4">
        <v>1344.41</v>
      </c>
      <c r="L2425" s="4">
        <v>1344.41</v>
      </c>
      <c r="M2425" t="s">
        <v>44</v>
      </c>
      <c r="N2425" t="s">
        <v>77</v>
      </c>
      <c r="O2425" t="s">
        <v>99</v>
      </c>
      <c r="P2425" t="s">
        <v>99</v>
      </c>
      <c r="Q2425" t="s">
        <v>159</v>
      </c>
      <c r="R2425" t="s">
        <v>210</v>
      </c>
      <c r="S2425" t="s">
        <v>161</v>
      </c>
      <c r="T2425" t="s">
        <v>211</v>
      </c>
      <c r="U2425" t="s">
        <v>163</v>
      </c>
      <c r="V2425" t="s">
        <v>193</v>
      </c>
      <c r="W2425" t="s">
        <v>116</v>
      </c>
      <c r="X2425" t="s">
        <v>44</v>
      </c>
      <c r="Y2425" t="s">
        <v>99</v>
      </c>
      <c r="Z2425" t="s">
        <v>421</v>
      </c>
      <c r="AC2425" t="str">
        <f>IF(AA2425="",M2425,AA2425)</f>
        <v>sim</v>
      </c>
      <c r="AD2425" t="str">
        <f>IF(AB2425="",X2425,AB2425)</f>
        <v>sim</v>
      </c>
      <c r="AE2425" t="str">
        <f>IF(OR(Configuracao!B9="",Configuracao!B10=""),"aguardando limiar",IF(AND(K2425&gt;=Configuracao!B9,K2425/MAX(Reconciliacao!C2,1)&gt;=Configuracao!B10/100),"sim","não"))</f>
        <v>aguardando limiar</v>
      </c>
    </row>
    <row r="2426" spans="1:31" x14ac:dyDescent="0.25">
      <c r="A2426">
        <v>16264</v>
      </c>
      <c r="D2426" t="s">
        <v>1498</v>
      </c>
      <c r="E2426" t="s">
        <v>451</v>
      </c>
      <c r="F2426" t="s">
        <v>209</v>
      </c>
      <c r="G2426" t="s">
        <v>208</v>
      </c>
      <c r="H2426" t="s">
        <v>207</v>
      </c>
      <c r="I2426" t="s">
        <v>461</v>
      </c>
      <c r="J2426" t="s">
        <v>461</v>
      </c>
      <c r="K2426" s="4">
        <v>1372.9</v>
      </c>
      <c r="L2426" s="4">
        <v>1372.9</v>
      </c>
      <c r="M2426" t="s">
        <v>44</v>
      </c>
      <c r="N2426" t="s">
        <v>77</v>
      </c>
      <c r="O2426" t="s">
        <v>99</v>
      </c>
      <c r="P2426" t="s">
        <v>99</v>
      </c>
      <c r="Q2426" t="s">
        <v>159</v>
      </c>
      <c r="R2426" t="s">
        <v>210</v>
      </c>
      <c r="S2426" t="s">
        <v>161</v>
      </c>
      <c r="T2426" t="s">
        <v>211</v>
      </c>
      <c r="U2426" t="s">
        <v>163</v>
      </c>
      <c r="V2426" t="s">
        <v>193</v>
      </c>
      <c r="W2426" t="s">
        <v>116</v>
      </c>
      <c r="X2426" t="s">
        <v>44</v>
      </c>
      <c r="Y2426" t="s">
        <v>99</v>
      </c>
      <c r="Z2426" t="s">
        <v>421</v>
      </c>
      <c r="AC2426" t="str">
        <f>IF(AA2426="",M2426,AA2426)</f>
        <v>sim</v>
      </c>
      <c r="AD2426" t="str">
        <f>IF(AB2426="",X2426,AB2426)</f>
        <v>sim</v>
      </c>
      <c r="AE2426" t="str">
        <f>IF(OR(Configuracao!B9="",Configuracao!B10=""),"aguardando limiar",IF(AND(K2426&gt;=Configuracao!B9,K2426/MAX(Reconciliacao!C2,1)&gt;=Configuracao!B10/100),"sim","não"))</f>
        <v>aguardando limiar</v>
      </c>
    </row>
    <row r="2427" spans="1:31" x14ac:dyDescent="0.25">
      <c r="A2427">
        <v>12131</v>
      </c>
      <c r="D2427" t="s">
        <v>1498</v>
      </c>
      <c r="E2427" t="s">
        <v>451</v>
      </c>
      <c r="F2427" t="s">
        <v>209</v>
      </c>
      <c r="G2427" t="s">
        <v>208</v>
      </c>
      <c r="H2427" t="s">
        <v>207</v>
      </c>
      <c r="I2427" t="s">
        <v>424</v>
      </c>
      <c r="J2427" t="s">
        <v>424</v>
      </c>
      <c r="K2427" s="4">
        <v>1381.8</v>
      </c>
      <c r="L2427" s="4">
        <v>1381.8</v>
      </c>
      <c r="M2427" t="s">
        <v>44</v>
      </c>
      <c r="N2427" t="s">
        <v>77</v>
      </c>
      <c r="O2427" t="s">
        <v>99</v>
      </c>
      <c r="P2427" t="s">
        <v>99</v>
      </c>
      <c r="Q2427" t="s">
        <v>159</v>
      </c>
      <c r="R2427" t="s">
        <v>210</v>
      </c>
      <c r="S2427" t="s">
        <v>161</v>
      </c>
      <c r="T2427" t="s">
        <v>211</v>
      </c>
      <c r="U2427" t="s">
        <v>163</v>
      </c>
      <c r="V2427" t="s">
        <v>193</v>
      </c>
      <c r="W2427" t="s">
        <v>116</v>
      </c>
      <c r="X2427" t="s">
        <v>44</v>
      </c>
      <c r="Y2427" t="s">
        <v>99</v>
      </c>
      <c r="Z2427" t="s">
        <v>421</v>
      </c>
      <c r="AC2427" t="str">
        <f>IF(AA2427="",M2427,AA2427)</f>
        <v>sim</v>
      </c>
      <c r="AD2427" t="str">
        <f>IF(AB2427="",X2427,AB2427)</f>
        <v>sim</v>
      </c>
      <c r="AE2427" t="str">
        <f>IF(OR(Configuracao!B9="",Configuracao!B10=""),"aguardando limiar",IF(AND(K2427&gt;=Configuracao!B9,K2427/MAX(Reconciliacao!C2,1)&gt;=Configuracao!B10/100),"sim","não"))</f>
        <v>aguardando limiar</v>
      </c>
    </row>
    <row r="2428" spans="1:31" x14ac:dyDescent="0.25">
      <c r="A2428">
        <v>16058</v>
      </c>
      <c r="D2428" t="s">
        <v>1498</v>
      </c>
      <c r="E2428" t="s">
        <v>451</v>
      </c>
      <c r="F2428" t="s">
        <v>209</v>
      </c>
      <c r="G2428" t="s">
        <v>208</v>
      </c>
      <c r="H2428" t="s">
        <v>207</v>
      </c>
      <c r="I2428" t="s">
        <v>454</v>
      </c>
      <c r="J2428" t="s">
        <v>454</v>
      </c>
      <c r="K2428" s="4">
        <v>1389.13</v>
      </c>
      <c r="L2428" s="4">
        <v>1389.13</v>
      </c>
      <c r="M2428" t="s">
        <v>44</v>
      </c>
      <c r="N2428" t="s">
        <v>77</v>
      </c>
      <c r="O2428" t="s">
        <v>99</v>
      </c>
      <c r="P2428" t="s">
        <v>99</v>
      </c>
      <c r="Q2428" t="s">
        <v>159</v>
      </c>
      <c r="R2428" t="s">
        <v>210</v>
      </c>
      <c r="S2428" t="s">
        <v>161</v>
      </c>
      <c r="T2428" t="s">
        <v>211</v>
      </c>
      <c r="U2428" t="s">
        <v>163</v>
      </c>
      <c r="V2428" t="s">
        <v>193</v>
      </c>
      <c r="W2428" t="s">
        <v>116</v>
      </c>
      <c r="X2428" t="s">
        <v>44</v>
      </c>
      <c r="Y2428" t="s">
        <v>99</v>
      </c>
      <c r="Z2428" t="s">
        <v>421</v>
      </c>
      <c r="AC2428" t="str">
        <f>IF(AA2428="",M2428,AA2428)</f>
        <v>sim</v>
      </c>
      <c r="AD2428" t="str">
        <f>IF(AB2428="",X2428,AB2428)</f>
        <v>sim</v>
      </c>
      <c r="AE2428" t="str">
        <f>IF(OR(Configuracao!B9="",Configuracao!B10=""),"aguardando limiar",IF(AND(K2428&gt;=Configuracao!B9,K2428/MAX(Reconciliacao!C2,1)&gt;=Configuracao!B10/100),"sim","não"))</f>
        <v>aguardando limiar</v>
      </c>
    </row>
    <row r="2429" spans="1:31" x14ac:dyDescent="0.25">
      <c r="A2429">
        <v>16046</v>
      </c>
      <c r="D2429" t="s">
        <v>1498</v>
      </c>
      <c r="E2429" t="s">
        <v>511</v>
      </c>
      <c r="F2429" t="s">
        <v>209</v>
      </c>
      <c r="G2429" t="s">
        <v>208</v>
      </c>
      <c r="H2429" t="s">
        <v>207</v>
      </c>
      <c r="I2429" t="s">
        <v>420</v>
      </c>
      <c r="J2429" t="s">
        <v>420</v>
      </c>
      <c r="K2429" s="4">
        <v>1392.2</v>
      </c>
      <c r="L2429" s="4">
        <v>1392.2</v>
      </c>
      <c r="M2429" t="s">
        <v>44</v>
      </c>
      <c r="N2429" t="s">
        <v>77</v>
      </c>
      <c r="O2429" t="s">
        <v>99</v>
      </c>
      <c r="P2429" t="s">
        <v>99</v>
      </c>
      <c r="Q2429" t="s">
        <v>159</v>
      </c>
      <c r="R2429" t="s">
        <v>210</v>
      </c>
      <c r="S2429" t="s">
        <v>161</v>
      </c>
      <c r="T2429" t="s">
        <v>211</v>
      </c>
      <c r="U2429" t="s">
        <v>163</v>
      </c>
      <c r="V2429" t="s">
        <v>193</v>
      </c>
      <c r="W2429" t="s">
        <v>116</v>
      </c>
      <c r="X2429" t="s">
        <v>44</v>
      </c>
      <c r="Y2429" t="s">
        <v>99</v>
      </c>
      <c r="Z2429" t="s">
        <v>421</v>
      </c>
      <c r="AC2429" t="str">
        <f>IF(AA2429="",M2429,AA2429)</f>
        <v>sim</v>
      </c>
      <c r="AD2429" t="str">
        <f>IF(AB2429="",X2429,AB2429)</f>
        <v>sim</v>
      </c>
      <c r="AE2429" t="str">
        <f>IF(OR(Configuracao!B9="",Configuracao!B10=""),"aguardando limiar",IF(AND(K2429&gt;=Configuracao!B9,K2429/MAX(Reconciliacao!C2,1)&gt;=Configuracao!B10/100),"sim","não"))</f>
        <v>aguardando limiar</v>
      </c>
    </row>
    <row r="2430" spans="1:31" x14ac:dyDescent="0.25">
      <c r="A2430">
        <v>11517</v>
      </c>
      <c r="D2430" t="s">
        <v>1498</v>
      </c>
      <c r="E2430" t="s">
        <v>451</v>
      </c>
      <c r="F2430" t="s">
        <v>209</v>
      </c>
      <c r="G2430" t="s">
        <v>208</v>
      </c>
      <c r="H2430" t="s">
        <v>207</v>
      </c>
      <c r="I2430" t="s">
        <v>32</v>
      </c>
      <c r="J2430" t="s">
        <v>32</v>
      </c>
      <c r="K2430" s="4">
        <v>1616.87</v>
      </c>
      <c r="L2430" s="4">
        <v>1616.87</v>
      </c>
      <c r="M2430" t="s">
        <v>44</v>
      </c>
      <c r="N2430" t="s">
        <v>77</v>
      </c>
      <c r="O2430" t="s">
        <v>99</v>
      </c>
      <c r="P2430" t="s">
        <v>99</v>
      </c>
      <c r="Q2430" t="s">
        <v>159</v>
      </c>
      <c r="R2430" t="s">
        <v>210</v>
      </c>
      <c r="S2430" t="s">
        <v>161</v>
      </c>
      <c r="T2430" t="s">
        <v>211</v>
      </c>
      <c r="U2430" t="s">
        <v>163</v>
      </c>
      <c r="V2430" t="s">
        <v>193</v>
      </c>
      <c r="W2430" t="s">
        <v>116</v>
      </c>
      <c r="X2430" t="s">
        <v>44</v>
      </c>
      <c r="Y2430" t="s">
        <v>99</v>
      </c>
      <c r="Z2430" t="s">
        <v>421</v>
      </c>
      <c r="AC2430" t="str">
        <f>IF(AA2430="",M2430,AA2430)</f>
        <v>sim</v>
      </c>
      <c r="AD2430" t="str">
        <f>IF(AB2430="",X2430,AB2430)</f>
        <v>sim</v>
      </c>
      <c r="AE2430" t="str">
        <f>IF(OR(Configuracao!B9="",Configuracao!B10=""),"aguardando limiar",IF(AND(K2430&gt;=Configuracao!B9,K2430/MAX(Reconciliacao!C2,1)&gt;=Configuracao!B10/100),"sim","não"))</f>
        <v>aguardando limiar</v>
      </c>
    </row>
    <row r="2431" spans="1:31" x14ac:dyDescent="0.25">
      <c r="A2431">
        <v>17651</v>
      </c>
      <c r="D2431" t="s">
        <v>1498</v>
      </c>
      <c r="E2431" t="s">
        <v>511</v>
      </c>
      <c r="F2431" t="s">
        <v>209</v>
      </c>
      <c r="G2431" t="s">
        <v>208</v>
      </c>
      <c r="H2431" t="s">
        <v>207</v>
      </c>
      <c r="I2431" t="s">
        <v>442</v>
      </c>
      <c r="J2431" t="s">
        <v>442</v>
      </c>
      <c r="K2431" s="4">
        <v>1784.85</v>
      </c>
      <c r="L2431" s="4">
        <v>1784.85</v>
      </c>
      <c r="M2431" t="s">
        <v>44</v>
      </c>
      <c r="N2431" t="s">
        <v>77</v>
      </c>
      <c r="O2431" t="s">
        <v>99</v>
      </c>
      <c r="P2431" t="s">
        <v>99</v>
      </c>
      <c r="Q2431" t="s">
        <v>159</v>
      </c>
      <c r="R2431" t="s">
        <v>210</v>
      </c>
      <c r="S2431" t="s">
        <v>161</v>
      </c>
      <c r="T2431" t="s">
        <v>211</v>
      </c>
      <c r="U2431" t="s">
        <v>163</v>
      </c>
      <c r="V2431" t="s">
        <v>193</v>
      </c>
      <c r="W2431" t="s">
        <v>116</v>
      </c>
      <c r="X2431" t="s">
        <v>44</v>
      </c>
      <c r="Y2431" t="s">
        <v>99</v>
      </c>
      <c r="Z2431" t="s">
        <v>421</v>
      </c>
      <c r="AC2431" t="str">
        <f>IF(AA2431="",M2431,AA2431)</f>
        <v>sim</v>
      </c>
      <c r="AD2431" t="str">
        <f>IF(AB2431="",X2431,AB2431)</f>
        <v>sim</v>
      </c>
      <c r="AE2431" t="str">
        <f>IF(OR(Configuracao!B9="",Configuracao!B10=""),"aguardando limiar",IF(AND(K2431&gt;=Configuracao!B9,K2431/MAX(Reconciliacao!C2,1)&gt;=Configuracao!B10/100),"sim","não"))</f>
        <v>aguardando limiar</v>
      </c>
    </row>
    <row r="2432" spans="1:31" x14ac:dyDescent="0.25">
      <c r="A2432">
        <v>19010</v>
      </c>
      <c r="D2432" t="s">
        <v>1498</v>
      </c>
      <c r="E2432" t="s">
        <v>511</v>
      </c>
      <c r="F2432" t="s">
        <v>209</v>
      </c>
      <c r="G2432" t="s">
        <v>208</v>
      </c>
      <c r="H2432" t="s">
        <v>207</v>
      </c>
      <c r="I2432" t="s">
        <v>35</v>
      </c>
      <c r="J2432" t="s">
        <v>35</v>
      </c>
      <c r="K2432" s="4">
        <v>1794.39</v>
      </c>
      <c r="L2432" s="4">
        <v>1794.39</v>
      </c>
      <c r="M2432" t="s">
        <v>44</v>
      </c>
      <c r="N2432" t="s">
        <v>77</v>
      </c>
      <c r="O2432" t="s">
        <v>99</v>
      </c>
      <c r="P2432" t="s">
        <v>99</v>
      </c>
      <c r="Q2432" t="s">
        <v>159</v>
      </c>
      <c r="R2432" t="s">
        <v>210</v>
      </c>
      <c r="S2432" t="s">
        <v>161</v>
      </c>
      <c r="T2432" t="s">
        <v>211</v>
      </c>
      <c r="U2432" t="s">
        <v>163</v>
      </c>
      <c r="V2432" t="s">
        <v>193</v>
      </c>
      <c r="W2432" t="s">
        <v>116</v>
      </c>
      <c r="X2432" t="s">
        <v>44</v>
      </c>
      <c r="Y2432" t="s">
        <v>99</v>
      </c>
      <c r="Z2432" t="s">
        <v>421</v>
      </c>
      <c r="AC2432" t="str">
        <f>IF(AA2432="",M2432,AA2432)</f>
        <v>sim</v>
      </c>
      <c r="AD2432" t="str">
        <f>IF(AB2432="",X2432,AB2432)</f>
        <v>sim</v>
      </c>
      <c r="AE2432" t="str">
        <f>IF(OR(Configuracao!B9="",Configuracao!B10=""),"aguardando limiar",IF(AND(K2432&gt;=Configuracao!B9,K2432/MAX(Reconciliacao!C2,1)&gt;=Configuracao!B10/100),"sim","não"))</f>
        <v>aguardando limiar</v>
      </c>
    </row>
    <row r="2433" spans="1:31" x14ac:dyDescent="0.25">
      <c r="A2433">
        <v>18053</v>
      </c>
      <c r="D2433" t="s">
        <v>1498</v>
      </c>
      <c r="E2433" t="s">
        <v>511</v>
      </c>
      <c r="F2433" t="s">
        <v>209</v>
      </c>
      <c r="G2433" t="s">
        <v>208</v>
      </c>
      <c r="H2433" t="s">
        <v>207</v>
      </c>
      <c r="I2433" t="s">
        <v>439</v>
      </c>
      <c r="J2433" t="s">
        <v>439</v>
      </c>
      <c r="K2433" s="4">
        <v>1795.83</v>
      </c>
      <c r="L2433" s="4">
        <v>1795.83</v>
      </c>
      <c r="M2433" t="s">
        <v>44</v>
      </c>
      <c r="N2433" t="s">
        <v>77</v>
      </c>
      <c r="O2433" t="s">
        <v>99</v>
      </c>
      <c r="P2433" t="s">
        <v>99</v>
      </c>
      <c r="Q2433" t="s">
        <v>159</v>
      </c>
      <c r="R2433" t="s">
        <v>210</v>
      </c>
      <c r="S2433" t="s">
        <v>161</v>
      </c>
      <c r="T2433" t="s">
        <v>211</v>
      </c>
      <c r="U2433" t="s">
        <v>163</v>
      </c>
      <c r="V2433" t="s">
        <v>193</v>
      </c>
      <c r="W2433" t="s">
        <v>116</v>
      </c>
      <c r="X2433" t="s">
        <v>44</v>
      </c>
      <c r="Y2433" t="s">
        <v>99</v>
      </c>
      <c r="Z2433" t="s">
        <v>421</v>
      </c>
      <c r="AC2433" t="str">
        <f>IF(AA2433="",M2433,AA2433)</f>
        <v>sim</v>
      </c>
      <c r="AD2433" t="str">
        <f>IF(AB2433="",X2433,AB2433)</f>
        <v>sim</v>
      </c>
      <c r="AE2433" t="str">
        <f>IF(OR(Configuracao!B9="",Configuracao!B10=""),"aguardando limiar",IF(AND(K2433&gt;=Configuracao!B9,K2433/MAX(Reconciliacao!C2,1)&gt;=Configuracao!B10/100),"sim","não"))</f>
        <v>aguardando limiar</v>
      </c>
    </row>
    <row r="2434" spans="1:31" x14ac:dyDescent="0.25">
      <c r="A2434">
        <v>16050</v>
      </c>
      <c r="D2434" t="s">
        <v>1498</v>
      </c>
      <c r="E2434" t="s">
        <v>451</v>
      </c>
      <c r="F2434" t="s">
        <v>209</v>
      </c>
      <c r="G2434" t="s">
        <v>208</v>
      </c>
      <c r="H2434" t="s">
        <v>207</v>
      </c>
      <c r="I2434" t="s">
        <v>420</v>
      </c>
      <c r="J2434" t="s">
        <v>420</v>
      </c>
      <c r="K2434" s="4">
        <v>1976.59</v>
      </c>
      <c r="L2434" s="4">
        <v>1976.59</v>
      </c>
      <c r="M2434" t="s">
        <v>44</v>
      </c>
      <c r="N2434" t="s">
        <v>77</v>
      </c>
      <c r="O2434" t="s">
        <v>99</v>
      </c>
      <c r="P2434" t="s">
        <v>99</v>
      </c>
      <c r="Q2434" t="s">
        <v>159</v>
      </c>
      <c r="R2434" t="s">
        <v>210</v>
      </c>
      <c r="S2434" t="s">
        <v>161</v>
      </c>
      <c r="T2434" t="s">
        <v>211</v>
      </c>
      <c r="U2434" t="s">
        <v>163</v>
      </c>
      <c r="V2434" t="s">
        <v>193</v>
      </c>
      <c r="W2434" t="s">
        <v>116</v>
      </c>
      <c r="X2434" t="s">
        <v>44</v>
      </c>
      <c r="Y2434" t="s">
        <v>99</v>
      </c>
      <c r="Z2434" t="s">
        <v>421</v>
      </c>
      <c r="AC2434" t="str">
        <f>IF(AA2434="",M2434,AA2434)</f>
        <v>sim</v>
      </c>
      <c r="AD2434" t="str">
        <f>IF(AB2434="",X2434,AB2434)</f>
        <v>sim</v>
      </c>
      <c r="AE2434" t="str">
        <f>IF(OR(Configuracao!B9="",Configuracao!B10=""),"aguardando limiar",IF(AND(K2434&gt;=Configuracao!B9,K2434/MAX(Reconciliacao!C2,1)&gt;=Configuracao!B10/100),"sim","não"))</f>
        <v>aguardando limiar</v>
      </c>
    </row>
    <row r="2435" spans="1:31" x14ac:dyDescent="0.25">
      <c r="A2435">
        <v>17657</v>
      </c>
      <c r="D2435" t="s">
        <v>1498</v>
      </c>
      <c r="E2435" t="s">
        <v>1138</v>
      </c>
      <c r="F2435" t="s">
        <v>209</v>
      </c>
      <c r="G2435" t="s">
        <v>208</v>
      </c>
      <c r="H2435" t="s">
        <v>207</v>
      </c>
      <c r="I2435" t="s">
        <v>442</v>
      </c>
      <c r="J2435" t="s">
        <v>442</v>
      </c>
      <c r="K2435" s="4">
        <v>2101.76</v>
      </c>
      <c r="L2435" s="4">
        <v>2101.76</v>
      </c>
      <c r="M2435" t="s">
        <v>44</v>
      </c>
      <c r="N2435" t="s">
        <v>77</v>
      </c>
      <c r="O2435" t="s">
        <v>99</v>
      </c>
      <c r="P2435" t="s">
        <v>99</v>
      </c>
      <c r="Q2435" t="s">
        <v>159</v>
      </c>
      <c r="R2435" t="s">
        <v>210</v>
      </c>
      <c r="S2435" t="s">
        <v>161</v>
      </c>
      <c r="T2435" t="s">
        <v>211</v>
      </c>
      <c r="U2435" t="s">
        <v>163</v>
      </c>
      <c r="V2435" t="s">
        <v>193</v>
      </c>
      <c r="W2435" t="s">
        <v>116</v>
      </c>
      <c r="X2435" t="s">
        <v>44</v>
      </c>
      <c r="Y2435" t="s">
        <v>99</v>
      </c>
      <c r="Z2435" t="s">
        <v>421</v>
      </c>
      <c r="AC2435" t="str">
        <f>IF(AA2435="",M2435,AA2435)</f>
        <v>sim</v>
      </c>
      <c r="AD2435" t="str">
        <f>IF(AB2435="",X2435,AB2435)</f>
        <v>sim</v>
      </c>
      <c r="AE2435" t="str">
        <f>IF(OR(Configuracao!B9="",Configuracao!B10=""),"aguardando limiar",IF(AND(K2435&gt;=Configuracao!B9,K2435/MAX(Reconciliacao!C2,1)&gt;=Configuracao!B10/100),"sim","não"))</f>
        <v>aguardando limiar</v>
      </c>
    </row>
    <row r="2436" spans="1:31" x14ac:dyDescent="0.25">
      <c r="A2436">
        <v>19016</v>
      </c>
      <c r="D2436" t="s">
        <v>1498</v>
      </c>
      <c r="E2436" t="s">
        <v>1138</v>
      </c>
      <c r="F2436" t="s">
        <v>209</v>
      </c>
      <c r="G2436" t="s">
        <v>208</v>
      </c>
      <c r="H2436" t="s">
        <v>207</v>
      </c>
      <c r="I2436" t="s">
        <v>35</v>
      </c>
      <c r="J2436" t="s">
        <v>35</v>
      </c>
      <c r="K2436" s="4">
        <v>2108.14</v>
      </c>
      <c r="L2436" s="4">
        <v>2108.14</v>
      </c>
      <c r="M2436" t="s">
        <v>44</v>
      </c>
      <c r="N2436" t="s">
        <v>77</v>
      </c>
      <c r="O2436" t="s">
        <v>99</v>
      </c>
      <c r="P2436" t="s">
        <v>99</v>
      </c>
      <c r="Q2436" t="s">
        <v>159</v>
      </c>
      <c r="R2436" t="s">
        <v>210</v>
      </c>
      <c r="S2436" t="s">
        <v>161</v>
      </c>
      <c r="T2436" t="s">
        <v>211</v>
      </c>
      <c r="U2436" t="s">
        <v>163</v>
      </c>
      <c r="V2436" t="s">
        <v>193</v>
      </c>
      <c r="W2436" t="s">
        <v>116</v>
      </c>
      <c r="X2436" t="s">
        <v>44</v>
      </c>
      <c r="Y2436" t="s">
        <v>99</v>
      </c>
      <c r="Z2436" t="s">
        <v>421</v>
      </c>
      <c r="AC2436" t="str">
        <f>IF(AA2436="",M2436,AA2436)</f>
        <v>sim</v>
      </c>
      <c r="AD2436" t="str">
        <f>IF(AB2436="",X2436,AB2436)</f>
        <v>sim</v>
      </c>
      <c r="AE2436" t="str">
        <f>IF(OR(Configuracao!B9="",Configuracao!B10=""),"aguardando limiar",IF(AND(K2436&gt;=Configuracao!B9,K2436/MAX(Reconciliacao!C2,1)&gt;=Configuracao!B10/100),"sim","não"))</f>
        <v>aguardando limiar</v>
      </c>
    </row>
    <row r="2437" spans="1:31" x14ac:dyDescent="0.25">
      <c r="A2437">
        <v>18060</v>
      </c>
      <c r="D2437" t="s">
        <v>1498</v>
      </c>
      <c r="E2437" t="s">
        <v>1138</v>
      </c>
      <c r="F2437" t="s">
        <v>209</v>
      </c>
      <c r="G2437" t="s">
        <v>208</v>
      </c>
      <c r="H2437" t="s">
        <v>207</v>
      </c>
      <c r="I2437" t="s">
        <v>439</v>
      </c>
      <c r="J2437" t="s">
        <v>439</v>
      </c>
      <c r="K2437" s="4">
        <v>2109.08</v>
      </c>
      <c r="L2437" s="4">
        <v>2109.08</v>
      </c>
      <c r="M2437" t="s">
        <v>44</v>
      </c>
      <c r="N2437" t="s">
        <v>77</v>
      </c>
      <c r="O2437" t="s">
        <v>99</v>
      </c>
      <c r="P2437" t="s">
        <v>99</v>
      </c>
      <c r="Q2437" t="s">
        <v>159</v>
      </c>
      <c r="R2437" t="s">
        <v>210</v>
      </c>
      <c r="S2437" t="s">
        <v>161</v>
      </c>
      <c r="T2437" t="s">
        <v>211</v>
      </c>
      <c r="U2437" t="s">
        <v>163</v>
      </c>
      <c r="V2437" t="s">
        <v>193</v>
      </c>
      <c r="W2437" t="s">
        <v>116</v>
      </c>
      <c r="X2437" t="s">
        <v>44</v>
      </c>
      <c r="Y2437" t="s">
        <v>99</v>
      </c>
      <c r="Z2437" t="s">
        <v>421</v>
      </c>
      <c r="AC2437" t="str">
        <f>IF(AA2437="",M2437,AA2437)</f>
        <v>sim</v>
      </c>
      <c r="AD2437" t="str">
        <f>IF(AB2437="",X2437,AB2437)</f>
        <v>sim</v>
      </c>
      <c r="AE2437" t="str">
        <f>IF(OR(Configuracao!B9="",Configuracao!B10=""),"aguardando limiar",IF(AND(K2437&gt;=Configuracao!B9,K2437/MAX(Reconciliacao!C2,1)&gt;=Configuracao!B10/100),"sim","não"))</f>
        <v>aguardando limiar</v>
      </c>
    </row>
    <row r="2438" spans="1:31" x14ac:dyDescent="0.25">
      <c r="A2438">
        <v>11519</v>
      </c>
      <c r="D2438" t="s">
        <v>1498</v>
      </c>
      <c r="E2438" t="s">
        <v>1138</v>
      </c>
      <c r="F2438" t="s">
        <v>209</v>
      </c>
      <c r="G2438" t="s">
        <v>208</v>
      </c>
      <c r="H2438" t="s">
        <v>207</v>
      </c>
      <c r="I2438" t="s">
        <v>32</v>
      </c>
      <c r="J2438" t="s">
        <v>32</v>
      </c>
      <c r="K2438" s="4">
        <v>2158.73</v>
      </c>
      <c r="L2438" s="4">
        <v>2158.73</v>
      </c>
      <c r="M2438" t="s">
        <v>44</v>
      </c>
      <c r="N2438" t="s">
        <v>77</v>
      </c>
      <c r="O2438" t="s">
        <v>99</v>
      </c>
      <c r="P2438" t="s">
        <v>99</v>
      </c>
      <c r="Q2438" t="s">
        <v>159</v>
      </c>
      <c r="R2438" t="s">
        <v>210</v>
      </c>
      <c r="S2438" t="s">
        <v>161</v>
      </c>
      <c r="T2438" t="s">
        <v>211</v>
      </c>
      <c r="U2438" t="s">
        <v>163</v>
      </c>
      <c r="V2438" t="s">
        <v>193</v>
      </c>
      <c r="W2438" t="s">
        <v>116</v>
      </c>
      <c r="X2438" t="s">
        <v>44</v>
      </c>
      <c r="Y2438" t="s">
        <v>99</v>
      </c>
      <c r="Z2438" t="s">
        <v>421</v>
      </c>
      <c r="AC2438" t="str">
        <f>IF(AA2438="",M2438,AA2438)</f>
        <v>sim</v>
      </c>
      <c r="AD2438" t="str">
        <f>IF(AB2438="",X2438,AB2438)</f>
        <v>sim</v>
      </c>
      <c r="AE2438" t="str">
        <f>IF(OR(Configuracao!B9="",Configuracao!B10=""),"aguardando limiar",IF(AND(K2438&gt;=Configuracao!B9,K2438/MAX(Reconciliacao!C2,1)&gt;=Configuracao!B10/100),"sim","não"))</f>
        <v>aguardando limiar</v>
      </c>
    </row>
    <row r="2439" spans="1:31" x14ac:dyDescent="0.25">
      <c r="A2439">
        <v>16265</v>
      </c>
      <c r="D2439" t="s">
        <v>1498</v>
      </c>
      <c r="E2439" t="s">
        <v>1138</v>
      </c>
      <c r="F2439" t="s">
        <v>209</v>
      </c>
      <c r="G2439" t="s">
        <v>208</v>
      </c>
      <c r="H2439" t="s">
        <v>207</v>
      </c>
      <c r="I2439" t="s">
        <v>461</v>
      </c>
      <c r="J2439" t="s">
        <v>461</v>
      </c>
      <c r="K2439" s="4">
        <v>2195.64</v>
      </c>
      <c r="L2439" s="4">
        <v>2195.64</v>
      </c>
      <c r="M2439" t="s">
        <v>44</v>
      </c>
      <c r="N2439" t="s">
        <v>77</v>
      </c>
      <c r="O2439" t="s">
        <v>99</v>
      </c>
      <c r="P2439" t="s">
        <v>99</v>
      </c>
      <c r="Q2439" t="s">
        <v>159</v>
      </c>
      <c r="R2439" t="s">
        <v>210</v>
      </c>
      <c r="S2439" t="s">
        <v>161</v>
      </c>
      <c r="T2439" t="s">
        <v>211</v>
      </c>
      <c r="U2439" t="s">
        <v>163</v>
      </c>
      <c r="V2439" t="s">
        <v>193</v>
      </c>
      <c r="W2439" t="s">
        <v>116</v>
      </c>
      <c r="X2439" t="s">
        <v>44</v>
      </c>
      <c r="Y2439" t="s">
        <v>99</v>
      </c>
      <c r="Z2439" t="s">
        <v>421</v>
      </c>
      <c r="AC2439" t="str">
        <f>IF(AA2439="",M2439,AA2439)</f>
        <v>sim</v>
      </c>
      <c r="AD2439" t="str">
        <f>IF(AB2439="",X2439,AB2439)</f>
        <v>sim</v>
      </c>
      <c r="AE2439" t="str">
        <f>IF(OR(Configuracao!B9="",Configuracao!B10=""),"aguardando limiar",IF(AND(K2439&gt;=Configuracao!B9,K2439/MAX(Reconciliacao!C2,1)&gt;=Configuracao!B10/100),"sim","não"))</f>
        <v>aguardando limiar</v>
      </c>
    </row>
    <row r="2440" spans="1:31" x14ac:dyDescent="0.25">
      <c r="A2440">
        <v>16060</v>
      </c>
      <c r="D2440" t="s">
        <v>1498</v>
      </c>
      <c r="E2440" t="s">
        <v>1138</v>
      </c>
      <c r="F2440" t="s">
        <v>209</v>
      </c>
      <c r="G2440" t="s">
        <v>208</v>
      </c>
      <c r="H2440" t="s">
        <v>207</v>
      </c>
      <c r="I2440" t="s">
        <v>454</v>
      </c>
      <c r="J2440" t="s">
        <v>454</v>
      </c>
      <c r="K2440" s="4">
        <v>2198.16</v>
      </c>
      <c r="L2440" s="4">
        <v>2198.16</v>
      </c>
      <c r="M2440" t="s">
        <v>44</v>
      </c>
      <c r="N2440" t="s">
        <v>77</v>
      </c>
      <c r="O2440" t="s">
        <v>99</v>
      </c>
      <c r="P2440" t="s">
        <v>99</v>
      </c>
      <c r="Q2440" t="s">
        <v>159</v>
      </c>
      <c r="R2440" t="s">
        <v>210</v>
      </c>
      <c r="S2440" t="s">
        <v>161</v>
      </c>
      <c r="T2440" t="s">
        <v>211</v>
      </c>
      <c r="U2440" t="s">
        <v>163</v>
      </c>
      <c r="V2440" t="s">
        <v>193</v>
      </c>
      <c r="W2440" t="s">
        <v>116</v>
      </c>
      <c r="X2440" t="s">
        <v>44</v>
      </c>
      <c r="Y2440" t="s">
        <v>99</v>
      </c>
      <c r="Z2440" t="s">
        <v>421</v>
      </c>
      <c r="AC2440" t="str">
        <f>IF(AA2440="",M2440,AA2440)</f>
        <v>sim</v>
      </c>
      <c r="AD2440" t="str">
        <f>IF(AB2440="",X2440,AB2440)</f>
        <v>sim</v>
      </c>
      <c r="AE2440" t="str">
        <f>IF(OR(Configuracao!B9="",Configuracao!B10=""),"aguardando limiar",IF(AND(K2440&gt;=Configuracao!B9,K2440/MAX(Reconciliacao!C2,1)&gt;=Configuracao!B10/100),"sim","não"))</f>
        <v>aguardando limiar</v>
      </c>
    </row>
    <row r="2441" spans="1:31" x14ac:dyDescent="0.25">
      <c r="A2441">
        <v>12133</v>
      </c>
      <c r="D2441" t="s">
        <v>1498</v>
      </c>
      <c r="E2441" t="s">
        <v>1138</v>
      </c>
      <c r="F2441" t="s">
        <v>209</v>
      </c>
      <c r="G2441" t="s">
        <v>208</v>
      </c>
      <c r="H2441" t="s">
        <v>207</v>
      </c>
      <c r="I2441" t="s">
        <v>424</v>
      </c>
      <c r="J2441" t="s">
        <v>424</v>
      </c>
      <c r="K2441" s="4">
        <v>2225.46</v>
      </c>
      <c r="L2441" s="4">
        <v>2225.46</v>
      </c>
      <c r="M2441" t="s">
        <v>44</v>
      </c>
      <c r="N2441" t="s">
        <v>77</v>
      </c>
      <c r="O2441" t="s">
        <v>99</v>
      </c>
      <c r="P2441" t="s">
        <v>99</v>
      </c>
      <c r="Q2441" t="s">
        <v>159</v>
      </c>
      <c r="R2441" t="s">
        <v>210</v>
      </c>
      <c r="S2441" t="s">
        <v>161</v>
      </c>
      <c r="T2441" t="s">
        <v>211</v>
      </c>
      <c r="U2441" t="s">
        <v>163</v>
      </c>
      <c r="V2441" t="s">
        <v>193</v>
      </c>
      <c r="W2441" t="s">
        <v>116</v>
      </c>
      <c r="X2441" t="s">
        <v>44</v>
      </c>
      <c r="Y2441" t="s">
        <v>99</v>
      </c>
      <c r="Z2441" t="s">
        <v>421</v>
      </c>
      <c r="AC2441" t="str">
        <f>IF(AA2441="",M2441,AA2441)</f>
        <v>sim</v>
      </c>
      <c r="AD2441" t="str">
        <f>IF(AB2441="",X2441,AB2441)</f>
        <v>sim</v>
      </c>
      <c r="AE2441" t="str">
        <f>IF(OR(Configuracao!B9="",Configuracao!B10=""),"aguardando limiar",IF(AND(K2441&gt;=Configuracao!B9,K2441/MAX(Reconciliacao!C2,1)&gt;=Configuracao!B10/100),"sim","não"))</f>
        <v>aguardando limiar</v>
      </c>
    </row>
    <row r="2442" spans="1:31" x14ac:dyDescent="0.25">
      <c r="A2442">
        <v>16052</v>
      </c>
      <c r="D2442" t="s">
        <v>1498</v>
      </c>
      <c r="E2442" t="s">
        <v>1138</v>
      </c>
      <c r="F2442" t="s">
        <v>209</v>
      </c>
      <c r="G2442" t="s">
        <v>208</v>
      </c>
      <c r="H2442" t="s">
        <v>207</v>
      </c>
      <c r="I2442" t="s">
        <v>420</v>
      </c>
      <c r="J2442" t="s">
        <v>420</v>
      </c>
      <c r="K2442" s="4">
        <v>2356.87</v>
      </c>
      <c r="L2442" s="4">
        <v>2356.87</v>
      </c>
      <c r="M2442" t="s">
        <v>44</v>
      </c>
      <c r="N2442" t="s">
        <v>77</v>
      </c>
      <c r="O2442" t="s">
        <v>99</v>
      </c>
      <c r="P2442" t="s">
        <v>99</v>
      </c>
      <c r="Q2442" t="s">
        <v>159</v>
      </c>
      <c r="R2442" t="s">
        <v>210</v>
      </c>
      <c r="S2442" t="s">
        <v>161</v>
      </c>
      <c r="T2442" t="s">
        <v>211</v>
      </c>
      <c r="U2442" t="s">
        <v>163</v>
      </c>
      <c r="V2442" t="s">
        <v>193</v>
      </c>
      <c r="W2442" t="s">
        <v>116</v>
      </c>
      <c r="X2442" t="s">
        <v>44</v>
      </c>
      <c r="Y2442" t="s">
        <v>99</v>
      </c>
      <c r="Z2442" t="s">
        <v>421</v>
      </c>
      <c r="AC2442" t="str">
        <f>IF(AA2442="",M2442,AA2442)</f>
        <v>sim</v>
      </c>
      <c r="AD2442" t="str">
        <f>IF(AB2442="",X2442,AB2442)</f>
        <v>sim</v>
      </c>
      <c r="AE2442" t="str">
        <f>IF(OR(Configuracao!B9="",Configuracao!B10=""),"aguardando limiar",IF(AND(K2442&gt;=Configuracao!B9,K2442/MAX(Reconciliacao!C2,1)&gt;=Configuracao!B10/100),"sim","não"))</f>
        <v>aguardando limiar</v>
      </c>
    </row>
    <row r="2443" spans="1:31" x14ac:dyDescent="0.25">
      <c r="A2443">
        <v>8171</v>
      </c>
      <c r="D2443" t="s">
        <v>1498</v>
      </c>
      <c r="E2443" t="s">
        <v>467</v>
      </c>
      <c r="F2443" t="s">
        <v>209</v>
      </c>
      <c r="G2443" t="s">
        <v>208</v>
      </c>
      <c r="H2443" t="s">
        <v>207</v>
      </c>
      <c r="I2443" t="s">
        <v>32</v>
      </c>
      <c r="J2443" t="s">
        <v>32</v>
      </c>
      <c r="K2443" s="4">
        <v>3052.5</v>
      </c>
      <c r="L2443" s="4">
        <v>3052.5</v>
      </c>
      <c r="M2443" t="s">
        <v>44</v>
      </c>
      <c r="N2443" t="s">
        <v>77</v>
      </c>
      <c r="O2443" t="s">
        <v>99</v>
      </c>
      <c r="P2443" t="s">
        <v>99</v>
      </c>
      <c r="Q2443" t="s">
        <v>159</v>
      </c>
      <c r="R2443" t="s">
        <v>210</v>
      </c>
      <c r="S2443" t="s">
        <v>161</v>
      </c>
      <c r="T2443" t="s">
        <v>211</v>
      </c>
      <c r="U2443" t="s">
        <v>163</v>
      </c>
      <c r="V2443" t="s">
        <v>193</v>
      </c>
      <c r="W2443" t="s">
        <v>116</v>
      </c>
      <c r="X2443" t="s">
        <v>44</v>
      </c>
      <c r="Y2443" t="s">
        <v>99</v>
      </c>
      <c r="Z2443" t="s">
        <v>421</v>
      </c>
      <c r="AC2443" t="str">
        <f>IF(AA2443="",M2443,AA2443)</f>
        <v>sim</v>
      </c>
      <c r="AD2443" t="str">
        <f>IF(AB2443="",X2443,AB2443)</f>
        <v>sim</v>
      </c>
      <c r="AE2443" t="str">
        <f>IF(OR(Configuracao!B9="",Configuracao!B10=""),"aguardando limiar",IF(AND(K2443&gt;=Configuracao!B9,K2443/MAX(Reconciliacao!C2,1)&gt;=Configuracao!B10/100),"sim","não"))</f>
        <v>aguardando limiar</v>
      </c>
    </row>
    <row r="2444" spans="1:31" x14ac:dyDescent="0.25">
      <c r="A2444">
        <v>8175</v>
      </c>
      <c r="D2444" t="s">
        <v>1498</v>
      </c>
      <c r="E2444" t="s">
        <v>467</v>
      </c>
      <c r="F2444" t="s">
        <v>209</v>
      </c>
      <c r="G2444" t="s">
        <v>208</v>
      </c>
      <c r="H2444" t="s">
        <v>207</v>
      </c>
      <c r="I2444" t="s">
        <v>461</v>
      </c>
      <c r="J2444" t="s">
        <v>461</v>
      </c>
      <c r="K2444" s="4">
        <v>3209.4</v>
      </c>
      <c r="L2444" s="4">
        <v>3209.4</v>
      </c>
      <c r="M2444" t="s">
        <v>44</v>
      </c>
      <c r="N2444" t="s">
        <v>77</v>
      </c>
      <c r="O2444" t="s">
        <v>99</v>
      </c>
      <c r="P2444" t="s">
        <v>99</v>
      </c>
      <c r="Q2444" t="s">
        <v>159</v>
      </c>
      <c r="R2444" t="s">
        <v>210</v>
      </c>
      <c r="S2444" t="s">
        <v>161</v>
      </c>
      <c r="T2444" t="s">
        <v>211</v>
      </c>
      <c r="U2444" t="s">
        <v>163</v>
      </c>
      <c r="V2444" t="s">
        <v>193</v>
      </c>
      <c r="W2444" t="s">
        <v>116</v>
      </c>
      <c r="X2444" t="s">
        <v>44</v>
      </c>
      <c r="Y2444" t="s">
        <v>99</v>
      </c>
      <c r="Z2444" t="s">
        <v>421</v>
      </c>
      <c r="AC2444" t="str">
        <f>IF(AA2444="",M2444,AA2444)</f>
        <v>sim</v>
      </c>
      <c r="AD2444" t="str">
        <f>IF(AB2444="",X2444,AB2444)</f>
        <v>sim</v>
      </c>
      <c r="AE2444" t="str">
        <f>IF(OR(Configuracao!B9="",Configuracao!B10=""),"aguardando limiar",IF(AND(K2444&gt;=Configuracao!B9,K2444/MAX(Reconciliacao!C2,1)&gt;=Configuracao!B10/100),"sim","não"))</f>
        <v>aguardando limiar</v>
      </c>
    </row>
    <row r="2445" spans="1:31" x14ac:dyDescent="0.25">
      <c r="A2445">
        <v>8174</v>
      </c>
      <c r="D2445" t="s">
        <v>1498</v>
      </c>
      <c r="E2445" t="s">
        <v>467</v>
      </c>
      <c r="F2445" t="s">
        <v>209</v>
      </c>
      <c r="G2445" t="s">
        <v>208</v>
      </c>
      <c r="H2445" t="s">
        <v>207</v>
      </c>
      <c r="I2445" t="s">
        <v>454</v>
      </c>
      <c r="J2445" t="s">
        <v>454</v>
      </c>
      <c r="K2445" s="4">
        <v>3215.65</v>
      </c>
      <c r="L2445" s="4">
        <v>3215.65</v>
      </c>
      <c r="M2445" t="s">
        <v>44</v>
      </c>
      <c r="N2445" t="s">
        <v>77</v>
      </c>
      <c r="O2445" t="s">
        <v>99</v>
      </c>
      <c r="P2445" t="s">
        <v>99</v>
      </c>
      <c r="Q2445" t="s">
        <v>159</v>
      </c>
      <c r="R2445" t="s">
        <v>210</v>
      </c>
      <c r="S2445" t="s">
        <v>161</v>
      </c>
      <c r="T2445" t="s">
        <v>211</v>
      </c>
      <c r="U2445" t="s">
        <v>163</v>
      </c>
      <c r="V2445" t="s">
        <v>193</v>
      </c>
      <c r="W2445" t="s">
        <v>116</v>
      </c>
      <c r="X2445" t="s">
        <v>44</v>
      </c>
      <c r="Y2445" t="s">
        <v>99</v>
      </c>
      <c r="Z2445" t="s">
        <v>421</v>
      </c>
      <c r="AC2445" t="str">
        <f>IF(AA2445="",M2445,AA2445)</f>
        <v>sim</v>
      </c>
      <c r="AD2445" t="str">
        <f>IF(AB2445="",X2445,AB2445)</f>
        <v>sim</v>
      </c>
      <c r="AE2445" t="str">
        <f>IF(OR(Configuracao!B9="",Configuracao!B10=""),"aguardando limiar",IF(AND(K2445&gt;=Configuracao!B9,K2445/MAX(Reconciliacao!C2,1)&gt;=Configuracao!B10/100),"sim","não"))</f>
        <v>aguardando limiar</v>
      </c>
    </row>
    <row r="2446" spans="1:31" x14ac:dyDescent="0.25">
      <c r="A2446">
        <v>8172</v>
      </c>
      <c r="D2446" t="s">
        <v>1498</v>
      </c>
      <c r="E2446" t="s">
        <v>467</v>
      </c>
      <c r="F2446" t="s">
        <v>209</v>
      </c>
      <c r="G2446" t="s">
        <v>208</v>
      </c>
      <c r="H2446" t="s">
        <v>207</v>
      </c>
      <c r="I2446" t="s">
        <v>424</v>
      </c>
      <c r="J2446" t="s">
        <v>424</v>
      </c>
      <c r="K2446" s="4">
        <v>3250.15</v>
      </c>
      <c r="L2446" s="4">
        <v>3250.15</v>
      </c>
      <c r="M2446" t="s">
        <v>44</v>
      </c>
      <c r="N2446" t="s">
        <v>77</v>
      </c>
      <c r="O2446" t="s">
        <v>99</v>
      </c>
      <c r="P2446" t="s">
        <v>99</v>
      </c>
      <c r="Q2446" t="s">
        <v>159</v>
      </c>
      <c r="R2446" t="s">
        <v>210</v>
      </c>
      <c r="S2446" t="s">
        <v>161</v>
      </c>
      <c r="T2446" t="s">
        <v>211</v>
      </c>
      <c r="U2446" t="s">
        <v>163</v>
      </c>
      <c r="V2446" t="s">
        <v>193</v>
      </c>
      <c r="W2446" t="s">
        <v>116</v>
      </c>
      <c r="X2446" t="s">
        <v>44</v>
      </c>
      <c r="Y2446" t="s">
        <v>99</v>
      </c>
      <c r="Z2446" t="s">
        <v>421</v>
      </c>
      <c r="AC2446" t="str">
        <f>IF(AA2446="",M2446,AA2446)</f>
        <v>sim</v>
      </c>
      <c r="AD2446" t="str">
        <f>IF(AB2446="",X2446,AB2446)</f>
        <v>sim</v>
      </c>
      <c r="AE2446" t="str">
        <f>IF(OR(Configuracao!B9="",Configuracao!B10=""),"aguardando limiar",IF(AND(K2446&gt;=Configuracao!B9,K2446/MAX(Reconciliacao!C2,1)&gt;=Configuracao!B10/100),"sim","não"))</f>
        <v>aguardando limiar</v>
      </c>
    </row>
    <row r="2447" spans="1:31" x14ac:dyDescent="0.25">
      <c r="A2447">
        <v>8173</v>
      </c>
      <c r="D2447" t="s">
        <v>1498</v>
      </c>
      <c r="E2447" t="s">
        <v>467</v>
      </c>
      <c r="F2447" t="s">
        <v>209</v>
      </c>
      <c r="G2447" t="s">
        <v>208</v>
      </c>
      <c r="H2447" t="s">
        <v>207</v>
      </c>
      <c r="I2447" t="s">
        <v>420</v>
      </c>
      <c r="J2447" t="s">
        <v>420</v>
      </c>
      <c r="K2447" s="4">
        <v>3480.5</v>
      </c>
      <c r="L2447" s="4">
        <v>3480.5</v>
      </c>
      <c r="M2447" t="s">
        <v>44</v>
      </c>
      <c r="N2447" t="s">
        <v>77</v>
      </c>
      <c r="O2447" t="s">
        <v>99</v>
      </c>
      <c r="P2447" t="s">
        <v>99</v>
      </c>
      <c r="Q2447" t="s">
        <v>159</v>
      </c>
      <c r="R2447" t="s">
        <v>210</v>
      </c>
      <c r="S2447" t="s">
        <v>161</v>
      </c>
      <c r="T2447" t="s">
        <v>211</v>
      </c>
      <c r="U2447" t="s">
        <v>163</v>
      </c>
      <c r="V2447" t="s">
        <v>193</v>
      </c>
      <c r="W2447" t="s">
        <v>116</v>
      </c>
      <c r="X2447" t="s">
        <v>44</v>
      </c>
      <c r="Y2447" t="s">
        <v>99</v>
      </c>
      <c r="Z2447" t="s">
        <v>421</v>
      </c>
      <c r="AC2447" t="str">
        <f>IF(AA2447="",M2447,AA2447)</f>
        <v>sim</v>
      </c>
      <c r="AD2447" t="str">
        <f>IF(AB2447="",X2447,AB2447)</f>
        <v>sim</v>
      </c>
      <c r="AE2447" t="str">
        <f>IF(OR(Configuracao!B9="",Configuracao!B10=""),"aguardando limiar",IF(AND(K2447&gt;=Configuracao!B9,K2447/MAX(Reconciliacao!C2,1)&gt;=Configuracao!B10/100),"sim","não"))</f>
        <v>aguardando limiar</v>
      </c>
    </row>
    <row r="2448" spans="1:31" x14ac:dyDescent="0.25">
      <c r="A2448">
        <v>17652</v>
      </c>
      <c r="D2448" t="s">
        <v>1498</v>
      </c>
      <c r="E2448" t="s">
        <v>445</v>
      </c>
      <c r="F2448" t="s">
        <v>209</v>
      </c>
      <c r="G2448" t="s">
        <v>208</v>
      </c>
      <c r="H2448" t="s">
        <v>207</v>
      </c>
      <c r="I2448" t="s">
        <v>442</v>
      </c>
      <c r="J2448" t="s">
        <v>442</v>
      </c>
      <c r="K2448" s="4">
        <v>3569.7</v>
      </c>
      <c r="L2448" s="4">
        <v>3569.7</v>
      </c>
      <c r="M2448" t="s">
        <v>44</v>
      </c>
      <c r="N2448" t="s">
        <v>77</v>
      </c>
      <c r="O2448" t="s">
        <v>99</v>
      </c>
      <c r="P2448" t="s">
        <v>99</v>
      </c>
      <c r="Q2448" t="s">
        <v>159</v>
      </c>
      <c r="R2448" t="s">
        <v>210</v>
      </c>
      <c r="S2448" t="s">
        <v>161</v>
      </c>
      <c r="T2448" t="s">
        <v>211</v>
      </c>
      <c r="U2448" t="s">
        <v>163</v>
      </c>
      <c r="V2448" t="s">
        <v>193</v>
      </c>
      <c r="W2448" t="s">
        <v>116</v>
      </c>
      <c r="X2448" t="s">
        <v>44</v>
      </c>
      <c r="Y2448" t="s">
        <v>99</v>
      </c>
      <c r="Z2448" t="s">
        <v>421</v>
      </c>
      <c r="AC2448" t="str">
        <f>IF(AA2448="",M2448,AA2448)</f>
        <v>sim</v>
      </c>
      <c r="AD2448" t="str">
        <f>IF(AB2448="",X2448,AB2448)</f>
        <v>sim</v>
      </c>
      <c r="AE2448" t="str">
        <f>IF(OR(Configuracao!B9="",Configuracao!B10=""),"aguardando limiar",IF(AND(K2448&gt;=Configuracao!B9,K2448/MAX(Reconciliacao!C2,1)&gt;=Configuracao!B10/100),"sim","não"))</f>
        <v>aguardando limiar</v>
      </c>
    </row>
    <row r="2449" spans="1:31" x14ac:dyDescent="0.25">
      <c r="A2449">
        <v>19012</v>
      </c>
      <c r="D2449" t="s">
        <v>1498</v>
      </c>
      <c r="E2449" t="s">
        <v>445</v>
      </c>
      <c r="F2449" t="s">
        <v>209</v>
      </c>
      <c r="G2449" t="s">
        <v>208</v>
      </c>
      <c r="H2449" t="s">
        <v>207</v>
      </c>
      <c r="I2449" t="s">
        <v>35</v>
      </c>
      <c r="J2449" t="s">
        <v>35</v>
      </c>
      <c r="K2449" s="4">
        <v>3588.78</v>
      </c>
      <c r="L2449" s="4">
        <v>3588.78</v>
      </c>
      <c r="M2449" t="s">
        <v>44</v>
      </c>
      <c r="N2449" t="s">
        <v>77</v>
      </c>
      <c r="O2449" t="s">
        <v>99</v>
      </c>
      <c r="P2449" t="s">
        <v>99</v>
      </c>
      <c r="Q2449" t="s">
        <v>159</v>
      </c>
      <c r="R2449" t="s">
        <v>210</v>
      </c>
      <c r="S2449" t="s">
        <v>161</v>
      </c>
      <c r="T2449" t="s">
        <v>211</v>
      </c>
      <c r="U2449" t="s">
        <v>163</v>
      </c>
      <c r="V2449" t="s">
        <v>193</v>
      </c>
      <c r="W2449" t="s">
        <v>116</v>
      </c>
      <c r="X2449" t="s">
        <v>44</v>
      </c>
      <c r="Y2449" t="s">
        <v>99</v>
      </c>
      <c r="Z2449" t="s">
        <v>421</v>
      </c>
      <c r="AC2449" t="str">
        <f>IF(AA2449="",M2449,AA2449)</f>
        <v>sim</v>
      </c>
      <c r="AD2449" t="str">
        <f>IF(AB2449="",X2449,AB2449)</f>
        <v>sim</v>
      </c>
      <c r="AE2449" t="str">
        <f>IF(OR(Configuracao!B9="",Configuracao!B10=""),"aguardando limiar",IF(AND(K2449&gt;=Configuracao!B9,K2449/MAX(Reconciliacao!C2,1)&gt;=Configuracao!B10/100),"sim","não"))</f>
        <v>aguardando limiar</v>
      </c>
    </row>
    <row r="2450" spans="1:31" x14ac:dyDescent="0.25">
      <c r="A2450">
        <v>18055</v>
      </c>
      <c r="D2450" t="s">
        <v>1498</v>
      </c>
      <c r="E2450" t="s">
        <v>445</v>
      </c>
      <c r="F2450" t="s">
        <v>209</v>
      </c>
      <c r="G2450" t="s">
        <v>208</v>
      </c>
      <c r="H2450" t="s">
        <v>207</v>
      </c>
      <c r="I2450" t="s">
        <v>439</v>
      </c>
      <c r="J2450" t="s">
        <v>439</v>
      </c>
      <c r="K2450" s="4">
        <v>3591.66</v>
      </c>
      <c r="L2450" s="4">
        <v>3591.66</v>
      </c>
      <c r="M2450" t="s">
        <v>44</v>
      </c>
      <c r="N2450" t="s">
        <v>77</v>
      </c>
      <c r="O2450" t="s">
        <v>99</v>
      </c>
      <c r="P2450" t="s">
        <v>99</v>
      </c>
      <c r="Q2450" t="s">
        <v>159</v>
      </c>
      <c r="R2450" t="s">
        <v>210</v>
      </c>
      <c r="S2450" t="s">
        <v>161</v>
      </c>
      <c r="T2450" t="s">
        <v>211</v>
      </c>
      <c r="U2450" t="s">
        <v>163</v>
      </c>
      <c r="V2450" t="s">
        <v>193</v>
      </c>
      <c r="W2450" t="s">
        <v>116</v>
      </c>
      <c r="X2450" t="s">
        <v>44</v>
      </c>
      <c r="Y2450" t="s">
        <v>99</v>
      </c>
      <c r="Z2450" t="s">
        <v>421</v>
      </c>
      <c r="AC2450" t="str">
        <f>IF(AA2450="",M2450,AA2450)</f>
        <v>sim</v>
      </c>
      <c r="AD2450" t="str">
        <f>IF(AB2450="",X2450,AB2450)</f>
        <v>sim</v>
      </c>
      <c r="AE2450" t="str">
        <f>IF(OR(Configuracao!B9="",Configuracao!B10=""),"aguardando limiar",IF(AND(K2450&gt;=Configuracao!B9,K2450/MAX(Reconciliacao!C2,1)&gt;=Configuracao!B10/100),"sim","não"))</f>
        <v>aguardando limiar</v>
      </c>
    </row>
    <row r="2451" spans="1:31" x14ac:dyDescent="0.25">
      <c r="A2451">
        <v>11512</v>
      </c>
      <c r="D2451" t="s">
        <v>1498</v>
      </c>
      <c r="E2451" t="s">
        <v>445</v>
      </c>
      <c r="F2451" t="s">
        <v>209</v>
      </c>
      <c r="G2451" t="s">
        <v>208</v>
      </c>
      <c r="H2451" t="s">
        <v>207</v>
      </c>
      <c r="I2451" t="s">
        <v>32</v>
      </c>
      <c r="J2451" t="s">
        <v>32</v>
      </c>
      <c r="K2451" s="4">
        <v>3663</v>
      </c>
      <c r="L2451" s="4">
        <v>3663</v>
      </c>
      <c r="M2451" t="s">
        <v>44</v>
      </c>
      <c r="N2451" t="s">
        <v>77</v>
      </c>
      <c r="O2451" t="s">
        <v>99</v>
      </c>
      <c r="P2451" t="s">
        <v>99</v>
      </c>
      <c r="Q2451" t="s">
        <v>159</v>
      </c>
      <c r="R2451" t="s">
        <v>210</v>
      </c>
      <c r="S2451" t="s">
        <v>161</v>
      </c>
      <c r="T2451" t="s">
        <v>211</v>
      </c>
      <c r="U2451" t="s">
        <v>163</v>
      </c>
      <c r="V2451" t="s">
        <v>193</v>
      </c>
      <c r="W2451" t="s">
        <v>116</v>
      </c>
      <c r="X2451" t="s">
        <v>44</v>
      </c>
      <c r="Y2451" t="s">
        <v>99</v>
      </c>
      <c r="Z2451" t="s">
        <v>421</v>
      </c>
      <c r="AC2451" t="str">
        <f>IF(AA2451="",M2451,AA2451)</f>
        <v>sim</v>
      </c>
      <c r="AD2451" t="str">
        <f>IF(AB2451="",X2451,AB2451)</f>
        <v>sim</v>
      </c>
      <c r="AE2451" t="str">
        <f>IF(OR(Configuracao!B9="",Configuracao!B10=""),"aguardando limiar",IF(AND(K2451&gt;=Configuracao!B9,K2451/MAX(Reconciliacao!C2,1)&gt;=Configuracao!B10/100),"sim","não"))</f>
        <v>aguardando limiar</v>
      </c>
    </row>
    <row r="2452" spans="1:31" x14ac:dyDescent="0.25">
      <c r="A2452">
        <v>16260</v>
      </c>
      <c r="D2452" t="s">
        <v>1498</v>
      </c>
      <c r="E2452" t="s">
        <v>445</v>
      </c>
      <c r="F2452" t="s">
        <v>209</v>
      </c>
      <c r="G2452" t="s">
        <v>208</v>
      </c>
      <c r="H2452" t="s">
        <v>207</v>
      </c>
      <c r="I2452" t="s">
        <v>461</v>
      </c>
      <c r="J2452" t="s">
        <v>461</v>
      </c>
      <c r="K2452" s="4">
        <v>3851.22</v>
      </c>
      <c r="L2452" s="4">
        <v>3851.22</v>
      </c>
      <c r="M2452" t="s">
        <v>44</v>
      </c>
      <c r="N2452" t="s">
        <v>77</v>
      </c>
      <c r="O2452" t="s">
        <v>99</v>
      </c>
      <c r="P2452" t="s">
        <v>99</v>
      </c>
      <c r="Q2452" t="s">
        <v>159</v>
      </c>
      <c r="R2452" t="s">
        <v>210</v>
      </c>
      <c r="S2452" t="s">
        <v>161</v>
      </c>
      <c r="T2452" t="s">
        <v>211</v>
      </c>
      <c r="U2452" t="s">
        <v>163</v>
      </c>
      <c r="V2452" t="s">
        <v>193</v>
      </c>
      <c r="W2452" t="s">
        <v>116</v>
      </c>
      <c r="X2452" t="s">
        <v>44</v>
      </c>
      <c r="Y2452" t="s">
        <v>99</v>
      </c>
      <c r="Z2452" t="s">
        <v>421</v>
      </c>
      <c r="AC2452" t="str">
        <f>IF(AA2452="",M2452,AA2452)</f>
        <v>sim</v>
      </c>
      <c r="AD2452" t="str">
        <f>IF(AB2452="",X2452,AB2452)</f>
        <v>sim</v>
      </c>
      <c r="AE2452" t="str">
        <f>IF(OR(Configuracao!B9="",Configuracao!B10=""),"aguardando limiar",IF(AND(K2452&gt;=Configuracao!B9,K2452/MAX(Reconciliacao!C2,1)&gt;=Configuracao!B10/100),"sim","não"))</f>
        <v>aguardando limiar</v>
      </c>
    </row>
    <row r="2453" spans="1:31" x14ac:dyDescent="0.25">
      <c r="A2453">
        <v>16054</v>
      </c>
      <c r="D2453" t="s">
        <v>1498</v>
      </c>
      <c r="E2453" t="s">
        <v>445</v>
      </c>
      <c r="F2453" t="s">
        <v>209</v>
      </c>
      <c r="G2453" t="s">
        <v>208</v>
      </c>
      <c r="H2453" t="s">
        <v>207</v>
      </c>
      <c r="I2453" t="s">
        <v>454</v>
      </c>
      <c r="J2453" t="s">
        <v>454</v>
      </c>
      <c r="K2453" s="4">
        <v>3858.84</v>
      </c>
      <c r="L2453" s="4">
        <v>3858.84</v>
      </c>
      <c r="M2453" t="s">
        <v>44</v>
      </c>
      <c r="N2453" t="s">
        <v>77</v>
      </c>
      <c r="O2453" t="s">
        <v>99</v>
      </c>
      <c r="P2453" t="s">
        <v>99</v>
      </c>
      <c r="Q2453" t="s">
        <v>159</v>
      </c>
      <c r="R2453" t="s">
        <v>210</v>
      </c>
      <c r="S2453" t="s">
        <v>161</v>
      </c>
      <c r="T2453" t="s">
        <v>211</v>
      </c>
      <c r="U2453" t="s">
        <v>163</v>
      </c>
      <c r="V2453" t="s">
        <v>193</v>
      </c>
      <c r="W2453" t="s">
        <v>116</v>
      </c>
      <c r="X2453" t="s">
        <v>166</v>
      </c>
      <c r="Y2453" t="s">
        <v>1499</v>
      </c>
      <c r="Z2453" t="s">
        <v>434</v>
      </c>
      <c r="AC2453" t="str">
        <f>IF(AA2453="",M2453,AA2453)</f>
        <v>sim</v>
      </c>
      <c r="AD2453" t="str">
        <f>IF(AB2453="",X2453,AB2453)</f>
        <v>não</v>
      </c>
      <c r="AE2453" t="str">
        <f>IF(OR(Configuracao!B9="",Configuracao!B10=""),"aguardando limiar",IF(AND(K2453&gt;=Configuracao!B9,K2453/MAX(Reconciliacao!C2,1)&gt;=Configuracao!B10/100),"sim","não"))</f>
        <v>aguardando limiar</v>
      </c>
    </row>
    <row r="2454" spans="1:31" x14ac:dyDescent="0.25">
      <c r="A2454">
        <v>12126</v>
      </c>
      <c r="D2454" t="s">
        <v>1498</v>
      </c>
      <c r="E2454" t="s">
        <v>445</v>
      </c>
      <c r="F2454" t="s">
        <v>209</v>
      </c>
      <c r="G2454" t="s">
        <v>208</v>
      </c>
      <c r="H2454" t="s">
        <v>207</v>
      </c>
      <c r="I2454" t="s">
        <v>424</v>
      </c>
      <c r="J2454" t="s">
        <v>424</v>
      </c>
      <c r="K2454" s="4">
        <v>3900.18</v>
      </c>
      <c r="L2454" s="4">
        <v>3900.18</v>
      </c>
      <c r="M2454" t="s">
        <v>44</v>
      </c>
      <c r="N2454" t="s">
        <v>77</v>
      </c>
      <c r="O2454" t="s">
        <v>99</v>
      </c>
      <c r="P2454" t="s">
        <v>99</v>
      </c>
      <c r="Q2454" t="s">
        <v>159</v>
      </c>
      <c r="R2454" t="s">
        <v>210</v>
      </c>
      <c r="S2454" t="s">
        <v>161</v>
      </c>
      <c r="T2454" t="s">
        <v>211</v>
      </c>
      <c r="U2454" t="s">
        <v>163</v>
      </c>
      <c r="V2454" t="s">
        <v>193</v>
      </c>
      <c r="W2454" t="s">
        <v>116</v>
      </c>
      <c r="X2454" t="s">
        <v>166</v>
      </c>
      <c r="Y2454" t="s">
        <v>1499</v>
      </c>
      <c r="Z2454" t="s">
        <v>434</v>
      </c>
      <c r="AC2454" t="str">
        <f>IF(AA2454="",M2454,AA2454)</f>
        <v>sim</v>
      </c>
      <c r="AD2454" t="str">
        <f>IF(AB2454="",X2454,AB2454)</f>
        <v>não</v>
      </c>
      <c r="AE2454" t="str">
        <f>IF(OR(Configuracao!B9="",Configuracao!B10=""),"aguardando limiar",IF(AND(K2454&gt;=Configuracao!B9,K2454/MAX(Reconciliacao!C2,1)&gt;=Configuracao!B10/100),"sim","não"))</f>
        <v>aguardando limiar</v>
      </c>
    </row>
    <row r="2455" spans="1:31" x14ac:dyDescent="0.25">
      <c r="A2455">
        <v>16045</v>
      </c>
      <c r="D2455" t="s">
        <v>1498</v>
      </c>
      <c r="E2455" t="s">
        <v>445</v>
      </c>
      <c r="F2455" t="s">
        <v>209</v>
      </c>
      <c r="G2455" t="s">
        <v>208</v>
      </c>
      <c r="H2455" t="s">
        <v>207</v>
      </c>
      <c r="I2455" t="s">
        <v>420</v>
      </c>
      <c r="J2455" t="s">
        <v>420</v>
      </c>
      <c r="K2455" s="4">
        <v>4176.54</v>
      </c>
      <c r="L2455" s="4">
        <v>4176.54</v>
      </c>
      <c r="M2455" t="s">
        <v>44</v>
      </c>
      <c r="N2455" t="s">
        <v>77</v>
      </c>
      <c r="O2455" t="s">
        <v>99</v>
      </c>
      <c r="P2455" t="s">
        <v>99</v>
      </c>
      <c r="Q2455" t="s">
        <v>159</v>
      </c>
      <c r="R2455" t="s">
        <v>210</v>
      </c>
      <c r="S2455" t="s">
        <v>161</v>
      </c>
      <c r="T2455" t="s">
        <v>211</v>
      </c>
      <c r="U2455" t="s">
        <v>163</v>
      </c>
      <c r="V2455" t="s">
        <v>193</v>
      </c>
      <c r="W2455" t="s">
        <v>116</v>
      </c>
      <c r="X2455" t="s">
        <v>166</v>
      </c>
      <c r="Y2455" t="s">
        <v>1499</v>
      </c>
      <c r="Z2455" t="s">
        <v>434</v>
      </c>
      <c r="AC2455" t="str">
        <f>IF(AA2455="",M2455,AA2455)</f>
        <v>sim</v>
      </c>
      <c r="AD2455" t="str">
        <f>IF(AB2455="",X2455,AB2455)</f>
        <v>não</v>
      </c>
      <c r="AE2455" t="str">
        <f>IF(OR(Configuracao!B9="",Configuracao!B10=""),"aguardando limiar",IF(AND(K2455&gt;=Configuracao!B9,K2455/MAX(Reconciliacao!C2,1)&gt;=Configuracao!B10/100),"sim","não"))</f>
        <v>aguardando limiar</v>
      </c>
    </row>
    <row r="2456" spans="1:31" x14ac:dyDescent="0.25">
      <c r="A2456">
        <v>8176</v>
      </c>
      <c r="D2456" t="s">
        <v>1498</v>
      </c>
      <c r="E2456" t="s">
        <v>467</v>
      </c>
      <c r="F2456" t="s">
        <v>209</v>
      </c>
      <c r="G2456" t="s">
        <v>208</v>
      </c>
      <c r="H2456" t="s">
        <v>207</v>
      </c>
      <c r="I2456" t="s">
        <v>442</v>
      </c>
      <c r="J2456" t="s">
        <v>442</v>
      </c>
      <c r="K2456" s="4">
        <v>6544.34</v>
      </c>
      <c r="L2456" s="4">
        <v>6544.34</v>
      </c>
      <c r="M2456" t="s">
        <v>44</v>
      </c>
      <c r="N2456" t="s">
        <v>77</v>
      </c>
      <c r="O2456" t="s">
        <v>99</v>
      </c>
      <c r="P2456" t="s">
        <v>99</v>
      </c>
      <c r="Q2456" t="s">
        <v>159</v>
      </c>
      <c r="R2456" t="s">
        <v>210</v>
      </c>
      <c r="S2456" t="s">
        <v>161</v>
      </c>
      <c r="T2456" t="s">
        <v>211</v>
      </c>
      <c r="U2456" t="s">
        <v>163</v>
      </c>
      <c r="V2456" t="s">
        <v>193</v>
      </c>
      <c r="W2456" t="s">
        <v>116</v>
      </c>
      <c r="X2456" t="s">
        <v>166</v>
      </c>
      <c r="Y2456" t="s">
        <v>1499</v>
      </c>
      <c r="Z2456" t="s">
        <v>434</v>
      </c>
      <c r="AC2456" t="str">
        <f>IF(AA2456="",M2456,AA2456)</f>
        <v>sim</v>
      </c>
      <c r="AD2456" t="str">
        <f>IF(AB2456="",X2456,AB2456)</f>
        <v>não</v>
      </c>
      <c r="AE2456" t="str">
        <f>IF(OR(Configuracao!B9="",Configuracao!B10=""),"aguardando limiar",IF(AND(K2456&gt;=Configuracao!B9,K2456/MAX(Reconciliacao!C2,1)&gt;=Configuracao!B10/100),"sim","não"))</f>
        <v>aguardando limiar</v>
      </c>
    </row>
    <row r="2457" spans="1:31" x14ac:dyDescent="0.25">
      <c r="A2457">
        <v>8178</v>
      </c>
      <c r="D2457" t="s">
        <v>1498</v>
      </c>
      <c r="E2457" t="s">
        <v>467</v>
      </c>
      <c r="F2457" t="s">
        <v>209</v>
      </c>
      <c r="G2457" t="s">
        <v>208</v>
      </c>
      <c r="H2457" t="s">
        <v>207</v>
      </c>
      <c r="I2457" t="s">
        <v>35</v>
      </c>
      <c r="J2457" t="s">
        <v>35</v>
      </c>
      <c r="K2457" s="4">
        <v>6579.43</v>
      </c>
      <c r="L2457" s="4">
        <v>6579.43</v>
      </c>
      <c r="M2457" t="s">
        <v>44</v>
      </c>
      <c r="N2457" t="s">
        <v>77</v>
      </c>
      <c r="O2457" t="s">
        <v>99</v>
      </c>
      <c r="P2457" t="s">
        <v>99</v>
      </c>
      <c r="Q2457" t="s">
        <v>159</v>
      </c>
      <c r="R2457" t="s">
        <v>210</v>
      </c>
      <c r="S2457" t="s">
        <v>161</v>
      </c>
      <c r="T2457" t="s">
        <v>211</v>
      </c>
      <c r="U2457" t="s">
        <v>163</v>
      </c>
      <c r="V2457" t="s">
        <v>193</v>
      </c>
      <c r="W2457" t="s">
        <v>116</v>
      </c>
      <c r="X2457" t="s">
        <v>166</v>
      </c>
      <c r="Y2457" t="s">
        <v>1499</v>
      </c>
      <c r="Z2457" t="s">
        <v>434</v>
      </c>
      <c r="AC2457" t="str">
        <f>IF(AA2457="",M2457,AA2457)</f>
        <v>sim</v>
      </c>
      <c r="AD2457" t="str">
        <f>IF(AB2457="",X2457,AB2457)</f>
        <v>não</v>
      </c>
      <c r="AE2457" t="str">
        <f>IF(OR(Configuracao!B9="",Configuracao!B10=""),"aguardando limiar",IF(AND(K2457&gt;=Configuracao!B9,K2457/MAX(Reconciliacao!C2,1)&gt;=Configuracao!B10/100),"sim","não"))</f>
        <v>aguardando limiar</v>
      </c>
    </row>
    <row r="2458" spans="1:31" x14ac:dyDescent="0.25">
      <c r="A2458">
        <v>8177</v>
      </c>
      <c r="D2458" t="s">
        <v>1498</v>
      </c>
      <c r="E2458" t="s">
        <v>467</v>
      </c>
      <c r="F2458" t="s">
        <v>209</v>
      </c>
      <c r="G2458" t="s">
        <v>208</v>
      </c>
      <c r="H2458" t="s">
        <v>207</v>
      </c>
      <c r="I2458" t="s">
        <v>439</v>
      </c>
      <c r="J2458" t="s">
        <v>439</v>
      </c>
      <c r="K2458" s="4">
        <v>6584.71</v>
      </c>
      <c r="L2458" s="4">
        <v>6584.71</v>
      </c>
      <c r="M2458" t="s">
        <v>44</v>
      </c>
      <c r="N2458" t="s">
        <v>77</v>
      </c>
      <c r="O2458" t="s">
        <v>99</v>
      </c>
      <c r="P2458" t="s">
        <v>99</v>
      </c>
      <c r="Q2458" t="s">
        <v>159</v>
      </c>
      <c r="R2458" t="s">
        <v>210</v>
      </c>
      <c r="S2458" t="s">
        <v>161</v>
      </c>
      <c r="T2458" t="s">
        <v>211</v>
      </c>
      <c r="U2458" t="s">
        <v>163</v>
      </c>
      <c r="V2458" t="s">
        <v>193</v>
      </c>
      <c r="W2458" t="s">
        <v>116</v>
      </c>
      <c r="X2458" t="s">
        <v>166</v>
      </c>
      <c r="Y2458" t="s">
        <v>1499</v>
      </c>
      <c r="Z2458" t="s">
        <v>434</v>
      </c>
      <c r="AC2458" t="str">
        <f>IF(AA2458="",M2458,AA2458)</f>
        <v>sim</v>
      </c>
      <c r="AD2458" t="str">
        <f>IF(AB2458="",X2458,AB2458)</f>
        <v>não</v>
      </c>
      <c r="AE2458" t="str">
        <f>IF(OR(Configuracao!B9="",Configuracao!B10=""),"aguardando limiar",IF(AND(K2458&gt;=Configuracao!B9,K2458/MAX(Reconciliacao!C2,1)&gt;=Configuracao!B10/100),"sim","não"))</f>
        <v>aguardando limiar</v>
      </c>
    </row>
    <row r="2459" spans="1:31" x14ac:dyDescent="0.25">
      <c r="A2459">
        <v>18064</v>
      </c>
      <c r="D2459" t="s">
        <v>1498</v>
      </c>
      <c r="E2459" t="s">
        <v>451</v>
      </c>
      <c r="F2459" t="s">
        <v>209</v>
      </c>
      <c r="G2459" t="s">
        <v>215</v>
      </c>
      <c r="H2459" t="s">
        <v>214</v>
      </c>
      <c r="I2459" t="s">
        <v>439</v>
      </c>
      <c r="J2459" t="s">
        <v>439</v>
      </c>
      <c r="K2459" s="4">
        <v>45.09</v>
      </c>
      <c r="L2459" s="4">
        <v>45.09</v>
      </c>
      <c r="M2459" t="s">
        <v>44</v>
      </c>
      <c r="N2459" t="s">
        <v>77</v>
      </c>
      <c r="O2459" t="s">
        <v>99</v>
      </c>
      <c r="P2459" t="s">
        <v>99</v>
      </c>
      <c r="Q2459" t="s">
        <v>159</v>
      </c>
      <c r="R2459" t="s">
        <v>210</v>
      </c>
      <c r="S2459" t="s">
        <v>161</v>
      </c>
      <c r="T2459" t="s">
        <v>211</v>
      </c>
      <c r="U2459" t="s">
        <v>163</v>
      </c>
      <c r="V2459" t="s">
        <v>193</v>
      </c>
      <c r="W2459" t="s">
        <v>116</v>
      </c>
      <c r="X2459" t="s">
        <v>44</v>
      </c>
      <c r="Y2459" t="s">
        <v>99</v>
      </c>
      <c r="Z2459" t="s">
        <v>421</v>
      </c>
      <c r="AC2459" t="str">
        <f>IF(AA2459="",M2459,AA2459)</f>
        <v>sim</v>
      </c>
      <c r="AD2459" t="str">
        <f>IF(AB2459="",X2459,AB2459)</f>
        <v>sim</v>
      </c>
      <c r="AE2459" t="str">
        <f>IF(OR(Configuracao!B9="",Configuracao!B10=""),"aguardando limiar",IF(AND(K2459&gt;=Configuracao!B9,K2459/MAX(Reconciliacao!C2,1)&gt;=Configuracao!B10/100),"sim","não"))</f>
        <v>aguardando limiar</v>
      </c>
    </row>
    <row r="2460" spans="1:31" x14ac:dyDescent="0.25">
      <c r="A2460">
        <v>11520</v>
      </c>
      <c r="D2460" t="s">
        <v>1498</v>
      </c>
      <c r="E2460" t="s">
        <v>458</v>
      </c>
      <c r="F2460" t="s">
        <v>209</v>
      </c>
      <c r="G2460" t="s">
        <v>215</v>
      </c>
      <c r="H2460" t="s">
        <v>214</v>
      </c>
      <c r="I2460" t="s">
        <v>32</v>
      </c>
      <c r="J2460" t="s">
        <v>32</v>
      </c>
      <c r="K2460" s="4">
        <v>58.96</v>
      </c>
      <c r="L2460" s="4">
        <v>58.96</v>
      </c>
      <c r="M2460" t="s">
        <v>44</v>
      </c>
      <c r="N2460" t="s">
        <v>77</v>
      </c>
      <c r="O2460" t="s">
        <v>99</v>
      </c>
      <c r="P2460" t="s">
        <v>99</v>
      </c>
      <c r="Q2460" t="s">
        <v>159</v>
      </c>
      <c r="R2460" t="s">
        <v>210</v>
      </c>
      <c r="S2460" t="s">
        <v>161</v>
      </c>
      <c r="T2460" t="s">
        <v>211</v>
      </c>
      <c r="U2460" t="s">
        <v>163</v>
      </c>
      <c r="V2460" t="s">
        <v>193</v>
      </c>
      <c r="W2460" t="s">
        <v>116</v>
      </c>
      <c r="X2460" t="s">
        <v>44</v>
      </c>
      <c r="Y2460" t="s">
        <v>99</v>
      </c>
      <c r="Z2460" t="s">
        <v>421</v>
      </c>
      <c r="AC2460" t="str">
        <f>IF(AA2460="",M2460,AA2460)</f>
        <v>sim</v>
      </c>
      <c r="AD2460" t="str">
        <f>IF(AB2460="",X2460,AB2460)</f>
        <v>sim</v>
      </c>
      <c r="AE2460" t="str">
        <f>IF(OR(Configuracao!B9="",Configuracao!B10=""),"aguardando limiar",IF(AND(K2460&gt;=Configuracao!B9,K2460/MAX(Reconciliacao!C2,1)&gt;=Configuracao!B10/100),"sim","não"))</f>
        <v>aguardando limiar</v>
      </c>
    </row>
    <row r="2461" spans="1:31" x14ac:dyDescent="0.25">
      <c r="A2461">
        <v>16062</v>
      </c>
      <c r="D2461" t="s">
        <v>1498</v>
      </c>
      <c r="E2461" t="s">
        <v>451</v>
      </c>
      <c r="F2461" t="s">
        <v>209</v>
      </c>
      <c r="G2461" t="s">
        <v>215</v>
      </c>
      <c r="H2461" t="s">
        <v>214</v>
      </c>
      <c r="I2461" t="s">
        <v>454</v>
      </c>
      <c r="J2461" t="s">
        <v>454</v>
      </c>
      <c r="K2461" s="4">
        <v>254.78</v>
      </c>
      <c r="L2461" s="4">
        <v>254.78</v>
      </c>
      <c r="M2461" t="s">
        <v>44</v>
      </c>
      <c r="N2461" t="s">
        <v>77</v>
      </c>
      <c r="O2461" t="s">
        <v>99</v>
      </c>
      <c r="P2461" t="s">
        <v>99</v>
      </c>
      <c r="Q2461" t="s">
        <v>159</v>
      </c>
      <c r="R2461" t="s">
        <v>210</v>
      </c>
      <c r="S2461" t="s">
        <v>161</v>
      </c>
      <c r="T2461" t="s">
        <v>211</v>
      </c>
      <c r="U2461" t="s">
        <v>163</v>
      </c>
      <c r="V2461" t="s">
        <v>193</v>
      </c>
      <c r="W2461" t="s">
        <v>116</v>
      </c>
      <c r="X2461" t="s">
        <v>44</v>
      </c>
      <c r="Y2461" t="s">
        <v>99</v>
      </c>
      <c r="Z2461" t="s">
        <v>421</v>
      </c>
      <c r="AC2461" t="str">
        <f>IF(AA2461="",M2461,AA2461)</f>
        <v>sim</v>
      </c>
      <c r="AD2461" t="str">
        <f>IF(AB2461="",X2461,AB2461)</f>
        <v>sim</v>
      </c>
      <c r="AE2461" t="str">
        <f>IF(OR(Configuracao!B9="",Configuracao!B10=""),"aguardando limiar",IF(AND(K2461&gt;=Configuracao!B9,K2461/MAX(Reconciliacao!C2,1)&gt;=Configuracao!B10/100),"sim","não"))</f>
        <v>aguardando limiar</v>
      </c>
    </row>
    <row r="2462" spans="1:31" x14ac:dyDescent="0.25">
      <c r="A2462">
        <v>16053</v>
      </c>
      <c r="D2462" t="s">
        <v>1498</v>
      </c>
      <c r="E2462" t="s">
        <v>1138</v>
      </c>
      <c r="F2462" t="s">
        <v>209</v>
      </c>
      <c r="G2462" t="s">
        <v>215</v>
      </c>
      <c r="H2462" t="s">
        <v>214</v>
      </c>
      <c r="I2462" t="s">
        <v>420</v>
      </c>
      <c r="J2462" t="s">
        <v>420</v>
      </c>
      <c r="K2462" s="4">
        <v>1242.41</v>
      </c>
      <c r="L2462" s="4">
        <v>1242.41</v>
      </c>
      <c r="M2462" t="s">
        <v>44</v>
      </c>
      <c r="N2462" t="s">
        <v>77</v>
      </c>
      <c r="O2462" t="s">
        <v>99</v>
      </c>
      <c r="P2462" t="s">
        <v>99</v>
      </c>
      <c r="Q2462" t="s">
        <v>159</v>
      </c>
      <c r="R2462" t="s">
        <v>210</v>
      </c>
      <c r="S2462" t="s">
        <v>161</v>
      </c>
      <c r="T2462" t="s">
        <v>211</v>
      </c>
      <c r="U2462" t="s">
        <v>163</v>
      </c>
      <c r="V2462" t="s">
        <v>193</v>
      </c>
      <c r="W2462" t="s">
        <v>116</v>
      </c>
      <c r="X2462" t="s">
        <v>44</v>
      </c>
      <c r="Y2462" t="s">
        <v>99</v>
      </c>
      <c r="Z2462" t="s">
        <v>421</v>
      </c>
      <c r="AC2462" t="str">
        <f>IF(AA2462="",M2462,AA2462)</f>
        <v>sim</v>
      </c>
      <c r="AD2462" t="str">
        <f>IF(AB2462="",X2462,AB2462)</f>
        <v>sim</v>
      </c>
      <c r="AE2462" t="str">
        <f>IF(OR(Configuracao!B9="",Configuracao!B10=""),"aguardando limiar",IF(AND(K2462&gt;=Configuracao!B9,K2462/MAX(Reconciliacao!C2,1)&gt;=Configuracao!B10/100),"sim","não"))</f>
        <v>aguardando limiar</v>
      </c>
    </row>
    <row r="2463" spans="1:31" x14ac:dyDescent="0.25">
      <c r="A2463">
        <v>16061</v>
      </c>
      <c r="D2463" t="s">
        <v>1498</v>
      </c>
      <c r="E2463" t="s">
        <v>1138</v>
      </c>
      <c r="F2463" t="s">
        <v>209</v>
      </c>
      <c r="G2463" t="s">
        <v>215</v>
      </c>
      <c r="H2463" t="s">
        <v>214</v>
      </c>
      <c r="I2463" t="s">
        <v>454</v>
      </c>
      <c r="J2463" t="s">
        <v>454</v>
      </c>
      <c r="K2463" s="4">
        <v>1242.41</v>
      </c>
      <c r="L2463" s="4">
        <v>1242.41</v>
      </c>
      <c r="M2463" t="s">
        <v>44</v>
      </c>
      <c r="N2463" t="s">
        <v>77</v>
      </c>
      <c r="O2463" t="s">
        <v>99</v>
      </c>
      <c r="P2463" t="s">
        <v>99</v>
      </c>
      <c r="Q2463" t="s">
        <v>159</v>
      </c>
      <c r="R2463" t="s">
        <v>210</v>
      </c>
      <c r="S2463" t="s">
        <v>161</v>
      </c>
      <c r="T2463" t="s">
        <v>211</v>
      </c>
      <c r="U2463" t="s">
        <v>163</v>
      </c>
      <c r="V2463" t="s">
        <v>193</v>
      </c>
      <c r="W2463" t="s">
        <v>116</v>
      </c>
      <c r="X2463" t="s">
        <v>44</v>
      </c>
      <c r="Y2463" t="s">
        <v>99</v>
      </c>
      <c r="Z2463" t="s">
        <v>421</v>
      </c>
      <c r="AC2463" t="str">
        <f>IF(AA2463="",M2463,AA2463)</f>
        <v>sim</v>
      </c>
      <c r="AD2463" t="str">
        <f>IF(AB2463="",X2463,AB2463)</f>
        <v>sim</v>
      </c>
      <c r="AE2463" t="str">
        <f>IF(OR(Configuracao!B9="",Configuracao!B10=""),"aguardando limiar",IF(AND(K2463&gt;=Configuracao!B9,K2463/MAX(Reconciliacao!C2,1)&gt;=Configuracao!B10/100),"sim","não"))</f>
        <v>aguardando limiar</v>
      </c>
    </row>
    <row r="2464" spans="1:31" x14ac:dyDescent="0.25">
      <c r="A2464">
        <v>16266</v>
      </c>
      <c r="D2464" t="s">
        <v>1498</v>
      </c>
      <c r="E2464" t="s">
        <v>1138</v>
      </c>
      <c r="F2464" t="s">
        <v>209</v>
      </c>
      <c r="G2464" t="s">
        <v>215</v>
      </c>
      <c r="H2464" t="s">
        <v>214</v>
      </c>
      <c r="I2464" t="s">
        <v>461</v>
      </c>
      <c r="J2464" t="s">
        <v>461</v>
      </c>
      <c r="K2464" s="4">
        <v>1242.41</v>
      </c>
      <c r="L2464" s="4">
        <v>1242.41</v>
      </c>
      <c r="M2464" t="s">
        <v>44</v>
      </c>
      <c r="N2464" t="s">
        <v>77</v>
      </c>
      <c r="O2464" t="s">
        <v>99</v>
      </c>
      <c r="P2464" t="s">
        <v>99</v>
      </c>
      <c r="Q2464" t="s">
        <v>159</v>
      </c>
      <c r="R2464" t="s">
        <v>210</v>
      </c>
      <c r="S2464" t="s">
        <v>161</v>
      </c>
      <c r="T2464" t="s">
        <v>211</v>
      </c>
      <c r="U2464" t="s">
        <v>163</v>
      </c>
      <c r="V2464" t="s">
        <v>193</v>
      </c>
      <c r="W2464" t="s">
        <v>116</v>
      </c>
      <c r="X2464" t="s">
        <v>44</v>
      </c>
      <c r="Y2464" t="s">
        <v>99</v>
      </c>
      <c r="Z2464" t="s">
        <v>421</v>
      </c>
      <c r="AC2464" t="str">
        <f>IF(AA2464="",M2464,AA2464)</f>
        <v>sim</v>
      </c>
      <c r="AD2464" t="str">
        <f>IF(AB2464="",X2464,AB2464)</f>
        <v>sim</v>
      </c>
      <c r="AE2464" t="str">
        <f>IF(OR(Configuracao!B9="",Configuracao!B10=""),"aguardando limiar",IF(AND(K2464&gt;=Configuracao!B9,K2464/MAX(Reconciliacao!C2,1)&gt;=Configuracao!B10/100),"sim","não"))</f>
        <v>aguardando limiar</v>
      </c>
    </row>
    <row r="2465" spans="1:31" x14ac:dyDescent="0.25">
      <c r="A2465">
        <v>17659</v>
      </c>
      <c r="D2465" t="s">
        <v>1498</v>
      </c>
      <c r="E2465" t="s">
        <v>1138</v>
      </c>
      <c r="F2465" t="s">
        <v>209</v>
      </c>
      <c r="G2465" t="s">
        <v>215</v>
      </c>
      <c r="H2465" t="s">
        <v>214</v>
      </c>
      <c r="I2465" t="s">
        <v>442</v>
      </c>
      <c r="J2465" t="s">
        <v>442</v>
      </c>
      <c r="K2465" s="4">
        <v>1242.41</v>
      </c>
      <c r="L2465" s="4">
        <v>1242.41</v>
      </c>
      <c r="M2465" t="s">
        <v>44</v>
      </c>
      <c r="N2465" t="s">
        <v>77</v>
      </c>
      <c r="O2465" t="s">
        <v>99</v>
      </c>
      <c r="P2465" t="s">
        <v>99</v>
      </c>
      <c r="Q2465" t="s">
        <v>159</v>
      </c>
      <c r="R2465" t="s">
        <v>210</v>
      </c>
      <c r="S2465" t="s">
        <v>161</v>
      </c>
      <c r="T2465" t="s">
        <v>211</v>
      </c>
      <c r="U2465" t="s">
        <v>163</v>
      </c>
      <c r="V2465" t="s">
        <v>193</v>
      </c>
      <c r="W2465" t="s">
        <v>116</v>
      </c>
      <c r="X2465" t="s">
        <v>44</v>
      </c>
      <c r="Y2465" t="s">
        <v>99</v>
      </c>
      <c r="Z2465" t="s">
        <v>421</v>
      </c>
      <c r="AC2465" t="str">
        <f>IF(AA2465="",M2465,AA2465)</f>
        <v>sim</v>
      </c>
      <c r="AD2465" t="str">
        <f>IF(AB2465="",X2465,AB2465)</f>
        <v>sim</v>
      </c>
      <c r="AE2465" t="str">
        <f>IF(OR(Configuracao!B9="",Configuracao!B10=""),"aguardando limiar",IF(AND(K2465&gt;=Configuracao!B9,K2465/MAX(Reconciliacao!C2,1)&gt;=Configuracao!B10/100),"sim","não"))</f>
        <v>aguardando limiar</v>
      </c>
    </row>
    <row r="2466" spans="1:31" x14ac:dyDescent="0.25">
      <c r="A2466">
        <v>18061</v>
      </c>
      <c r="D2466" t="s">
        <v>1498</v>
      </c>
      <c r="E2466" t="s">
        <v>1138</v>
      </c>
      <c r="F2466" t="s">
        <v>209</v>
      </c>
      <c r="G2466" t="s">
        <v>215</v>
      </c>
      <c r="H2466" t="s">
        <v>214</v>
      </c>
      <c r="I2466" t="s">
        <v>439</v>
      </c>
      <c r="J2466" t="s">
        <v>439</v>
      </c>
      <c r="K2466" s="4">
        <v>1242.41</v>
      </c>
      <c r="L2466" s="4">
        <v>1242.41</v>
      </c>
      <c r="M2466" t="s">
        <v>44</v>
      </c>
      <c r="N2466" t="s">
        <v>77</v>
      </c>
      <c r="O2466" t="s">
        <v>99</v>
      </c>
      <c r="P2466" t="s">
        <v>99</v>
      </c>
      <c r="Q2466" t="s">
        <v>159</v>
      </c>
      <c r="R2466" t="s">
        <v>210</v>
      </c>
      <c r="S2466" t="s">
        <v>161</v>
      </c>
      <c r="T2466" t="s">
        <v>211</v>
      </c>
      <c r="U2466" t="s">
        <v>163</v>
      </c>
      <c r="V2466" t="s">
        <v>193</v>
      </c>
      <c r="W2466" t="s">
        <v>116</v>
      </c>
      <c r="X2466" t="s">
        <v>44</v>
      </c>
      <c r="Y2466" t="s">
        <v>99</v>
      </c>
      <c r="Z2466" t="s">
        <v>421</v>
      </c>
      <c r="AC2466" t="str">
        <f>IF(AA2466="",M2466,AA2466)</f>
        <v>sim</v>
      </c>
      <c r="AD2466" t="str">
        <f>IF(AB2466="",X2466,AB2466)</f>
        <v>sim</v>
      </c>
      <c r="AE2466" t="str">
        <f>IF(OR(Configuracao!B9="",Configuracao!B10=""),"aguardando limiar",IF(AND(K2466&gt;=Configuracao!B9,K2466/MAX(Reconciliacao!C2,1)&gt;=Configuracao!B10/100),"sim","não"))</f>
        <v>aguardando limiar</v>
      </c>
    </row>
    <row r="2467" spans="1:31" x14ac:dyDescent="0.25">
      <c r="A2467">
        <v>19017</v>
      </c>
      <c r="D2467" t="s">
        <v>1498</v>
      </c>
      <c r="E2467" t="s">
        <v>1138</v>
      </c>
      <c r="F2467" t="s">
        <v>209</v>
      </c>
      <c r="G2467" t="s">
        <v>215</v>
      </c>
      <c r="H2467" t="s">
        <v>214</v>
      </c>
      <c r="I2467" t="s">
        <v>35</v>
      </c>
      <c r="J2467" t="s">
        <v>35</v>
      </c>
      <c r="K2467" s="4">
        <v>1242.41</v>
      </c>
      <c r="L2467" s="4">
        <v>1242.41</v>
      </c>
      <c r="M2467" t="s">
        <v>44</v>
      </c>
      <c r="N2467" t="s">
        <v>77</v>
      </c>
      <c r="O2467" t="s">
        <v>99</v>
      </c>
      <c r="P2467" t="s">
        <v>99</v>
      </c>
      <c r="Q2467" t="s">
        <v>159</v>
      </c>
      <c r="R2467" t="s">
        <v>210</v>
      </c>
      <c r="S2467" t="s">
        <v>161</v>
      </c>
      <c r="T2467" t="s">
        <v>211</v>
      </c>
      <c r="U2467" t="s">
        <v>163</v>
      </c>
      <c r="V2467" t="s">
        <v>193</v>
      </c>
      <c r="W2467" t="s">
        <v>116</v>
      </c>
      <c r="X2467" t="s">
        <v>44</v>
      </c>
      <c r="Y2467" t="s">
        <v>99</v>
      </c>
      <c r="Z2467" t="s">
        <v>421</v>
      </c>
      <c r="AC2467" t="str">
        <f>IF(AA2467="",M2467,AA2467)</f>
        <v>sim</v>
      </c>
      <c r="AD2467" t="str">
        <f>IF(AB2467="",X2467,AB2467)</f>
        <v>sim</v>
      </c>
      <c r="AE2467" t="str">
        <f>IF(OR(Configuracao!B9="",Configuracao!B10=""),"aguardando limiar",IF(AND(K2467&gt;=Configuracao!B9,K2467/MAX(Reconciliacao!C2,1)&gt;=Configuracao!B10/100),"sim","não"))</f>
        <v>aguardando limiar</v>
      </c>
    </row>
    <row r="2468" spans="1:31" x14ac:dyDescent="0.25">
      <c r="A2468">
        <v>11521</v>
      </c>
      <c r="D2468" t="s">
        <v>1498</v>
      </c>
      <c r="E2468" t="s">
        <v>1138</v>
      </c>
      <c r="F2468" t="s">
        <v>209</v>
      </c>
      <c r="G2468" t="s">
        <v>215</v>
      </c>
      <c r="H2468" t="s">
        <v>214</v>
      </c>
      <c r="I2468" t="s">
        <v>32</v>
      </c>
      <c r="J2468" t="s">
        <v>32</v>
      </c>
      <c r="K2468" s="4">
        <v>1252.44</v>
      </c>
      <c r="L2468" s="4">
        <v>1252.44</v>
      </c>
      <c r="M2468" t="s">
        <v>44</v>
      </c>
      <c r="N2468" t="s">
        <v>77</v>
      </c>
      <c r="O2468" t="s">
        <v>99</v>
      </c>
      <c r="P2468" t="s">
        <v>99</v>
      </c>
      <c r="Q2468" t="s">
        <v>159</v>
      </c>
      <c r="R2468" t="s">
        <v>210</v>
      </c>
      <c r="S2468" t="s">
        <v>161</v>
      </c>
      <c r="T2468" t="s">
        <v>211</v>
      </c>
      <c r="U2468" t="s">
        <v>163</v>
      </c>
      <c r="V2468" t="s">
        <v>193</v>
      </c>
      <c r="W2468" t="s">
        <v>116</v>
      </c>
      <c r="X2468" t="s">
        <v>44</v>
      </c>
      <c r="Y2468" t="s">
        <v>99</v>
      </c>
      <c r="Z2468" t="s">
        <v>421</v>
      </c>
      <c r="AC2468" t="str">
        <f>IF(AA2468="",M2468,AA2468)</f>
        <v>sim</v>
      </c>
      <c r="AD2468" t="str">
        <f>IF(AB2468="",X2468,AB2468)</f>
        <v>sim</v>
      </c>
      <c r="AE2468" t="str">
        <f>IF(OR(Configuracao!B9="",Configuracao!B10=""),"aguardando limiar",IF(AND(K2468&gt;=Configuracao!B9,K2468/MAX(Reconciliacao!C2,1)&gt;=Configuracao!B10/100),"sim","não"))</f>
        <v>aguardando limiar</v>
      </c>
    </row>
    <row r="2469" spans="1:31" x14ac:dyDescent="0.25">
      <c r="A2469">
        <v>19018</v>
      </c>
      <c r="D2469" t="s">
        <v>1498</v>
      </c>
      <c r="E2469" t="s">
        <v>471</v>
      </c>
      <c r="F2469" t="s">
        <v>209</v>
      </c>
      <c r="G2469" t="s">
        <v>215</v>
      </c>
      <c r="H2469" t="s">
        <v>214</v>
      </c>
      <c r="I2469" t="s">
        <v>35</v>
      </c>
      <c r="J2469" t="s">
        <v>35</v>
      </c>
      <c r="K2469" s="4">
        <v>6083.85</v>
      </c>
      <c r="L2469" s="4">
        <v>6083.85</v>
      </c>
      <c r="M2469" t="s">
        <v>44</v>
      </c>
      <c r="N2469" t="s">
        <v>77</v>
      </c>
      <c r="O2469" t="s">
        <v>99</v>
      </c>
      <c r="P2469" t="s">
        <v>99</v>
      </c>
      <c r="Q2469" t="s">
        <v>159</v>
      </c>
      <c r="R2469" t="s">
        <v>210</v>
      </c>
      <c r="S2469" t="s">
        <v>161</v>
      </c>
      <c r="T2469" t="s">
        <v>211</v>
      </c>
      <c r="U2469" t="s">
        <v>163</v>
      </c>
      <c r="V2469" t="s">
        <v>193</v>
      </c>
      <c r="W2469" t="s">
        <v>116</v>
      </c>
      <c r="X2469" t="s">
        <v>166</v>
      </c>
      <c r="Y2469" t="s">
        <v>1500</v>
      </c>
      <c r="Z2469" t="s">
        <v>434</v>
      </c>
      <c r="AC2469" t="str">
        <f>IF(AA2469="",M2469,AA2469)</f>
        <v>sim</v>
      </c>
      <c r="AD2469" t="str">
        <f>IF(AB2469="",X2469,AB2469)</f>
        <v>não</v>
      </c>
      <c r="AE2469" t="str">
        <f>IF(OR(Configuracao!B9="",Configuracao!B10=""),"aguardando limiar",IF(AND(K2469&gt;=Configuracao!B9,K2469/MAX(Reconciliacao!C2,1)&gt;=Configuracao!B10/100),"sim","não"))</f>
        <v>aguardando limiar</v>
      </c>
    </row>
    <row r="2470" spans="1:31" x14ac:dyDescent="0.25">
      <c r="A2470">
        <v>16063</v>
      </c>
      <c r="D2470" t="s">
        <v>1498</v>
      </c>
      <c r="E2470" t="s">
        <v>471</v>
      </c>
      <c r="F2470" t="s">
        <v>209</v>
      </c>
      <c r="G2470" t="s">
        <v>215</v>
      </c>
      <c r="H2470" t="s">
        <v>214</v>
      </c>
      <c r="I2470" t="s">
        <v>454</v>
      </c>
      <c r="J2470" t="s">
        <v>454</v>
      </c>
      <c r="K2470" s="4">
        <v>6502.29</v>
      </c>
      <c r="L2470" s="4">
        <v>6502.29</v>
      </c>
      <c r="M2470" t="s">
        <v>44</v>
      </c>
      <c r="N2470" t="s">
        <v>77</v>
      </c>
      <c r="O2470" t="s">
        <v>99</v>
      </c>
      <c r="P2470" t="s">
        <v>99</v>
      </c>
      <c r="Q2470" t="s">
        <v>159</v>
      </c>
      <c r="R2470" t="s">
        <v>210</v>
      </c>
      <c r="S2470" t="s">
        <v>161</v>
      </c>
      <c r="T2470" t="s">
        <v>211</v>
      </c>
      <c r="U2470" t="s">
        <v>163</v>
      </c>
      <c r="V2470" t="s">
        <v>193</v>
      </c>
      <c r="W2470" t="s">
        <v>116</v>
      </c>
      <c r="X2470" t="s">
        <v>166</v>
      </c>
      <c r="Y2470" t="s">
        <v>1500</v>
      </c>
      <c r="Z2470" t="s">
        <v>434</v>
      </c>
      <c r="AC2470" t="str">
        <f>IF(AA2470="",M2470,AA2470)</f>
        <v>sim</v>
      </c>
      <c r="AD2470" t="str">
        <f>IF(AB2470="",X2470,AB2470)</f>
        <v>não</v>
      </c>
      <c r="AE2470" t="str">
        <f>IF(OR(Configuracao!B9="",Configuracao!B10=""),"aguardando limiar",IF(AND(K2470&gt;=Configuracao!B9,K2470/MAX(Reconciliacao!C2,1)&gt;=Configuracao!B10/100),"sim","não"))</f>
        <v>aguardando limiar</v>
      </c>
    </row>
    <row r="2471" spans="1:31" x14ac:dyDescent="0.25">
      <c r="A2471">
        <v>16267</v>
      </c>
      <c r="D2471" t="s">
        <v>1498</v>
      </c>
      <c r="E2471" t="s">
        <v>471</v>
      </c>
      <c r="F2471" t="s">
        <v>209</v>
      </c>
      <c r="G2471" t="s">
        <v>215</v>
      </c>
      <c r="H2471" t="s">
        <v>214</v>
      </c>
      <c r="I2471" t="s">
        <v>461</v>
      </c>
      <c r="J2471" t="s">
        <v>461</v>
      </c>
      <c r="K2471" s="4">
        <v>6777.79</v>
      </c>
      <c r="L2471" s="4">
        <v>6777.79</v>
      </c>
      <c r="M2471" t="s">
        <v>44</v>
      </c>
      <c r="N2471" t="s">
        <v>77</v>
      </c>
      <c r="O2471" t="s">
        <v>99</v>
      </c>
      <c r="P2471" t="s">
        <v>99</v>
      </c>
      <c r="Q2471" t="s">
        <v>159</v>
      </c>
      <c r="R2471" t="s">
        <v>210</v>
      </c>
      <c r="S2471" t="s">
        <v>161</v>
      </c>
      <c r="T2471" t="s">
        <v>211</v>
      </c>
      <c r="U2471" t="s">
        <v>163</v>
      </c>
      <c r="V2471" t="s">
        <v>193</v>
      </c>
      <c r="W2471" t="s">
        <v>116</v>
      </c>
      <c r="X2471" t="s">
        <v>166</v>
      </c>
      <c r="Y2471" t="s">
        <v>1500</v>
      </c>
      <c r="Z2471" t="s">
        <v>434</v>
      </c>
      <c r="AC2471" t="str">
        <f>IF(AA2471="",M2471,AA2471)</f>
        <v>sim</v>
      </c>
      <c r="AD2471" t="str">
        <f>IF(AB2471="",X2471,AB2471)</f>
        <v>não</v>
      </c>
      <c r="AE2471" t="str">
        <f>IF(OR(Configuracao!B9="",Configuracao!B10=""),"aguardando limiar",IF(AND(K2471&gt;=Configuracao!B9,K2471/MAX(Reconciliacao!C2,1)&gt;=Configuracao!B10/100),"sim","não"))</f>
        <v>aguardando limiar</v>
      </c>
    </row>
    <row r="2472" spans="1:31" x14ac:dyDescent="0.25">
      <c r="A2472">
        <v>18062</v>
      </c>
      <c r="D2472" t="s">
        <v>1498</v>
      </c>
      <c r="E2472" t="s">
        <v>471</v>
      </c>
      <c r="F2472" t="s">
        <v>209</v>
      </c>
      <c r="G2472" t="s">
        <v>215</v>
      </c>
      <c r="H2472" t="s">
        <v>214</v>
      </c>
      <c r="I2472" t="s">
        <v>439</v>
      </c>
      <c r="J2472" t="s">
        <v>439</v>
      </c>
      <c r="K2472" s="4">
        <v>7222.22</v>
      </c>
      <c r="L2472" s="4">
        <v>7222.22</v>
      </c>
      <c r="M2472" t="s">
        <v>44</v>
      </c>
      <c r="N2472" t="s">
        <v>77</v>
      </c>
      <c r="O2472" t="s">
        <v>99</v>
      </c>
      <c r="P2472" t="s">
        <v>99</v>
      </c>
      <c r="Q2472" t="s">
        <v>159</v>
      </c>
      <c r="R2472" t="s">
        <v>210</v>
      </c>
      <c r="S2472" t="s">
        <v>161</v>
      </c>
      <c r="T2472" t="s">
        <v>211</v>
      </c>
      <c r="U2472" t="s">
        <v>163</v>
      </c>
      <c r="V2472" t="s">
        <v>193</v>
      </c>
      <c r="W2472" t="s">
        <v>116</v>
      </c>
      <c r="X2472" t="s">
        <v>166</v>
      </c>
      <c r="Y2472" t="s">
        <v>1500</v>
      </c>
      <c r="Z2472" t="s">
        <v>434</v>
      </c>
      <c r="AC2472" t="str">
        <f>IF(AA2472="",M2472,AA2472)</f>
        <v>sim</v>
      </c>
      <c r="AD2472" t="str">
        <f>IF(AB2472="",X2472,AB2472)</f>
        <v>não</v>
      </c>
      <c r="AE2472" t="str">
        <f>IF(OR(Configuracao!B9="",Configuracao!B10=""),"aguardando limiar",IF(AND(K2472&gt;=Configuracao!B9,K2472/MAX(Reconciliacao!C2,1)&gt;=Configuracao!B10/100),"sim","não"))</f>
        <v>aguardando limiar</v>
      </c>
    </row>
    <row r="2473" spans="1:31" x14ac:dyDescent="0.25">
      <c r="A2473">
        <v>17660</v>
      </c>
      <c r="D2473" t="s">
        <v>1498</v>
      </c>
      <c r="E2473" t="s">
        <v>471</v>
      </c>
      <c r="F2473" t="s">
        <v>209</v>
      </c>
      <c r="G2473" t="s">
        <v>215</v>
      </c>
      <c r="H2473" t="s">
        <v>214</v>
      </c>
      <c r="I2473" t="s">
        <v>442</v>
      </c>
      <c r="J2473" t="s">
        <v>442</v>
      </c>
      <c r="K2473" s="4">
        <v>7777.78</v>
      </c>
      <c r="L2473" s="4">
        <v>7777.78</v>
      </c>
      <c r="M2473" t="s">
        <v>44</v>
      </c>
      <c r="N2473" t="s">
        <v>77</v>
      </c>
      <c r="O2473" t="s">
        <v>99</v>
      </c>
      <c r="P2473" t="s">
        <v>99</v>
      </c>
      <c r="Q2473" t="s">
        <v>159</v>
      </c>
      <c r="R2473" t="s">
        <v>210</v>
      </c>
      <c r="S2473" t="s">
        <v>161</v>
      </c>
      <c r="T2473" t="s">
        <v>211</v>
      </c>
      <c r="U2473" t="s">
        <v>163</v>
      </c>
      <c r="V2473" t="s">
        <v>193</v>
      </c>
      <c r="W2473" t="s">
        <v>116</v>
      </c>
      <c r="X2473" t="s">
        <v>166</v>
      </c>
      <c r="Y2473" t="s">
        <v>1500</v>
      </c>
      <c r="Z2473" t="s">
        <v>434</v>
      </c>
      <c r="AC2473" t="str">
        <f>IF(AA2473="",M2473,AA2473)</f>
        <v>sim</v>
      </c>
      <c r="AD2473" t="str">
        <f>IF(AB2473="",X2473,AB2473)</f>
        <v>não</v>
      </c>
      <c r="AE2473" t="str">
        <f>IF(OR(Configuracao!B9="",Configuracao!B10=""),"aguardando limiar",IF(AND(K2473&gt;=Configuracao!B9,K2473/MAX(Reconciliacao!C2,1)&gt;=Configuracao!B10/100),"sim","não"))</f>
        <v>aguardando limiar</v>
      </c>
    </row>
    <row r="2474" spans="1:31" x14ac:dyDescent="0.25">
      <c r="A2474">
        <v>16064</v>
      </c>
      <c r="D2474" t="s">
        <v>1498</v>
      </c>
      <c r="E2474" t="s">
        <v>474</v>
      </c>
      <c r="F2474" t="s">
        <v>209</v>
      </c>
      <c r="G2474" t="s">
        <v>215</v>
      </c>
      <c r="H2474" t="s">
        <v>214</v>
      </c>
      <c r="I2474" t="s">
        <v>454</v>
      </c>
      <c r="J2474" t="s">
        <v>454</v>
      </c>
      <c r="K2474" s="4">
        <v>10212.22</v>
      </c>
      <c r="L2474" s="4">
        <v>10212.22</v>
      </c>
      <c r="M2474" t="s">
        <v>44</v>
      </c>
      <c r="N2474" t="s">
        <v>77</v>
      </c>
      <c r="O2474" t="s">
        <v>99</v>
      </c>
      <c r="P2474" t="s">
        <v>99</v>
      </c>
      <c r="Q2474" t="s">
        <v>159</v>
      </c>
      <c r="R2474" t="s">
        <v>210</v>
      </c>
      <c r="S2474" t="s">
        <v>161</v>
      </c>
      <c r="T2474" t="s">
        <v>211</v>
      </c>
      <c r="U2474" t="s">
        <v>163</v>
      </c>
      <c r="V2474" t="s">
        <v>193</v>
      </c>
      <c r="W2474" t="s">
        <v>116</v>
      </c>
      <c r="X2474" t="s">
        <v>166</v>
      </c>
      <c r="Y2474" t="s">
        <v>1500</v>
      </c>
      <c r="Z2474" t="s">
        <v>434</v>
      </c>
      <c r="AC2474" t="str">
        <f>IF(AA2474="",M2474,AA2474)</f>
        <v>sim</v>
      </c>
      <c r="AD2474" t="str">
        <f>IF(AB2474="",X2474,AB2474)</f>
        <v>não</v>
      </c>
      <c r="AE2474" t="str">
        <f>IF(OR(Configuracao!B9="",Configuracao!B10=""),"aguardando limiar",IF(AND(K2474&gt;=Configuracao!B9,K2474/MAX(Reconciliacao!C2,1)&gt;=Configuracao!B10/100),"sim","não"))</f>
        <v>aguardando limiar</v>
      </c>
    </row>
    <row r="2475" spans="1:31" x14ac:dyDescent="0.25">
      <c r="A2475">
        <v>16268</v>
      </c>
      <c r="D2475" t="s">
        <v>1498</v>
      </c>
      <c r="E2475" t="s">
        <v>474</v>
      </c>
      <c r="F2475" t="s">
        <v>209</v>
      </c>
      <c r="G2475" t="s">
        <v>215</v>
      </c>
      <c r="H2475" t="s">
        <v>214</v>
      </c>
      <c r="I2475" t="s">
        <v>461</v>
      </c>
      <c r="J2475" t="s">
        <v>461</v>
      </c>
      <c r="K2475" s="4">
        <v>11111.11</v>
      </c>
      <c r="L2475" s="4">
        <v>11111.11</v>
      </c>
      <c r="M2475" t="s">
        <v>44</v>
      </c>
      <c r="N2475" t="s">
        <v>77</v>
      </c>
      <c r="O2475" t="s">
        <v>99</v>
      </c>
      <c r="P2475" t="s">
        <v>99</v>
      </c>
      <c r="Q2475" t="s">
        <v>159</v>
      </c>
      <c r="R2475" t="s">
        <v>210</v>
      </c>
      <c r="S2475" t="s">
        <v>161</v>
      </c>
      <c r="T2475" t="s">
        <v>211</v>
      </c>
      <c r="U2475" t="s">
        <v>163</v>
      </c>
      <c r="V2475" t="s">
        <v>193</v>
      </c>
      <c r="W2475" t="s">
        <v>116</v>
      </c>
      <c r="X2475" t="s">
        <v>166</v>
      </c>
      <c r="Y2475" t="s">
        <v>1500</v>
      </c>
      <c r="Z2475" t="s">
        <v>434</v>
      </c>
      <c r="AC2475" t="str">
        <f>IF(AA2475="",M2475,AA2475)</f>
        <v>sim</v>
      </c>
      <c r="AD2475" t="str">
        <f>IF(AB2475="",X2475,AB2475)</f>
        <v>não</v>
      </c>
      <c r="AE2475" t="str">
        <f>IF(OR(Configuracao!B9="",Configuracao!B10=""),"aguardando limiar",IF(AND(K2475&gt;=Configuracao!B9,K2475/MAX(Reconciliacao!C2,1)&gt;=Configuracao!B10/100),"sim","não"))</f>
        <v>aguardando limiar</v>
      </c>
    </row>
    <row r="2476" spans="1:31" x14ac:dyDescent="0.25">
      <c r="A2476">
        <v>17661</v>
      </c>
      <c r="D2476" t="s">
        <v>1498</v>
      </c>
      <c r="E2476" t="s">
        <v>474</v>
      </c>
      <c r="F2476" t="s">
        <v>209</v>
      </c>
      <c r="G2476" t="s">
        <v>215</v>
      </c>
      <c r="H2476" t="s">
        <v>214</v>
      </c>
      <c r="I2476" t="s">
        <v>442</v>
      </c>
      <c r="J2476" t="s">
        <v>442</v>
      </c>
      <c r="K2476" s="4">
        <v>11111.11</v>
      </c>
      <c r="L2476" s="4">
        <v>11111.11</v>
      </c>
      <c r="M2476" t="s">
        <v>44</v>
      </c>
      <c r="N2476" t="s">
        <v>77</v>
      </c>
      <c r="O2476" t="s">
        <v>99</v>
      </c>
      <c r="P2476" t="s">
        <v>99</v>
      </c>
      <c r="Q2476" t="s">
        <v>159</v>
      </c>
      <c r="R2476" t="s">
        <v>210</v>
      </c>
      <c r="S2476" t="s">
        <v>161</v>
      </c>
      <c r="T2476" t="s">
        <v>211</v>
      </c>
      <c r="U2476" t="s">
        <v>163</v>
      </c>
      <c r="V2476" t="s">
        <v>193</v>
      </c>
      <c r="W2476" t="s">
        <v>116</v>
      </c>
      <c r="X2476" t="s">
        <v>166</v>
      </c>
      <c r="Y2476" t="s">
        <v>1500</v>
      </c>
      <c r="Z2476" t="s">
        <v>434</v>
      </c>
      <c r="AC2476" t="str">
        <f>IF(AA2476="",M2476,AA2476)</f>
        <v>sim</v>
      </c>
      <c r="AD2476" t="str">
        <f>IF(AB2476="",X2476,AB2476)</f>
        <v>não</v>
      </c>
      <c r="AE2476" t="str">
        <f>IF(OR(Configuracao!B9="",Configuracao!B10=""),"aguardando limiar",IF(AND(K2476&gt;=Configuracao!B9,K2476/MAX(Reconciliacao!C2,1)&gt;=Configuracao!B10/100),"sim","não"))</f>
        <v>aguardando limiar</v>
      </c>
    </row>
    <row r="2477" spans="1:31" x14ac:dyDescent="0.25">
      <c r="A2477">
        <v>18063</v>
      </c>
      <c r="D2477" t="s">
        <v>1498</v>
      </c>
      <c r="E2477" t="s">
        <v>474</v>
      </c>
      <c r="F2477" t="s">
        <v>209</v>
      </c>
      <c r="G2477" t="s">
        <v>215</v>
      </c>
      <c r="H2477" t="s">
        <v>214</v>
      </c>
      <c r="I2477" t="s">
        <v>439</v>
      </c>
      <c r="J2477" t="s">
        <v>439</v>
      </c>
      <c r="K2477" s="4">
        <v>11666.66</v>
      </c>
      <c r="L2477" s="4">
        <v>11666.66</v>
      </c>
      <c r="M2477" t="s">
        <v>44</v>
      </c>
      <c r="N2477" t="s">
        <v>77</v>
      </c>
      <c r="O2477" t="s">
        <v>99</v>
      </c>
      <c r="P2477" t="s">
        <v>99</v>
      </c>
      <c r="Q2477" t="s">
        <v>159</v>
      </c>
      <c r="R2477" t="s">
        <v>210</v>
      </c>
      <c r="S2477" t="s">
        <v>161</v>
      </c>
      <c r="T2477" t="s">
        <v>211</v>
      </c>
      <c r="U2477" t="s">
        <v>163</v>
      </c>
      <c r="V2477" t="s">
        <v>193</v>
      </c>
      <c r="W2477" t="s">
        <v>116</v>
      </c>
      <c r="X2477" t="s">
        <v>166</v>
      </c>
      <c r="Y2477" t="s">
        <v>1500</v>
      </c>
      <c r="Z2477" t="s">
        <v>434</v>
      </c>
      <c r="AC2477" t="str">
        <f>IF(AA2477="",M2477,AA2477)</f>
        <v>sim</v>
      </c>
      <c r="AD2477" t="str">
        <f>IF(AB2477="",X2477,AB2477)</f>
        <v>não</v>
      </c>
      <c r="AE2477" t="str">
        <f>IF(OR(Configuracao!B9="",Configuracao!B10=""),"aguardando limiar",IF(AND(K2477&gt;=Configuracao!B9,K2477/MAX(Reconciliacao!C2,1)&gt;=Configuracao!B10/100),"sim","não"))</f>
        <v>aguardando limiar</v>
      </c>
    </row>
    <row r="2478" spans="1:31" x14ac:dyDescent="0.25">
      <c r="A2478">
        <v>19019</v>
      </c>
      <c r="D2478" t="s">
        <v>1498</v>
      </c>
      <c r="E2478" t="s">
        <v>474</v>
      </c>
      <c r="F2478" t="s">
        <v>209</v>
      </c>
      <c r="G2478" t="s">
        <v>215</v>
      </c>
      <c r="H2478" t="s">
        <v>214</v>
      </c>
      <c r="I2478" t="s">
        <v>35</v>
      </c>
      <c r="J2478" t="s">
        <v>35</v>
      </c>
      <c r="K2478" s="4">
        <v>11998.46</v>
      </c>
      <c r="L2478" s="4">
        <v>11998.46</v>
      </c>
      <c r="M2478" t="s">
        <v>44</v>
      </c>
      <c r="N2478" t="s">
        <v>77</v>
      </c>
      <c r="O2478" t="s">
        <v>99</v>
      </c>
      <c r="P2478" t="s">
        <v>99</v>
      </c>
      <c r="Q2478" t="s">
        <v>159</v>
      </c>
      <c r="R2478" t="s">
        <v>210</v>
      </c>
      <c r="S2478" t="s">
        <v>161</v>
      </c>
      <c r="T2478" t="s">
        <v>211</v>
      </c>
      <c r="U2478" t="s">
        <v>163</v>
      </c>
      <c r="V2478" t="s">
        <v>193</v>
      </c>
      <c r="W2478" t="s">
        <v>116</v>
      </c>
      <c r="X2478" t="s">
        <v>166</v>
      </c>
      <c r="Y2478" t="s">
        <v>1500</v>
      </c>
      <c r="Z2478" t="s">
        <v>434</v>
      </c>
      <c r="AC2478" t="str">
        <f>IF(AA2478="",M2478,AA2478)</f>
        <v>sim</v>
      </c>
      <c r="AD2478" t="str">
        <f>IF(AB2478="",X2478,AB2478)</f>
        <v>não</v>
      </c>
      <c r="AE2478" t="str">
        <f>IF(OR(Configuracao!B9="",Configuracao!B10=""),"aguardando limiar",IF(AND(K2478&gt;=Configuracao!B9,K2478/MAX(Reconciliacao!C2,1)&gt;=Configuracao!B10/100),"sim","não"))</f>
        <v>aguardando limiar</v>
      </c>
    </row>
    <row r="2479" spans="1:31" x14ac:dyDescent="0.25">
      <c r="A2479">
        <v>11508</v>
      </c>
      <c r="C2479" t="s">
        <v>1501</v>
      </c>
      <c r="D2479" t="s">
        <v>1280</v>
      </c>
      <c r="E2479" t="s">
        <v>451</v>
      </c>
      <c r="F2479" t="s">
        <v>209</v>
      </c>
      <c r="G2479" t="s">
        <v>340</v>
      </c>
      <c r="H2479" t="s">
        <v>339</v>
      </c>
      <c r="I2479" t="s">
        <v>32</v>
      </c>
      <c r="J2479" t="s">
        <v>32</v>
      </c>
      <c r="K2479" s="4">
        <v>493.24</v>
      </c>
      <c r="L2479" s="4">
        <v>493.24</v>
      </c>
      <c r="M2479" t="s">
        <v>44</v>
      </c>
      <c r="N2479" t="s">
        <v>77</v>
      </c>
      <c r="O2479" t="s">
        <v>99</v>
      </c>
      <c r="P2479" t="s">
        <v>99</v>
      </c>
      <c r="Q2479" t="s">
        <v>159</v>
      </c>
      <c r="R2479" t="s">
        <v>210</v>
      </c>
      <c r="S2479" t="s">
        <v>161</v>
      </c>
      <c r="T2479" t="s">
        <v>211</v>
      </c>
      <c r="U2479" t="s">
        <v>163</v>
      </c>
      <c r="V2479" t="s">
        <v>193</v>
      </c>
      <c r="W2479" t="s">
        <v>116</v>
      </c>
      <c r="X2479" t="s">
        <v>44</v>
      </c>
      <c r="Y2479" t="s">
        <v>99</v>
      </c>
      <c r="Z2479" t="s">
        <v>421</v>
      </c>
      <c r="AC2479" t="str">
        <f>IF(AA2479="",M2479,AA2479)</f>
        <v>sim</v>
      </c>
      <c r="AD2479" t="str">
        <f>IF(AB2479="",X2479,AB2479)</f>
        <v>sim</v>
      </c>
      <c r="AE2479" t="str">
        <f>IF(OR(Configuracao!B9="",Configuracao!B10=""),"aguardando limiar",IF(AND(K2479&gt;=Configuracao!B9,K2479/MAX(Reconciliacao!C2,1)&gt;=Configuracao!B10/100),"sim","não"))</f>
        <v>aguardando limiar</v>
      </c>
    </row>
    <row r="2480" spans="1:31" x14ac:dyDescent="0.25">
      <c r="A2480">
        <v>12125</v>
      </c>
      <c r="C2480" t="s">
        <v>1501</v>
      </c>
      <c r="D2480" t="s">
        <v>1280</v>
      </c>
      <c r="E2480" t="s">
        <v>451</v>
      </c>
      <c r="F2480" t="s">
        <v>209</v>
      </c>
      <c r="G2480" t="s">
        <v>340</v>
      </c>
      <c r="H2480" t="s">
        <v>339</v>
      </c>
      <c r="I2480" t="s">
        <v>424</v>
      </c>
      <c r="J2480" t="s">
        <v>424</v>
      </c>
      <c r="K2480" s="4">
        <v>493.24</v>
      </c>
      <c r="L2480" s="4">
        <v>493.24</v>
      </c>
      <c r="M2480" t="s">
        <v>44</v>
      </c>
      <c r="N2480" t="s">
        <v>77</v>
      </c>
      <c r="O2480" t="s">
        <v>99</v>
      </c>
      <c r="P2480" t="s">
        <v>99</v>
      </c>
      <c r="Q2480" t="s">
        <v>159</v>
      </c>
      <c r="R2480" t="s">
        <v>210</v>
      </c>
      <c r="S2480" t="s">
        <v>161</v>
      </c>
      <c r="T2480" t="s">
        <v>211</v>
      </c>
      <c r="U2480" t="s">
        <v>163</v>
      </c>
      <c r="V2480" t="s">
        <v>193</v>
      </c>
      <c r="W2480" t="s">
        <v>116</v>
      </c>
      <c r="X2480" t="s">
        <v>44</v>
      </c>
      <c r="Y2480" t="s">
        <v>99</v>
      </c>
      <c r="Z2480" t="s">
        <v>421</v>
      </c>
      <c r="AC2480" t="str">
        <f>IF(AA2480="",M2480,AA2480)</f>
        <v>sim</v>
      </c>
      <c r="AD2480" t="str">
        <f>IF(AB2480="",X2480,AB2480)</f>
        <v>sim</v>
      </c>
      <c r="AE2480" t="str">
        <f>IF(OR(Configuracao!B9="",Configuracao!B10=""),"aguardando limiar",IF(AND(K2480&gt;=Configuracao!B9,K2480/MAX(Reconciliacao!C2,1)&gt;=Configuracao!B10/100),"sim","não"))</f>
        <v>aguardando limiar</v>
      </c>
    </row>
    <row r="2481" spans="1:31" x14ac:dyDescent="0.25">
      <c r="A2481">
        <v>12619</v>
      </c>
      <c r="C2481" t="s">
        <v>1501</v>
      </c>
      <c r="D2481" t="s">
        <v>1280</v>
      </c>
      <c r="E2481" t="s">
        <v>451</v>
      </c>
      <c r="F2481" t="s">
        <v>209</v>
      </c>
      <c r="G2481" t="s">
        <v>340</v>
      </c>
      <c r="H2481" t="s">
        <v>339</v>
      </c>
      <c r="I2481" t="s">
        <v>420</v>
      </c>
      <c r="J2481" t="s">
        <v>420</v>
      </c>
      <c r="K2481" s="4">
        <v>493.24</v>
      </c>
      <c r="L2481" s="4">
        <v>493.24</v>
      </c>
      <c r="M2481" t="s">
        <v>44</v>
      </c>
      <c r="N2481" t="s">
        <v>77</v>
      </c>
      <c r="O2481" t="s">
        <v>99</v>
      </c>
      <c r="P2481" t="s">
        <v>99</v>
      </c>
      <c r="Q2481" t="s">
        <v>159</v>
      </c>
      <c r="R2481" t="s">
        <v>210</v>
      </c>
      <c r="S2481" t="s">
        <v>161</v>
      </c>
      <c r="T2481" t="s">
        <v>211</v>
      </c>
      <c r="U2481" t="s">
        <v>163</v>
      </c>
      <c r="V2481" t="s">
        <v>193</v>
      </c>
      <c r="W2481" t="s">
        <v>116</v>
      </c>
      <c r="X2481" t="s">
        <v>44</v>
      </c>
      <c r="Y2481" t="s">
        <v>99</v>
      </c>
      <c r="Z2481" t="s">
        <v>421</v>
      </c>
      <c r="AC2481" t="str">
        <f>IF(AA2481="",M2481,AA2481)</f>
        <v>sim</v>
      </c>
      <c r="AD2481" t="str">
        <f>IF(AB2481="",X2481,AB2481)</f>
        <v>sim</v>
      </c>
      <c r="AE2481" t="str">
        <f>IF(OR(Configuracao!B9="",Configuracao!B10=""),"aguardando limiar",IF(AND(K2481&gt;=Configuracao!B9,K2481/MAX(Reconciliacao!C2,1)&gt;=Configuracao!B10/100),"sim","não"))</f>
        <v>aguardando limiar</v>
      </c>
    </row>
    <row r="2482" spans="1:31" x14ac:dyDescent="0.25">
      <c r="A2482">
        <v>14111</v>
      </c>
      <c r="C2482" t="s">
        <v>1501</v>
      </c>
      <c r="D2482" t="s">
        <v>1280</v>
      </c>
      <c r="E2482" t="s">
        <v>451</v>
      </c>
      <c r="F2482" t="s">
        <v>209</v>
      </c>
      <c r="G2482" t="s">
        <v>340</v>
      </c>
      <c r="H2482" t="s">
        <v>339</v>
      </c>
      <c r="I2482" t="s">
        <v>454</v>
      </c>
      <c r="J2482" t="s">
        <v>454</v>
      </c>
      <c r="K2482" s="4">
        <v>493.24</v>
      </c>
      <c r="L2482" s="4">
        <v>493.24</v>
      </c>
      <c r="M2482" t="s">
        <v>44</v>
      </c>
      <c r="N2482" t="s">
        <v>77</v>
      </c>
      <c r="O2482" t="s">
        <v>99</v>
      </c>
      <c r="P2482" t="s">
        <v>99</v>
      </c>
      <c r="Q2482" t="s">
        <v>159</v>
      </c>
      <c r="R2482" t="s">
        <v>210</v>
      </c>
      <c r="S2482" t="s">
        <v>161</v>
      </c>
      <c r="T2482" t="s">
        <v>211</v>
      </c>
      <c r="U2482" t="s">
        <v>163</v>
      </c>
      <c r="V2482" t="s">
        <v>193</v>
      </c>
      <c r="W2482" t="s">
        <v>116</v>
      </c>
      <c r="X2482" t="s">
        <v>44</v>
      </c>
      <c r="Y2482" t="s">
        <v>99</v>
      </c>
      <c r="Z2482" t="s">
        <v>421</v>
      </c>
      <c r="AC2482" t="str">
        <f>IF(AA2482="",M2482,AA2482)</f>
        <v>sim</v>
      </c>
      <c r="AD2482" t="str">
        <f>IF(AB2482="",X2482,AB2482)</f>
        <v>sim</v>
      </c>
      <c r="AE2482" t="str">
        <f>IF(OR(Configuracao!B9="",Configuracao!B10=""),"aguardando limiar",IF(AND(K2482&gt;=Configuracao!B9,K2482/MAX(Reconciliacao!C2,1)&gt;=Configuracao!B10/100),"sim","não"))</f>
        <v>aguardando limiar</v>
      </c>
    </row>
    <row r="2483" spans="1:31" x14ac:dyDescent="0.25">
      <c r="A2483">
        <v>16272</v>
      </c>
      <c r="C2483" t="s">
        <v>1501</v>
      </c>
      <c r="D2483" t="s">
        <v>1280</v>
      </c>
      <c r="E2483" t="s">
        <v>451</v>
      </c>
      <c r="F2483" t="s">
        <v>209</v>
      </c>
      <c r="G2483" t="s">
        <v>340</v>
      </c>
      <c r="H2483" t="s">
        <v>339</v>
      </c>
      <c r="I2483" t="s">
        <v>461</v>
      </c>
      <c r="J2483" t="s">
        <v>461</v>
      </c>
      <c r="K2483" s="4">
        <v>493.24</v>
      </c>
      <c r="L2483" s="4">
        <v>493.24</v>
      </c>
      <c r="M2483" t="s">
        <v>44</v>
      </c>
      <c r="N2483" t="s">
        <v>77</v>
      </c>
      <c r="O2483" t="s">
        <v>99</v>
      </c>
      <c r="P2483" t="s">
        <v>99</v>
      </c>
      <c r="Q2483" t="s">
        <v>159</v>
      </c>
      <c r="R2483" t="s">
        <v>210</v>
      </c>
      <c r="S2483" t="s">
        <v>161</v>
      </c>
      <c r="T2483" t="s">
        <v>211</v>
      </c>
      <c r="U2483" t="s">
        <v>163</v>
      </c>
      <c r="V2483" t="s">
        <v>193</v>
      </c>
      <c r="W2483" t="s">
        <v>116</v>
      </c>
      <c r="X2483" t="s">
        <v>44</v>
      </c>
      <c r="Y2483" t="s">
        <v>99</v>
      </c>
      <c r="Z2483" t="s">
        <v>421</v>
      </c>
      <c r="AC2483" t="str">
        <f>IF(AA2483="",M2483,AA2483)</f>
        <v>sim</v>
      </c>
      <c r="AD2483" t="str">
        <f>IF(AB2483="",X2483,AB2483)</f>
        <v>sim</v>
      </c>
      <c r="AE2483" t="str">
        <f>IF(OR(Configuracao!B9="",Configuracao!B10=""),"aguardando limiar",IF(AND(K2483&gt;=Configuracao!B9,K2483/MAX(Reconciliacao!C2,1)&gt;=Configuracao!B10/100),"sim","não"))</f>
        <v>aguardando limiar</v>
      </c>
    </row>
    <row r="2484" spans="1:31" x14ac:dyDescent="0.25">
      <c r="A2484">
        <v>16947</v>
      </c>
      <c r="C2484" t="s">
        <v>1501</v>
      </c>
      <c r="D2484" t="s">
        <v>1280</v>
      </c>
      <c r="E2484" t="s">
        <v>451</v>
      </c>
      <c r="F2484" t="s">
        <v>209</v>
      </c>
      <c r="G2484" t="s">
        <v>340</v>
      </c>
      <c r="H2484" t="s">
        <v>339</v>
      </c>
      <c r="I2484" t="s">
        <v>442</v>
      </c>
      <c r="J2484" t="s">
        <v>442</v>
      </c>
      <c r="K2484" s="4">
        <v>639.06</v>
      </c>
      <c r="L2484" s="4">
        <v>639.06</v>
      </c>
      <c r="M2484" t="s">
        <v>44</v>
      </c>
      <c r="N2484" t="s">
        <v>77</v>
      </c>
      <c r="O2484" t="s">
        <v>99</v>
      </c>
      <c r="P2484" t="s">
        <v>99</v>
      </c>
      <c r="Q2484" t="s">
        <v>159</v>
      </c>
      <c r="R2484" t="s">
        <v>210</v>
      </c>
      <c r="S2484" t="s">
        <v>161</v>
      </c>
      <c r="T2484" t="s">
        <v>211</v>
      </c>
      <c r="U2484" t="s">
        <v>163</v>
      </c>
      <c r="V2484" t="s">
        <v>193</v>
      </c>
      <c r="W2484" t="s">
        <v>116</v>
      </c>
      <c r="X2484" t="s">
        <v>44</v>
      </c>
      <c r="Y2484" t="s">
        <v>99</v>
      </c>
      <c r="Z2484" t="s">
        <v>421</v>
      </c>
      <c r="AC2484" t="str">
        <f>IF(AA2484="",M2484,AA2484)</f>
        <v>sim</v>
      </c>
      <c r="AD2484" t="str">
        <f>IF(AB2484="",X2484,AB2484)</f>
        <v>sim</v>
      </c>
      <c r="AE2484" t="str">
        <f>IF(OR(Configuracao!B9="",Configuracao!B10=""),"aguardando limiar",IF(AND(K2484&gt;=Configuracao!B9,K2484/MAX(Reconciliacao!C2,1)&gt;=Configuracao!B10/100),"sim","não"))</f>
        <v>aguardando limiar</v>
      </c>
    </row>
    <row r="2485" spans="1:31" x14ac:dyDescent="0.25">
      <c r="A2485">
        <v>17860</v>
      </c>
      <c r="C2485" t="s">
        <v>1501</v>
      </c>
      <c r="D2485" t="s">
        <v>1280</v>
      </c>
      <c r="E2485" t="s">
        <v>451</v>
      </c>
      <c r="F2485" t="s">
        <v>209</v>
      </c>
      <c r="G2485" t="s">
        <v>340</v>
      </c>
      <c r="H2485" t="s">
        <v>339</v>
      </c>
      <c r="I2485" t="s">
        <v>439</v>
      </c>
      <c r="J2485" t="s">
        <v>439</v>
      </c>
      <c r="K2485" s="4">
        <v>639.06</v>
      </c>
      <c r="L2485" s="4">
        <v>639.06</v>
      </c>
      <c r="M2485" t="s">
        <v>44</v>
      </c>
      <c r="N2485" t="s">
        <v>77</v>
      </c>
      <c r="O2485" t="s">
        <v>99</v>
      </c>
      <c r="P2485" t="s">
        <v>99</v>
      </c>
      <c r="Q2485" t="s">
        <v>159</v>
      </c>
      <c r="R2485" t="s">
        <v>210</v>
      </c>
      <c r="S2485" t="s">
        <v>161</v>
      </c>
      <c r="T2485" t="s">
        <v>211</v>
      </c>
      <c r="U2485" t="s">
        <v>163</v>
      </c>
      <c r="V2485" t="s">
        <v>193</v>
      </c>
      <c r="W2485" t="s">
        <v>116</v>
      </c>
      <c r="X2485" t="s">
        <v>44</v>
      </c>
      <c r="Y2485" t="s">
        <v>99</v>
      </c>
      <c r="Z2485" t="s">
        <v>421</v>
      </c>
      <c r="AC2485" t="str">
        <f>IF(AA2485="",M2485,AA2485)</f>
        <v>sim</v>
      </c>
      <c r="AD2485" t="str">
        <f>IF(AB2485="",X2485,AB2485)</f>
        <v>sim</v>
      </c>
      <c r="AE2485" t="str">
        <f>IF(OR(Configuracao!B9="",Configuracao!B10=""),"aguardando limiar",IF(AND(K2485&gt;=Configuracao!B9,K2485/MAX(Reconciliacao!C2,1)&gt;=Configuracao!B10/100),"sim","não"))</f>
        <v>aguardando limiar</v>
      </c>
    </row>
    <row r="2486" spans="1:31" x14ac:dyDescent="0.25">
      <c r="A2486">
        <v>18650</v>
      </c>
      <c r="D2486" t="s">
        <v>1280</v>
      </c>
      <c r="E2486" t="s">
        <v>451</v>
      </c>
      <c r="F2486" t="s">
        <v>209</v>
      </c>
      <c r="G2486" t="s">
        <v>340</v>
      </c>
      <c r="H2486" t="s">
        <v>339</v>
      </c>
      <c r="I2486" t="s">
        <v>35</v>
      </c>
      <c r="J2486" t="s">
        <v>35</v>
      </c>
      <c r="K2486" s="4">
        <v>639.06</v>
      </c>
      <c r="L2486" s="4">
        <v>639.06</v>
      </c>
      <c r="M2486" t="s">
        <v>44</v>
      </c>
      <c r="N2486" t="s">
        <v>77</v>
      </c>
      <c r="O2486" t="s">
        <v>99</v>
      </c>
      <c r="P2486" t="s">
        <v>99</v>
      </c>
      <c r="Q2486" t="s">
        <v>159</v>
      </c>
      <c r="R2486" t="s">
        <v>210</v>
      </c>
      <c r="S2486" t="s">
        <v>161</v>
      </c>
      <c r="T2486" t="s">
        <v>211</v>
      </c>
      <c r="U2486" t="s">
        <v>163</v>
      </c>
      <c r="V2486" t="s">
        <v>193</v>
      </c>
      <c r="W2486" t="s">
        <v>116</v>
      </c>
      <c r="X2486" t="s">
        <v>44</v>
      </c>
      <c r="Y2486" t="s">
        <v>99</v>
      </c>
      <c r="Z2486" t="s">
        <v>421</v>
      </c>
      <c r="AC2486" t="str">
        <f>IF(AA2486="",M2486,AA2486)</f>
        <v>sim</v>
      </c>
      <c r="AD2486" t="str">
        <f>IF(AB2486="",X2486,AB2486)</f>
        <v>sim</v>
      </c>
      <c r="AE2486" t="str">
        <f>IF(OR(Configuracao!B9="",Configuracao!B10=""),"aguardando limiar",IF(AND(K2486&gt;=Configuracao!B9,K2486/MAX(Reconciliacao!C2,1)&gt;=Configuracao!B10/100),"sim","não"))</f>
        <v>aguardando limiar</v>
      </c>
    </row>
    <row r="2487" spans="1:31" x14ac:dyDescent="0.25">
      <c r="A2487">
        <v>12068</v>
      </c>
      <c r="D2487" t="s">
        <v>1502</v>
      </c>
      <c r="E2487" t="s">
        <v>458</v>
      </c>
      <c r="F2487" t="s">
        <v>232</v>
      </c>
      <c r="G2487" t="s">
        <v>241</v>
      </c>
      <c r="H2487" t="s">
        <v>240</v>
      </c>
      <c r="I2487" t="s">
        <v>424</v>
      </c>
      <c r="J2487" t="s">
        <v>424</v>
      </c>
      <c r="K2487" s="4">
        <v>330</v>
      </c>
      <c r="L2487" s="4">
        <v>330</v>
      </c>
      <c r="M2487" t="s">
        <v>44</v>
      </c>
      <c r="N2487" t="s">
        <v>77</v>
      </c>
      <c r="O2487" t="s">
        <v>99</v>
      </c>
      <c r="P2487" t="s">
        <v>99</v>
      </c>
      <c r="Q2487" t="s">
        <v>159</v>
      </c>
      <c r="R2487" t="s">
        <v>233</v>
      </c>
      <c r="S2487" t="s">
        <v>161</v>
      </c>
      <c r="T2487" t="s">
        <v>162</v>
      </c>
      <c r="U2487" t="s">
        <v>163</v>
      </c>
      <c r="V2487" t="s">
        <v>164</v>
      </c>
      <c r="W2487" t="s">
        <v>116</v>
      </c>
      <c r="X2487" t="s">
        <v>44</v>
      </c>
      <c r="Y2487" t="s">
        <v>99</v>
      </c>
      <c r="Z2487" t="s">
        <v>421</v>
      </c>
      <c r="AC2487" t="str">
        <f>IF(AA2487="",M2487,AA2487)</f>
        <v>sim</v>
      </c>
      <c r="AD2487" t="str">
        <f>IF(AB2487="",X2487,AB2487)</f>
        <v>sim</v>
      </c>
      <c r="AE2487" t="str">
        <f>IF(OR(Configuracao!B9="",Configuracao!B10=""),"aguardando limiar",IF(AND(K2487&gt;=Configuracao!B9,K2487/MAX(Reconciliacao!C2,1)&gt;=Configuracao!B10/100),"sim","não"))</f>
        <v>aguardando limiar</v>
      </c>
    </row>
    <row r="2488" spans="1:31" x14ac:dyDescent="0.25">
      <c r="A2488">
        <v>12818</v>
      </c>
      <c r="C2488" t="s">
        <v>1503</v>
      </c>
      <c r="D2488" t="s">
        <v>1502</v>
      </c>
      <c r="E2488" t="s">
        <v>458</v>
      </c>
      <c r="F2488" t="s">
        <v>232</v>
      </c>
      <c r="G2488" t="s">
        <v>241</v>
      </c>
      <c r="H2488" t="s">
        <v>240</v>
      </c>
      <c r="I2488" t="s">
        <v>420</v>
      </c>
      <c r="J2488" t="s">
        <v>420</v>
      </c>
      <c r="K2488" s="4">
        <v>491.7</v>
      </c>
      <c r="L2488" s="4">
        <v>491.7</v>
      </c>
      <c r="M2488" t="s">
        <v>44</v>
      </c>
      <c r="N2488" t="s">
        <v>77</v>
      </c>
      <c r="O2488" t="s">
        <v>99</v>
      </c>
      <c r="P2488" t="s">
        <v>99</v>
      </c>
      <c r="Q2488" t="s">
        <v>159</v>
      </c>
      <c r="R2488" t="s">
        <v>233</v>
      </c>
      <c r="S2488" t="s">
        <v>161</v>
      </c>
      <c r="T2488" t="s">
        <v>162</v>
      </c>
      <c r="U2488" t="s">
        <v>163</v>
      </c>
      <c r="V2488" t="s">
        <v>164</v>
      </c>
      <c r="W2488" t="s">
        <v>116</v>
      </c>
      <c r="X2488" t="s">
        <v>44</v>
      </c>
      <c r="Y2488" t="s">
        <v>99</v>
      </c>
      <c r="Z2488" t="s">
        <v>421</v>
      </c>
      <c r="AC2488" t="str">
        <f>IF(AA2488="",M2488,AA2488)</f>
        <v>sim</v>
      </c>
      <c r="AD2488" t="str">
        <f>IF(AB2488="",X2488,AB2488)</f>
        <v>sim</v>
      </c>
      <c r="AE2488" t="str">
        <f>IF(OR(Configuracao!B9="",Configuracao!B10=""),"aguardando limiar",IF(AND(K2488&gt;=Configuracao!B9,K2488/MAX(Reconciliacao!C2,1)&gt;=Configuracao!B10/100),"sim","não"))</f>
        <v>aguardando limiar</v>
      </c>
    </row>
    <row r="2489" spans="1:31" x14ac:dyDescent="0.25">
      <c r="A2489">
        <v>11772</v>
      </c>
      <c r="D2489" t="s">
        <v>1502</v>
      </c>
      <c r="E2489" t="s">
        <v>458</v>
      </c>
      <c r="F2489" t="s">
        <v>232</v>
      </c>
      <c r="G2489" t="s">
        <v>241</v>
      </c>
      <c r="H2489" t="s">
        <v>240</v>
      </c>
      <c r="I2489" t="s">
        <v>32</v>
      </c>
      <c r="J2489" t="s">
        <v>32</v>
      </c>
      <c r="K2489" s="4">
        <v>594</v>
      </c>
      <c r="L2489" s="4">
        <v>594</v>
      </c>
      <c r="M2489" t="s">
        <v>44</v>
      </c>
      <c r="N2489" t="s">
        <v>77</v>
      </c>
      <c r="O2489" t="s">
        <v>99</v>
      </c>
      <c r="P2489" t="s">
        <v>99</v>
      </c>
      <c r="Q2489" t="s">
        <v>159</v>
      </c>
      <c r="R2489" t="s">
        <v>233</v>
      </c>
      <c r="S2489" t="s">
        <v>161</v>
      </c>
      <c r="T2489" t="s">
        <v>162</v>
      </c>
      <c r="U2489" t="s">
        <v>163</v>
      </c>
      <c r="V2489" t="s">
        <v>164</v>
      </c>
      <c r="W2489" t="s">
        <v>116</v>
      </c>
      <c r="X2489" t="s">
        <v>44</v>
      </c>
      <c r="Y2489" t="s">
        <v>99</v>
      </c>
      <c r="Z2489" t="s">
        <v>421</v>
      </c>
      <c r="AC2489" t="str">
        <f>IF(AA2489="",M2489,AA2489)</f>
        <v>sim</v>
      </c>
      <c r="AD2489" t="str">
        <f>IF(AB2489="",X2489,AB2489)</f>
        <v>sim</v>
      </c>
      <c r="AE2489" t="str">
        <f>IF(OR(Configuracao!B9="",Configuracao!B10=""),"aguardando limiar",IF(AND(K2489&gt;=Configuracao!B9,K2489/MAX(Reconciliacao!C2,1)&gt;=Configuracao!B10/100),"sim","não"))</f>
        <v>aguardando limiar</v>
      </c>
    </row>
    <row r="2490" spans="1:31" x14ac:dyDescent="0.25">
      <c r="A2490">
        <v>16634</v>
      </c>
      <c r="D2490" t="s">
        <v>1502</v>
      </c>
      <c r="E2490" t="s">
        <v>458</v>
      </c>
      <c r="F2490" t="s">
        <v>232</v>
      </c>
      <c r="G2490" t="s">
        <v>241</v>
      </c>
      <c r="H2490" t="s">
        <v>240</v>
      </c>
      <c r="I2490" t="s">
        <v>461</v>
      </c>
      <c r="J2490" t="s">
        <v>461</v>
      </c>
      <c r="K2490" s="4">
        <v>689.7</v>
      </c>
      <c r="L2490" s="4">
        <v>689.7</v>
      </c>
      <c r="M2490" t="s">
        <v>44</v>
      </c>
      <c r="N2490" t="s">
        <v>77</v>
      </c>
      <c r="O2490" t="s">
        <v>99</v>
      </c>
      <c r="P2490" t="s">
        <v>99</v>
      </c>
      <c r="Q2490" t="s">
        <v>159</v>
      </c>
      <c r="R2490" t="s">
        <v>233</v>
      </c>
      <c r="S2490" t="s">
        <v>161</v>
      </c>
      <c r="T2490" t="s">
        <v>162</v>
      </c>
      <c r="U2490" t="s">
        <v>163</v>
      </c>
      <c r="V2490" t="s">
        <v>164</v>
      </c>
      <c r="W2490" t="s">
        <v>116</v>
      </c>
      <c r="X2490" t="s">
        <v>44</v>
      </c>
      <c r="Y2490" t="s">
        <v>99</v>
      </c>
      <c r="Z2490" t="s">
        <v>421</v>
      </c>
      <c r="AC2490" t="str">
        <f>IF(AA2490="",M2490,AA2490)</f>
        <v>sim</v>
      </c>
      <c r="AD2490" t="str">
        <f>IF(AB2490="",X2490,AB2490)</f>
        <v>sim</v>
      </c>
      <c r="AE2490" t="str">
        <f>IF(OR(Configuracao!B9="",Configuracao!B10=""),"aguardando limiar",IF(AND(K2490&gt;=Configuracao!B9,K2490/MAX(Reconciliacao!C2,1)&gt;=Configuracao!B10/100),"sim","não"))</f>
        <v>aguardando limiar</v>
      </c>
    </row>
    <row r="2491" spans="1:31" x14ac:dyDescent="0.25">
      <c r="A2491">
        <v>13026</v>
      </c>
      <c r="D2491" t="s">
        <v>1502</v>
      </c>
      <c r="E2491" t="s">
        <v>458</v>
      </c>
      <c r="F2491" t="s">
        <v>232</v>
      </c>
      <c r="G2491" t="s">
        <v>241</v>
      </c>
      <c r="H2491" t="s">
        <v>240</v>
      </c>
      <c r="I2491" t="s">
        <v>420</v>
      </c>
      <c r="J2491" t="s">
        <v>420</v>
      </c>
      <c r="K2491" s="4">
        <v>726</v>
      </c>
      <c r="L2491" s="4">
        <v>726</v>
      </c>
      <c r="M2491" t="s">
        <v>44</v>
      </c>
      <c r="N2491" t="s">
        <v>77</v>
      </c>
      <c r="O2491" t="s">
        <v>99</v>
      </c>
      <c r="P2491" t="s">
        <v>99</v>
      </c>
      <c r="Q2491" t="s">
        <v>159</v>
      </c>
      <c r="R2491" t="s">
        <v>233</v>
      </c>
      <c r="S2491" t="s">
        <v>161</v>
      </c>
      <c r="T2491" t="s">
        <v>162</v>
      </c>
      <c r="U2491" t="s">
        <v>163</v>
      </c>
      <c r="V2491" t="s">
        <v>164</v>
      </c>
      <c r="W2491" t="s">
        <v>116</v>
      </c>
      <c r="X2491" t="s">
        <v>44</v>
      </c>
      <c r="Y2491" t="s">
        <v>99</v>
      </c>
      <c r="Z2491" t="s">
        <v>421</v>
      </c>
      <c r="AC2491" t="str">
        <f>IF(AA2491="",M2491,AA2491)</f>
        <v>sim</v>
      </c>
      <c r="AD2491" t="str">
        <f>IF(AB2491="",X2491,AB2491)</f>
        <v>sim</v>
      </c>
      <c r="AE2491" t="str">
        <f>IF(OR(Configuracao!B9="",Configuracao!B10=""),"aguardando limiar",IF(AND(K2491&gt;=Configuracao!B9,K2491/MAX(Reconciliacao!C2,1)&gt;=Configuracao!B10/100),"sim","não"))</f>
        <v>aguardando limiar</v>
      </c>
    </row>
    <row r="2492" spans="1:31" x14ac:dyDescent="0.25">
      <c r="A2492">
        <v>15793</v>
      </c>
      <c r="D2492" t="s">
        <v>1502</v>
      </c>
      <c r="E2492" t="s">
        <v>458</v>
      </c>
      <c r="F2492" t="s">
        <v>232</v>
      </c>
      <c r="G2492" t="s">
        <v>241</v>
      </c>
      <c r="H2492" t="s">
        <v>240</v>
      </c>
      <c r="I2492" t="s">
        <v>454</v>
      </c>
      <c r="J2492" t="s">
        <v>454</v>
      </c>
      <c r="K2492" s="4">
        <v>726</v>
      </c>
      <c r="L2492" s="4">
        <v>726</v>
      </c>
      <c r="M2492" t="s">
        <v>44</v>
      </c>
      <c r="N2492" t="s">
        <v>77</v>
      </c>
      <c r="O2492" t="s">
        <v>99</v>
      </c>
      <c r="P2492" t="s">
        <v>99</v>
      </c>
      <c r="Q2492" t="s">
        <v>159</v>
      </c>
      <c r="R2492" t="s">
        <v>233</v>
      </c>
      <c r="S2492" t="s">
        <v>161</v>
      </c>
      <c r="T2492" t="s">
        <v>162</v>
      </c>
      <c r="U2492" t="s">
        <v>163</v>
      </c>
      <c r="V2492" t="s">
        <v>164</v>
      </c>
      <c r="W2492" t="s">
        <v>116</v>
      </c>
      <c r="X2492" t="s">
        <v>44</v>
      </c>
      <c r="Y2492" t="s">
        <v>99</v>
      </c>
      <c r="Z2492" t="s">
        <v>421</v>
      </c>
      <c r="AC2492" t="str">
        <f>IF(AA2492="",M2492,AA2492)</f>
        <v>sim</v>
      </c>
      <c r="AD2492" t="str">
        <f>IF(AB2492="",X2492,AB2492)</f>
        <v>sim</v>
      </c>
      <c r="AE2492" t="str">
        <f>IF(OR(Configuracao!B9="",Configuracao!B10=""),"aguardando limiar",IF(AND(K2492&gt;=Configuracao!B9,K2492/MAX(Reconciliacao!C2,1)&gt;=Configuracao!B10/100),"sim","não"))</f>
        <v>aguardando limiar</v>
      </c>
    </row>
    <row r="2493" spans="1:31" x14ac:dyDescent="0.25">
      <c r="A2493">
        <v>19187</v>
      </c>
      <c r="D2493" t="s">
        <v>1502</v>
      </c>
      <c r="E2493" t="s">
        <v>458</v>
      </c>
      <c r="F2493" t="s">
        <v>232</v>
      </c>
      <c r="G2493" t="s">
        <v>241</v>
      </c>
      <c r="H2493" t="s">
        <v>240</v>
      </c>
      <c r="I2493" t="s">
        <v>35</v>
      </c>
      <c r="J2493" t="s">
        <v>35</v>
      </c>
      <c r="K2493" s="4">
        <v>726</v>
      </c>
      <c r="L2493" s="4">
        <v>726</v>
      </c>
      <c r="M2493" t="s">
        <v>44</v>
      </c>
      <c r="N2493" t="s">
        <v>77</v>
      </c>
      <c r="O2493" t="s">
        <v>99</v>
      </c>
      <c r="P2493" t="s">
        <v>99</v>
      </c>
      <c r="Q2493" t="s">
        <v>159</v>
      </c>
      <c r="R2493" t="s">
        <v>233</v>
      </c>
      <c r="S2493" t="s">
        <v>161</v>
      </c>
      <c r="T2493" t="s">
        <v>162</v>
      </c>
      <c r="U2493" t="s">
        <v>163</v>
      </c>
      <c r="V2493" t="s">
        <v>164</v>
      </c>
      <c r="W2493" t="s">
        <v>116</v>
      </c>
      <c r="X2493" t="s">
        <v>44</v>
      </c>
      <c r="Y2493" t="s">
        <v>99</v>
      </c>
      <c r="Z2493" t="s">
        <v>421</v>
      </c>
      <c r="AC2493" t="str">
        <f>IF(AA2493="",M2493,AA2493)</f>
        <v>sim</v>
      </c>
      <c r="AD2493" t="str">
        <f>IF(AB2493="",X2493,AB2493)</f>
        <v>sim</v>
      </c>
      <c r="AE2493" t="str">
        <f>IF(OR(Configuracao!B9="",Configuracao!B10=""),"aguardando limiar",IF(AND(K2493&gt;=Configuracao!B9,K2493/MAX(Reconciliacao!C2,1)&gt;=Configuracao!B10/100),"sim","não"))</f>
        <v>aguardando limiar</v>
      </c>
    </row>
    <row r="2494" spans="1:31" x14ac:dyDescent="0.25">
      <c r="A2494">
        <v>18554</v>
      </c>
      <c r="D2494" t="s">
        <v>1502</v>
      </c>
      <c r="E2494" t="s">
        <v>458</v>
      </c>
      <c r="F2494" t="s">
        <v>232</v>
      </c>
      <c r="G2494" t="s">
        <v>241</v>
      </c>
      <c r="H2494" t="s">
        <v>240</v>
      </c>
      <c r="I2494" t="s">
        <v>439</v>
      </c>
      <c r="J2494" t="s">
        <v>439</v>
      </c>
      <c r="K2494" s="4">
        <v>762.3</v>
      </c>
      <c r="L2494" s="4">
        <v>762.3</v>
      </c>
      <c r="M2494" t="s">
        <v>44</v>
      </c>
      <c r="N2494" t="s">
        <v>77</v>
      </c>
      <c r="O2494" t="s">
        <v>99</v>
      </c>
      <c r="P2494" t="s">
        <v>99</v>
      </c>
      <c r="Q2494" t="s">
        <v>159</v>
      </c>
      <c r="R2494" t="s">
        <v>233</v>
      </c>
      <c r="S2494" t="s">
        <v>161</v>
      </c>
      <c r="T2494" t="s">
        <v>162</v>
      </c>
      <c r="U2494" t="s">
        <v>163</v>
      </c>
      <c r="V2494" t="s">
        <v>164</v>
      </c>
      <c r="W2494" t="s">
        <v>116</v>
      </c>
      <c r="X2494" t="s">
        <v>44</v>
      </c>
      <c r="Y2494" t="s">
        <v>99</v>
      </c>
      <c r="Z2494" t="s">
        <v>421</v>
      </c>
      <c r="AC2494" t="str">
        <f>IF(AA2494="",M2494,AA2494)</f>
        <v>sim</v>
      </c>
      <c r="AD2494" t="str">
        <f>IF(AB2494="",X2494,AB2494)</f>
        <v>sim</v>
      </c>
      <c r="AE2494" t="str">
        <f>IF(OR(Configuracao!B9="",Configuracao!B10=""),"aguardando limiar",IF(AND(K2494&gt;=Configuracao!B9,K2494/MAX(Reconciliacao!C2,1)&gt;=Configuracao!B10/100),"sim","não"))</f>
        <v>aguardando limiar</v>
      </c>
    </row>
    <row r="2495" spans="1:31" x14ac:dyDescent="0.25">
      <c r="A2495">
        <v>17582</v>
      </c>
      <c r="D2495" t="s">
        <v>1502</v>
      </c>
      <c r="E2495" t="s">
        <v>458</v>
      </c>
      <c r="F2495" t="s">
        <v>232</v>
      </c>
      <c r="G2495" t="s">
        <v>241</v>
      </c>
      <c r="H2495" t="s">
        <v>240</v>
      </c>
      <c r="I2495" t="s">
        <v>442</v>
      </c>
      <c r="J2495" t="s">
        <v>442</v>
      </c>
      <c r="K2495" s="4">
        <v>798.6</v>
      </c>
      <c r="L2495" s="4">
        <v>798.6</v>
      </c>
      <c r="M2495" t="s">
        <v>44</v>
      </c>
      <c r="N2495" t="s">
        <v>77</v>
      </c>
      <c r="O2495" t="s">
        <v>99</v>
      </c>
      <c r="P2495" t="s">
        <v>99</v>
      </c>
      <c r="Q2495" t="s">
        <v>159</v>
      </c>
      <c r="R2495" t="s">
        <v>233</v>
      </c>
      <c r="S2495" t="s">
        <v>161</v>
      </c>
      <c r="T2495" t="s">
        <v>162</v>
      </c>
      <c r="U2495" t="s">
        <v>163</v>
      </c>
      <c r="V2495" t="s">
        <v>164</v>
      </c>
      <c r="W2495" t="s">
        <v>116</v>
      </c>
      <c r="X2495" t="s">
        <v>44</v>
      </c>
      <c r="Y2495" t="s">
        <v>99</v>
      </c>
      <c r="Z2495" t="s">
        <v>421</v>
      </c>
      <c r="AC2495" t="str">
        <f>IF(AA2495="",M2495,AA2495)</f>
        <v>sim</v>
      </c>
      <c r="AD2495" t="str">
        <f>IF(AB2495="",X2495,AB2495)</f>
        <v>sim</v>
      </c>
      <c r="AE2495" t="str">
        <f>IF(OR(Configuracao!B9="",Configuracao!B10=""),"aguardando limiar",IF(AND(K2495&gt;=Configuracao!B9,K2495/MAX(Reconciliacao!C2,1)&gt;=Configuracao!B10/100),"sim","não"))</f>
        <v>aguardando limiar</v>
      </c>
    </row>
    <row r="2496" spans="1:31" x14ac:dyDescent="0.25">
      <c r="A2496">
        <v>16633</v>
      </c>
      <c r="D2496" t="s">
        <v>1502</v>
      </c>
      <c r="E2496" t="s">
        <v>451</v>
      </c>
      <c r="F2496" t="s">
        <v>232</v>
      </c>
      <c r="G2496" t="s">
        <v>241</v>
      </c>
      <c r="H2496" t="s">
        <v>240</v>
      </c>
      <c r="I2496" t="s">
        <v>461</v>
      </c>
      <c r="J2496" t="s">
        <v>461</v>
      </c>
      <c r="K2496" s="4">
        <v>871.2</v>
      </c>
      <c r="L2496" s="4">
        <v>871.2</v>
      </c>
      <c r="M2496" t="s">
        <v>44</v>
      </c>
      <c r="N2496" t="s">
        <v>77</v>
      </c>
      <c r="O2496" t="s">
        <v>99</v>
      </c>
      <c r="P2496" t="s">
        <v>99</v>
      </c>
      <c r="Q2496" t="s">
        <v>159</v>
      </c>
      <c r="R2496" t="s">
        <v>233</v>
      </c>
      <c r="S2496" t="s">
        <v>161</v>
      </c>
      <c r="T2496" t="s">
        <v>162</v>
      </c>
      <c r="U2496" t="s">
        <v>163</v>
      </c>
      <c r="V2496" t="s">
        <v>164</v>
      </c>
      <c r="W2496" t="s">
        <v>116</v>
      </c>
      <c r="X2496" t="s">
        <v>44</v>
      </c>
      <c r="Y2496" t="s">
        <v>99</v>
      </c>
      <c r="Z2496" t="s">
        <v>421</v>
      </c>
      <c r="AC2496" t="str">
        <f>IF(AA2496="",M2496,AA2496)</f>
        <v>sim</v>
      </c>
      <c r="AD2496" t="str">
        <f>IF(AB2496="",X2496,AB2496)</f>
        <v>sim</v>
      </c>
      <c r="AE2496" t="str">
        <f>IF(OR(Configuracao!B9="",Configuracao!B10=""),"aguardando limiar",IF(AND(K2496&gt;=Configuracao!B9,K2496/MAX(Reconciliacao!C2,1)&gt;=Configuracao!B10/100),"sim","não"))</f>
        <v>aguardando limiar</v>
      </c>
    </row>
    <row r="2497" spans="1:31" x14ac:dyDescent="0.25">
      <c r="A2497">
        <v>12816</v>
      </c>
      <c r="C2497" t="s">
        <v>1503</v>
      </c>
      <c r="D2497" t="s">
        <v>1502</v>
      </c>
      <c r="E2497" t="s">
        <v>1138</v>
      </c>
      <c r="F2497" t="s">
        <v>232</v>
      </c>
      <c r="G2497" t="s">
        <v>241</v>
      </c>
      <c r="H2497" t="s">
        <v>240</v>
      </c>
      <c r="I2497" t="s">
        <v>420</v>
      </c>
      <c r="J2497" t="s">
        <v>420</v>
      </c>
      <c r="K2497" s="4">
        <v>920.7</v>
      </c>
      <c r="L2497" s="4">
        <v>920.7</v>
      </c>
      <c r="M2497" t="s">
        <v>44</v>
      </c>
      <c r="N2497" t="s">
        <v>77</v>
      </c>
      <c r="O2497" t="s">
        <v>99</v>
      </c>
      <c r="P2497" t="s">
        <v>99</v>
      </c>
      <c r="Q2497" t="s">
        <v>159</v>
      </c>
      <c r="R2497" t="s">
        <v>233</v>
      </c>
      <c r="S2497" t="s">
        <v>161</v>
      </c>
      <c r="T2497" t="s">
        <v>162</v>
      </c>
      <c r="U2497" t="s">
        <v>163</v>
      </c>
      <c r="V2497" t="s">
        <v>164</v>
      </c>
      <c r="W2497" t="s">
        <v>116</v>
      </c>
      <c r="X2497" t="s">
        <v>44</v>
      </c>
      <c r="Y2497" t="s">
        <v>99</v>
      </c>
      <c r="Z2497" t="s">
        <v>421</v>
      </c>
      <c r="AC2497" t="str">
        <f>IF(AA2497="",M2497,AA2497)</f>
        <v>sim</v>
      </c>
      <c r="AD2497" t="str">
        <f>IF(AB2497="",X2497,AB2497)</f>
        <v>sim</v>
      </c>
      <c r="AE2497" t="str">
        <f>IF(OR(Configuracao!B9="",Configuracao!B10=""),"aguardando limiar",IF(AND(K2497&gt;=Configuracao!B9,K2497/MAX(Reconciliacao!C2,1)&gt;=Configuracao!B10/100),"sim","não"))</f>
        <v>aguardando limiar</v>
      </c>
    </row>
    <row r="2498" spans="1:31" x14ac:dyDescent="0.25">
      <c r="A2498">
        <v>12817</v>
      </c>
      <c r="C2498" t="s">
        <v>1503</v>
      </c>
      <c r="D2498" t="s">
        <v>1502</v>
      </c>
      <c r="E2498" t="s">
        <v>451</v>
      </c>
      <c r="F2498" t="s">
        <v>232</v>
      </c>
      <c r="G2498" t="s">
        <v>241</v>
      </c>
      <c r="H2498" t="s">
        <v>240</v>
      </c>
      <c r="I2498" t="s">
        <v>420</v>
      </c>
      <c r="J2498" t="s">
        <v>420</v>
      </c>
      <c r="K2498" s="4">
        <v>1013.1</v>
      </c>
      <c r="L2498" s="4">
        <v>1013.1</v>
      </c>
      <c r="M2498" t="s">
        <v>44</v>
      </c>
      <c r="N2498" t="s">
        <v>77</v>
      </c>
      <c r="O2498" t="s">
        <v>99</v>
      </c>
      <c r="P2498" t="s">
        <v>99</v>
      </c>
      <c r="Q2498" t="s">
        <v>159</v>
      </c>
      <c r="R2498" t="s">
        <v>233</v>
      </c>
      <c r="S2498" t="s">
        <v>161</v>
      </c>
      <c r="T2498" t="s">
        <v>162</v>
      </c>
      <c r="U2498" t="s">
        <v>163</v>
      </c>
      <c r="V2498" t="s">
        <v>164</v>
      </c>
      <c r="W2498" t="s">
        <v>116</v>
      </c>
      <c r="X2498" t="s">
        <v>44</v>
      </c>
      <c r="Y2498" t="s">
        <v>99</v>
      </c>
      <c r="Z2498" t="s">
        <v>421</v>
      </c>
      <c r="AC2498" t="str">
        <f>IF(AA2498="",M2498,AA2498)</f>
        <v>sim</v>
      </c>
      <c r="AD2498" t="str">
        <f>IF(AB2498="",X2498,AB2498)</f>
        <v>sim</v>
      </c>
      <c r="AE2498" t="str">
        <f>IF(OR(Configuracao!B9="",Configuracao!B10=""),"aguardando limiar",IF(AND(K2498&gt;=Configuracao!B9,K2498/MAX(Reconciliacao!C2,1)&gt;=Configuracao!B10/100),"sim","não"))</f>
        <v>aguardando limiar</v>
      </c>
    </row>
    <row r="2499" spans="1:31" x14ac:dyDescent="0.25">
      <c r="A2499">
        <v>11771</v>
      </c>
      <c r="D2499" t="s">
        <v>1502</v>
      </c>
      <c r="E2499" t="s">
        <v>451</v>
      </c>
      <c r="F2499" t="s">
        <v>232</v>
      </c>
      <c r="G2499" t="s">
        <v>241</v>
      </c>
      <c r="H2499" t="s">
        <v>240</v>
      </c>
      <c r="I2499" t="s">
        <v>32</v>
      </c>
      <c r="J2499" t="s">
        <v>32</v>
      </c>
      <c r="K2499" s="4">
        <v>1188</v>
      </c>
      <c r="L2499" s="4">
        <v>1188</v>
      </c>
      <c r="M2499" t="s">
        <v>44</v>
      </c>
      <c r="N2499" t="s">
        <v>77</v>
      </c>
      <c r="O2499" t="s">
        <v>99</v>
      </c>
      <c r="P2499" t="s">
        <v>99</v>
      </c>
      <c r="Q2499" t="s">
        <v>159</v>
      </c>
      <c r="R2499" t="s">
        <v>233</v>
      </c>
      <c r="S2499" t="s">
        <v>161</v>
      </c>
      <c r="T2499" t="s">
        <v>162</v>
      </c>
      <c r="U2499" t="s">
        <v>163</v>
      </c>
      <c r="V2499" t="s">
        <v>164</v>
      </c>
      <c r="W2499" t="s">
        <v>116</v>
      </c>
      <c r="X2499" t="s">
        <v>44</v>
      </c>
      <c r="Y2499" t="s">
        <v>99</v>
      </c>
      <c r="Z2499" t="s">
        <v>421</v>
      </c>
      <c r="AC2499" t="str">
        <f>IF(AA2499="",M2499,AA2499)</f>
        <v>sim</v>
      </c>
      <c r="AD2499" t="str">
        <f>IF(AB2499="",X2499,AB2499)</f>
        <v>sim</v>
      </c>
      <c r="AE2499" t="str">
        <f>IF(OR(Configuracao!B9="",Configuracao!B10=""),"aguardando limiar",IF(AND(K2499&gt;=Configuracao!B9,K2499/MAX(Reconciliacao!C2,1)&gt;=Configuracao!B10/100),"sim","não"))</f>
        <v>aguardando limiar</v>
      </c>
    </row>
    <row r="2500" spans="1:31" x14ac:dyDescent="0.25">
      <c r="A2500">
        <v>11773</v>
      </c>
      <c r="D2500" t="s">
        <v>1502</v>
      </c>
      <c r="E2500" t="s">
        <v>1138</v>
      </c>
      <c r="F2500" t="s">
        <v>232</v>
      </c>
      <c r="G2500" t="s">
        <v>241</v>
      </c>
      <c r="H2500" t="s">
        <v>240</v>
      </c>
      <c r="I2500" t="s">
        <v>32</v>
      </c>
      <c r="J2500" t="s">
        <v>32</v>
      </c>
      <c r="K2500" s="4">
        <v>1188</v>
      </c>
      <c r="L2500" s="4">
        <v>1188</v>
      </c>
      <c r="M2500" t="s">
        <v>44</v>
      </c>
      <c r="N2500" t="s">
        <v>77</v>
      </c>
      <c r="O2500" t="s">
        <v>99</v>
      </c>
      <c r="P2500" t="s">
        <v>99</v>
      </c>
      <c r="Q2500" t="s">
        <v>159</v>
      </c>
      <c r="R2500" t="s">
        <v>233</v>
      </c>
      <c r="S2500" t="s">
        <v>161</v>
      </c>
      <c r="T2500" t="s">
        <v>162</v>
      </c>
      <c r="U2500" t="s">
        <v>163</v>
      </c>
      <c r="V2500" t="s">
        <v>164</v>
      </c>
      <c r="W2500" t="s">
        <v>116</v>
      </c>
      <c r="X2500" t="s">
        <v>44</v>
      </c>
      <c r="Y2500" t="s">
        <v>99</v>
      </c>
      <c r="Z2500" t="s">
        <v>421</v>
      </c>
      <c r="AC2500" t="str">
        <f>IF(AA2500="",M2500,AA2500)</f>
        <v>sim</v>
      </c>
      <c r="AD2500" t="str">
        <f>IF(AB2500="",X2500,AB2500)</f>
        <v>sim</v>
      </c>
      <c r="AE2500" t="str">
        <f>IF(OR(Configuracao!B9="",Configuracao!B10=""),"aguardando limiar",IF(AND(K2500&gt;=Configuracao!B9,K2500/MAX(Reconciliacao!C2,1)&gt;=Configuracao!B10/100),"sim","não"))</f>
        <v>aguardando limiar</v>
      </c>
    </row>
    <row r="2501" spans="1:31" x14ac:dyDescent="0.25">
      <c r="A2501">
        <v>13025</v>
      </c>
      <c r="D2501" t="s">
        <v>1502</v>
      </c>
      <c r="E2501" t="s">
        <v>451</v>
      </c>
      <c r="F2501" t="s">
        <v>232</v>
      </c>
      <c r="G2501" t="s">
        <v>241</v>
      </c>
      <c r="H2501" t="s">
        <v>240</v>
      </c>
      <c r="I2501" t="s">
        <v>420</v>
      </c>
      <c r="J2501" t="s">
        <v>420</v>
      </c>
      <c r="K2501" s="4">
        <v>1197.9</v>
      </c>
      <c r="L2501" s="4">
        <v>1197.9</v>
      </c>
      <c r="M2501" t="s">
        <v>44</v>
      </c>
      <c r="N2501" t="s">
        <v>77</v>
      </c>
      <c r="O2501" t="s">
        <v>99</v>
      </c>
      <c r="P2501" t="s">
        <v>99</v>
      </c>
      <c r="Q2501" t="s">
        <v>159</v>
      </c>
      <c r="R2501" t="s">
        <v>233</v>
      </c>
      <c r="S2501" t="s">
        <v>161</v>
      </c>
      <c r="T2501" t="s">
        <v>162</v>
      </c>
      <c r="U2501" t="s">
        <v>163</v>
      </c>
      <c r="V2501" t="s">
        <v>164</v>
      </c>
      <c r="W2501" t="s">
        <v>116</v>
      </c>
      <c r="X2501" t="s">
        <v>44</v>
      </c>
      <c r="Y2501" t="s">
        <v>99</v>
      </c>
      <c r="Z2501" t="s">
        <v>421</v>
      </c>
      <c r="AC2501" t="str">
        <f>IF(AA2501="",M2501,AA2501)</f>
        <v>sim</v>
      </c>
      <c r="AD2501" t="str">
        <f>IF(AB2501="",X2501,AB2501)</f>
        <v>sim</v>
      </c>
      <c r="AE2501" t="str">
        <f>IF(OR(Configuracao!B9="",Configuracao!B10=""),"aguardando limiar",IF(AND(K2501&gt;=Configuracao!B9,K2501/MAX(Reconciliacao!C2,1)&gt;=Configuracao!B10/100),"sim","não"))</f>
        <v>aguardando limiar</v>
      </c>
    </row>
    <row r="2502" spans="1:31" x14ac:dyDescent="0.25">
      <c r="A2502">
        <v>13027</v>
      </c>
      <c r="D2502" t="s">
        <v>1502</v>
      </c>
      <c r="E2502" t="s">
        <v>1138</v>
      </c>
      <c r="F2502" t="s">
        <v>232</v>
      </c>
      <c r="G2502" t="s">
        <v>241</v>
      </c>
      <c r="H2502" t="s">
        <v>240</v>
      </c>
      <c r="I2502" t="s">
        <v>420</v>
      </c>
      <c r="J2502" t="s">
        <v>420</v>
      </c>
      <c r="K2502" s="4">
        <v>1306.8</v>
      </c>
      <c r="L2502" s="4">
        <v>1306.8</v>
      </c>
      <c r="M2502" t="s">
        <v>44</v>
      </c>
      <c r="N2502" t="s">
        <v>77</v>
      </c>
      <c r="O2502" t="s">
        <v>99</v>
      </c>
      <c r="P2502" t="s">
        <v>99</v>
      </c>
      <c r="Q2502" t="s">
        <v>159</v>
      </c>
      <c r="R2502" t="s">
        <v>233</v>
      </c>
      <c r="S2502" t="s">
        <v>161</v>
      </c>
      <c r="T2502" t="s">
        <v>162</v>
      </c>
      <c r="U2502" t="s">
        <v>163</v>
      </c>
      <c r="V2502" t="s">
        <v>164</v>
      </c>
      <c r="W2502" t="s">
        <v>116</v>
      </c>
      <c r="X2502" t="s">
        <v>44</v>
      </c>
      <c r="Y2502" t="s">
        <v>99</v>
      </c>
      <c r="Z2502" t="s">
        <v>421</v>
      </c>
      <c r="AC2502" t="str">
        <f>IF(AA2502="",M2502,AA2502)</f>
        <v>sim</v>
      </c>
      <c r="AD2502" t="str">
        <f>IF(AB2502="",X2502,AB2502)</f>
        <v>sim</v>
      </c>
      <c r="AE2502" t="str">
        <f>IF(OR(Configuracao!B9="",Configuracao!B10=""),"aguardando limiar",IF(AND(K2502&gt;=Configuracao!B9,K2502/MAX(Reconciliacao!C2,1)&gt;=Configuracao!B10/100),"sim","não"))</f>
        <v>aguardando limiar</v>
      </c>
    </row>
    <row r="2503" spans="1:31" x14ac:dyDescent="0.25">
      <c r="A2503">
        <v>18553</v>
      </c>
      <c r="D2503" t="s">
        <v>1502</v>
      </c>
      <c r="E2503" t="s">
        <v>451</v>
      </c>
      <c r="F2503" t="s">
        <v>232</v>
      </c>
      <c r="G2503" t="s">
        <v>241</v>
      </c>
      <c r="H2503" t="s">
        <v>240</v>
      </c>
      <c r="I2503" t="s">
        <v>439</v>
      </c>
      <c r="J2503" t="s">
        <v>439</v>
      </c>
      <c r="K2503" s="4">
        <v>1343.1</v>
      </c>
      <c r="L2503" s="4">
        <v>1343.1</v>
      </c>
      <c r="M2503" t="s">
        <v>44</v>
      </c>
      <c r="N2503" t="s">
        <v>77</v>
      </c>
      <c r="O2503" t="s">
        <v>99</v>
      </c>
      <c r="P2503" t="s">
        <v>99</v>
      </c>
      <c r="Q2503" t="s">
        <v>159</v>
      </c>
      <c r="R2503" t="s">
        <v>233</v>
      </c>
      <c r="S2503" t="s">
        <v>161</v>
      </c>
      <c r="T2503" t="s">
        <v>162</v>
      </c>
      <c r="U2503" t="s">
        <v>163</v>
      </c>
      <c r="V2503" t="s">
        <v>164</v>
      </c>
      <c r="W2503" t="s">
        <v>116</v>
      </c>
      <c r="X2503" t="s">
        <v>44</v>
      </c>
      <c r="Y2503" t="s">
        <v>99</v>
      </c>
      <c r="Z2503" t="s">
        <v>421</v>
      </c>
      <c r="AC2503" t="str">
        <f>IF(AA2503="",M2503,AA2503)</f>
        <v>sim</v>
      </c>
      <c r="AD2503" t="str">
        <f>IF(AB2503="",X2503,AB2503)</f>
        <v>sim</v>
      </c>
      <c r="AE2503" t="str">
        <f>IF(OR(Configuracao!B9="",Configuracao!B10=""),"aguardando limiar",IF(AND(K2503&gt;=Configuracao!B9,K2503/MAX(Reconciliacao!C2,1)&gt;=Configuracao!B10/100),"sim","não"))</f>
        <v>aguardando limiar</v>
      </c>
    </row>
    <row r="2504" spans="1:31" x14ac:dyDescent="0.25">
      <c r="A2504">
        <v>15792</v>
      </c>
      <c r="D2504" t="s">
        <v>1502</v>
      </c>
      <c r="E2504" t="s">
        <v>451</v>
      </c>
      <c r="F2504" t="s">
        <v>232</v>
      </c>
      <c r="G2504" t="s">
        <v>241</v>
      </c>
      <c r="H2504" t="s">
        <v>240</v>
      </c>
      <c r="I2504" t="s">
        <v>454</v>
      </c>
      <c r="J2504" t="s">
        <v>454</v>
      </c>
      <c r="K2504" s="4">
        <v>1379.4</v>
      </c>
      <c r="L2504" s="4">
        <v>1379.4</v>
      </c>
      <c r="M2504" t="s">
        <v>44</v>
      </c>
      <c r="N2504" t="s">
        <v>77</v>
      </c>
      <c r="O2504" t="s">
        <v>99</v>
      </c>
      <c r="P2504" t="s">
        <v>99</v>
      </c>
      <c r="Q2504" t="s">
        <v>159</v>
      </c>
      <c r="R2504" t="s">
        <v>233</v>
      </c>
      <c r="S2504" t="s">
        <v>161</v>
      </c>
      <c r="T2504" t="s">
        <v>162</v>
      </c>
      <c r="U2504" t="s">
        <v>163</v>
      </c>
      <c r="V2504" t="s">
        <v>164</v>
      </c>
      <c r="W2504" t="s">
        <v>116</v>
      </c>
      <c r="X2504" t="s">
        <v>44</v>
      </c>
      <c r="Y2504" t="s">
        <v>99</v>
      </c>
      <c r="Z2504" t="s">
        <v>421</v>
      </c>
      <c r="AC2504" t="str">
        <f>IF(AA2504="",M2504,AA2504)</f>
        <v>sim</v>
      </c>
      <c r="AD2504" t="str">
        <f>IF(AB2504="",X2504,AB2504)</f>
        <v>sim</v>
      </c>
      <c r="AE2504" t="str">
        <f>IF(OR(Configuracao!B9="",Configuracao!B10=""),"aguardando limiar",IF(AND(K2504&gt;=Configuracao!B9,K2504/MAX(Reconciliacao!C2,1)&gt;=Configuracao!B10/100),"sim","não"))</f>
        <v>aguardando limiar</v>
      </c>
    </row>
    <row r="2505" spans="1:31" x14ac:dyDescent="0.25">
      <c r="A2505">
        <v>16635</v>
      </c>
      <c r="D2505" t="s">
        <v>1502</v>
      </c>
      <c r="E2505" t="s">
        <v>1138</v>
      </c>
      <c r="F2505" t="s">
        <v>232</v>
      </c>
      <c r="G2505" t="s">
        <v>241</v>
      </c>
      <c r="H2505" t="s">
        <v>240</v>
      </c>
      <c r="I2505" t="s">
        <v>461</v>
      </c>
      <c r="J2505" t="s">
        <v>461</v>
      </c>
      <c r="K2505" s="4">
        <v>1379.4</v>
      </c>
      <c r="L2505" s="4">
        <v>1379.4</v>
      </c>
      <c r="M2505" t="s">
        <v>44</v>
      </c>
      <c r="N2505" t="s">
        <v>77</v>
      </c>
      <c r="O2505" t="s">
        <v>99</v>
      </c>
      <c r="P2505" t="s">
        <v>99</v>
      </c>
      <c r="Q2505" t="s">
        <v>159</v>
      </c>
      <c r="R2505" t="s">
        <v>233</v>
      </c>
      <c r="S2505" t="s">
        <v>161</v>
      </c>
      <c r="T2505" t="s">
        <v>162</v>
      </c>
      <c r="U2505" t="s">
        <v>163</v>
      </c>
      <c r="V2505" t="s">
        <v>164</v>
      </c>
      <c r="W2505" t="s">
        <v>116</v>
      </c>
      <c r="X2505" t="s">
        <v>44</v>
      </c>
      <c r="Y2505" t="s">
        <v>99</v>
      </c>
      <c r="Z2505" t="s">
        <v>421</v>
      </c>
      <c r="AC2505" t="str">
        <f>IF(AA2505="",M2505,AA2505)</f>
        <v>sim</v>
      </c>
      <c r="AD2505" t="str">
        <f>IF(AB2505="",X2505,AB2505)</f>
        <v>sim</v>
      </c>
      <c r="AE2505" t="str">
        <f>IF(OR(Configuracao!B9="",Configuracao!B10=""),"aguardando limiar",IF(AND(K2505&gt;=Configuracao!B9,K2505/MAX(Reconciliacao!C2,1)&gt;=Configuracao!B10/100),"sim","não"))</f>
        <v>aguardando limiar</v>
      </c>
    </row>
    <row r="2506" spans="1:31" x14ac:dyDescent="0.25">
      <c r="A2506">
        <v>12067</v>
      </c>
      <c r="D2506" t="s">
        <v>1502</v>
      </c>
      <c r="E2506" t="s">
        <v>451</v>
      </c>
      <c r="F2506" t="s">
        <v>232</v>
      </c>
      <c r="G2506" t="s">
        <v>241</v>
      </c>
      <c r="H2506" t="s">
        <v>240</v>
      </c>
      <c r="I2506" t="s">
        <v>424</v>
      </c>
      <c r="J2506" t="s">
        <v>424</v>
      </c>
      <c r="K2506" s="4">
        <v>1452</v>
      </c>
      <c r="L2506" s="4">
        <v>1452</v>
      </c>
      <c r="M2506" t="s">
        <v>44</v>
      </c>
      <c r="N2506" t="s">
        <v>77</v>
      </c>
      <c r="O2506" t="s">
        <v>99</v>
      </c>
      <c r="P2506" t="s">
        <v>99</v>
      </c>
      <c r="Q2506" t="s">
        <v>159</v>
      </c>
      <c r="R2506" t="s">
        <v>233</v>
      </c>
      <c r="S2506" t="s">
        <v>161</v>
      </c>
      <c r="T2506" t="s">
        <v>162</v>
      </c>
      <c r="U2506" t="s">
        <v>163</v>
      </c>
      <c r="V2506" t="s">
        <v>164</v>
      </c>
      <c r="W2506" t="s">
        <v>116</v>
      </c>
      <c r="X2506" t="s">
        <v>44</v>
      </c>
      <c r="Y2506" t="s">
        <v>99</v>
      </c>
      <c r="Z2506" t="s">
        <v>421</v>
      </c>
      <c r="AC2506" t="str">
        <f>IF(AA2506="",M2506,AA2506)</f>
        <v>sim</v>
      </c>
      <c r="AD2506" t="str">
        <f>IF(AB2506="",X2506,AB2506)</f>
        <v>sim</v>
      </c>
      <c r="AE2506" t="str">
        <f>IF(OR(Configuracao!B9="",Configuracao!B10=""),"aguardando limiar",IF(AND(K2506&gt;=Configuracao!B9,K2506/MAX(Reconciliacao!C2,1)&gt;=Configuracao!B10/100),"sim","não"))</f>
        <v>aguardando limiar</v>
      </c>
    </row>
    <row r="2507" spans="1:31" x14ac:dyDescent="0.25">
      <c r="A2507">
        <v>12069</v>
      </c>
      <c r="D2507" t="s">
        <v>1502</v>
      </c>
      <c r="E2507" t="s">
        <v>1138</v>
      </c>
      <c r="F2507" t="s">
        <v>232</v>
      </c>
      <c r="G2507" t="s">
        <v>241</v>
      </c>
      <c r="H2507" t="s">
        <v>240</v>
      </c>
      <c r="I2507" t="s">
        <v>424</v>
      </c>
      <c r="J2507" t="s">
        <v>424</v>
      </c>
      <c r="K2507" s="4">
        <v>1452</v>
      </c>
      <c r="L2507" s="4">
        <v>1452</v>
      </c>
      <c r="M2507" t="s">
        <v>44</v>
      </c>
      <c r="N2507" t="s">
        <v>77</v>
      </c>
      <c r="O2507" t="s">
        <v>99</v>
      </c>
      <c r="P2507" t="s">
        <v>99</v>
      </c>
      <c r="Q2507" t="s">
        <v>159</v>
      </c>
      <c r="R2507" t="s">
        <v>233</v>
      </c>
      <c r="S2507" t="s">
        <v>161</v>
      </c>
      <c r="T2507" t="s">
        <v>162</v>
      </c>
      <c r="U2507" t="s">
        <v>163</v>
      </c>
      <c r="V2507" t="s">
        <v>164</v>
      </c>
      <c r="W2507" t="s">
        <v>116</v>
      </c>
      <c r="X2507" t="s">
        <v>44</v>
      </c>
      <c r="Y2507" t="s">
        <v>99</v>
      </c>
      <c r="Z2507" t="s">
        <v>421</v>
      </c>
      <c r="AC2507" t="str">
        <f>IF(AA2507="",M2507,AA2507)</f>
        <v>sim</v>
      </c>
      <c r="AD2507" t="str">
        <f>IF(AB2507="",X2507,AB2507)</f>
        <v>sim</v>
      </c>
      <c r="AE2507" t="str">
        <f>IF(OR(Configuracao!B9="",Configuracao!B10=""),"aguardando limiar",IF(AND(K2507&gt;=Configuracao!B9,K2507/MAX(Reconciliacao!C2,1)&gt;=Configuracao!B10/100),"sim","não"))</f>
        <v>aguardando limiar</v>
      </c>
    </row>
    <row r="2508" spans="1:31" x14ac:dyDescent="0.25">
      <c r="A2508">
        <v>15794</v>
      </c>
      <c r="D2508" t="s">
        <v>1502</v>
      </c>
      <c r="E2508" t="s">
        <v>1138</v>
      </c>
      <c r="F2508" t="s">
        <v>232</v>
      </c>
      <c r="G2508" t="s">
        <v>241</v>
      </c>
      <c r="H2508" t="s">
        <v>240</v>
      </c>
      <c r="I2508" t="s">
        <v>454</v>
      </c>
      <c r="J2508" t="s">
        <v>454</v>
      </c>
      <c r="K2508" s="4">
        <v>1452</v>
      </c>
      <c r="L2508" s="4">
        <v>1452</v>
      </c>
      <c r="M2508" t="s">
        <v>44</v>
      </c>
      <c r="N2508" t="s">
        <v>77</v>
      </c>
      <c r="O2508" t="s">
        <v>99</v>
      </c>
      <c r="P2508" t="s">
        <v>99</v>
      </c>
      <c r="Q2508" t="s">
        <v>159</v>
      </c>
      <c r="R2508" t="s">
        <v>233</v>
      </c>
      <c r="S2508" t="s">
        <v>161</v>
      </c>
      <c r="T2508" t="s">
        <v>162</v>
      </c>
      <c r="U2508" t="s">
        <v>163</v>
      </c>
      <c r="V2508" t="s">
        <v>164</v>
      </c>
      <c r="W2508" t="s">
        <v>116</v>
      </c>
      <c r="X2508" t="s">
        <v>44</v>
      </c>
      <c r="Y2508" t="s">
        <v>99</v>
      </c>
      <c r="Z2508" t="s">
        <v>421</v>
      </c>
      <c r="AC2508" t="str">
        <f>IF(AA2508="",M2508,AA2508)</f>
        <v>sim</v>
      </c>
      <c r="AD2508" t="str">
        <f>IF(AB2508="",X2508,AB2508)</f>
        <v>sim</v>
      </c>
      <c r="AE2508" t="str">
        <f>IF(OR(Configuracao!B9="",Configuracao!B10=""),"aguardando limiar",IF(AND(K2508&gt;=Configuracao!B9,K2508/MAX(Reconciliacao!C2,1)&gt;=Configuracao!B10/100),"sim","não"))</f>
        <v>aguardando limiar</v>
      </c>
    </row>
    <row r="2509" spans="1:31" x14ac:dyDescent="0.25">
      <c r="A2509">
        <v>17581</v>
      </c>
      <c r="D2509" t="s">
        <v>1502</v>
      </c>
      <c r="E2509" t="s">
        <v>451</v>
      </c>
      <c r="F2509" t="s">
        <v>232</v>
      </c>
      <c r="G2509" t="s">
        <v>241</v>
      </c>
      <c r="H2509" t="s">
        <v>240</v>
      </c>
      <c r="I2509" t="s">
        <v>442</v>
      </c>
      <c r="J2509" t="s">
        <v>442</v>
      </c>
      <c r="K2509" s="4">
        <v>1452</v>
      </c>
      <c r="L2509" s="4">
        <v>1452</v>
      </c>
      <c r="M2509" t="s">
        <v>44</v>
      </c>
      <c r="N2509" t="s">
        <v>77</v>
      </c>
      <c r="O2509" t="s">
        <v>99</v>
      </c>
      <c r="P2509" t="s">
        <v>99</v>
      </c>
      <c r="Q2509" t="s">
        <v>159</v>
      </c>
      <c r="R2509" t="s">
        <v>233</v>
      </c>
      <c r="S2509" t="s">
        <v>161</v>
      </c>
      <c r="T2509" t="s">
        <v>162</v>
      </c>
      <c r="U2509" t="s">
        <v>163</v>
      </c>
      <c r="V2509" t="s">
        <v>164</v>
      </c>
      <c r="W2509" t="s">
        <v>116</v>
      </c>
      <c r="X2509" t="s">
        <v>44</v>
      </c>
      <c r="Y2509" t="s">
        <v>99</v>
      </c>
      <c r="Z2509" t="s">
        <v>421</v>
      </c>
      <c r="AC2509" t="str">
        <f>IF(AA2509="",M2509,AA2509)</f>
        <v>sim</v>
      </c>
      <c r="AD2509" t="str">
        <f>IF(AB2509="",X2509,AB2509)</f>
        <v>sim</v>
      </c>
      <c r="AE2509" t="str">
        <f>IF(OR(Configuracao!B9="",Configuracao!B10=""),"aguardando limiar",IF(AND(K2509&gt;=Configuracao!B9,K2509/MAX(Reconciliacao!C2,1)&gt;=Configuracao!B10/100),"sim","não"))</f>
        <v>aguardando limiar</v>
      </c>
    </row>
    <row r="2510" spans="1:31" x14ac:dyDescent="0.25">
      <c r="A2510">
        <v>19188</v>
      </c>
      <c r="D2510" t="s">
        <v>1502</v>
      </c>
      <c r="E2510" t="s">
        <v>1138</v>
      </c>
      <c r="F2510" t="s">
        <v>232</v>
      </c>
      <c r="G2510" t="s">
        <v>241</v>
      </c>
      <c r="H2510" t="s">
        <v>240</v>
      </c>
      <c r="I2510" t="s">
        <v>35</v>
      </c>
      <c r="J2510" t="s">
        <v>35</v>
      </c>
      <c r="K2510" s="4">
        <v>1452</v>
      </c>
      <c r="L2510" s="4">
        <v>1452</v>
      </c>
      <c r="M2510" t="s">
        <v>44</v>
      </c>
      <c r="N2510" t="s">
        <v>77</v>
      </c>
      <c r="O2510" t="s">
        <v>99</v>
      </c>
      <c r="P2510" t="s">
        <v>99</v>
      </c>
      <c r="Q2510" t="s">
        <v>159</v>
      </c>
      <c r="R2510" t="s">
        <v>233</v>
      </c>
      <c r="S2510" t="s">
        <v>161</v>
      </c>
      <c r="T2510" t="s">
        <v>162</v>
      </c>
      <c r="U2510" t="s">
        <v>163</v>
      </c>
      <c r="V2510" t="s">
        <v>164</v>
      </c>
      <c r="W2510" t="s">
        <v>116</v>
      </c>
      <c r="X2510" t="s">
        <v>44</v>
      </c>
      <c r="Y2510" t="s">
        <v>99</v>
      </c>
      <c r="Z2510" t="s">
        <v>421</v>
      </c>
      <c r="AC2510" t="str">
        <f>IF(AA2510="",M2510,AA2510)</f>
        <v>sim</v>
      </c>
      <c r="AD2510" t="str">
        <f>IF(AB2510="",X2510,AB2510)</f>
        <v>sim</v>
      </c>
      <c r="AE2510" t="str">
        <f>IF(OR(Configuracao!B9="",Configuracao!B10=""),"aguardando limiar",IF(AND(K2510&gt;=Configuracao!B9,K2510/MAX(Reconciliacao!C2,1)&gt;=Configuracao!B10/100),"sim","não"))</f>
        <v>aguardando limiar</v>
      </c>
    </row>
    <row r="2511" spans="1:31" x14ac:dyDescent="0.25">
      <c r="A2511">
        <v>19186</v>
      </c>
      <c r="D2511" t="s">
        <v>1502</v>
      </c>
      <c r="E2511" t="s">
        <v>451</v>
      </c>
      <c r="F2511" t="s">
        <v>232</v>
      </c>
      <c r="G2511" t="s">
        <v>241</v>
      </c>
      <c r="H2511" t="s">
        <v>240</v>
      </c>
      <c r="I2511" t="s">
        <v>35</v>
      </c>
      <c r="J2511" t="s">
        <v>35</v>
      </c>
      <c r="K2511" s="4">
        <v>1488.3</v>
      </c>
      <c r="L2511" s="4">
        <v>1488.3</v>
      </c>
      <c r="M2511" t="s">
        <v>44</v>
      </c>
      <c r="N2511" t="s">
        <v>77</v>
      </c>
      <c r="O2511" t="s">
        <v>99</v>
      </c>
      <c r="P2511" t="s">
        <v>99</v>
      </c>
      <c r="Q2511" t="s">
        <v>159</v>
      </c>
      <c r="R2511" t="s">
        <v>233</v>
      </c>
      <c r="S2511" t="s">
        <v>161</v>
      </c>
      <c r="T2511" t="s">
        <v>162</v>
      </c>
      <c r="U2511" t="s">
        <v>163</v>
      </c>
      <c r="V2511" t="s">
        <v>164</v>
      </c>
      <c r="W2511" t="s">
        <v>116</v>
      </c>
      <c r="X2511" t="s">
        <v>44</v>
      </c>
      <c r="Y2511" t="s">
        <v>99</v>
      </c>
      <c r="Z2511" t="s">
        <v>421</v>
      </c>
      <c r="AC2511" t="str">
        <f>IF(AA2511="",M2511,AA2511)</f>
        <v>sim</v>
      </c>
      <c r="AD2511" t="str">
        <f>IF(AB2511="",X2511,AB2511)</f>
        <v>sim</v>
      </c>
      <c r="AE2511" t="str">
        <f>IF(OR(Configuracao!B9="",Configuracao!B10=""),"aguardando limiar",IF(AND(K2511&gt;=Configuracao!B9,K2511/MAX(Reconciliacao!C2,1)&gt;=Configuracao!B10/100),"sim","não"))</f>
        <v>aguardando limiar</v>
      </c>
    </row>
    <row r="2512" spans="1:31" x14ac:dyDescent="0.25">
      <c r="A2512">
        <v>18555</v>
      </c>
      <c r="D2512" t="s">
        <v>1502</v>
      </c>
      <c r="E2512" t="s">
        <v>1138</v>
      </c>
      <c r="F2512" t="s">
        <v>232</v>
      </c>
      <c r="G2512" t="s">
        <v>241</v>
      </c>
      <c r="H2512" t="s">
        <v>240</v>
      </c>
      <c r="I2512" t="s">
        <v>439</v>
      </c>
      <c r="J2512" t="s">
        <v>439</v>
      </c>
      <c r="K2512" s="4">
        <v>1524.6</v>
      </c>
      <c r="L2512" s="4">
        <v>1524.6</v>
      </c>
      <c r="M2512" t="s">
        <v>44</v>
      </c>
      <c r="N2512" t="s">
        <v>77</v>
      </c>
      <c r="O2512" t="s">
        <v>99</v>
      </c>
      <c r="P2512" t="s">
        <v>99</v>
      </c>
      <c r="Q2512" t="s">
        <v>159</v>
      </c>
      <c r="R2512" t="s">
        <v>233</v>
      </c>
      <c r="S2512" t="s">
        <v>161</v>
      </c>
      <c r="T2512" t="s">
        <v>162</v>
      </c>
      <c r="U2512" t="s">
        <v>163</v>
      </c>
      <c r="V2512" t="s">
        <v>164</v>
      </c>
      <c r="W2512" t="s">
        <v>116</v>
      </c>
      <c r="X2512" t="s">
        <v>44</v>
      </c>
      <c r="Y2512" t="s">
        <v>99</v>
      </c>
      <c r="Z2512" t="s">
        <v>421</v>
      </c>
      <c r="AC2512" t="str">
        <f>IF(AA2512="",M2512,AA2512)</f>
        <v>sim</v>
      </c>
      <c r="AD2512" t="str">
        <f>IF(AB2512="",X2512,AB2512)</f>
        <v>sim</v>
      </c>
      <c r="AE2512" t="str">
        <f>IF(OR(Configuracao!B9="",Configuracao!B10=""),"aguardando limiar",IF(AND(K2512&gt;=Configuracao!B9,K2512/MAX(Reconciliacao!C2,1)&gt;=Configuracao!B10/100),"sim","não"))</f>
        <v>aguardando limiar</v>
      </c>
    </row>
    <row r="2513" spans="1:31" x14ac:dyDescent="0.25">
      <c r="A2513">
        <v>17583</v>
      </c>
      <c r="D2513" t="s">
        <v>1502</v>
      </c>
      <c r="E2513" t="s">
        <v>1138</v>
      </c>
      <c r="F2513" t="s">
        <v>232</v>
      </c>
      <c r="G2513" t="s">
        <v>241</v>
      </c>
      <c r="H2513" t="s">
        <v>240</v>
      </c>
      <c r="I2513" t="s">
        <v>442</v>
      </c>
      <c r="J2513" t="s">
        <v>442</v>
      </c>
      <c r="K2513" s="4">
        <v>1597.2</v>
      </c>
      <c r="L2513" s="4">
        <v>1597.2</v>
      </c>
      <c r="M2513" t="s">
        <v>44</v>
      </c>
      <c r="N2513" t="s">
        <v>77</v>
      </c>
      <c r="O2513" t="s">
        <v>99</v>
      </c>
      <c r="P2513" t="s">
        <v>99</v>
      </c>
      <c r="Q2513" t="s">
        <v>159</v>
      </c>
      <c r="R2513" t="s">
        <v>233</v>
      </c>
      <c r="S2513" t="s">
        <v>161</v>
      </c>
      <c r="T2513" t="s">
        <v>162</v>
      </c>
      <c r="U2513" t="s">
        <v>163</v>
      </c>
      <c r="V2513" t="s">
        <v>164</v>
      </c>
      <c r="W2513" t="s">
        <v>116</v>
      </c>
      <c r="X2513" t="s">
        <v>44</v>
      </c>
      <c r="Y2513" t="s">
        <v>99</v>
      </c>
      <c r="Z2513" t="s">
        <v>421</v>
      </c>
      <c r="AC2513" t="str">
        <f>IF(AA2513="",M2513,AA2513)</f>
        <v>sim</v>
      </c>
      <c r="AD2513" t="str">
        <f>IF(AB2513="",X2513,AB2513)</f>
        <v>sim</v>
      </c>
      <c r="AE2513" t="str">
        <f>IF(OR(Configuracao!B9="",Configuracao!B10=""),"aguardando limiar",IF(AND(K2513&gt;=Configuracao!B9,K2513/MAX(Reconciliacao!C2,1)&gt;=Configuracao!B10/100),"sim","não"))</f>
        <v>aguardando limiar</v>
      </c>
    </row>
    <row r="2514" spans="1:31" x14ac:dyDescent="0.25">
      <c r="A2514">
        <v>11769</v>
      </c>
      <c r="D2514" t="s">
        <v>1502</v>
      </c>
      <c r="E2514" t="s">
        <v>458</v>
      </c>
      <c r="F2514" t="s">
        <v>232</v>
      </c>
      <c r="G2514" t="s">
        <v>295</v>
      </c>
      <c r="H2514" t="s">
        <v>294</v>
      </c>
      <c r="I2514" t="s">
        <v>32</v>
      </c>
      <c r="J2514" t="s">
        <v>32</v>
      </c>
      <c r="K2514" s="4">
        <v>300</v>
      </c>
      <c r="L2514" s="4">
        <v>300</v>
      </c>
      <c r="M2514" t="s">
        <v>44</v>
      </c>
      <c r="N2514" t="s">
        <v>77</v>
      </c>
      <c r="O2514" t="s">
        <v>99</v>
      </c>
      <c r="P2514" t="s">
        <v>99</v>
      </c>
      <c r="Q2514" t="s">
        <v>159</v>
      </c>
      <c r="R2514" t="s">
        <v>233</v>
      </c>
      <c r="S2514" t="s">
        <v>161</v>
      </c>
      <c r="T2514" t="s">
        <v>162</v>
      </c>
      <c r="U2514" t="s">
        <v>163</v>
      </c>
      <c r="V2514" t="s">
        <v>164</v>
      </c>
      <c r="W2514" t="s">
        <v>116</v>
      </c>
      <c r="X2514" t="s">
        <v>44</v>
      </c>
      <c r="Y2514" t="s">
        <v>99</v>
      </c>
      <c r="Z2514" t="s">
        <v>421</v>
      </c>
      <c r="AC2514" t="str">
        <f>IF(AA2514="",M2514,AA2514)</f>
        <v>sim</v>
      </c>
      <c r="AD2514" t="str">
        <f>IF(AB2514="",X2514,AB2514)</f>
        <v>sim</v>
      </c>
      <c r="AE2514" t="str">
        <f>IF(OR(Configuracao!B9="",Configuracao!B10=""),"aguardando limiar",IF(AND(K2514&gt;=Configuracao!B9,K2514/MAX(Reconciliacao!C2,1)&gt;=Configuracao!B10/100),"sim","não"))</f>
        <v>aguardando limiar</v>
      </c>
    </row>
    <row r="2515" spans="1:31" x14ac:dyDescent="0.25">
      <c r="A2515">
        <v>12065</v>
      </c>
      <c r="D2515" t="s">
        <v>1502</v>
      </c>
      <c r="E2515" t="s">
        <v>458</v>
      </c>
      <c r="F2515" t="s">
        <v>232</v>
      </c>
      <c r="G2515" t="s">
        <v>295</v>
      </c>
      <c r="H2515" t="s">
        <v>294</v>
      </c>
      <c r="I2515" t="s">
        <v>424</v>
      </c>
      <c r="J2515" t="s">
        <v>424</v>
      </c>
      <c r="K2515" s="4">
        <v>300</v>
      </c>
      <c r="L2515" s="4">
        <v>300</v>
      </c>
      <c r="M2515" t="s">
        <v>44</v>
      </c>
      <c r="N2515" t="s">
        <v>77</v>
      </c>
      <c r="O2515" t="s">
        <v>99</v>
      </c>
      <c r="P2515" t="s">
        <v>99</v>
      </c>
      <c r="Q2515" t="s">
        <v>159</v>
      </c>
      <c r="R2515" t="s">
        <v>233</v>
      </c>
      <c r="S2515" t="s">
        <v>161</v>
      </c>
      <c r="T2515" t="s">
        <v>162</v>
      </c>
      <c r="U2515" t="s">
        <v>163</v>
      </c>
      <c r="V2515" t="s">
        <v>164</v>
      </c>
      <c r="W2515" t="s">
        <v>116</v>
      </c>
      <c r="X2515" t="s">
        <v>44</v>
      </c>
      <c r="Y2515" t="s">
        <v>99</v>
      </c>
      <c r="Z2515" t="s">
        <v>421</v>
      </c>
      <c r="AC2515" t="str">
        <f>IF(AA2515="",M2515,AA2515)</f>
        <v>sim</v>
      </c>
      <c r="AD2515" t="str">
        <f>IF(AB2515="",X2515,AB2515)</f>
        <v>sim</v>
      </c>
      <c r="AE2515" t="str">
        <f>IF(OR(Configuracao!B9="",Configuracao!B10=""),"aguardando limiar",IF(AND(K2515&gt;=Configuracao!B9,K2515/MAX(Reconciliacao!C2,1)&gt;=Configuracao!B10/100),"sim","não"))</f>
        <v>aguardando limiar</v>
      </c>
    </row>
    <row r="2516" spans="1:31" x14ac:dyDescent="0.25">
      <c r="A2516">
        <v>13023</v>
      </c>
      <c r="D2516" t="s">
        <v>1502</v>
      </c>
      <c r="E2516" t="s">
        <v>458</v>
      </c>
      <c r="F2516" t="s">
        <v>232</v>
      </c>
      <c r="G2516" t="s">
        <v>295</v>
      </c>
      <c r="H2516" t="s">
        <v>294</v>
      </c>
      <c r="I2516" t="s">
        <v>420</v>
      </c>
      <c r="J2516" t="s">
        <v>420</v>
      </c>
      <c r="K2516" s="4">
        <v>300</v>
      </c>
      <c r="L2516" s="4">
        <v>300</v>
      </c>
      <c r="M2516" t="s">
        <v>44</v>
      </c>
      <c r="N2516" t="s">
        <v>77</v>
      </c>
      <c r="O2516" t="s">
        <v>99</v>
      </c>
      <c r="P2516" t="s">
        <v>99</v>
      </c>
      <c r="Q2516" t="s">
        <v>159</v>
      </c>
      <c r="R2516" t="s">
        <v>233</v>
      </c>
      <c r="S2516" t="s">
        <v>161</v>
      </c>
      <c r="T2516" t="s">
        <v>162</v>
      </c>
      <c r="U2516" t="s">
        <v>163</v>
      </c>
      <c r="V2516" t="s">
        <v>164</v>
      </c>
      <c r="W2516" t="s">
        <v>116</v>
      </c>
      <c r="X2516" t="s">
        <v>44</v>
      </c>
      <c r="Y2516" t="s">
        <v>99</v>
      </c>
      <c r="Z2516" t="s">
        <v>421</v>
      </c>
      <c r="AC2516" t="str">
        <f>IF(AA2516="",M2516,AA2516)</f>
        <v>sim</v>
      </c>
      <c r="AD2516" t="str">
        <f>IF(AB2516="",X2516,AB2516)</f>
        <v>sim</v>
      </c>
      <c r="AE2516" t="str">
        <f>IF(OR(Configuracao!B9="",Configuracao!B10=""),"aguardando limiar",IF(AND(K2516&gt;=Configuracao!B9,K2516/MAX(Reconciliacao!C2,1)&gt;=Configuracao!B10/100),"sim","não"))</f>
        <v>aguardando limiar</v>
      </c>
    </row>
    <row r="2517" spans="1:31" x14ac:dyDescent="0.25">
      <c r="A2517">
        <v>15790</v>
      </c>
      <c r="D2517" t="s">
        <v>1502</v>
      </c>
      <c r="E2517" t="s">
        <v>458</v>
      </c>
      <c r="F2517" t="s">
        <v>232</v>
      </c>
      <c r="G2517" t="s">
        <v>295</v>
      </c>
      <c r="H2517" t="s">
        <v>294</v>
      </c>
      <c r="I2517" t="s">
        <v>454</v>
      </c>
      <c r="J2517" t="s">
        <v>454</v>
      </c>
      <c r="K2517" s="4">
        <v>300</v>
      </c>
      <c r="L2517" s="4">
        <v>300</v>
      </c>
      <c r="M2517" t="s">
        <v>44</v>
      </c>
      <c r="N2517" t="s">
        <v>77</v>
      </c>
      <c r="O2517" t="s">
        <v>99</v>
      </c>
      <c r="P2517" t="s">
        <v>99</v>
      </c>
      <c r="Q2517" t="s">
        <v>159</v>
      </c>
      <c r="R2517" t="s">
        <v>233</v>
      </c>
      <c r="S2517" t="s">
        <v>161</v>
      </c>
      <c r="T2517" t="s">
        <v>162</v>
      </c>
      <c r="U2517" t="s">
        <v>163</v>
      </c>
      <c r="V2517" t="s">
        <v>164</v>
      </c>
      <c r="W2517" t="s">
        <v>116</v>
      </c>
      <c r="X2517" t="s">
        <v>44</v>
      </c>
      <c r="Y2517" t="s">
        <v>99</v>
      </c>
      <c r="Z2517" t="s">
        <v>421</v>
      </c>
      <c r="AC2517" t="str">
        <f>IF(AA2517="",M2517,AA2517)</f>
        <v>sim</v>
      </c>
      <c r="AD2517" t="str">
        <f>IF(AB2517="",X2517,AB2517)</f>
        <v>sim</v>
      </c>
      <c r="AE2517" t="str">
        <f>IF(OR(Configuracao!B9="",Configuracao!B10=""),"aguardando limiar",IF(AND(K2517&gt;=Configuracao!B9,K2517/MAX(Reconciliacao!C2,1)&gt;=Configuracao!B10/100),"sim","não"))</f>
        <v>aguardando limiar</v>
      </c>
    </row>
    <row r="2518" spans="1:31" x14ac:dyDescent="0.25">
      <c r="A2518">
        <v>16631</v>
      </c>
      <c r="D2518" t="s">
        <v>1502</v>
      </c>
      <c r="E2518" t="s">
        <v>458</v>
      </c>
      <c r="F2518" t="s">
        <v>232</v>
      </c>
      <c r="G2518" t="s">
        <v>295</v>
      </c>
      <c r="H2518" t="s">
        <v>294</v>
      </c>
      <c r="I2518" t="s">
        <v>461</v>
      </c>
      <c r="J2518" t="s">
        <v>461</v>
      </c>
      <c r="K2518" s="4">
        <v>300</v>
      </c>
      <c r="L2518" s="4">
        <v>300</v>
      </c>
      <c r="M2518" t="s">
        <v>44</v>
      </c>
      <c r="N2518" t="s">
        <v>77</v>
      </c>
      <c r="O2518" t="s">
        <v>99</v>
      </c>
      <c r="P2518" t="s">
        <v>99</v>
      </c>
      <c r="Q2518" t="s">
        <v>159</v>
      </c>
      <c r="R2518" t="s">
        <v>233</v>
      </c>
      <c r="S2518" t="s">
        <v>161</v>
      </c>
      <c r="T2518" t="s">
        <v>162</v>
      </c>
      <c r="U2518" t="s">
        <v>163</v>
      </c>
      <c r="V2518" t="s">
        <v>164</v>
      </c>
      <c r="W2518" t="s">
        <v>116</v>
      </c>
      <c r="X2518" t="s">
        <v>44</v>
      </c>
      <c r="Y2518" t="s">
        <v>99</v>
      </c>
      <c r="Z2518" t="s">
        <v>421</v>
      </c>
      <c r="AC2518" t="str">
        <f>IF(AA2518="",M2518,AA2518)</f>
        <v>sim</v>
      </c>
      <c r="AD2518" t="str">
        <f>IF(AB2518="",X2518,AB2518)</f>
        <v>sim</v>
      </c>
      <c r="AE2518" t="str">
        <f>IF(OR(Configuracao!B9="",Configuracao!B10=""),"aguardando limiar",IF(AND(K2518&gt;=Configuracao!B9,K2518/MAX(Reconciliacao!C2,1)&gt;=Configuracao!B10/100),"sim","não"))</f>
        <v>aguardando limiar</v>
      </c>
    </row>
    <row r="2519" spans="1:31" x14ac:dyDescent="0.25">
      <c r="A2519">
        <v>17579</v>
      </c>
      <c r="D2519" t="s">
        <v>1502</v>
      </c>
      <c r="E2519" t="s">
        <v>458</v>
      </c>
      <c r="F2519" t="s">
        <v>232</v>
      </c>
      <c r="G2519" t="s">
        <v>295</v>
      </c>
      <c r="H2519" t="s">
        <v>294</v>
      </c>
      <c r="I2519" t="s">
        <v>442</v>
      </c>
      <c r="J2519" t="s">
        <v>442</v>
      </c>
      <c r="K2519" s="4">
        <v>300</v>
      </c>
      <c r="L2519" s="4">
        <v>300</v>
      </c>
      <c r="M2519" t="s">
        <v>44</v>
      </c>
      <c r="N2519" t="s">
        <v>77</v>
      </c>
      <c r="O2519" t="s">
        <v>99</v>
      </c>
      <c r="P2519" t="s">
        <v>99</v>
      </c>
      <c r="Q2519" t="s">
        <v>159</v>
      </c>
      <c r="R2519" t="s">
        <v>233</v>
      </c>
      <c r="S2519" t="s">
        <v>161</v>
      </c>
      <c r="T2519" t="s">
        <v>162</v>
      </c>
      <c r="U2519" t="s">
        <v>163</v>
      </c>
      <c r="V2519" t="s">
        <v>164</v>
      </c>
      <c r="W2519" t="s">
        <v>116</v>
      </c>
      <c r="X2519" t="s">
        <v>44</v>
      </c>
      <c r="Y2519" t="s">
        <v>99</v>
      </c>
      <c r="Z2519" t="s">
        <v>421</v>
      </c>
      <c r="AC2519" t="str">
        <f>IF(AA2519="",M2519,AA2519)</f>
        <v>sim</v>
      </c>
      <c r="AD2519" t="str">
        <f>IF(AB2519="",X2519,AB2519)</f>
        <v>sim</v>
      </c>
      <c r="AE2519" t="str">
        <f>IF(OR(Configuracao!B9="",Configuracao!B10=""),"aguardando limiar",IF(AND(K2519&gt;=Configuracao!B9,K2519/MAX(Reconciliacao!C2,1)&gt;=Configuracao!B10/100),"sim","não"))</f>
        <v>aguardando limiar</v>
      </c>
    </row>
    <row r="2520" spans="1:31" x14ac:dyDescent="0.25">
      <c r="A2520">
        <v>18551</v>
      </c>
      <c r="D2520" t="s">
        <v>1502</v>
      </c>
      <c r="E2520" t="s">
        <v>458</v>
      </c>
      <c r="F2520" t="s">
        <v>232</v>
      </c>
      <c r="G2520" t="s">
        <v>295</v>
      </c>
      <c r="H2520" t="s">
        <v>294</v>
      </c>
      <c r="I2520" t="s">
        <v>439</v>
      </c>
      <c r="J2520" t="s">
        <v>439</v>
      </c>
      <c r="K2520" s="4">
        <v>300</v>
      </c>
      <c r="L2520" s="4">
        <v>300</v>
      </c>
      <c r="M2520" t="s">
        <v>44</v>
      </c>
      <c r="N2520" t="s">
        <v>77</v>
      </c>
      <c r="O2520" t="s">
        <v>99</v>
      </c>
      <c r="P2520" t="s">
        <v>99</v>
      </c>
      <c r="Q2520" t="s">
        <v>159</v>
      </c>
      <c r="R2520" t="s">
        <v>233</v>
      </c>
      <c r="S2520" t="s">
        <v>161</v>
      </c>
      <c r="T2520" t="s">
        <v>162</v>
      </c>
      <c r="U2520" t="s">
        <v>163</v>
      </c>
      <c r="V2520" t="s">
        <v>164</v>
      </c>
      <c r="W2520" t="s">
        <v>116</v>
      </c>
      <c r="X2520" t="s">
        <v>44</v>
      </c>
      <c r="Y2520" t="s">
        <v>99</v>
      </c>
      <c r="Z2520" t="s">
        <v>421</v>
      </c>
      <c r="AC2520" t="str">
        <f>IF(AA2520="",M2520,AA2520)</f>
        <v>sim</v>
      </c>
      <c r="AD2520" t="str">
        <f>IF(AB2520="",X2520,AB2520)</f>
        <v>sim</v>
      </c>
      <c r="AE2520" t="str">
        <f>IF(OR(Configuracao!B9="",Configuracao!B10=""),"aguardando limiar",IF(AND(K2520&gt;=Configuracao!B9,K2520/MAX(Reconciliacao!C2,1)&gt;=Configuracao!B10/100),"sim","não"))</f>
        <v>aguardando limiar</v>
      </c>
    </row>
    <row r="2521" spans="1:31" x14ac:dyDescent="0.25">
      <c r="A2521">
        <v>19184</v>
      </c>
      <c r="D2521" t="s">
        <v>1502</v>
      </c>
      <c r="E2521" t="s">
        <v>458</v>
      </c>
      <c r="F2521" t="s">
        <v>232</v>
      </c>
      <c r="G2521" t="s">
        <v>295</v>
      </c>
      <c r="H2521" t="s">
        <v>294</v>
      </c>
      <c r="I2521" t="s">
        <v>35</v>
      </c>
      <c r="J2521" t="s">
        <v>35</v>
      </c>
      <c r="K2521" s="4">
        <v>300</v>
      </c>
      <c r="L2521" s="4">
        <v>300</v>
      </c>
      <c r="M2521" t="s">
        <v>44</v>
      </c>
      <c r="N2521" t="s">
        <v>77</v>
      </c>
      <c r="O2521" t="s">
        <v>99</v>
      </c>
      <c r="P2521" t="s">
        <v>99</v>
      </c>
      <c r="Q2521" t="s">
        <v>159</v>
      </c>
      <c r="R2521" t="s">
        <v>233</v>
      </c>
      <c r="S2521" t="s">
        <v>161</v>
      </c>
      <c r="T2521" t="s">
        <v>162</v>
      </c>
      <c r="U2521" t="s">
        <v>163</v>
      </c>
      <c r="V2521" t="s">
        <v>164</v>
      </c>
      <c r="W2521" t="s">
        <v>116</v>
      </c>
      <c r="X2521" t="s">
        <v>44</v>
      </c>
      <c r="Y2521" t="s">
        <v>99</v>
      </c>
      <c r="Z2521" t="s">
        <v>421</v>
      </c>
      <c r="AC2521" t="str">
        <f>IF(AA2521="",M2521,AA2521)</f>
        <v>sim</v>
      </c>
      <c r="AD2521" t="str">
        <f>IF(AB2521="",X2521,AB2521)</f>
        <v>sim</v>
      </c>
      <c r="AE2521" t="str">
        <f>IF(OR(Configuracao!B9="",Configuracao!B10=""),"aguardando limiar",IF(AND(K2521&gt;=Configuracao!B9,K2521/MAX(Reconciliacao!C2,1)&gt;=Configuracao!B10/100),"sim","não"))</f>
        <v>aguardando limiar</v>
      </c>
    </row>
    <row r="2522" spans="1:31" x14ac:dyDescent="0.25">
      <c r="A2522">
        <v>11719</v>
      </c>
      <c r="D2522" t="s">
        <v>1502</v>
      </c>
      <c r="E2522" t="s">
        <v>451</v>
      </c>
      <c r="F2522" t="s">
        <v>232</v>
      </c>
      <c r="G2522" t="s">
        <v>295</v>
      </c>
      <c r="H2522" t="s">
        <v>294</v>
      </c>
      <c r="I2522" t="s">
        <v>32</v>
      </c>
      <c r="J2522" t="s">
        <v>32</v>
      </c>
      <c r="K2522" s="4">
        <v>600</v>
      </c>
      <c r="L2522" s="4">
        <v>600</v>
      </c>
      <c r="M2522" t="s">
        <v>44</v>
      </c>
      <c r="N2522" t="s">
        <v>77</v>
      </c>
      <c r="O2522" t="s">
        <v>99</v>
      </c>
      <c r="P2522" t="s">
        <v>99</v>
      </c>
      <c r="Q2522" t="s">
        <v>159</v>
      </c>
      <c r="R2522" t="s">
        <v>233</v>
      </c>
      <c r="S2522" t="s">
        <v>161</v>
      </c>
      <c r="T2522" t="s">
        <v>162</v>
      </c>
      <c r="U2522" t="s">
        <v>163</v>
      </c>
      <c r="V2522" t="s">
        <v>164</v>
      </c>
      <c r="W2522" t="s">
        <v>116</v>
      </c>
      <c r="X2522" t="s">
        <v>44</v>
      </c>
      <c r="Y2522" t="s">
        <v>99</v>
      </c>
      <c r="Z2522" t="s">
        <v>421</v>
      </c>
      <c r="AC2522" t="str">
        <f>IF(AA2522="",M2522,AA2522)</f>
        <v>sim</v>
      </c>
      <c r="AD2522" t="str">
        <f>IF(AB2522="",X2522,AB2522)</f>
        <v>sim</v>
      </c>
      <c r="AE2522" t="str">
        <f>IF(OR(Configuracao!B9="",Configuracao!B10=""),"aguardando limiar",IF(AND(K2522&gt;=Configuracao!B9,K2522/MAX(Reconciliacao!C2,1)&gt;=Configuracao!B10/100),"sim","não"))</f>
        <v>aguardando limiar</v>
      </c>
    </row>
    <row r="2523" spans="1:31" x14ac:dyDescent="0.25">
      <c r="A2523">
        <v>11720</v>
      </c>
      <c r="D2523" t="s">
        <v>1502</v>
      </c>
      <c r="E2523" t="s">
        <v>451</v>
      </c>
      <c r="F2523" t="s">
        <v>232</v>
      </c>
      <c r="G2523" t="s">
        <v>295</v>
      </c>
      <c r="H2523" t="s">
        <v>294</v>
      </c>
      <c r="I2523" t="s">
        <v>424</v>
      </c>
      <c r="J2523" t="s">
        <v>424</v>
      </c>
      <c r="K2523" s="4">
        <v>600</v>
      </c>
      <c r="L2523" s="4">
        <v>600</v>
      </c>
      <c r="M2523" t="s">
        <v>44</v>
      </c>
      <c r="N2523" t="s">
        <v>77</v>
      </c>
      <c r="O2523" t="s">
        <v>99</v>
      </c>
      <c r="P2523" t="s">
        <v>99</v>
      </c>
      <c r="Q2523" t="s">
        <v>159</v>
      </c>
      <c r="R2523" t="s">
        <v>233</v>
      </c>
      <c r="S2523" t="s">
        <v>161</v>
      </c>
      <c r="T2523" t="s">
        <v>162</v>
      </c>
      <c r="U2523" t="s">
        <v>163</v>
      </c>
      <c r="V2523" t="s">
        <v>164</v>
      </c>
      <c r="W2523" t="s">
        <v>116</v>
      </c>
      <c r="X2523" t="s">
        <v>44</v>
      </c>
      <c r="Y2523" t="s">
        <v>99</v>
      </c>
      <c r="Z2523" t="s">
        <v>421</v>
      </c>
      <c r="AC2523" t="str">
        <f>IF(AA2523="",M2523,AA2523)</f>
        <v>sim</v>
      </c>
      <c r="AD2523" t="str">
        <f>IF(AB2523="",X2523,AB2523)</f>
        <v>sim</v>
      </c>
      <c r="AE2523" t="str">
        <f>IF(OR(Configuracao!B9="",Configuracao!B10=""),"aguardando limiar",IF(AND(K2523&gt;=Configuracao!B9,K2523/MAX(Reconciliacao!C2,1)&gt;=Configuracao!B10/100),"sim","não"))</f>
        <v>aguardando limiar</v>
      </c>
    </row>
    <row r="2524" spans="1:31" x14ac:dyDescent="0.25">
      <c r="A2524">
        <v>11721</v>
      </c>
      <c r="D2524" t="s">
        <v>1502</v>
      </c>
      <c r="E2524" t="s">
        <v>451</v>
      </c>
      <c r="F2524" t="s">
        <v>232</v>
      </c>
      <c r="G2524" t="s">
        <v>295</v>
      </c>
      <c r="H2524" t="s">
        <v>294</v>
      </c>
      <c r="I2524" t="s">
        <v>420</v>
      </c>
      <c r="J2524" t="s">
        <v>420</v>
      </c>
      <c r="K2524" s="4">
        <v>600</v>
      </c>
      <c r="L2524" s="4">
        <v>600</v>
      </c>
      <c r="M2524" t="s">
        <v>44</v>
      </c>
      <c r="N2524" t="s">
        <v>77</v>
      </c>
      <c r="O2524" t="s">
        <v>99</v>
      </c>
      <c r="P2524" t="s">
        <v>99</v>
      </c>
      <c r="Q2524" t="s">
        <v>159</v>
      </c>
      <c r="R2524" t="s">
        <v>233</v>
      </c>
      <c r="S2524" t="s">
        <v>161</v>
      </c>
      <c r="T2524" t="s">
        <v>162</v>
      </c>
      <c r="U2524" t="s">
        <v>163</v>
      </c>
      <c r="V2524" t="s">
        <v>164</v>
      </c>
      <c r="W2524" t="s">
        <v>116</v>
      </c>
      <c r="X2524" t="s">
        <v>44</v>
      </c>
      <c r="Y2524" t="s">
        <v>99</v>
      </c>
      <c r="Z2524" t="s">
        <v>421</v>
      </c>
      <c r="AC2524" t="str">
        <f>IF(AA2524="",M2524,AA2524)</f>
        <v>sim</v>
      </c>
      <c r="AD2524" t="str">
        <f>IF(AB2524="",X2524,AB2524)</f>
        <v>sim</v>
      </c>
      <c r="AE2524" t="str">
        <f>IF(OR(Configuracao!B9="",Configuracao!B10=""),"aguardando limiar",IF(AND(K2524&gt;=Configuracao!B9,K2524/MAX(Reconciliacao!C2,1)&gt;=Configuracao!B10/100),"sim","não"))</f>
        <v>aguardando limiar</v>
      </c>
    </row>
    <row r="2525" spans="1:31" x14ac:dyDescent="0.25">
      <c r="A2525">
        <v>11722</v>
      </c>
      <c r="D2525" t="s">
        <v>1502</v>
      </c>
      <c r="E2525" t="s">
        <v>451</v>
      </c>
      <c r="F2525" t="s">
        <v>232</v>
      </c>
      <c r="G2525" t="s">
        <v>295</v>
      </c>
      <c r="H2525" t="s">
        <v>294</v>
      </c>
      <c r="I2525" t="s">
        <v>454</v>
      </c>
      <c r="J2525" t="s">
        <v>454</v>
      </c>
      <c r="K2525" s="4">
        <v>600</v>
      </c>
      <c r="L2525" s="4">
        <v>600</v>
      </c>
      <c r="M2525" t="s">
        <v>44</v>
      </c>
      <c r="N2525" t="s">
        <v>77</v>
      </c>
      <c r="O2525" t="s">
        <v>99</v>
      </c>
      <c r="P2525" t="s">
        <v>99</v>
      </c>
      <c r="Q2525" t="s">
        <v>159</v>
      </c>
      <c r="R2525" t="s">
        <v>233</v>
      </c>
      <c r="S2525" t="s">
        <v>161</v>
      </c>
      <c r="T2525" t="s">
        <v>162</v>
      </c>
      <c r="U2525" t="s">
        <v>163</v>
      </c>
      <c r="V2525" t="s">
        <v>164</v>
      </c>
      <c r="W2525" t="s">
        <v>116</v>
      </c>
      <c r="X2525" t="s">
        <v>44</v>
      </c>
      <c r="Y2525" t="s">
        <v>99</v>
      </c>
      <c r="Z2525" t="s">
        <v>421</v>
      </c>
      <c r="AC2525" t="str">
        <f>IF(AA2525="",M2525,AA2525)</f>
        <v>sim</v>
      </c>
      <c r="AD2525" t="str">
        <f>IF(AB2525="",X2525,AB2525)</f>
        <v>sim</v>
      </c>
      <c r="AE2525" t="str">
        <f>IF(OR(Configuracao!B9="",Configuracao!B10=""),"aguardando limiar",IF(AND(K2525&gt;=Configuracao!B9,K2525/MAX(Reconciliacao!C2,1)&gt;=Configuracao!B10/100),"sim","não"))</f>
        <v>aguardando limiar</v>
      </c>
    </row>
    <row r="2526" spans="1:31" x14ac:dyDescent="0.25">
      <c r="A2526">
        <v>11723</v>
      </c>
      <c r="D2526" t="s">
        <v>1502</v>
      </c>
      <c r="E2526" t="s">
        <v>451</v>
      </c>
      <c r="F2526" t="s">
        <v>232</v>
      </c>
      <c r="G2526" t="s">
        <v>295</v>
      </c>
      <c r="H2526" t="s">
        <v>294</v>
      </c>
      <c r="I2526" t="s">
        <v>461</v>
      </c>
      <c r="J2526" t="s">
        <v>461</v>
      </c>
      <c r="K2526" s="4">
        <v>600</v>
      </c>
      <c r="L2526" s="4">
        <v>600</v>
      </c>
      <c r="M2526" t="s">
        <v>44</v>
      </c>
      <c r="N2526" t="s">
        <v>77</v>
      </c>
      <c r="O2526" t="s">
        <v>99</v>
      </c>
      <c r="P2526" t="s">
        <v>99</v>
      </c>
      <c r="Q2526" t="s">
        <v>159</v>
      </c>
      <c r="R2526" t="s">
        <v>233</v>
      </c>
      <c r="S2526" t="s">
        <v>161</v>
      </c>
      <c r="T2526" t="s">
        <v>162</v>
      </c>
      <c r="U2526" t="s">
        <v>163</v>
      </c>
      <c r="V2526" t="s">
        <v>164</v>
      </c>
      <c r="W2526" t="s">
        <v>116</v>
      </c>
      <c r="X2526" t="s">
        <v>44</v>
      </c>
      <c r="Y2526" t="s">
        <v>99</v>
      </c>
      <c r="Z2526" t="s">
        <v>421</v>
      </c>
      <c r="AC2526" t="str">
        <f>IF(AA2526="",M2526,AA2526)</f>
        <v>sim</v>
      </c>
      <c r="AD2526" t="str">
        <f>IF(AB2526="",X2526,AB2526)</f>
        <v>sim</v>
      </c>
      <c r="AE2526" t="str">
        <f>IF(OR(Configuracao!B9="",Configuracao!B10=""),"aguardando limiar",IF(AND(K2526&gt;=Configuracao!B9,K2526/MAX(Reconciliacao!C2,1)&gt;=Configuracao!B10/100),"sim","não"))</f>
        <v>aguardando limiar</v>
      </c>
    </row>
    <row r="2527" spans="1:31" x14ac:dyDescent="0.25">
      <c r="A2527">
        <v>11724</v>
      </c>
      <c r="D2527" t="s">
        <v>1502</v>
      </c>
      <c r="E2527" t="s">
        <v>451</v>
      </c>
      <c r="F2527" t="s">
        <v>232</v>
      </c>
      <c r="G2527" t="s">
        <v>295</v>
      </c>
      <c r="H2527" t="s">
        <v>294</v>
      </c>
      <c r="I2527" t="s">
        <v>442</v>
      </c>
      <c r="J2527" t="s">
        <v>442</v>
      </c>
      <c r="K2527" s="4">
        <v>600</v>
      </c>
      <c r="L2527" s="4">
        <v>600</v>
      </c>
      <c r="M2527" t="s">
        <v>44</v>
      </c>
      <c r="N2527" t="s">
        <v>77</v>
      </c>
      <c r="O2527" t="s">
        <v>99</v>
      </c>
      <c r="P2527" t="s">
        <v>99</v>
      </c>
      <c r="Q2527" t="s">
        <v>159</v>
      </c>
      <c r="R2527" t="s">
        <v>233</v>
      </c>
      <c r="S2527" t="s">
        <v>161</v>
      </c>
      <c r="T2527" t="s">
        <v>162</v>
      </c>
      <c r="U2527" t="s">
        <v>163</v>
      </c>
      <c r="V2527" t="s">
        <v>164</v>
      </c>
      <c r="W2527" t="s">
        <v>116</v>
      </c>
      <c r="X2527" t="s">
        <v>44</v>
      </c>
      <c r="Y2527" t="s">
        <v>99</v>
      </c>
      <c r="Z2527" t="s">
        <v>421</v>
      </c>
      <c r="AC2527" t="str">
        <f>IF(AA2527="",M2527,AA2527)</f>
        <v>sim</v>
      </c>
      <c r="AD2527" t="str">
        <f>IF(AB2527="",X2527,AB2527)</f>
        <v>sim</v>
      </c>
      <c r="AE2527" t="str">
        <f>IF(OR(Configuracao!B9="",Configuracao!B10=""),"aguardando limiar",IF(AND(K2527&gt;=Configuracao!B9,K2527/MAX(Reconciliacao!C2,1)&gt;=Configuracao!B10/100),"sim","não"))</f>
        <v>aguardando limiar</v>
      </c>
    </row>
    <row r="2528" spans="1:31" x14ac:dyDescent="0.25">
      <c r="A2528">
        <v>11725</v>
      </c>
      <c r="D2528" t="s">
        <v>1502</v>
      </c>
      <c r="E2528" t="s">
        <v>451</v>
      </c>
      <c r="F2528" t="s">
        <v>232</v>
      </c>
      <c r="G2528" t="s">
        <v>295</v>
      </c>
      <c r="H2528" t="s">
        <v>294</v>
      </c>
      <c r="I2528" t="s">
        <v>439</v>
      </c>
      <c r="J2528" t="s">
        <v>439</v>
      </c>
      <c r="K2528" s="4">
        <v>600</v>
      </c>
      <c r="L2528" s="4">
        <v>600</v>
      </c>
      <c r="M2528" t="s">
        <v>44</v>
      </c>
      <c r="N2528" t="s">
        <v>77</v>
      </c>
      <c r="O2528" t="s">
        <v>99</v>
      </c>
      <c r="P2528" t="s">
        <v>99</v>
      </c>
      <c r="Q2528" t="s">
        <v>159</v>
      </c>
      <c r="R2528" t="s">
        <v>233</v>
      </c>
      <c r="S2528" t="s">
        <v>161</v>
      </c>
      <c r="T2528" t="s">
        <v>162</v>
      </c>
      <c r="U2528" t="s">
        <v>163</v>
      </c>
      <c r="V2528" t="s">
        <v>164</v>
      </c>
      <c r="W2528" t="s">
        <v>116</v>
      </c>
      <c r="X2528" t="s">
        <v>44</v>
      </c>
      <c r="Y2528" t="s">
        <v>99</v>
      </c>
      <c r="Z2528" t="s">
        <v>421</v>
      </c>
      <c r="AC2528" t="str">
        <f>IF(AA2528="",M2528,AA2528)</f>
        <v>sim</v>
      </c>
      <c r="AD2528" t="str">
        <f>IF(AB2528="",X2528,AB2528)</f>
        <v>sim</v>
      </c>
      <c r="AE2528" t="str">
        <f>IF(OR(Configuracao!B9="",Configuracao!B10=""),"aguardando limiar",IF(AND(K2528&gt;=Configuracao!B9,K2528/MAX(Reconciliacao!C2,1)&gt;=Configuracao!B10/100),"sim","não"))</f>
        <v>aguardando limiar</v>
      </c>
    </row>
    <row r="2529" spans="1:31" x14ac:dyDescent="0.25">
      <c r="A2529">
        <v>11726</v>
      </c>
      <c r="D2529" t="s">
        <v>1502</v>
      </c>
      <c r="E2529" t="s">
        <v>451</v>
      </c>
      <c r="F2529" t="s">
        <v>232</v>
      </c>
      <c r="G2529" t="s">
        <v>295</v>
      </c>
      <c r="H2529" t="s">
        <v>294</v>
      </c>
      <c r="I2529" t="s">
        <v>35</v>
      </c>
      <c r="J2529" t="s">
        <v>35</v>
      </c>
      <c r="K2529" s="4">
        <v>600</v>
      </c>
      <c r="L2529" s="4">
        <v>600</v>
      </c>
      <c r="M2529" t="s">
        <v>44</v>
      </c>
      <c r="N2529" t="s">
        <v>77</v>
      </c>
      <c r="O2529" t="s">
        <v>99</v>
      </c>
      <c r="P2529" t="s">
        <v>99</v>
      </c>
      <c r="Q2529" t="s">
        <v>159</v>
      </c>
      <c r="R2529" t="s">
        <v>233</v>
      </c>
      <c r="S2529" t="s">
        <v>161</v>
      </c>
      <c r="T2529" t="s">
        <v>162</v>
      </c>
      <c r="U2529" t="s">
        <v>163</v>
      </c>
      <c r="V2529" t="s">
        <v>164</v>
      </c>
      <c r="W2529" t="s">
        <v>116</v>
      </c>
      <c r="X2529" t="s">
        <v>44</v>
      </c>
      <c r="Y2529" t="s">
        <v>99</v>
      </c>
      <c r="Z2529" t="s">
        <v>421</v>
      </c>
      <c r="AC2529" t="str">
        <f>IF(AA2529="",M2529,AA2529)</f>
        <v>sim</v>
      </c>
      <c r="AD2529" t="str">
        <f>IF(AB2529="",X2529,AB2529)</f>
        <v>sim</v>
      </c>
      <c r="AE2529" t="str">
        <f>IF(OR(Configuracao!B9="",Configuracao!B10=""),"aguardando limiar",IF(AND(K2529&gt;=Configuracao!B9,K2529/MAX(Reconciliacao!C2,1)&gt;=Configuracao!B10/100),"sim","não"))</f>
        <v>aguardando limiar</v>
      </c>
    </row>
    <row r="2530" spans="1:31" x14ac:dyDescent="0.25">
      <c r="A2530">
        <v>11770</v>
      </c>
      <c r="D2530" t="s">
        <v>1502</v>
      </c>
      <c r="E2530" t="s">
        <v>1138</v>
      </c>
      <c r="F2530" t="s">
        <v>232</v>
      </c>
      <c r="G2530" t="s">
        <v>295</v>
      </c>
      <c r="H2530" t="s">
        <v>294</v>
      </c>
      <c r="I2530" t="s">
        <v>32</v>
      </c>
      <c r="J2530" t="s">
        <v>32</v>
      </c>
      <c r="K2530" s="4">
        <v>600</v>
      </c>
      <c r="L2530" s="4">
        <v>600</v>
      </c>
      <c r="M2530" t="s">
        <v>44</v>
      </c>
      <c r="N2530" t="s">
        <v>77</v>
      </c>
      <c r="O2530" t="s">
        <v>99</v>
      </c>
      <c r="P2530" t="s">
        <v>99</v>
      </c>
      <c r="Q2530" t="s">
        <v>159</v>
      </c>
      <c r="R2530" t="s">
        <v>233</v>
      </c>
      <c r="S2530" t="s">
        <v>161</v>
      </c>
      <c r="T2530" t="s">
        <v>162</v>
      </c>
      <c r="U2530" t="s">
        <v>163</v>
      </c>
      <c r="V2530" t="s">
        <v>164</v>
      </c>
      <c r="W2530" t="s">
        <v>116</v>
      </c>
      <c r="X2530" t="s">
        <v>44</v>
      </c>
      <c r="Y2530" t="s">
        <v>99</v>
      </c>
      <c r="Z2530" t="s">
        <v>421</v>
      </c>
      <c r="AC2530" t="str">
        <f>IF(AA2530="",M2530,AA2530)</f>
        <v>sim</v>
      </c>
      <c r="AD2530" t="str">
        <f>IF(AB2530="",X2530,AB2530)</f>
        <v>sim</v>
      </c>
      <c r="AE2530" t="str">
        <f>IF(OR(Configuracao!B9="",Configuracao!B10=""),"aguardando limiar",IF(AND(K2530&gt;=Configuracao!B9,K2530/MAX(Reconciliacao!C2,1)&gt;=Configuracao!B10/100),"sim","não"))</f>
        <v>aguardando limiar</v>
      </c>
    </row>
    <row r="2531" spans="1:31" x14ac:dyDescent="0.25">
      <c r="A2531">
        <v>12066</v>
      </c>
      <c r="D2531" t="s">
        <v>1502</v>
      </c>
      <c r="E2531" t="s">
        <v>1138</v>
      </c>
      <c r="F2531" t="s">
        <v>232</v>
      </c>
      <c r="G2531" t="s">
        <v>295</v>
      </c>
      <c r="H2531" t="s">
        <v>294</v>
      </c>
      <c r="I2531" t="s">
        <v>424</v>
      </c>
      <c r="J2531" t="s">
        <v>424</v>
      </c>
      <c r="K2531" s="4">
        <v>600</v>
      </c>
      <c r="L2531" s="4">
        <v>600</v>
      </c>
      <c r="M2531" t="s">
        <v>44</v>
      </c>
      <c r="N2531" t="s">
        <v>77</v>
      </c>
      <c r="O2531" t="s">
        <v>99</v>
      </c>
      <c r="P2531" t="s">
        <v>99</v>
      </c>
      <c r="Q2531" t="s">
        <v>159</v>
      </c>
      <c r="R2531" t="s">
        <v>233</v>
      </c>
      <c r="S2531" t="s">
        <v>161</v>
      </c>
      <c r="T2531" t="s">
        <v>162</v>
      </c>
      <c r="U2531" t="s">
        <v>163</v>
      </c>
      <c r="V2531" t="s">
        <v>164</v>
      </c>
      <c r="W2531" t="s">
        <v>116</v>
      </c>
      <c r="X2531" t="s">
        <v>44</v>
      </c>
      <c r="Y2531" t="s">
        <v>99</v>
      </c>
      <c r="Z2531" t="s">
        <v>421</v>
      </c>
      <c r="AC2531" t="str">
        <f>IF(AA2531="",M2531,AA2531)</f>
        <v>sim</v>
      </c>
      <c r="AD2531" t="str">
        <f>IF(AB2531="",X2531,AB2531)</f>
        <v>sim</v>
      </c>
      <c r="AE2531" t="str">
        <f>IF(OR(Configuracao!B9="",Configuracao!B10=""),"aguardando limiar",IF(AND(K2531&gt;=Configuracao!B9,K2531/MAX(Reconciliacao!C2,1)&gt;=Configuracao!B10/100),"sim","não"))</f>
        <v>aguardando limiar</v>
      </c>
    </row>
    <row r="2532" spans="1:31" x14ac:dyDescent="0.25">
      <c r="A2532">
        <v>13024</v>
      </c>
      <c r="D2532" t="s">
        <v>1502</v>
      </c>
      <c r="E2532" t="s">
        <v>1138</v>
      </c>
      <c r="F2532" t="s">
        <v>232</v>
      </c>
      <c r="G2532" t="s">
        <v>295</v>
      </c>
      <c r="H2532" t="s">
        <v>294</v>
      </c>
      <c r="I2532" t="s">
        <v>420</v>
      </c>
      <c r="J2532" t="s">
        <v>420</v>
      </c>
      <c r="K2532" s="4">
        <v>600</v>
      </c>
      <c r="L2532" s="4">
        <v>600</v>
      </c>
      <c r="M2532" t="s">
        <v>44</v>
      </c>
      <c r="N2532" t="s">
        <v>77</v>
      </c>
      <c r="O2532" t="s">
        <v>99</v>
      </c>
      <c r="P2532" t="s">
        <v>99</v>
      </c>
      <c r="Q2532" t="s">
        <v>159</v>
      </c>
      <c r="R2532" t="s">
        <v>233</v>
      </c>
      <c r="S2532" t="s">
        <v>161</v>
      </c>
      <c r="T2532" t="s">
        <v>162</v>
      </c>
      <c r="U2532" t="s">
        <v>163</v>
      </c>
      <c r="V2532" t="s">
        <v>164</v>
      </c>
      <c r="W2532" t="s">
        <v>116</v>
      </c>
      <c r="X2532" t="s">
        <v>44</v>
      </c>
      <c r="Y2532" t="s">
        <v>99</v>
      </c>
      <c r="Z2532" t="s">
        <v>421</v>
      </c>
      <c r="AC2532" t="str">
        <f>IF(AA2532="",M2532,AA2532)</f>
        <v>sim</v>
      </c>
      <c r="AD2532" t="str">
        <f>IF(AB2532="",X2532,AB2532)</f>
        <v>sim</v>
      </c>
      <c r="AE2532" t="str">
        <f>IF(OR(Configuracao!B9="",Configuracao!B10=""),"aguardando limiar",IF(AND(K2532&gt;=Configuracao!B9,K2532/MAX(Reconciliacao!C2,1)&gt;=Configuracao!B10/100),"sim","não"))</f>
        <v>aguardando limiar</v>
      </c>
    </row>
    <row r="2533" spans="1:31" x14ac:dyDescent="0.25">
      <c r="A2533">
        <v>15791</v>
      </c>
      <c r="D2533" t="s">
        <v>1502</v>
      </c>
      <c r="E2533" t="s">
        <v>1138</v>
      </c>
      <c r="F2533" t="s">
        <v>232</v>
      </c>
      <c r="G2533" t="s">
        <v>295</v>
      </c>
      <c r="H2533" t="s">
        <v>294</v>
      </c>
      <c r="I2533" t="s">
        <v>454</v>
      </c>
      <c r="J2533" t="s">
        <v>454</v>
      </c>
      <c r="K2533" s="4">
        <v>600</v>
      </c>
      <c r="L2533" s="4">
        <v>600</v>
      </c>
      <c r="M2533" t="s">
        <v>44</v>
      </c>
      <c r="N2533" t="s">
        <v>77</v>
      </c>
      <c r="O2533" t="s">
        <v>99</v>
      </c>
      <c r="P2533" t="s">
        <v>99</v>
      </c>
      <c r="Q2533" t="s">
        <v>159</v>
      </c>
      <c r="R2533" t="s">
        <v>233</v>
      </c>
      <c r="S2533" t="s">
        <v>161</v>
      </c>
      <c r="T2533" t="s">
        <v>162</v>
      </c>
      <c r="U2533" t="s">
        <v>163</v>
      </c>
      <c r="V2533" t="s">
        <v>164</v>
      </c>
      <c r="W2533" t="s">
        <v>116</v>
      </c>
      <c r="X2533" t="s">
        <v>44</v>
      </c>
      <c r="Y2533" t="s">
        <v>99</v>
      </c>
      <c r="Z2533" t="s">
        <v>421</v>
      </c>
      <c r="AC2533" t="str">
        <f>IF(AA2533="",M2533,AA2533)</f>
        <v>sim</v>
      </c>
      <c r="AD2533" t="str">
        <f>IF(AB2533="",X2533,AB2533)</f>
        <v>sim</v>
      </c>
      <c r="AE2533" t="str">
        <f>IF(OR(Configuracao!B9="",Configuracao!B10=""),"aguardando limiar",IF(AND(K2533&gt;=Configuracao!B9,K2533/MAX(Reconciliacao!C2,1)&gt;=Configuracao!B10/100),"sim","não"))</f>
        <v>aguardando limiar</v>
      </c>
    </row>
    <row r="2534" spans="1:31" x14ac:dyDescent="0.25">
      <c r="A2534">
        <v>16632</v>
      </c>
      <c r="D2534" t="s">
        <v>1502</v>
      </c>
      <c r="E2534" t="s">
        <v>1138</v>
      </c>
      <c r="F2534" t="s">
        <v>232</v>
      </c>
      <c r="G2534" t="s">
        <v>295</v>
      </c>
      <c r="H2534" t="s">
        <v>294</v>
      </c>
      <c r="I2534" t="s">
        <v>461</v>
      </c>
      <c r="J2534" t="s">
        <v>461</v>
      </c>
      <c r="K2534" s="4">
        <v>600</v>
      </c>
      <c r="L2534" s="4">
        <v>600</v>
      </c>
      <c r="M2534" t="s">
        <v>44</v>
      </c>
      <c r="N2534" t="s">
        <v>77</v>
      </c>
      <c r="O2534" t="s">
        <v>99</v>
      </c>
      <c r="P2534" t="s">
        <v>99</v>
      </c>
      <c r="Q2534" t="s">
        <v>159</v>
      </c>
      <c r="R2534" t="s">
        <v>233</v>
      </c>
      <c r="S2534" t="s">
        <v>161</v>
      </c>
      <c r="T2534" t="s">
        <v>162</v>
      </c>
      <c r="U2534" t="s">
        <v>163</v>
      </c>
      <c r="V2534" t="s">
        <v>164</v>
      </c>
      <c r="W2534" t="s">
        <v>116</v>
      </c>
      <c r="X2534" t="s">
        <v>44</v>
      </c>
      <c r="Y2534" t="s">
        <v>99</v>
      </c>
      <c r="Z2534" t="s">
        <v>421</v>
      </c>
      <c r="AC2534" t="str">
        <f>IF(AA2534="",M2534,AA2534)</f>
        <v>sim</v>
      </c>
      <c r="AD2534" t="str">
        <f>IF(AB2534="",X2534,AB2534)</f>
        <v>sim</v>
      </c>
      <c r="AE2534" t="str">
        <f>IF(OR(Configuracao!B9="",Configuracao!B10=""),"aguardando limiar",IF(AND(K2534&gt;=Configuracao!B9,K2534/MAX(Reconciliacao!C2,1)&gt;=Configuracao!B10/100),"sim","não"))</f>
        <v>aguardando limiar</v>
      </c>
    </row>
    <row r="2535" spans="1:31" x14ac:dyDescent="0.25">
      <c r="A2535">
        <v>17580</v>
      </c>
      <c r="D2535" t="s">
        <v>1502</v>
      </c>
      <c r="E2535" t="s">
        <v>1138</v>
      </c>
      <c r="F2535" t="s">
        <v>232</v>
      </c>
      <c r="G2535" t="s">
        <v>295</v>
      </c>
      <c r="H2535" t="s">
        <v>294</v>
      </c>
      <c r="I2535" t="s">
        <v>442</v>
      </c>
      <c r="J2535" t="s">
        <v>442</v>
      </c>
      <c r="K2535" s="4">
        <v>600</v>
      </c>
      <c r="L2535" s="4">
        <v>600</v>
      </c>
      <c r="M2535" t="s">
        <v>44</v>
      </c>
      <c r="N2535" t="s">
        <v>77</v>
      </c>
      <c r="O2535" t="s">
        <v>99</v>
      </c>
      <c r="P2535" t="s">
        <v>99</v>
      </c>
      <c r="Q2535" t="s">
        <v>159</v>
      </c>
      <c r="R2535" t="s">
        <v>233</v>
      </c>
      <c r="S2535" t="s">
        <v>161</v>
      </c>
      <c r="T2535" t="s">
        <v>162</v>
      </c>
      <c r="U2535" t="s">
        <v>163</v>
      </c>
      <c r="V2535" t="s">
        <v>164</v>
      </c>
      <c r="W2535" t="s">
        <v>116</v>
      </c>
      <c r="X2535" t="s">
        <v>44</v>
      </c>
      <c r="Y2535" t="s">
        <v>99</v>
      </c>
      <c r="Z2535" t="s">
        <v>421</v>
      </c>
      <c r="AC2535" t="str">
        <f>IF(AA2535="",M2535,AA2535)</f>
        <v>sim</v>
      </c>
      <c r="AD2535" t="str">
        <f>IF(AB2535="",X2535,AB2535)</f>
        <v>sim</v>
      </c>
      <c r="AE2535" t="str">
        <f>IF(OR(Configuracao!B9="",Configuracao!B10=""),"aguardando limiar",IF(AND(K2535&gt;=Configuracao!B9,K2535/MAX(Reconciliacao!C2,1)&gt;=Configuracao!B10/100),"sim","não"))</f>
        <v>aguardando limiar</v>
      </c>
    </row>
    <row r="2536" spans="1:31" x14ac:dyDescent="0.25">
      <c r="A2536">
        <v>18552</v>
      </c>
      <c r="D2536" t="s">
        <v>1502</v>
      </c>
      <c r="E2536" t="s">
        <v>1138</v>
      </c>
      <c r="F2536" t="s">
        <v>232</v>
      </c>
      <c r="G2536" t="s">
        <v>295</v>
      </c>
      <c r="H2536" t="s">
        <v>294</v>
      </c>
      <c r="I2536" t="s">
        <v>439</v>
      </c>
      <c r="J2536" t="s">
        <v>439</v>
      </c>
      <c r="K2536" s="4">
        <v>600</v>
      </c>
      <c r="L2536" s="4">
        <v>600</v>
      </c>
      <c r="M2536" t="s">
        <v>44</v>
      </c>
      <c r="N2536" t="s">
        <v>77</v>
      </c>
      <c r="O2536" t="s">
        <v>99</v>
      </c>
      <c r="P2536" t="s">
        <v>99</v>
      </c>
      <c r="Q2536" t="s">
        <v>159</v>
      </c>
      <c r="R2536" t="s">
        <v>233</v>
      </c>
      <c r="S2536" t="s">
        <v>161</v>
      </c>
      <c r="T2536" t="s">
        <v>162</v>
      </c>
      <c r="U2536" t="s">
        <v>163</v>
      </c>
      <c r="V2536" t="s">
        <v>164</v>
      </c>
      <c r="W2536" t="s">
        <v>116</v>
      </c>
      <c r="X2536" t="s">
        <v>44</v>
      </c>
      <c r="Y2536" t="s">
        <v>99</v>
      </c>
      <c r="Z2536" t="s">
        <v>421</v>
      </c>
      <c r="AC2536" t="str">
        <f>IF(AA2536="",M2536,AA2536)</f>
        <v>sim</v>
      </c>
      <c r="AD2536" t="str">
        <f>IF(AB2536="",X2536,AB2536)</f>
        <v>sim</v>
      </c>
      <c r="AE2536" t="str">
        <f>IF(OR(Configuracao!B9="",Configuracao!B10=""),"aguardando limiar",IF(AND(K2536&gt;=Configuracao!B9,K2536/MAX(Reconciliacao!C2,1)&gt;=Configuracao!B10/100),"sim","não"))</f>
        <v>aguardando limiar</v>
      </c>
    </row>
    <row r="2537" spans="1:31" x14ac:dyDescent="0.25">
      <c r="A2537">
        <v>19185</v>
      </c>
      <c r="D2537" t="s">
        <v>1502</v>
      </c>
      <c r="E2537" t="s">
        <v>1138</v>
      </c>
      <c r="F2537" t="s">
        <v>232</v>
      </c>
      <c r="G2537" t="s">
        <v>295</v>
      </c>
      <c r="H2537" t="s">
        <v>294</v>
      </c>
      <c r="I2537" t="s">
        <v>35</v>
      </c>
      <c r="J2537" t="s">
        <v>35</v>
      </c>
      <c r="K2537" s="4">
        <v>600</v>
      </c>
      <c r="L2537" s="4">
        <v>600</v>
      </c>
      <c r="M2537" t="s">
        <v>44</v>
      </c>
      <c r="N2537" t="s">
        <v>77</v>
      </c>
      <c r="O2537" t="s">
        <v>99</v>
      </c>
      <c r="P2537" t="s">
        <v>99</v>
      </c>
      <c r="Q2537" t="s">
        <v>159</v>
      </c>
      <c r="R2537" t="s">
        <v>233</v>
      </c>
      <c r="S2537" t="s">
        <v>161</v>
      </c>
      <c r="T2537" t="s">
        <v>162</v>
      </c>
      <c r="U2537" t="s">
        <v>163</v>
      </c>
      <c r="V2537" t="s">
        <v>164</v>
      </c>
      <c r="W2537" t="s">
        <v>116</v>
      </c>
      <c r="X2537" t="s">
        <v>44</v>
      </c>
      <c r="Y2537" t="s">
        <v>99</v>
      </c>
      <c r="Z2537" t="s">
        <v>421</v>
      </c>
      <c r="AC2537" t="str">
        <f>IF(AA2537="",M2537,AA2537)</f>
        <v>sim</v>
      </c>
      <c r="AD2537" t="str">
        <f>IF(AB2537="",X2537,AB2537)</f>
        <v>sim</v>
      </c>
      <c r="AE2537" t="str">
        <f>IF(OR(Configuracao!B9="",Configuracao!B10=""),"aguardando limiar",IF(AND(K2537&gt;=Configuracao!B9,K2537/MAX(Reconciliacao!C2,1)&gt;=Configuracao!B10/100),"sim","não"))</f>
        <v>aguardando limiar</v>
      </c>
    </row>
    <row r="2538" spans="1:31" x14ac:dyDescent="0.25">
      <c r="A2538">
        <v>11870</v>
      </c>
      <c r="C2538" t="s">
        <v>1504</v>
      </c>
      <c r="D2538" t="s">
        <v>949</v>
      </c>
      <c r="E2538" t="s">
        <v>525</v>
      </c>
      <c r="F2538" t="s">
        <v>232</v>
      </c>
      <c r="G2538" t="s">
        <v>231</v>
      </c>
      <c r="H2538" t="s">
        <v>230</v>
      </c>
      <c r="I2538" t="s">
        <v>32</v>
      </c>
      <c r="J2538" t="s">
        <v>32</v>
      </c>
      <c r="K2538" s="4">
        <v>779.74</v>
      </c>
      <c r="L2538" s="4">
        <v>779.74</v>
      </c>
      <c r="M2538" t="s">
        <v>44</v>
      </c>
      <c r="N2538" t="s">
        <v>77</v>
      </c>
      <c r="O2538" t="s">
        <v>99</v>
      </c>
      <c r="P2538" t="s">
        <v>99</v>
      </c>
      <c r="Q2538" t="s">
        <v>159</v>
      </c>
      <c r="R2538" t="s">
        <v>233</v>
      </c>
      <c r="S2538" t="s">
        <v>161</v>
      </c>
      <c r="T2538" t="s">
        <v>162</v>
      </c>
      <c r="U2538" t="s">
        <v>163</v>
      </c>
      <c r="V2538" t="s">
        <v>164</v>
      </c>
      <c r="W2538" t="s">
        <v>116</v>
      </c>
      <c r="X2538" t="s">
        <v>44</v>
      </c>
      <c r="Y2538" t="s">
        <v>99</v>
      </c>
      <c r="Z2538" t="s">
        <v>421</v>
      </c>
      <c r="AC2538" t="str">
        <f>IF(AA2538="",M2538,AA2538)</f>
        <v>sim</v>
      </c>
      <c r="AD2538" t="str">
        <f>IF(AB2538="",X2538,AB2538)</f>
        <v>sim</v>
      </c>
      <c r="AE2538" t="str">
        <f>IF(OR(Configuracao!B9="",Configuracao!B10=""),"aguardando limiar",IF(AND(K2538&gt;=Configuracao!B9,K2538/MAX(Reconciliacao!C2,1)&gt;=Configuracao!B10/100),"sim","não"))</f>
        <v>aguardando limiar</v>
      </c>
    </row>
    <row r="2539" spans="1:31" x14ac:dyDescent="0.25">
      <c r="A2539">
        <v>13352</v>
      </c>
      <c r="C2539" t="s">
        <v>1504</v>
      </c>
      <c r="D2539" t="s">
        <v>949</v>
      </c>
      <c r="E2539" t="s">
        <v>525</v>
      </c>
      <c r="F2539" t="s">
        <v>232</v>
      </c>
      <c r="G2539" t="s">
        <v>231</v>
      </c>
      <c r="H2539" t="s">
        <v>230</v>
      </c>
      <c r="I2539" t="s">
        <v>424</v>
      </c>
      <c r="J2539" t="s">
        <v>424</v>
      </c>
      <c r="K2539" s="4">
        <v>779.74</v>
      </c>
      <c r="L2539" s="4">
        <v>779.74</v>
      </c>
      <c r="M2539" t="s">
        <v>44</v>
      </c>
      <c r="N2539" t="s">
        <v>77</v>
      </c>
      <c r="O2539" t="s">
        <v>99</v>
      </c>
      <c r="P2539" t="s">
        <v>99</v>
      </c>
      <c r="Q2539" t="s">
        <v>159</v>
      </c>
      <c r="R2539" t="s">
        <v>233</v>
      </c>
      <c r="S2539" t="s">
        <v>161</v>
      </c>
      <c r="T2539" t="s">
        <v>162</v>
      </c>
      <c r="U2539" t="s">
        <v>163</v>
      </c>
      <c r="V2539" t="s">
        <v>164</v>
      </c>
      <c r="W2539" t="s">
        <v>116</v>
      </c>
      <c r="X2539" t="s">
        <v>44</v>
      </c>
      <c r="Y2539" t="s">
        <v>99</v>
      </c>
      <c r="Z2539" t="s">
        <v>421</v>
      </c>
      <c r="AC2539" t="str">
        <f>IF(AA2539="",M2539,AA2539)</f>
        <v>sim</v>
      </c>
      <c r="AD2539" t="str">
        <f>IF(AB2539="",X2539,AB2539)</f>
        <v>sim</v>
      </c>
      <c r="AE2539" t="str">
        <f>IF(OR(Configuracao!B9="",Configuracao!B10=""),"aguardando limiar",IF(AND(K2539&gt;=Configuracao!B9,K2539/MAX(Reconciliacao!C2,1)&gt;=Configuracao!B10/100),"sim","não"))</f>
        <v>aguardando limiar</v>
      </c>
    </row>
    <row r="2540" spans="1:31" x14ac:dyDescent="0.25">
      <c r="A2540">
        <v>16090</v>
      </c>
      <c r="C2540" t="s">
        <v>1504</v>
      </c>
      <c r="D2540" t="s">
        <v>949</v>
      </c>
      <c r="E2540" t="s">
        <v>525</v>
      </c>
      <c r="F2540" t="s">
        <v>232</v>
      </c>
      <c r="G2540" t="s">
        <v>231</v>
      </c>
      <c r="H2540" t="s">
        <v>230</v>
      </c>
      <c r="I2540" t="s">
        <v>420</v>
      </c>
      <c r="J2540" t="s">
        <v>420</v>
      </c>
      <c r="K2540" s="4">
        <v>898.49</v>
      </c>
      <c r="L2540" s="4">
        <v>898.49</v>
      </c>
      <c r="M2540" t="s">
        <v>44</v>
      </c>
      <c r="N2540" t="s">
        <v>77</v>
      </c>
      <c r="O2540" t="s">
        <v>99</v>
      </c>
      <c r="P2540" t="s">
        <v>99</v>
      </c>
      <c r="Q2540" t="s">
        <v>159</v>
      </c>
      <c r="R2540" t="s">
        <v>233</v>
      </c>
      <c r="S2540" t="s">
        <v>161</v>
      </c>
      <c r="T2540" t="s">
        <v>162</v>
      </c>
      <c r="U2540" t="s">
        <v>163</v>
      </c>
      <c r="V2540" t="s">
        <v>164</v>
      </c>
      <c r="W2540" t="s">
        <v>116</v>
      </c>
      <c r="X2540" t="s">
        <v>44</v>
      </c>
      <c r="Y2540" t="s">
        <v>99</v>
      </c>
      <c r="Z2540" t="s">
        <v>421</v>
      </c>
      <c r="AC2540" t="str">
        <f>IF(AA2540="",M2540,AA2540)</f>
        <v>sim</v>
      </c>
      <c r="AD2540" t="str">
        <f>IF(AB2540="",X2540,AB2540)</f>
        <v>sim</v>
      </c>
      <c r="AE2540" t="str">
        <f>IF(OR(Configuracao!B9="",Configuracao!B10=""),"aguardando limiar",IF(AND(K2540&gt;=Configuracao!B9,K2540/MAX(Reconciliacao!C2,1)&gt;=Configuracao!B10/100),"sim","não"))</f>
        <v>aguardando limiar</v>
      </c>
    </row>
    <row r="2541" spans="1:31" x14ac:dyDescent="0.25">
      <c r="A2541">
        <v>10339</v>
      </c>
      <c r="C2541" t="s">
        <v>1505</v>
      </c>
      <c r="D2541" t="s">
        <v>949</v>
      </c>
      <c r="E2541" t="s">
        <v>511</v>
      </c>
      <c r="F2541" t="s">
        <v>232</v>
      </c>
      <c r="G2541" t="s">
        <v>231</v>
      </c>
      <c r="H2541" t="s">
        <v>230</v>
      </c>
      <c r="I2541" t="s">
        <v>32</v>
      </c>
      <c r="J2541" t="s">
        <v>32</v>
      </c>
      <c r="K2541" s="4">
        <v>1071.78</v>
      </c>
      <c r="L2541" s="4">
        <v>1071.78</v>
      </c>
      <c r="M2541" t="s">
        <v>44</v>
      </c>
      <c r="N2541" t="s">
        <v>77</v>
      </c>
      <c r="O2541" t="s">
        <v>99</v>
      </c>
      <c r="P2541" t="s">
        <v>99</v>
      </c>
      <c r="Q2541" t="s">
        <v>159</v>
      </c>
      <c r="R2541" t="s">
        <v>233</v>
      </c>
      <c r="S2541" t="s">
        <v>161</v>
      </c>
      <c r="T2541" t="s">
        <v>162</v>
      </c>
      <c r="U2541" t="s">
        <v>163</v>
      </c>
      <c r="V2541" t="s">
        <v>164</v>
      </c>
      <c r="W2541" t="s">
        <v>116</v>
      </c>
      <c r="X2541" t="s">
        <v>44</v>
      </c>
      <c r="Y2541" t="s">
        <v>99</v>
      </c>
      <c r="Z2541" t="s">
        <v>421</v>
      </c>
      <c r="AC2541" t="str">
        <f>IF(AA2541="",M2541,AA2541)</f>
        <v>sim</v>
      </c>
      <c r="AD2541" t="str">
        <f>IF(AB2541="",X2541,AB2541)</f>
        <v>sim</v>
      </c>
      <c r="AE2541" t="str">
        <f>IF(OR(Configuracao!B9="",Configuracao!B10=""),"aguardando limiar",IF(AND(K2541&gt;=Configuracao!B9,K2541/MAX(Reconciliacao!C2,1)&gt;=Configuracao!B10/100),"sim","não"))</f>
        <v>aguardando limiar</v>
      </c>
    </row>
    <row r="2542" spans="1:31" x14ac:dyDescent="0.25">
      <c r="A2542">
        <v>10340</v>
      </c>
      <c r="C2542" t="s">
        <v>1505</v>
      </c>
      <c r="D2542" t="s">
        <v>949</v>
      </c>
      <c r="E2542" t="s">
        <v>511</v>
      </c>
      <c r="F2542" t="s">
        <v>232</v>
      </c>
      <c r="G2542" t="s">
        <v>231</v>
      </c>
      <c r="H2542" t="s">
        <v>230</v>
      </c>
      <c r="I2542" t="s">
        <v>424</v>
      </c>
      <c r="J2542" t="s">
        <v>424</v>
      </c>
      <c r="K2542" s="4">
        <v>1071.78</v>
      </c>
      <c r="L2542" s="4">
        <v>1071.78</v>
      </c>
      <c r="M2542" t="s">
        <v>44</v>
      </c>
      <c r="N2542" t="s">
        <v>77</v>
      </c>
      <c r="O2542" t="s">
        <v>99</v>
      </c>
      <c r="P2542" t="s">
        <v>99</v>
      </c>
      <c r="Q2542" t="s">
        <v>159</v>
      </c>
      <c r="R2542" t="s">
        <v>233</v>
      </c>
      <c r="S2542" t="s">
        <v>161</v>
      </c>
      <c r="T2542" t="s">
        <v>162</v>
      </c>
      <c r="U2542" t="s">
        <v>163</v>
      </c>
      <c r="V2542" t="s">
        <v>164</v>
      </c>
      <c r="W2542" t="s">
        <v>116</v>
      </c>
      <c r="X2542" t="s">
        <v>44</v>
      </c>
      <c r="Y2542" t="s">
        <v>99</v>
      </c>
      <c r="Z2542" t="s">
        <v>421</v>
      </c>
      <c r="AC2542" t="str">
        <f>IF(AA2542="",M2542,AA2542)</f>
        <v>sim</v>
      </c>
      <c r="AD2542" t="str">
        <f>IF(AB2542="",X2542,AB2542)</f>
        <v>sim</v>
      </c>
      <c r="AE2542" t="str">
        <f>IF(OR(Configuracao!B9="",Configuracao!B10=""),"aguardando limiar",IF(AND(K2542&gt;=Configuracao!B9,K2542/MAX(Reconciliacao!C2,1)&gt;=Configuracao!B10/100),"sim","não"))</f>
        <v>aguardando limiar</v>
      </c>
    </row>
    <row r="2543" spans="1:31" x14ac:dyDescent="0.25">
      <c r="A2543">
        <v>10341</v>
      </c>
      <c r="C2543" t="s">
        <v>1505</v>
      </c>
      <c r="D2543" t="s">
        <v>949</v>
      </c>
      <c r="E2543" t="s">
        <v>511</v>
      </c>
      <c r="F2543" t="s">
        <v>232</v>
      </c>
      <c r="G2543" t="s">
        <v>231</v>
      </c>
      <c r="H2543" t="s">
        <v>230</v>
      </c>
      <c r="I2543" t="s">
        <v>420</v>
      </c>
      <c r="J2543" t="s">
        <v>420</v>
      </c>
      <c r="K2543" s="4">
        <v>1235.01</v>
      </c>
      <c r="L2543" s="4">
        <v>1235.01</v>
      </c>
      <c r="M2543" t="s">
        <v>44</v>
      </c>
      <c r="N2543" t="s">
        <v>77</v>
      </c>
      <c r="O2543" t="s">
        <v>99</v>
      </c>
      <c r="P2543" t="s">
        <v>99</v>
      </c>
      <c r="Q2543" t="s">
        <v>159</v>
      </c>
      <c r="R2543" t="s">
        <v>233</v>
      </c>
      <c r="S2543" t="s">
        <v>161</v>
      </c>
      <c r="T2543" t="s">
        <v>162</v>
      </c>
      <c r="U2543" t="s">
        <v>163</v>
      </c>
      <c r="V2543" t="s">
        <v>164</v>
      </c>
      <c r="W2543" t="s">
        <v>116</v>
      </c>
      <c r="X2543" t="s">
        <v>44</v>
      </c>
      <c r="Y2543" t="s">
        <v>99</v>
      </c>
      <c r="Z2543" t="s">
        <v>421</v>
      </c>
      <c r="AC2543" t="str">
        <f>IF(AA2543="",M2543,AA2543)</f>
        <v>sim</v>
      </c>
      <c r="AD2543" t="str">
        <f>IF(AB2543="",X2543,AB2543)</f>
        <v>sim</v>
      </c>
      <c r="AE2543" t="str">
        <f>IF(OR(Configuracao!B9="",Configuracao!B10=""),"aguardando limiar",IF(AND(K2543&gt;=Configuracao!B9,K2543/MAX(Reconciliacao!C2,1)&gt;=Configuracao!B10/100),"sim","não"))</f>
        <v>aguardando limiar</v>
      </c>
    </row>
    <row r="2544" spans="1:31" x14ac:dyDescent="0.25">
      <c r="A2544">
        <v>10342</v>
      </c>
      <c r="C2544" t="s">
        <v>1505</v>
      </c>
      <c r="D2544" t="s">
        <v>949</v>
      </c>
      <c r="E2544" t="s">
        <v>511</v>
      </c>
      <c r="F2544" t="s">
        <v>232</v>
      </c>
      <c r="G2544" t="s">
        <v>231</v>
      </c>
      <c r="H2544" t="s">
        <v>230</v>
      </c>
      <c r="I2544" t="s">
        <v>454</v>
      </c>
      <c r="J2544" t="s">
        <v>454</v>
      </c>
      <c r="K2544" s="4">
        <v>1235.01</v>
      </c>
      <c r="L2544" s="4">
        <v>1235.01</v>
      </c>
      <c r="M2544" t="s">
        <v>44</v>
      </c>
      <c r="N2544" t="s">
        <v>77</v>
      </c>
      <c r="O2544" t="s">
        <v>99</v>
      </c>
      <c r="P2544" t="s">
        <v>99</v>
      </c>
      <c r="Q2544" t="s">
        <v>159</v>
      </c>
      <c r="R2544" t="s">
        <v>233</v>
      </c>
      <c r="S2544" t="s">
        <v>161</v>
      </c>
      <c r="T2544" t="s">
        <v>162</v>
      </c>
      <c r="U2544" t="s">
        <v>163</v>
      </c>
      <c r="V2544" t="s">
        <v>164</v>
      </c>
      <c r="W2544" t="s">
        <v>116</v>
      </c>
      <c r="X2544" t="s">
        <v>44</v>
      </c>
      <c r="Y2544" t="s">
        <v>99</v>
      </c>
      <c r="Z2544" t="s">
        <v>421</v>
      </c>
      <c r="AC2544" t="str">
        <f>IF(AA2544="",M2544,AA2544)</f>
        <v>sim</v>
      </c>
      <c r="AD2544" t="str">
        <f>IF(AB2544="",X2544,AB2544)</f>
        <v>sim</v>
      </c>
      <c r="AE2544" t="str">
        <f>IF(OR(Configuracao!B9="",Configuracao!B10=""),"aguardando limiar",IF(AND(K2544&gt;=Configuracao!B9,K2544/MAX(Reconciliacao!C2,1)&gt;=Configuracao!B10/100),"sim","não"))</f>
        <v>aguardando limiar</v>
      </c>
    </row>
    <row r="2545" spans="1:31" x14ac:dyDescent="0.25">
      <c r="A2545">
        <v>10343</v>
      </c>
      <c r="C2545" t="s">
        <v>1505</v>
      </c>
      <c r="D2545" t="s">
        <v>949</v>
      </c>
      <c r="E2545" t="s">
        <v>511</v>
      </c>
      <c r="F2545" t="s">
        <v>232</v>
      </c>
      <c r="G2545" t="s">
        <v>231</v>
      </c>
      <c r="H2545" t="s">
        <v>230</v>
      </c>
      <c r="I2545" t="s">
        <v>461</v>
      </c>
      <c r="J2545" t="s">
        <v>461</v>
      </c>
      <c r="K2545" s="4">
        <v>1235.01</v>
      </c>
      <c r="L2545" s="4">
        <v>1235.01</v>
      </c>
      <c r="M2545" t="s">
        <v>44</v>
      </c>
      <c r="N2545" t="s">
        <v>77</v>
      </c>
      <c r="O2545" t="s">
        <v>99</v>
      </c>
      <c r="P2545" t="s">
        <v>99</v>
      </c>
      <c r="Q2545" t="s">
        <v>159</v>
      </c>
      <c r="R2545" t="s">
        <v>233</v>
      </c>
      <c r="S2545" t="s">
        <v>161</v>
      </c>
      <c r="T2545" t="s">
        <v>162</v>
      </c>
      <c r="U2545" t="s">
        <v>163</v>
      </c>
      <c r="V2545" t="s">
        <v>164</v>
      </c>
      <c r="W2545" t="s">
        <v>116</v>
      </c>
      <c r="X2545" t="s">
        <v>44</v>
      </c>
      <c r="Y2545" t="s">
        <v>99</v>
      </c>
      <c r="Z2545" t="s">
        <v>421</v>
      </c>
      <c r="AC2545" t="str">
        <f>IF(AA2545="",M2545,AA2545)</f>
        <v>sim</v>
      </c>
      <c r="AD2545" t="str">
        <f>IF(AB2545="",X2545,AB2545)</f>
        <v>sim</v>
      </c>
      <c r="AE2545" t="str">
        <f>IF(OR(Configuracao!B9="",Configuracao!B10=""),"aguardando limiar",IF(AND(K2545&gt;=Configuracao!B9,K2545/MAX(Reconciliacao!C2,1)&gt;=Configuracao!B10/100),"sim","não"))</f>
        <v>aguardando limiar</v>
      </c>
    </row>
    <row r="2546" spans="1:31" x14ac:dyDescent="0.25">
      <c r="A2546">
        <v>10344</v>
      </c>
      <c r="C2546" t="s">
        <v>1505</v>
      </c>
      <c r="D2546" t="s">
        <v>949</v>
      </c>
      <c r="E2546" t="s">
        <v>511</v>
      </c>
      <c r="F2546" t="s">
        <v>232</v>
      </c>
      <c r="G2546" t="s">
        <v>231</v>
      </c>
      <c r="H2546" t="s">
        <v>230</v>
      </c>
      <c r="I2546" t="s">
        <v>442</v>
      </c>
      <c r="J2546" t="s">
        <v>442</v>
      </c>
      <c r="K2546" s="4">
        <v>1235.01</v>
      </c>
      <c r="L2546" s="4">
        <v>1235.01</v>
      </c>
      <c r="M2546" t="s">
        <v>44</v>
      </c>
      <c r="N2546" t="s">
        <v>77</v>
      </c>
      <c r="O2546" t="s">
        <v>99</v>
      </c>
      <c r="P2546" t="s">
        <v>99</v>
      </c>
      <c r="Q2546" t="s">
        <v>159</v>
      </c>
      <c r="R2546" t="s">
        <v>233</v>
      </c>
      <c r="S2546" t="s">
        <v>161</v>
      </c>
      <c r="T2546" t="s">
        <v>162</v>
      </c>
      <c r="U2546" t="s">
        <v>163</v>
      </c>
      <c r="V2546" t="s">
        <v>164</v>
      </c>
      <c r="W2546" t="s">
        <v>116</v>
      </c>
      <c r="X2546" t="s">
        <v>44</v>
      </c>
      <c r="Y2546" t="s">
        <v>99</v>
      </c>
      <c r="Z2546" t="s">
        <v>421</v>
      </c>
      <c r="AC2546" t="str">
        <f>IF(AA2546="",M2546,AA2546)</f>
        <v>sim</v>
      </c>
      <c r="AD2546" t="str">
        <f>IF(AB2546="",X2546,AB2546)</f>
        <v>sim</v>
      </c>
      <c r="AE2546" t="str">
        <f>IF(OR(Configuracao!B9="",Configuracao!B10=""),"aguardando limiar",IF(AND(K2546&gt;=Configuracao!B9,K2546/MAX(Reconciliacao!C2,1)&gt;=Configuracao!B10/100),"sim","não"))</f>
        <v>aguardando limiar</v>
      </c>
    </row>
    <row r="2547" spans="1:31" x14ac:dyDescent="0.25">
      <c r="A2547">
        <v>10345</v>
      </c>
      <c r="C2547" t="s">
        <v>1505</v>
      </c>
      <c r="D2547" t="s">
        <v>949</v>
      </c>
      <c r="E2547" t="s">
        <v>511</v>
      </c>
      <c r="F2547" t="s">
        <v>232</v>
      </c>
      <c r="G2547" t="s">
        <v>231</v>
      </c>
      <c r="H2547" t="s">
        <v>230</v>
      </c>
      <c r="I2547" t="s">
        <v>439</v>
      </c>
      <c r="J2547" t="s">
        <v>439</v>
      </c>
      <c r="K2547" s="4">
        <v>1235.01</v>
      </c>
      <c r="L2547" s="4">
        <v>1235.01</v>
      </c>
      <c r="M2547" t="s">
        <v>44</v>
      </c>
      <c r="N2547" t="s">
        <v>77</v>
      </c>
      <c r="O2547" t="s">
        <v>99</v>
      </c>
      <c r="P2547" t="s">
        <v>99</v>
      </c>
      <c r="Q2547" t="s">
        <v>159</v>
      </c>
      <c r="R2547" t="s">
        <v>233</v>
      </c>
      <c r="S2547" t="s">
        <v>161</v>
      </c>
      <c r="T2547" t="s">
        <v>162</v>
      </c>
      <c r="U2547" t="s">
        <v>163</v>
      </c>
      <c r="V2547" t="s">
        <v>164</v>
      </c>
      <c r="W2547" t="s">
        <v>116</v>
      </c>
      <c r="X2547" t="s">
        <v>44</v>
      </c>
      <c r="Y2547" t="s">
        <v>99</v>
      </c>
      <c r="Z2547" t="s">
        <v>421</v>
      </c>
      <c r="AC2547" t="str">
        <f>IF(AA2547="",M2547,AA2547)</f>
        <v>sim</v>
      </c>
      <c r="AD2547" t="str">
        <f>IF(AB2547="",X2547,AB2547)</f>
        <v>sim</v>
      </c>
      <c r="AE2547" t="str">
        <f>IF(OR(Configuracao!B9="",Configuracao!B10=""),"aguardando limiar",IF(AND(K2547&gt;=Configuracao!B9,K2547/MAX(Reconciliacao!C2,1)&gt;=Configuracao!B10/100),"sim","não"))</f>
        <v>aguardando limiar</v>
      </c>
    </row>
    <row r="2548" spans="1:31" x14ac:dyDescent="0.25">
      <c r="A2548">
        <v>10346</v>
      </c>
      <c r="C2548" t="s">
        <v>1505</v>
      </c>
      <c r="D2548" t="s">
        <v>949</v>
      </c>
      <c r="E2548" t="s">
        <v>511</v>
      </c>
      <c r="F2548" t="s">
        <v>232</v>
      </c>
      <c r="G2548" t="s">
        <v>231</v>
      </c>
      <c r="H2548" t="s">
        <v>230</v>
      </c>
      <c r="I2548" t="s">
        <v>35</v>
      </c>
      <c r="J2548" t="s">
        <v>35</v>
      </c>
      <c r="K2548" s="4">
        <v>1235.01</v>
      </c>
      <c r="L2548" s="4">
        <v>1235.01</v>
      </c>
      <c r="M2548" t="s">
        <v>44</v>
      </c>
      <c r="N2548" t="s">
        <v>77</v>
      </c>
      <c r="O2548" t="s">
        <v>99</v>
      </c>
      <c r="P2548" t="s">
        <v>99</v>
      </c>
      <c r="Q2548" t="s">
        <v>159</v>
      </c>
      <c r="R2548" t="s">
        <v>233</v>
      </c>
      <c r="S2548" t="s">
        <v>161</v>
      </c>
      <c r="T2548" t="s">
        <v>162</v>
      </c>
      <c r="U2548" t="s">
        <v>163</v>
      </c>
      <c r="V2548" t="s">
        <v>164</v>
      </c>
      <c r="W2548" t="s">
        <v>116</v>
      </c>
      <c r="X2548" t="s">
        <v>44</v>
      </c>
      <c r="Y2548" t="s">
        <v>99</v>
      </c>
      <c r="Z2548" t="s">
        <v>421</v>
      </c>
      <c r="AC2548" t="str">
        <f>IF(AA2548="",M2548,AA2548)</f>
        <v>sim</v>
      </c>
      <c r="AD2548" t="str">
        <f>IF(AB2548="",X2548,AB2548)</f>
        <v>sim</v>
      </c>
      <c r="AE2548" t="str">
        <f>IF(OR(Configuracao!B9="",Configuracao!B10=""),"aguardando limiar",IF(AND(K2548&gt;=Configuracao!B9,K2548/MAX(Reconciliacao!C2,1)&gt;=Configuracao!B10/100),"sim","não"))</f>
        <v>aguardando limiar</v>
      </c>
    </row>
    <row r="2549" spans="1:31" x14ac:dyDescent="0.25">
      <c r="A2549">
        <v>6943</v>
      </c>
      <c r="C2549" t="s">
        <v>1443</v>
      </c>
      <c r="D2549" t="s">
        <v>1444</v>
      </c>
      <c r="E2549" t="s">
        <v>465</v>
      </c>
      <c r="F2549" t="s">
        <v>232</v>
      </c>
      <c r="G2549" t="s">
        <v>231</v>
      </c>
      <c r="H2549" t="s">
        <v>230</v>
      </c>
      <c r="I2549" t="s">
        <v>424</v>
      </c>
      <c r="J2549" t="s">
        <v>424</v>
      </c>
      <c r="K2549" s="4">
        <v>1476.31</v>
      </c>
      <c r="L2549" s="4">
        <v>1476.31</v>
      </c>
      <c r="M2549" t="s">
        <v>44</v>
      </c>
      <c r="N2549" t="s">
        <v>77</v>
      </c>
      <c r="O2549" t="s">
        <v>99</v>
      </c>
      <c r="P2549" t="s">
        <v>99</v>
      </c>
      <c r="Q2549" t="s">
        <v>159</v>
      </c>
      <c r="R2549" t="s">
        <v>233</v>
      </c>
      <c r="S2549" t="s">
        <v>161</v>
      </c>
      <c r="T2549" t="s">
        <v>162</v>
      </c>
      <c r="U2549" t="s">
        <v>163</v>
      </c>
      <c r="V2549" t="s">
        <v>164</v>
      </c>
      <c r="W2549" t="s">
        <v>116</v>
      </c>
      <c r="X2549" t="s">
        <v>44</v>
      </c>
      <c r="Y2549" t="s">
        <v>99</v>
      </c>
      <c r="Z2549" t="s">
        <v>421</v>
      </c>
      <c r="AC2549" t="str">
        <f>IF(AA2549="",M2549,AA2549)</f>
        <v>sim</v>
      </c>
      <c r="AD2549" t="str">
        <f>IF(AB2549="",X2549,AB2549)</f>
        <v>sim</v>
      </c>
      <c r="AE2549" t="str">
        <f>IF(OR(Configuracao!B9="",Configuracao!B10=""),"aguardando limiar",IF(AND(K2549&gt;=Configuracao!B9,K2549/MAX(Reconciliacao!C2,1)&gt;=Configuracao!B10/100),"sim","não"))</f>
        <v>aguardando limiar</v>
      </c>
    </row>
    <row r="2550" spans="1:31" x14ac:dyDescent="0.25">
      <c r="A2550">
        <v>6944</v>
      </c>
      <c r="C2550" t="s">
        <v>1443</v>
      </c>
      <c r="D2550" t="s">
        <v>1444</v>
      </c>
      <c r="E2550" t="s">
        <v>465</v>
      </c>
      <c r="F2550" t="s">
        <v>232</v>
      </c>
      <c r="G2550" t="s">
        <v>231</v>
      </c>
      <c r="H2550" t="s">
        <v>230</v>
      </c>
      <c r="I2550" t="s">
        <v>420</v>
      </c>
      <c r="J2550" t="s">
        <v>420</v>
      </c>
      <c r="K2550" s="4">
        <v>1476.31</v>
      </c>
      <c r="L2550" s="4">
        <v>1476.31</v>
      </c>
      <c r="M2550" t="s">
        <v>44</v>
      </c>
      <c r="N2550" t="s">
        <v>77</v>
      </c>
      <c r="O2550" t="s">
        <v>99</v>
      </c>
      <c r="P2550" t="s">
        <v>99</v>
      </c>
      <c r="Q2550" t="s">
        <v>159</v>
      </c>
      <c r="R2550" t="s">
        <v>233</v>
      </c>
      <c r="S2550" t="s">
        <v>161</v>
      </c>
      <c r="T2550" t="s">
        <v>162</v>
      </c>
      <c r="U2550" t="s">
        <v>163</v>
      </c>
      <c r="V2550" t="s">
        <v>164</v>
      </c>
      <c r="W2550" t="s">
        <v>116</v>
      </c>
      <c r="X2550" t="s">
        <v>44</v>
      </c>
      <c r="Y2550" t="s">
        <v>99</v>
      </c>
      <c r="Z2550" t="s">
        <v>421</v>
      </c>
      <c r="AC2550" t="str">
        <f>IF(AA2550="",M2550,AA2550)</f>
        <v>sim</v>
      </c>
      <c r="AD2550" t="str">
        <f>IF(AB2550="",X2550,AB2550)</f>
        <v>sim</v>
      </c>
      <c r="AE2550" t="str">
        <f>IF(OR(Configuracao!B9="",Configuracao!B10=""),"aguardando limiar",IF(AND(K2550&gt;=Configuracao!B9,K2550/MAX(Reconciliacao!C2,1)&gt;=Configuracao!B10/100),"sim","não"))</f>
        <v>aguardando limiar</v>
      </c>
    </row>
    <row r="2551" spans="1:31" x14ac:dyDescent="0.25">
      <c r="A2551">
        <v>6945</v>
      </c>
      <c r="C2551" t="s">
        <v>1443</v>
      </c>
      <c r="D2551" t="s">
        <v>1444</v>
      </c>
      <c r="E2551" t="s">
        <v>465</v>
      </c>
      <c r="F2551" t="s">
        <v>232</v>
      </c>
      <c r="G2551" t="s">
        <v>231</v>
      </c>
      <c r="H2551" t="s">
        <v>230</v>
      </c>
      <c r="I2551" t="s">
        <v>454</v>
      </c>
      <c r="J2551" t="s">
        <v>454</v>
      </c>
      <c r="K2551" s="4">
        <v>1476.31</v>
      </c>
      <c r="L2551" s="4">
        <v>1476.31</v>
      </c>
      <c r="M2551" t="s">
        <v>44</v>
      </c>
      <c r="N2551" t="s">
        <v>77</v>
      </c>
      <c r="O2551" t="s">
        <v>99</v>
      </c>
      <c r="P2551" t="s">
        <v>99</v>
      </c>
      <c r="Q2551" t="s">
        <v>159</v>
      </c>
      <c r="R2551" t="s">
        <v>233</v>
      </c>
      <c r="S2551" t="s">
        <v>161</v>
      </c>
      <c r="T2551" t="s">
        <v>162</v>
      </c>
      <c r="U2551" t="s">
        <v>163</v>
      </c>
      <c r="V2551" t="s">
        <v>164</v>
      </c>
      <c r="W2551" t="s">
        <v>116</v>
      </c>
      <c r="X2551" t="s">
        <v>44</v>
      </c>
      <c r="Y2551" t="s">
        <v>99</v>
      </c>
      <c r="Z2551" t="s">
        <v>421</v>
      </c>
      <c r="AC2551" t="str">
        <f>IF(AA2551="",M2551,AA2551)</f>
        <v>sim</v>
      </c>
      <c r="AD2551" t="str">
        <f>IF(AB2551="",X2551,AB2551)</f>
        <v>sim</v>
      </c>
      <c r="AE2551" t="str">
        <f>IF(OR(Configuracao!B9="",Configuracao!B10=""),"aguardando limiar",IF(AND(K2551&gt;=Configuracao!B9,K2551/MAX(Reconciliacao!C2,1)&gt;=Configuracao!B10/100),"sim","não"))</f>
        <v>aguardando limiar</v>
      </c>
    </row>
    <row r="2552" spans="1:31" x14ac:dyDescent="0.25">
      <c r="A2552">
        <v>6946</v>
      </c>
      <c r="C2552" t="s">
        <v>1443</v>
      </c>
      <c r="D2552" t="s">
        <v>1444</v>
      </c>
      <c r="E2552" t="s">
        <v>465</v>
      </c>
      <c r="F2552" t="s">
        <v>232</v>
      </c>
      <c r="G2552" t="s">
        <v>231</v>
      </c>
      <c r="H2552" t="s">
        <v>230</v>
      </c>
      <c r="I2552" t="s">
        <v>461</v>
      </c>
      <c r="J2552" t="s">
        <v>461</v>
      </c>
      <c r="K2552" s="4">
        <v>1476.31</v>
      </c>
      <c r="L2552" s="4">
        <v>1476.31</v>
      </c>
      <c r="M2552" t="s">
        <v>44</v>
      </c>
      <c r="N2552" t="s">
        <v>77</v>
      </c>
      <c r="O2552" t="s">
        <v>99</v>
      </c>
      <c r="P2552" t="s">
        <v>99</v>
      </c>
      <c r="Q2552" t="s">
        <v>159</v>
      </c>
      <c r="R2552" t="s">
        <v>233</v>
      </c>
      <c r="S2552" t="s">
        <v>161</v>
      </c>
      <c r="T2552" t="s">
        <v>162</v>
      </c>
      <c r="U2552" t="s">
        <v>163</v>
      </c>
      <c r="V2552" t="s">
        <v>164</v>
      </c>
      <c r="W2552" t="s">
        <v>116</v>
      </c>
      <c r="X2552" t="s">
        <v>44</v>
      </c>
      <c r="Y2552" t="s">
        <v>99</v>
      </c>
      <c r="Z2552" t="s">
        <v>421</v>
      </c>
      <c r="AC2552" t="str">
        <f>IF(AA2552="",M2552,AA2552)</f>
        <v>sim</v>
      </c>
      <c r="AD2552" t="str">
        <f>IF(AB2552="",X2552,AB2552)</f>
        <v>sim</v>
      </c>
      <c r="AE2552" t="str">
        <f>IF(OR(Configuracao!B9="",Configuracao!B10=""),"aguardando limiar",IF(AND(K2552&gt;=Configuracao!B9,K2552/MAX(Reconciliacao!C2,1)&gt;=Configuracao!B10/100),"sim","não"))</f>
        <v>aguardando limiar</v>
      </c>
    </row>
    <row r="2553" spans="1:31" x14ac:dyDescent="0.25">
      <c r="A2553">
        <v>6947</v>
      </c>
      <c r="C2553" t="s">
        <v>1443</v>
      </c>
      <c r="D2553" t="s">
        <v>1444</v>
      </c>
      <c r="E2553" t="s">
        <v>465</v>
      </c>
      <c r="F2553" t="s">
        <v>232</v>
      </c>
      <c r="G2553" t="s">
        <v>231</v>
      </c>
      <c r="H2553" t="s">
        <v>230</v>
      </c>
      <c r="I2553" t="s">
        <v>442</v>
      </c>
      <c r="J2553" t="s">
        <v>442</v>
      </c>
      <c r="K2553" s="4">
        <v>1476.31</v>
      </c>
      <c r="L2553" s="4">
        <v>1476.31</v>
      </c>
      <c r="M2553" t="s">
        <v>44</v>
      </c>
      <c r="N2553" t="s">
        <v>77</v>
      </c>
      <c r="O2553" t="s">
        <v>99</v>
      </c>
      <c r="P2553" t="s">
        <v>99</v>
      </c>
      <c r="Q2553" t="s">
        <v>159</v>
      </c>
      <c r="R2553" t="s">
        <v>233</v>
      </c>
      <c r="S2553" t="s">
        <v>161</v>
      </c>
      <c r="T2553" t="s">
        <v>162</v>
      </c>
      <c r="U2553" t="s">
        <v>163</v>
      </c>
      <c r="V2553" t="s">
        <v>164</v>
      </c>
      <c r="W2553" t="s">
        <v>116</v>
      </c>
      <c r="X2553" t="s">
        <v>44</v>
      </c>
      <c r="Y2553" t="s">
        <v>99</v>
      </c>
      <c r="Z2553" t="s">
        <v>421</v>
      </c>
      <c r="AC2553" t="str">
        <f>IF(AA2553="",M2553,AA2553)</f>
        <v>sim</v>
      </c>
      <c r="AD2553" t="str">
        <f>IF(AB2553="",X2553,AB2553)</f>
        <v>sim</v>
      </c>
      <c r="AE2553" t="str">
        <f>IF(OR(Configuracao!B9="",Configuracao!B10=""),"aguardando limiar",IF(AND(K2553&gt;=Configuracao!B9,K2553/MAX(Reconciliacao!C2,1)&gt;=Configuracao!B10/100),"sim","não"))</f>
        <v>aguardando limiar</v>
      </c>
    </row>
    <row r="2554" spans="1:31" x14ac:dyDescent="0.25">
      <c r="A2554">
        <v>6948</v>
      </c>
      <c r="C2554" t="s">
        <v>1443</v>
      </c>
      <c r="D2554" t="s">
        <v>1444</v>
      </c>
      <c r="E2554" t="s">
        <v>465</v>
      </c>
      <c r="F2554" t="s">
        <v>232</v>
      </c>
      <c r="G2554" t="s">
        <v>231</v>
      </c>
      <c r="H2554" t="s">
        <v>230</v>
      </c>
      <c r="I2554" t="s">
        <v>439</v>
      </c>
      <c r="J2554" t="s">
        <v>439</v>
      </c>
      <c r="K2554" s="4">
        <v>1476.31</v>
      </c>
      <c r="L2554" s="4">
        <v>1476.31</v>
      </c>
      <c r="M2554" t="s">
        <v>44</v>
      </c>
      <c r="N2554" t="s">
        <v>77</v>
      </c>
      <c r="O2554" t="s">
        <v>99</v>
      </c>
      <c r="P2554" t="s">
        <v>99</v>
      </c>
      <c r="Q2554" t="s">
        <v>159</v>
      </c>
      <c r="R2554" t="s">
        <v>233</v>
      </c>
      <c r="S2554" t="s">
        <v>161</v>
      </c>
      <c r="T2554" t="s">
        <v>162</v>
      </c>
      <c r="U2554" t="s">
        <v>163</v>
      </c>
      <c r="V2554" t="s">
        <v>164</v>
      </c>
      <c r="W2554" t="s">
        <v>116</v>
      </c>
      <c r="X2554" t="s">
        <v>44</v>
      </c>
      <c r="Y2554" t="s">
        <v>99</v>
      </c>
      <c r="Z2554" t="s">
        <v>421</v>
      </c>
      <c r="AC2554" t="str">
        <f>IF(AA2554="",M2554,AA2554)</f>
        <v>sim</v>
      </c>
      <c r="AD2554" t="str">
        <f>IF(AB2554="",X2554,AB2554)</f>
        <v>sim</v>
      </c>
      <c r="AE2554" t="str">
        <f>IF(OR(Configuracao!B9="",Configuracao!B10=""),"aguardando limiar",IF(AND(K2554&gt;=Configuracao!B9,K2554/MAX(Reconciliacao!C2,1)&gt;=Configuracao!B10/100),"sim","não"))</f>
        <v>aguardando limiar</v>
      </c>
    </row>
    <row r="2555" spans="1:31" x14ac:dyDescent="0.25">
      <c r="A2555">
        <v>6949</v>
      </c>
      <c r="C2555" t="s">
        <v>1443</v>
      </c>
      <c r="D2555" t="s">
        <v>1444</v>
      </c>
      <c r="E2555" t="s">
        <v>465</v>
      </c>
      <c r="F2555" t="s">
        <v>232</v>
      </c>
      <c r="G2555" t="s">
        <v>231</v>
      </c>
      <c r="H2555" t="s">
        <v>230</v>
      </c>
      <c r="I2555" t="s">
        <v>35</v>
      </c>
      <c r="J2555" t="s">
        <v>35</v>
      </c>
      <c r="K2555" s="4">
        <v>1476.31</v>
      </c>
      <c r="L2555" s="4">
        <v>1476.31</v>
      </c>
      <c r="M2555" t="s">
        <v>44</v>
      </c>
      <c r="N2555" t="s">
        <v>77</v>
      </c>
      <c r="O2555" t="s">
        <v>99</v>
      </c>
      <c r="P2555" t="s">
        <v>99</v>
      </c>
      <c r="Q2555" t="s">
        <v>159</v>
      </c>
      <c r="R2555" t="s">
        <v>233</v>
      </c>
      <c r="S2555" t="s">
        <v>161</v>
      </c>
      <c r="T2555" t="s">
        <v>162</v>
      </c>
      <c r="U2555" t="s">
        <v>163</v>
      </c>
      <c r="V2555" t="s">
        <v>164</v>
      </c>
      <c r="W2555" t="s">
        <v>116</v>
      </c>
      <c r="X2555" t="s">
        <v>44</v>
      </c>
      <c r="Y2555" t="s">
        <v>99</v>
      </c>
      <c r="Z2555" t="s">
        <v>421</v>
      </c>
      <c r="AC2555" t="str">
        <f>IF(AA2555="",M2555,AA2555)</f>
        <v>sim</v>
      </c>
      <c r="AD2555" t="str">
        <f>IF(AB2555="",X2555,AB2555)</f>
        <v>sim</v>
      </c>
      <c r="AE2555" t="str">
        <f>IF(OR(Configuracao!B9="",Configuracao!B10=""),"aguardando limiar",IF(AND(K2555&gt;=Configuracao!B9,K2555/MAX(Reconciliacao!C2,1)&gt;=Configuracao!B10/100),"sim","não"))</f>
        <v>aguardando limiar</v>
      </c>
    </row>
    <row r="2556" spans="1:31" x14ac:dyDescent="0.25">
      <c r="A2556">
        <v>11871</v>
      </c>
      <c r="C2556" t="s">
        <v>1506</v>
      </c>
      <c r="D2556" t="s">
        <v>949</v>
      </c>
      <c r="E2556" t="s">
        <v>467</v>
      </c>
      <c r="F2556" t="s">
        <v>232</v>
      </c>
      <c r="G2556" t="s">
        <v>231</v>
      </c>
      <c r="H2556" t="s">
        <v>230</v>
      </c>
      <c r="I2556" t="s">
        <v>32</v>
      </c>
      <c r="J2556" t="s">
        <v>32</v>
      </c>
      <c r="K2556" s="4">
        <v>1486.2</v>
      </c>
      <c r="L2556" s="4">
        <v>1486.2</v>
      </c>
      <c r="M2556" t="s">
        <v>44</v>
      </c>
      <c r="N2556" t="s">
        <v>77</v>
      </c>
      <c r="O2556" t="s">
        <v>99</v>
      </c>
      <c r="P2556" t="s">
        <v>99</v>
      </c>
      <c r="Q2556" t="s">
        <v>159</v>
      </c>
      <c r="R2556" t="s">
        <v>233</v>
      </c>
      <c r="S2556" t="s">
        <v>161</v>
      </c>
      <c r="T2556" t="s">
        <v>162</v>
      </c>
      <c r="U2556" t="s">
        <v>163</v>
      </c>
      <c r="V2556" t="s">
        <v>164</v>
      </c>
      <c r="W2556" t="s">
        <v>116</v>
      </c>
      <c r="X2556" t="s">
        <v>44</v>
      </c>
      <c r="Y2556" t="s">
        <v>99</v>
      </c>
      <c r="Z2556" t="s">
        <v>421</v>
      </c>
      <c r="AC2556" t="str">
        <f>IF(AA2556="",M2556,AA2556)</f>
        <v>sim</v>
      </c>
      <c r="AD2556" t="str">
        <f>IF(AB2556="",X2556,AB2556)</f>
        <v>sim</v>
      </c>
      <c r="AE2556" t="str">
        <f>IF(OR(Configuracao!B9="",Configuracao!B10=""),"aguardando limiar",IF(AND(K2556&gt;=Configuracao!B9,K2556/MAX(Reconciliacao!C2,1)&gt;=Configuracao!B10/100),"sim","não"))</f>
        <v>aguardando limiar</v>
      </c>
    </row>
    <row r="2557" spans="1:31" x14ac:dyDescent="0.25">
      <c r="A2557">
        <v>13353</v>
      </c>
      <c r="C2557" t="s">
        <v>1506</v>
      </c>
      <c r="D2557" t="s">
        <v>949</v>
      </c>
      <c r="E2557" t="s">
        <v>467</v>
      </c>
      <c r="F2557" t="s">
        <v>232</v>
      </c>
      <c r="G2557" t="s">
        <v>231</v>
      </c>
      <c r="H2557" t="s">
        <v>230</v>
      </c>
      <c r="I2557" t="s">
        <v>424</v>
      </c>
      <c r="J2557" t="s">
        <v>424</v>
      </c>
      <c r="K2557" s="4">
        <v>1486.2</v>
      </c>
      <c r="L2557" s="4">
        <v>1486.2</v>
      </c>
      <c r="M2557" t="s">
        <v>44</v>
      </c>
      <c r="N2557" t="s">
        <v>77</v>
      </c>
      <c r="O2557" t="s">
        <v>99</v>
      </c>
      <c r="P2557" t="s">
        <v>99</v>
      </c>
      <c r="Q2557" t="s">
        <v>159</v>
      </c>
      <c r="R2557" t="s">
        <v>233</v>
      </c>
      <c r="S2557" t="s">
        <v>161</v>
      </c>
      <c r="T2557" t="s">
        <v>162</v>
      </c>
      <c r="U2557" t="s">
        <v>163</v>
      </c>
      <c r="V2557" t="s">
        <v>164</v>
      </c>
      <c r="W2557" t="s">
        <v>116</v>
      </c>
      <c r="X2557" t="s">
        <v>44</v>
      </c>
      <c r="Y2557" t="s">
        <v>99</v>
      </c>
      <c r="Z2557" t="s">
        <v>421</v>
      </c>
      <c r="AC2557" t="str">
        <f>IF(AA2557="",M2557,AA2557)</f>
        <v>sim</v>
      </c>
      <c r="AD2557" t="str">
        <f>IF(AB2557="",X2557,AB2557)</f>
        <v>sim</v>
      </c>
      <c r="AE2557" t="str">
        <f>IF(OR(Configuracao!B9="",Configuracao!B10=""),"aguardando limiar",IF(AND(K2557&gt;=Configuracao!B9,K2557/MAX(Reconciliacao!C2,1)&gt;=Configuracao!B10/100),"sim","não"))</f>
        <v>aguardando limiar</v>
      </c>
    </row>
    <row r="2558" spans="1:31" x14ac:dyDescent="0.25">
      <c r="A2558">
        <v>6942</v>
      </c>
      <c r="C2558" t="s">
        <v>1443</v>
      </c>
      <c r="D2558" t="s">
        <v>1444</v>
      </c>
      <c r="E2558" t="s">
        <v>465</v>
      </c>
      <c r="F2558" t="s">
        <v>232</v>
      </c>
      <c r="G2558" t="s">
        <v>231</v>
      </c>
      <c r="H2558" t="s">
        <v>230</v>
      </c>
      <c r="I2558" t="s">
        <v>32</v>
      </c>
      <c r="J2558" t="s">
        <v>32</v>
      </c>
      <c r="K2558" s="4">
        <v>1486.31</v>
      </c>
      <c r="L2558" s="4">
        <v>1486.31</v>
      </c>
      <c r="M2558" t="s">
        <v>44</v>
      </c>
      <c r="N2558" t="s">
        <v>77</v>
      </c>
      <c r="O2558" t="s">
        <v>99</v>
      </c>
      <c r="P2558" t="s">
        <v>99</v>
      </c>
      <c r="Q2558" t="s">
        <v>159</v>
      </c>
      <c r="R2558" t="s">
        <v>233</v>
      </c>
      <c r="S2558" t="s">
        <v>161</v>
      </c>
      <c r="T2558" t="s">
        <v>162</v>
      </c>
      <c r="U2558" t="s">
        <v>163</v>
      </c>
      <c r="V2558" t="s">
        <v>164</v>
      </c>
      <c r="W2558" t="s">
        <v>116</v>
      </c>
      <c r="X2558" t="s">
        <v>44</v>
      </c>
      <c r="Y2558" t="s">
        <v>99</v>
      </c>
      <c r="Z2558" t="s">
        <v>421</v>
      </c>
      <c r="AC2558" t="str">
        <f>IF(AA2558="",M2558,AA2558)</f>
        <v>sim</v>
      </c>
      <c r="AD2558" t="str">
        <f>IF(AB2558="",X2558,AB2558)</f>
        <v>sim</v>
      </c>
      <c r="AE2558" t="str">
        <f>IF(OR(Configuracao!B9="",Configuracao!B10=""),"aguardando limiar",IF(AND(K2558&gt;=Configuracao!B9,K2558/MAX(Reconciliacao!C2,1)&gt;=Configuracao!B10/100),"sim","não"))</f>
        <v>aguardando limiar</v>
      </c>
    </row>
    <row r="2559" spans="1:31" x14ac:dyDescent="0.25">
      <c r="A2559">
        <v>15826</v>
      </c>
      <c r="C2559" t="s">
        <v>1506</v>
      </c>
      <c r="D2559" t="s">
        <v>949</v>
      </c>
      <c r="E2559" t="s">
        <v>467</v>
      </c>
      <c r="F2559" t="s">
        <v>232</v>
      </c>
      <c r="G2559" t="s">
        <v>231</v>
      </c>
      <c r="H2559" t="s">
        <v>230</v>
      </c>
      <c r="I2559" t="s">
        <v>454</v>
      </c>
      <c r="J2559" t="s">
        <v>454</v>
      </c>
      <c r="K2559" s="4">
        <v>1712.54</v>
      </c>
      <c r="L2559" s="4">
        <v>1712.54</v>
      </c>
      <c r="M2559" t="s">
        <v>44</v>
      </c>
      <c r="N2559" t="s">
        <v>77</v>
      </c>
      <c r="O2559" t="s">
        <v>99</v>
      </c>
      <c r="P2559" t="s">
        <v>99</v>
      </c>
      <c r="Q2559" t="s">
        <v>159</v>
      </c>
      <c r="R2559" t="s">
        <v>233</v>
      </c>
      <c r="S2559" t="s">
        <v>161</v>
      </c>
      <c r="T2559" t="s">
        <v>162</v>
      </c>
      <c r="U2559" t="s">
        <v>163</v>
      </c>
      <c r="V2559" t="s">
        <v>164</v>
      </c>
      <c r="W2559" t="s">
        <v>116</v>
      </c>
      <c r="X2559" t="s">
        <v>44</v>
      </c>
      <c r="Y2559" t="s">
        <v>99</v>
      </c>
      <c r="Z2559" t="s">
        <v>421</v>
      </c>
      <c r="AC2559" t="str">
        <f>IF(AA2559="",M2559,AA2559)</f>
        <v>sim</v>
      </c>
      <c r="AD2559" t="str">
        <f>IF(AB2559="",X2559,AB2559)</f>
        <v>sim</v>
      </c>
      <c r="AE2559" t="str">
        <f>IF(OR(Configuracao!B9="",Configuracao!B10=""),"aguardando limiar",IF(AND(K2559&gt;=Configuracao!B9,K2559/MAX(Reconciliacao!C2,1)&gt;=Configuracao!B10/100),"sim","não"))</f>
        <v>aguardando limiar</v>
      </c>
    </row>
    <row r="2560" spans="1:31" x14ac:dyDescent="0.25">
      <c r="A2560">
        <v>16089</v>
      </c>
      <c r="C2560" t="s">
        <v>1506</v>
      </c>
      <c r="D2560" t="s">
        <v>949</v>
      </c>
      <c r="E2560" t="s">
        <v>467</v>
      </c>
      <c r="F2560" t="s">
        <v>232</v>
      </c>
      <c r="G2560" t="s">
        <v>231</v>
      </c>
      <c r="H2560" t="s">
        <v>230</v>
      </c>
      <c r="I2560" t="s">
        <v>420</v>
      </c>
      <c r="J2560" t="s">
        <v>420</v>
      </c>
      <c r="K2560" s="4">
        <v>1712.54</v>
      </c>
      <c r="L2560" s="4">
        <v>1712.54</v>
      </c>
      <c r="M2560" t="s">
        <v>44</v>
      </c>
      <c r="N2560" t="s">
        <v>77</v>
      </c>
      <c r="O2560" t="s">
        <v>99</v>
      </c>
      <c r="P2560" t="s">
        <v>99</v>
      </c>
      <c r="Q2560" t="s">
        <v>159</v>
      </c>
      <c r="R2560" t="s">
        <v>233</v>
      </c>
      <c r="S2560" t="s">
        <v>161</v>
      </c>
      <c r="T2560" t="s">
        <v>162</v>
      </c>
      <c r="U2560" t="s">
        <v>163</v>
      </c>
      <c r="V2560" t="s">
        <v>164</v>
      </c>
      <c r="W2560" t="s">
        <v>116</v>
      </c>
      <c r="X2560" t="s">
        <v>44</v>
      </c>
      <c r="Y2560" t="s">
        <v>99</v>
      </c>
      <c r="Z2560" t="s">
        <v>421</v>
      </c>
      <c r="AC2560" t="str">
        <f>IF(AA2560="",M2560,AA2560)</f>
        <v>sim</v>
      </c>
      <c r="AD2560" t="str">
        <f>IF(AB2560="",X2560,AB2560)</f>
        <v>sim</v>
      </c>
      <c r="AE2560" t="str">
        <f>IF(OR(Configuracao!B9="",Configuracao!B10=""),"aguardando limiar",IF(AND(K2560&gt;=Configuracao!B9,K2560/MAX(Reconciliacao!C2,1)&gt;=Configuracao!B10/100),"sim","não"))</f>
        <v>aguardando limiar</v>
      </c>
    </row>
    <row r="2561" spans="1:31" x14ac:dyDescent="0.25">
      <c r="A2561">
        <v>16933</v>
      </c>
      <c r="C2561" t="s">
        <v>1506</v>
      </c>
      <c r="D2561" t="s">
        <v>949</v>
      </c>
      <c r="E2561" t="s">
        <v>467</v>
      </c>
      <c r="F2561" t="s">
        <v>232</v>
      </c>
      <c r="G2561" t="s">
        <v>231</v>
      </c>
      <c r="H2561" t="s">
        <v>230</v>
      </c>
      <c r="I2561" t="s">
        <v>461</v>
      </c>
      <c r="J2561" t="s">
        <v>461</v>
      </c>
      <c r="K2561" s="4">
        <v>1712.54</v>
      </c>
      <c r="L2561" s="4">
        <v>1712.54</v>
      </c>
      <c r="M2561" t="s">
        <v>44</v>
      </c>
      <c r="N2561" t="s">
        <v>77</v>
      </c>
      <c r="O2561" t="s">
        <v>99</v>
      </c>
      <c r="P2561" t="s">
        <v>99</v>
      </c>
      <c r="Q2561" t="s">
        <v>159</v>
      </c>
      <c r="R2561" t="s">
        <v>233</v>
      </c>
      <c r="S2561" t="s">
        <v>161</v>
      </c>
      <c r="T2561" t="s">
        <v>162</v>
      </c>
      <c r="U2561" t="s">
        <v>163</v>
      </c>
      <c r="V2561" t="s">
        <v>164</v>
      </c>
      <c r="W2561" t="s">
        <v>116</v>
      </c>
      <c r="X2561" t="s">
        <v>44</v>
      </c>
      <c r="Y2561" t="s">
        <v>99</v>
      </c>
      <c r="Z2561" t="s">
        <v>421</v>
      </c>
      <c r="AC2561" t="str">
        <f>IF(AA2561="",M2561,AA2561)</f>
        <v>sim</v>
      </c>
      <c r="AD2561" t="str">
        <f>IF(AB2561="",X2561,AB2561)</f>
        <v>sim</v>
      </c>
      <c r="AE2561" t="str">
        <f>IF(OR(Configuracao!B9="",Configuracao!B10=""),"aguardando limiar",IF(AND(K2561&gt;=Configuracao!B9,K2561/MAX(Reconciliacao!C2,1)&gt;=Configuracao!B10/100),"sim","não"))</f>
        <v>aguardando limiar</v>
      </c>
    </row>
    <row r="2562" spans="1:31" x14ac:dyDescent="0.25">
      <c r="A2562">
        <v>17686</v>
      </c>
      <c r="C2562" t="s">
        <v>1506</v>
      </c>
      <c r="D2562" t="s">
        <v>949</v>
      </c>
      <c r="E2562" t="s">
        <v>467</v>
      </c>
      <c r="F2562" t="s">
        <v>232</v>
      </c>
      <c r="G2562" t="s">
        <v>231</v>
      </c>
      <c r="H2562" t="s">
        <v>230</v>
      </c>
      <c r="I2562" t="s">
        <v>442</v>
      </c>
      <c r="J2562" t="s">
        <v>442</v>
      </c>
      <c r="K2562" s="4">
        <v>1712.54</v>
      </c>
      <c r="L2562" s="4">
        <v>1712.54</v>
      </c>
      <c r="M2562" t="s">
        <v>44</v>
      </c>
      <c r="N2562" t="s">
        <v>77</v>
      </c>
      <c r="O2562" t="s">
        <v>99</v>
      </c>
      <c r="P2562" t="s">
        <v>99</v>
      </c>
      <c r="Q2562" t="s">
        <v>159</v>
      </c>
      <c r="R2562" t="s">
        <v>233</v>
      </c>
      <c r="S2562" t="s">
        <v>161</v>
      </c>
      <c r="T2562" t="s">
        <v>162</v>
      </c>
      <c r="U2562" t="s">
        <v>163</v>
      </c>
      <c r="V2562" t="s">
        <v>164</v>
      </c>
      <c r="W2562" t="s">
        <v>116</v>
      </c>
      <c r="X2562" t="s">
        <v>44</v>
      </c>
      <c r="Y2562" t="s">
        <v>99</v>
      </c>
      <c r="Z2562" t="s">
        <v>421</v>
      </c>
      <c r="AC2562" t="str">
        <f>IF(AA2562="",M2562,AA2562)</f>
        <v>sim</v>
      </c>
      <c r="AD2562" t="str">
        <f>IF(AB2562="",X2562,AB2562)</f>
        <v>sim</v>
      </c>
      <c r="AE2562" t="str">
        <f>IF(OR(Configuracao!B9="",Configuracao!B10=""),"aguardando limiar",IF(AND(K2562&gt;=Configuracao!B9,K2562/MAX(Reconciliacao!C2,1)&gt;=Configuracao!B10/100),"sim","não"))</f>
        <v>aguardando limiar</v>
      </c>
    </row>
    <row r="2563" spans="1:31" x14ac:dyDescent="0.25">
      <c r="A2563">
        <v>18495</v>
      </c>
      <c r="C2563" t="s">
        <v>1506</v>
      </c>
      <c r="D2563" t="s">
        <v>949</v>
      </c>
      <c r="E2563" t="s">
        <v>467</v>
      </c>
      <c r="F2563" t="s">
        <v>232</v>
      </c>
      <c r="G2563" t="s">
        <v>231</v>
      </c>
      <c r="H2563" t="s">
        <v>230</v>
      </c>
      <c r="I2563" t="s">
        <v>439</v>
      </c>
      <c r="J2563" t="s">
        <v>439</v>
      </c>
      <c r="K2563" s="4">
        <v>1712.54</v>
      </c>
      <c r="L2563" s="4">
        <v>1712.54</v>
      </c>
      <c r="M2563" t="s">
        <v>44</v>
      </c>
      <c r="N2563" t="s">
        <v>77</v>
      </c>
      <c r="O2563" t="s">
        <v>99</v>
      </c>
      <c r="P2563" t="s">
        <v>99</v>
      </c>
      <c r="Q2563" t="s">
        <v>159</v>
      </c>
      <c r="R2563" t="s">
        <v>233</v>
      </c>
      <c r="S2563" t="s">
        <v>161</v>
      </c>
      <c r="T2563" t="s">
        <v>162</v>
      </c>
      <c r="U2563" t="s">
        <v>163</v>
      </c>
      <c r="V2563" t="s">
        <v>164</v>
      </c>
      <c r="W2563" t="s">
        <v>116</v>
      </c>
      <c r="X2563" t="s">
        <v>44</v>
      </c>
      <c r="Y2563" t="s">
        <v>99</v>
      </c>
      <c r="Z2563" t="s">
        <v>421</v>
      </c>
      <c r="AC2563" t="str">
        <f>IF(AA2563="",M2563,AA2563)</f>
        <v>sim</v>
      </c>
      <c r="AD2563" t="str">
        <f>IF(AB2563="",X2563,AB2563)</f>
        <v>sim</v>
      </c>
      <c r="AE2563" t="str">
        <f>IF(OR(Configuracao!B9="",Configuracao!B10=""),"aguardando limiar",IF(AND(K2563&gt;=Configuracao!B9,K2563/MAX(Reconciliacao!C2,1)&gt;=Configuracao!B10/100),"sim","não"))</f>
        <v>aguardando limiar</v>
      </c>
    </row>
    <row r="2564" spans="1:31" x14ac:dyDescent="0.25">
      <c r="A2564">
        <v>19170</v>
      </c>
      <c r="C2564" t="s">
        <v>1506</v>
      </c>
      <c r="D2564" t="s">
        <v>949</v>
      </c>
      <c r="E2564" t="s">
        <v>467</v>
      </c>
      <c r="F2564" t="s">
        <v>232</v>
      </c>
      <c r="G2564" t="s">
        <v>231</v>
      </c>
      <c r="H2564" t="s">
        <v>230</v>
      </c>
      <c r="I2564" t="s">
        <v>35</v>
      </c>
      <c r="J2564" t="s">
        <v>35</v>
      </c>
      <c r="K2564" s="4">
        <v>1712.54</v>
      </c>
      <c r="L2564" s="4">
        <v>1712.54</v>
      </c>
      <c r="M2564" t="s">
        <v>44</v>
      </c>
      <c r="N2564" t="s">
        <v>77</v>
      </c>
      <c r="O2564" t="s">
        <v>99</v>
      </c>
      <c r="P2564" t="s">
        <v>99</v>
      </c>
      <c r="Q2564" t="s">
        <v>159</v>
      </c>
      <c r="R2564" t="s">
        <v>233</v>
      </c>
      <c r="S2564" t="s">
        <v>161</v>
      </c>
      <c r="T2564" t="s">
        <v>162</v>
      </c>
      <c r="U2564" t="s">
        <v>163</v>
      </c>
      <c r="V2564" t="s">
        <v>164</v>
      </c>
      <c r="W2564" t="s">
        <v>116</v>
      </c>
      <c r="X2564" t="s">
        <v>44</v>
      </c>
      <c r="Y2564" t="s">
        <v>99</v>
      </c>
      <c r="Z2564" t="s">
        <v>421</v>
      </c>
      <c r="AC2564" t="str">
        <f>IF(AA2564="",M2564,AA2564)</f>
        <v>sim</v>
      </c>
      <c r="AD2564" t="str">
        <f>IF(AB2564="",X2564,AB2564)</f>
        <v>sim</v>
      </c>
      <c r="AE2564" t="str">
        <f>IF(OR(Configuracao!B9="",Configuracao!B10=""),"aguardando limiar",IF(AND(K2564&gt;=Configuracao!B9,K2564/MAX(Reconciliacao!C2,1)&gt;=Configuracao!B10/100),"sim","não"))</f>
        <v>aguardando limiar</v>
      </c>
    </row>
    <row r="2565" spans="1:31" x14ac:dyDescent="0.25">
      <c r="A2565">
        <v>12891</v>
      </c>
      <c r="C2565" t="s">
        <v>1507</v>
      </c>
      <c r="D2565" t="s">
        <v>1508</v>
      </c>
      <c r="E2565" t="s">
        <v>477</v>
      </c>
      <c r="F2565" t="s">
        <v>232</v>
      </c>
      <c r="G2565" t="s">
        <v>390</v>
      </c>
      <c r="H2565" t="s">
        <v>389</v>
      </c>
      <c r="I2565" t="s">
        <v>420</v>
      </c>
      <c r="J2565" t="s">
        <v>454</v>
      </c>
      <c r="K2565" s="4">
        <v>72.19</v>
      </c>
      <c r="L2565" s="4">
        <v>73.35</v>
      </c>
      <c r="M2565" t="s">
        <v>44</v>
      </c>
      <c r="N2565" t="s">
        <v>77</v>
      </c>
      <c r="O2565" t="s">
        <v>99</v>
      </c>
      <c r="P2565" t="s">
        <v>99</v>
      </c>
      <c r="Q2565" t="s">
        <v>159</v>
      </c>
      <c r="R2565" t="s">
        <v>233</v>
      </c>
      <c r="S2565" t="s">
        <v>161</v>
      </c>
      <c r="T2565" t="s">
        <v>162</v>
      </c>
      <c r="U2565" t="s">
        <v>163</v>
      </c>
      <c r="V2565" t="s">
        <v>164</v>
      </c>
      <c r="W2565" t="s">
        <v>116</v>
      </c>
      <c r="X2565" t="s">
        <v>44</v>
      </c>
      <c r="Y2565" t="s">
        <v>99</v>
      </c>
      <c r="Z2565" t="s">
        <v>421</v>
      </c>
      <c r="AC2565" t="str">
        <f>IF(AA2565="",M2565,AA2565)</f>
        <v>sim</v>
      </c>
      <c r="AD2565" t="str">
        <f>IF(AB2565="",X2565,AB2565)</f>
        <v>sim</v>
      </c>
      <c r="AE2565" t="str">
        <f>IF(OR(Configuracao!B9="",Configuracao!B10=""),"aguardando limiar",IF(AND(K2565&gt;=Configuracao!B9,K2565/MAX(Reconciliacao!C2,1)&gt;=Configuracao!B10/100),"sim","não"))</f>
        <v>aguardando limiar</v>
      </c>
    </row>
    <row r="2566" spans="1:31" x14ac:dyDescent="0.25">
      <c r="A2566">
        <v>12884</v>
      </c>
      <c r="C2566" t="s">
        <v>1509</v>
      </c>
      <c r="D2566" t="s">
        <v>1508</v>
      </c>
      <c r="E2566" t="s">
        <v>224</v>
      </c>
      <c r="F2566" t="s">
        <v>232</v>
      </c>
      <c r="G2566" t="s">
        <v>390</v>
      </c>
      <c r="H2566" t="s">
        <v>389</v>
      </c>
      <c r="I2566" t="s">
        <v>420</v>
      </c>
      <c r="J2566" t="s">
        <v>454</v>
      </c>
      <c r="K2566" s="4">
        <v>74.84</v>
      </c>
      <c r="L2566" s="4">
        <v>74.84</v>
      </c>
      <c r="M2566" t="s">
        <v>44</v>
      </c>
      <c r="N2566" t="s">
        <v>77</v>
      </c>
      <c r="O2566" t="s">
        <v>99</v>
      </c>
      <c r="P2566" t="s">
        <v>99</v>
      </c>
      <c r="Q2566" t="s">
        <v>159</v>
      </c>
      <c r="R2566" t="s">
        <v>233</v>
      </c>
      <c r="S2566" t="s">
        <v>161</v>
      </c>
      <c r="T2566" t="s">
        <v>162</v>
      </c>
      <c r="U2566" t="s">
        <v>163</v>
      </c>
      <c r="V2566" t="s">
        <v>164</v>
      </c>
      <c r="W2566" t="s">
        <v>116</v>
      </c>
      <c r="X2566" t="s">
        <v>44</v>
      </c>
      <c r="Y2566" t="s">
        <v>99</v>
      </c>
      <c r="Z2566" t="s">
        <v>421</v>
      </c>
      <c r="AC2566" t="str">
        <f>IF(AA2566="",M2566,AA2566)</f>
        <v>sim</v>
      </c>
      <c r="AD2566" t="str">
        <f>IF(AB2566="",X2566,AB2566)</f>
        <v>sim</v>
      </c>
      <c r="AE2566" t="str">
        <f>IF(OR(Configuracao!B9="",Configuracao!B10=""),"aguardando limiar",IF(AND(K2566&gt;=Configuracao!B9,K2566/MAX(Reconciliacao!C2,1)&gt;=Configuracao!B10/100),"sim","não"))</f>
        <v>aguardando limiar</v>
      </c>
    </row>
    <row r="2567" spans="1:31" x14ac:dyDescent="0.25">
      <c r="A2567">
        <v>12180</v>
      </c>
      <c r="C2567" t="s">
        <v>1510</v>
      </c>
      <c r="D2567" t="s">
        <v>1508</v>
      </c>
      <c r="E2567" t="s">
        <v>467</v>
      </c>
      <c r="F2567" t="s">
        <v>232</v>
      </c>
      <c r="G2567" t="s">
        <v>390</v>
      </c>
      <c r="H2567" t="s">
        <v>389</v>
      </c>
      <c r="I2567" t="s">
        <v>424</v>
      </c>
      <c r="J2567" t="s">
        <v>424</v>
      </c>
      <c r="K2567" s="4">
        <v>76.86</v>
      </c>
      <c r="L2567" s="4">
        <v>77.69</v>
      </c>
      <c r="M2567" t="s">
        <v>44</v>
      </c>
      <c r="N2567" t="s">
        <v>77</v>
      </c>
      <c r="O2567" t="s">
        <v>99</v>
      </c>
      <c r="P2567" t="s">
        <v>99</v>
      </c>
      <c r="Q2567" t="s">
        <v>159</v>
      </c>
      <c r="R2567" t="s">
        <v>233</v>
      </c>
      <c r="S2567" t="s">
        <v>161</v>
      </c>
      <c r="T2567" t="s">
        <v>162</v>
      </c>
      <c r="U2567" t="s">
        <v>163</v>
      </c>
      <c r="V2567" t="s">
        <v>164</v>
      </c>
      <c r="W2567" t="s">
        <v>116</v>
      </c>
      <c r="X2567" t="s">
        <v>44</v>
      </c>
      <c r="Y2567" t="s">
        <v>99</v>
      </c>
      <c r="Z2567" t="s">
        <v>421</v>
      </c>
      <c r="AC2567" t="str">
        <f>IF(AA2567="",M2567,AA2567)</f>
        <v>sim</v>
      </c>
      <c r="AD2567" t="str">
        <f>IF(AB2567="",X2567,AB2567)</f>
        <v>sim</v>
      </c>
      <c r="AE2567" t="str">
        <f>IF(OR(Configuracao!B9="",Configuracao!B10=""),"aguardando limiar",IF(AND(K2567&gt;=Configuracao!B9,K2567/MAX(Reconciliacao!C2,1)&gt;=Configuracao!B10/100),"sim","não"))</f>
        <v>aguardando limiar</v>
      </c>
    </row>
    <row r="2568" spans="1:31" x14ac:dyDescent="0.25">
      <c r="A2568">
        <v>16234</v>
      </c>
      <c r="C2568" t="s">
        <v>1511</v>
      </c>
      <c r="D2568" t="s">
        <v>1508</v>
      </c>
      <c r="E2568" t="s">
        <v>467</v>
      </c>
      <c r="F2568" t="s">
        <v>232</v>
      </c>
      <c r="G2568" t="s">
        <v>390</v>
      </c>
      <c r="H2568" t="s">
        <v>389</v>
      </c>
      <c r="I2568" t="s">
        <v>461</v>
      </c>
      <c r="J2568" t="s">
        <v>461</v>
      </c>
      <c r="K2568" s="4">
        <v>79.42</v>
      </c>
      <c r="L2568" s="4">
        <v>79.42</v>
      </c>
      <c r="M2568" t="s">
        <v>44</v>
      </c>
      <c r="N2568" t="s">
        <v>77</v>
      </c>
      <c r="O2568" t="s">
        <v>99</v>
      </c>
      <c r="P2568" t="s">
        <v>99</v>
      </c>
      <c r="Q2568" t="s">
        <v>159</v>
      </c>
      <c r="R2568" t="s">
        <v>233</v>
      </c>
      <c r="S2568" t="s">
        <v>161</v>
      </c>
      <c r="T2568" t="s">
        <v>162</v>
      </c>
      <c r="U2568" t="s">
        <v>163</v>
      </c>
      <c r="V2568" t="s">
        <v>164</v>
      </c>
      <c r="W2568" t="s">
        <v>116</v>
      </c>
      <c r="X2568" t="s">
        <v>44</v>
      </c>
      <c r="Y2568" t="s">
        <v>99</v>
      </c>
      <c r="Z2568" t="s">
        <v>421</v>
      </c>
      <c r="AC2568" t="str">
        <f>IF(AA2568="",M2568,AA2568)</f>
        <v>sim</v>
      </c>
      <c r="AD2568" t="str">
        <f>IF(AB2568="",X2568,AB2568)</f>
        <v>sim</v>
      </c>
      <c r="AE2568" t="str">
        <f>IF(OR(Configuracao!B9="",Configuracao!B10=""),"aguardando limiar",IF(AND(K2568&gt;=Configuracao!B9,K2568/MAX(Reconciliacao!C2,1)&gt;=Configuracao!B10/100),"sim","não"))</f>
        <v>aguardando limiar</v>
      </c>
    </row>
    <row r="2569" spans="1:31" x14ac:dyDescent="0.25">
      <c r="A2569">
        <v>16235</v>
      </c>
      <c r="C2569" t="s">
        <v>1512</v>
      </c>
      <c r="D2569" t="s">
        <v>1508</v>
      </c>
      <c r="E2569" t="s">
        <v>467</v>
      </c>
      <c r="F2569" t="s">
        <v>232</v>
      </c>
      <c r="G2569" t="s">
        <v>390</v>
      </c>
      <c r="H2569" t="s">
        <v>389</v>
      </c>
      <c r="I2569" t="s">
        <v>461</v>
      </c>
      <c r="J2569" t="s">
        <v>461</v>
      </c>
      <c r="K2569" s="4">
        <v>79.42</v>
      </c>
      <c r="L2569" s="4">
        <v>79.42</v>
      </c>
      <c r="M2569" t="s">
        <v>44</v>
      </c>
      <c r="N2569" t="s">
        <v>77</v>
      </c>
      <c r="O2569" t="s">
        <v>99</v>
      </c>
      <c r="P2569" t="s">
        <v>99</v>
      </c>
      <c r="Q2569" t="s">
        <v>159</v>
      </c>
      <c r="R2569" t="s">
        <v>233</v>
      </c>
      <c r="S2569" t="s">
        <v>161</v>
      </c>
      <c r="T2569" t="s">
        <v>162</v>
      </c>
      <c r="U2569" t="s">
        <v>163</v>
      </c>
      <c r="V2569" t="s">
        <v>164</v>
      </c>
      <c r="W2569" t="s">
        <v>116</v>
      </c>
      <c r="X2569" t="s">
        <v>44</v>
      </c>
      <c r="Y2569" t="s">
        <v>99</v>
      </c>
      <c r="Z2569" t="s">
        <v>421</v>
      </c>
      <c r="AC2569" t="str">
        <f>IF(AA2569="",M2569,AA2569)</f>
        <v>sim</v>
      </c>
      <c r="AD2569" t="str">
        <f>IF(AB2569="",X2569,AB2569)</f>
        <v>sim</v>
      </c>
      <c r="AE2569" t="str">
        <f>IF(OR(Configuracao!B9="",Configuracao!B10=""),"aguardando limiar",IF(AND(K2569&gt;=Configuracao!B9,K2569/MAX(Reconciliacao!C2,1)&gt;=Configuracao!B10/100),"sim","não"))</f>
        <v>aguardando limiar</v>
      </c>
    </row>
    <row r="2570" spans="1:31" x14ac:dyDescent="0.25">
      <c r="A2570">
        <v>16764</v>
      </c>
      <c r="C2570" t="s">
        <v>1513</v>
      </c>
      <c r="D2570" t="s">
        <v>1508</v>
      </c>
      <c r="E2570" t="s">
        <v>445</v>
      </c>
      <c r="F2570" t="s">
        <v>232</v>
      </c>
      <c r="G2570" t="s">
        <v>390</v>
      </c>
      <c r="H2570" t="s">
        <v>389</v>
      </c>
      <c r="I2570" t="s">
        <v>442</v>
      </c>
      <c r="J2570" t="s">
        <v>442</v>
      </c>
      <c r="K2570" s="4">
        <v>81.19</v>
      </c>
      <c r="L2570" s="4">
        <v>82.86</v>
      </c>
      <c r="M2570" t="s">
        <v>44</v>
      </c>
      <c r="N2570" t="s">
        <v>77</v>
      </c>
      <c r="O2570" t="s">
        <v>99</v>
      </c>
      <c r="P2570" t="s">
        <v>99</v>
      </c>
      <c r="Q2570" t="s">
        <v>159</v>
      </c>
      <c r="R2570" t="s">
        <v>233</v>
      </c>
      <c r="S2570" t="s">
        <v>161</v>
      </c>
      <c r="T2570" t="s">
        <v>162</v>
      </c>
      <c r="U2570" t="s">
        <v>163</v>
      </c>
      <c r="V2570" t="s">
        <v>164</v>
      </c>
      <c r="W2570" t="s">
        <v>116</v>
      </c>
      <c r="X2570" t="s">
        <v>44</v>
      </c>
      <c r="Y2570" t="s">
        <v>99</v>
      </c>
      <c r="Z2570" t="s">
        <v>421</v>
      </c>
      <c r="AC2570" t="str">
        <f>IF(AA2570="",M2570,AA2570)</f>
        <v>sim</v>
      </c>
      <c r="AD2570" t="str">
        <f>IF(AB2570="",X2570,AB2570)</f>
        <v>sim</v>
      </c>
      <c r="AE2570" t="str">
        <f>IF(OR(Configuracao!B9="",Configuracao!B10=""),"aguardando limiar",IF(AND(K2570&gt;=Configuracao!B9,K2570/MAX(Reconciliacao!C2,1)&gt;=Configuracao!B10/100),"sim","não"))</f>
        <v>aguardando limiar</v>
      </c>
    </row>
    <row r="2571" spans="1:31" x14ac:dyDescent="0.25">
      <c r="A2571">
        <v>6923</v>
      </c>
      <c r="C2571" t="s">
        <v>1514</v>
      </c>
      <c r="D2571" t="s">
        <v>1515</v>
      </c>
      <c r="E2571" t="s">
        <v>451</v>
      </c>
      <c r="F2571" t="s">
        <v>232</v>
      </c>
      <c r="G2571" t="s">
        <v>261</v>
      </c>
      <c r="H2571" t="s">
        <v>260</v>
      </c>
      <c r="I2571" t="s">
        <v>32</v>
      </c>
      <c r="J2571" t="s">
        <v>32</v>
      </c>
      <c r="K2571" s="4">
        <v>182.98</v>
      </c>
      <c r="L2571" s="4">
        <v>182.98</v>
      </c>
      <c r="M2571" t="s">
        <v>44</v>
      </c>
      <c r="N2571" t="s">
        <v>77</v>
      </c>
      <c r="O2571" t="s">
        <v>99</v>
      </c>
      <c r="P2571" t="s">
        <v>99</v>
      </c>
      <c r="Q2571" t="s">
        <v>159</v>
      </c>
      <c r="R2571" t="s">
        <v>233</v>
      </c>
      <c r="S2571" t="s">
        <v>161</v>
      </c>
      <c r="T2571" t="s">
        <v>162</v>
      </c>
      <c r="U2571" t="s">
        <v>163</v>
      </c>
      <c r="V2571" t="s">
        <v>164</v>
      </c>
      <c r="W2571" t="s">
        <v>116</v>
      </c>
      <c r="X2571" t="s">
        <v>44</v>
      </c>
      <c r="Y2571" t="s">
        <v>99</v>
      </c>
      <c r="Z2571" t="s">
        <v>421</v>
      </c>
      <c r="AC2571" t="str">
        <f>IF(AA2571="",M2571,AA2571)</f>
        <v>sim</v>
      </c>
      <c r="AD2571" t="str">
        <f>IF(AB2571="",X2571,AB2571)</f>
        <v>sim</v>
      </c>
      <c r="AE2571" t="str">
        <f>IF(OR(Configuracao!B9="",Configuracao!B10=""),"aguardando limiar",IF(AND(K2571&gt;=Configuracao!B9,K2571/MAX(Reconciliacao!C2,1)&gt;=Configuracao!B10/100),"sim","não"))</f>
        <v>aguardando limiar</v>
      </c>
    </row>
    <row r="2572" spans="1:31" x14ac:dyDescent="0.25">
      <c r="A2572">
        <v>11757</v>
      </c>
      <c r="C2572" t="s">
        <v>1516</v>
      </c>
      <c r="D2572" t="s">
        <v>1515</v>
      </c>
      <c r="E2572" t="s">
        <v>451</v>
      </c>
      <c r="F2572" t="s">
        <v>232</v>
      </c>
      <c r="G2572" t="s">
        <v>261</v>
      </c>
      <c r="H2572" t="s">
        <v>260</v>
      </c>
      <c r="I2572" t="s">
        <v>424</v>
      </c>
      <c r="J2572" t="s">
        <v>424</v>
      </c>
      <c r="K2572" s="4">
        <v>182.98</v>
      </c>
      <c r="L2572" s="4">
        <v>182.98</v>
      </c>
      <c r="M2572" t="s">
        <v>44</v>
      </c>
      <c r="N2572" t="s">
        <v>77</v>
      </c>
      <c r="O2572" t="s">
        <v>99</v>
      </c>
      <c r="P2572" t="s">
        <v>99</v>
      </c>
      <c r="Q2572" t="s">
        <v>159</v>
      </c>
      <c r="R2572" t="s">
        <v>233</v>
      </c>
      <c r="S2572" t="s">
        <v>161</v>
      </c>
      <c r="T2572" t="s">
        <v>162</v>
      </c>
      <c r="U2572" t="s">
        <v>163</v>
      </c>
      <c r="V2572" t="s">
        <v>164</v>
      </c>
      <c r="W2572" t="s">
        <v>116</v>
      </c>
      <c r="X2572" t="s">
        <v>44</v>
      </c>
      <c r="Y2572" t="s">
        <v>99</v>
      </c>
      <c r="Z2572" t="s">
        <v>421</v>
      </c>
      <c r="AC2572" t="str">
        <f>IF(AA2572="",M2572,AA2572)</f>
        <v>sim</v>
      </c>
      <c r="AD2572" t="str">
        <f>IF(AB2572="",X2572,AB2572)</f>
        <v>sim</v>
      </c>
      <c r="AE2572" t="str">
        <f>IF(OR(Configuracao!B9="",Configuracao!B10=""),"aguardando limiar",IF(AND(K2572&gt;=Configuracao!B9,K2572/MAX(Reconciliacao!C2,1)&gt;=Configuracao!B10/100),"sim","não"))</f>
        <v>aguardando limiar</v>
      </c>
    </row>
    <row r="2573" spans="1:31" x14ac:dyDescent="0.25">
      <c r="A2573">
        <v>11758</v>
      </c>
      <c r="C2573" t="s">
        <v>1517</v>
      </c>
      <c r="D2573" t="s">
        <v>1515</v>
      </c>
      <c r="E2573" t="s">
        <v>451</v>
      </c>
      <c r="F2573" t="s">
        <v>232</v>
      </c>
      <c r="G2573" t="s">
        <v>261</v>
      </c>
      <c r="H2573" t="s">
        <v>260</v>
      </c>
      <c r="I2573" t="s">
        <v>420</v>
      </c>
      <c r="J2573" t="s">
        <v>420</v>
      </c>
      <c r="K2573" s="4">
        <v>182.98</v>
      </c>
      <c r="L2573" s="4">
        <v>182.98</v>
      </c>
      <c r="M2573" t="s">
        <v>44</v>
      </c>
      <c r="N2573" t="s">
        <v>77</v>
      </c>
      <c r="O2573" t="s">
        <v>99</v>
      </c>
      <c r="P2573" t="s">
        <v>99</v>
      </c>
      <c r="Q2573" t="s">
        <v>159</v>
      </c>
      <c r="R2573" t="s">
        <v>233</v>
      </c>
      <c r="S2573" t="s">
        <v>161</v>
      </c>
      <c r="T2573" t="s">
        <v>162</v>
      </c>
      <c r="U2573" t="s">
        <v>163</v>
      </c>
      <c r="V2573" t="s">
        <v>164</v>
      </c>
      <c r="W2573" t="s">
        <v>116</v>
      </c>
      <c r="X2573" t="s">
        <v>44</v>
      </c>
      <c r="Y2573" t="s">
        <v>99</v>
      </c>
      <c r="Z2573" t="s">
        <v>421</v>
      </c>
      <c r="AC2573" t="str">
        <f>IF(AA2573="",M2573,AA2573)</f>
        <v>sim</v>
      </c>
      <c r="AD2573" t="str">
        <f>IF(AB2573="",X2573,AB2573)</f>
        <v>sim</v>
      </c>
      <c r="AE2573" t="str">
        <f>IF(OR(Configuracao!B9="",Configuracao!B10=""),"aguardando limiar",IF(AND(K2573&gt;=Configuracao!B9,K2573/MAX(Reconciliacao!C2,1)&gt;=Configuracao!B10/100),"sim","não"))</f>
        <v>aguardando limiar</v>
      </c>
    </row>
    <row r="2574" spans="1:31" x14ac:dyDescent="0.25">
      <c r="A2574">
        <v>11759</v>
      </c>
      <c r="C2574" t="s">
        <v>1518</v>
      </c>
      <c r="D2574" t="s">
        <v>1515</v>
      </c>
      <c r="E2574" t="s">
        <v>451</v>
      </c>
      <c r="F2574" t="s">
        <v>232</v>
      </c>
      <c r="G2574" t="s">
        <v>261</v>
      </c>
      <c r="H2574" t="s">
        <v>260</v>
      </c>
      <c r="I2574" t="s">
        <v>454</v>
      </c>
      <c r="J2574" t="s">
        <v>454</v>
      </c>
      <c r="K2574" s="4">
        <v>182.98</v>
      </c>
      <c r="L2574" s="4">
        <v>182.98</v>
      </c>
      <c r="M2574" t="s">
        <v>44</v>
      </c>
      <c r="N2574" t="s">
        <v>77</v>
      </c>
      <c r="O2574" t="s">
        <v>99</v>
      </c>
      <c r="P2574" t="s">
        <v>99</v>
      </c>
      <c r="Q2574" t="s">
        <v>159</v>
      </c>
      <c r="R2574" t="s">
        <v>233</v>
      </c>
      <c r="S2574" t="s">
        <v>161</v>
      </c>
      <c r="T2574" t="s">
        <v>162</v>
      </c>
      <c r="U2574" t="s">
        <v>163</v>
      </c>
      <c r="V2574" t="s">
        <v>164</v>
      </c>
      <c r="W2574" t="s">
        <v>116</v>
      </c>
      <c r="X2574" t="s">
        <v>44</v>
      </c>
      <c r="Y2574" t="s">
        <v>99</v>
      </c>
      <c r="Z2574" t="s">
        <v>421</v>
      </c>
      <c r="AC2574" t="str">
        <f>IF(AA2574="",M2574,AA2574)</f>
        <v>sim</v>
      </c>
      <c r="AD2574" t="str">
        <f>IF(AB2574="",X2574,AB2574)</f>
        <v>sim</v>
      </c>
      <c r="AE2574" t="str">
        <f>IF(OR(Configuracao!B9="",Configuracao!B10=""),"aguardando limiar",IF(AND(K2574&gt;=Configuracao!B9,K2574/MAX(Reconciliacao!C2,1)&gt;=Configuracao!B10/100),"sim","não"))</f>
        <v>aguardando limiar</v>
      </c>
    </row>
    <row r="2575" spans="1:31" x14ac:dyDescent="0.25">
      <c r="A2575">
        <v>11760</v>
      </c>
      <c r="C2575" t="s">
        <v>1519</v>
      </c>
      <c r="D2575" t="s">
        <v>1515</v>
      </c>
      <c r="E2575" t="s">
        <v>451</v>
      </c>
      <c r="F2575" t="s">
        <v>232</v>
      </c>
      <c r="G2575" t="s">
        <v>261</v>
      </c>
      <c r="H2575" t="s">
        <v>260</v>
      </c>
      <c r="I2575" t="s">
        <v>461</v>
      </c>
      <c r="J2575" t="s">
        <v>461</v>
      </c>
      <c r="K2575" s="4">
        <v>182.98</v>
      </c>
      <c r="L2575" s="4">
        <v>182.98</v>
      </c>
      <c r="M2575" t="s">
        <v>44</v>
      </c>
      <c r="N2575" t="s">
        <v>77</v>
      </c>
      <c r="O2575" t="s">
        <v>99</v>
      </c>
      <c r="P2575" t="s">
        <v>99</v>
      </c>
      <c r="Q2575" t="s">
        <v>159</v>
      </c>
      <c r="R2575" t="s">
        <v>233</v>
      </c>
      <c r="S2575" t="s">
        <v>161</v>
      </c>
      <c r="T2575" t="s">
        <v>162</v>
      </c>
      <c r="U2575" t="s">
        <v>163</v>
      </c>
      <c r="V2575" t="s">
        <v>164</v>
      </c>
      <c r="W2575" t="s">
        <v>116</v>
      </c>
      <c r="X2575" t="s">
        <v>44</v>
      </c>
      <c r="Y2575" t="s">
        <v>99</v>
      </c>
      <c r="Z2575" t="s">
        <v>421</v>
      </c>
      <c r="AC2575" t="str">
        <f>IF(AA2575="",M2575,AA2575)</f>
        <v>sim</v>
      </c>
      <c r="AD2575" t="str">
        <f>IF(AB2575="",X2575,AB2575)</f>
        <v>sim</v>
      </c>
      <c r="AE2575" t="str">
        <f>IF(OR(Configuracao!B9="",Configuracao!B10=""),"aguardando limiar",IF(AND(K2575&gt;=Configuracao!B9,K2575/MAX(Reconciliacao!C2,1)&gt;=Configuracao!B10/100),"sim","não"))</f>
        <v>aguardando limiar</v>
      </c>
    </row>
    <row r="2576" spans="1:31" x14ac:dyDescent="0.25">
      <c r="A2576">
        <v>11761</v>
      </c>
      <c r="C2576" t="s">
        <v>1520</v>
      </c>
      <c r="D2576" t="s">
        <v>1515</v>
      </c>
      <c r="E2576" t="s">
        <v>451</v>
      </c>
      <c r="F2576" t="s">
        <v>232</v>
      </c>
      <c r="G2576" t="s">
        <v>261</v>
      </c>
      <c r="H2576" t="s">
        <v>260</v>
      </c>
      <c r="I2576" t="s">
        <v>442</v>
      </c>
      <c r="J2576" t="s">
        <v>442</v>
      </c>
      <c r="K2576" s="4">
        <v>182.98</v>
      </c>
      <c r="L2576" s="4">
        <v>182.98</v>
      </c>
      <c r="M2576" t="s">
        <v>44</v>
      </c>
      <c r="N2576" t="s">
        <v>77</v>
      </c>
      <c r="O2576" t="s">
        <v>99</v>
      </c>
      <c r="P2576" t="s">
        <v>99</v>
      </c>
      <c r="Q2576" t="s">
        <v>159</v>
      </c>
      <c r="R2576" t="s">
        <v>233</v>
      </c>
      <c r="S2576" t="s">
        <v>161</v>
      </c>
      <c r="T2576" t="s">
        <v>162</v>
      </c>
      <c r="U2576" t="s">
        <v>163</v>
      </c>
      <c r="V2576" t="s">
        <v>164</v>
      </c>
      <c r="W2576" t="s">
        <v>116</v>
      </c>
      <c r="X2576" t="s">
        <v>44</v>
      </c>
      <c r="Y2576" t="s">
        <v>99</v>
      </c>
      <c r="Z2576" t="s">
        <v>421</v>
      </c>
      <c r="AC2576" t="str">
        <f>IF(AA2576="",M2576,AA2576)</f>
        <v>sim</v>
      </c>
      <c r="AD2576" t="str">
        <f>IF(AB2576="",X2576,AB2576)</f>
        <v>sim</v>
      </c>
      <c r="AE2576" t="str">
        <f>IF(OR(Configuracao!B9="",Configuracao!B10=""),"aguardando limiar",IF(AND(K2576&gt;=Configuracao!B9,K2576/MAX(Reconciliacao!C2,1)&gt;=Configuracao!B10/100),"sim","não"))</f>
        <v>aguardando limiar</v>
      </c>
    </row>
    <row r="2577" spans="1:31" x14ac:dyDescent="0.25">
      <c r="A2577">
        <v>11762</v>
      </c>
      <c r="C2577" t="s">
        <v>1521</v>
      </c>
      <c r="D2577" t="s">
        <v>1515</v>
      </c>
      <c r="E2577" t="s">
        <v>451</v>
      </c>
      <c r="F2577" t="s">
        <v>232</v>
      </c>
      <c r="G2577" t="s">
        <v>261</v>
      </c>
      <c r="H2577" t="s">
        <v>260</v>
      </c>
      <c r="I2577" t="s">
        <v>439</v>
      </c>
      <c r="J2577" t="s">
        <v>439</v>
      </c>
      <c r="K2577" s="4">
        <v>182.98</v>
      </c>
      <c r="L2577" s="4">
        <v>182.98</v>
      </c>
      <c r="M2577" t="s">
        <v>44</v>
      </c>
      <c r="N2577" t="s">
        <v>77</v>
      </c>
      <c r="O2577" t="s">
        <v>99</v>
      </c>
      <c r="P2577" t="s">
        <v>99</v>
      </c>
      <c r="Q2577" t="s">
        <v>159</v>
      </c>
      <c r="R2577" t="s">
        <v>233</v>
      </c>
      <c r="S2577" t="s">
        <v>161</v>
      </c>
      <c r="T2577" t="s">
        <v>162</v>
      </c>
      <c r="U2577" t="s">
        <v>163</v>
      </c>
      <c r="V2577" t="s">
        <v>164</v>
      </c>
      <c r="W2577" t="s">
        <v>116</v>
      </c>
      <c r="X2577" t="s">
        <v>44</v>
      </c>
      <c r="Y2577" t="s">
        <v>99</v>
      </c>
      <c r="Z2577" t="s">
        <v>421</v>
      </c>
      <c r="AC2577" t="str">
        <f>IF(AA2577="",M2577,AA2577)</f>
        <v>sim</v>
      </c>
      <c r="AD2577" t="str">
        <f>IF(AB2577="",X2577,AB2577)</f>
        <v>sim</v>
      </c>
      <c r="AE2577" t="str">
        <f>IF(OR(Configuracao!B9="",Configuracao!B10=""),"aguardando limiar",IF(AND(K2577&gt;=Configuracao!B9,K2577/MAX(Reconciliacao!C2,1)&gt;=Configuracao!B10/100),"sim","não"))</f>
        <v>aguardando limiar</v>
      </c>
    </row>
    <row r="2578" spans="1:31" x14ac:dyDescent="0.25">
      <c r="A2578">
        <v>11763</v>
      </c>
      <c r="C2578" t="s">
        <v>1522</v>
      </c>
      <c r="D2578" t="s">
        <v>1515</v>
      </c>
      <c r="E2578" t="s">
        <v>451</v>
      </c>
      <c r="F2578" t="s">
        <v>232</v>
      </c>
      <c r="G2578" t="s">
        <v>261</v>
      </c>
      <c r="H2578" t="s">
        <v>260</v>
      </c>
      <c r="I2578" t="s">
        <v>35</v>
      </c>
      <c r="J2578" t="s">
        <v>35</v>
      </c>
      <c r="K2578" s="4">
        <v>182.98</v>
      </c>
      <c r="L2578" s="4">
        <v>182.98</v>
      </c>
      <c r="M2578" t="s">
        <v>44</v>
      </c>
      <c r="N2578" t="s">
        <v>77</v>
      </c>
      <c r="O2578" t="s">
        <v>99</v>
      </c>
      <c r="P2578" t="s">
        <v>99</v>
      </c>
      <c r="Q2578" t="s">
        <v>159</v>
      </c>
      <c r="R2578" t="s">
        <v>233</v>
      </c>
      <c r="S2578" t="s">
        <v>161</v>
      </c>
      <c r="T2578" t="s">
        <v>162</v>
      </c>
      <c r="U2578" t="s">
        <v>163</v>
      </c>
      <c r="V2578" t="s">
        <v>164</v>
      </c>
      <c r="W2578" t="s">
        <v>116</v>
      </c>
      <c r="X2578" t="s">
        <v>44</v>
      </c>
      <c r="Y2578" t="s">
        <v>99</v>
      </c>
      <c r="Z2578" t="s">
        <v>421</v>
      </c>
      <c r="AC2578" t="str">
        <f>IF(AA2578="",M2578,AA2578)</f>
        <v>sim</v>
      </c>
      <c r="AD2578" t="str">
        <f>IF(AB2578="",X2578,AB2578)</f>
        <v>sim</v>
      </c>
      <c r="AE2578" t="str">
        <f>IF(OR(Configuracao!B9="",Configuracao!B10=""),"aguardando limiar",IF(AND(K2578&gt;=Configuracao!B9,K2578/MAX(Reconciliacao!C2,1)&gt;=Configuracao!B10/100),"sim","não"))</f>
        <v>aguardando limiar</v>
      </c>
    </row>
    <row r="2579" spans="1:31" x14ac:dyDescent="0.25">
      <c r="A2579">
        <v>18095</v>
      </c>
      <c r="D2579" t="s">
        <v>592</v>
      </c>
      <c r="E2579" t="s">
        <v>445</v>
      </c>
      <c r="F2579" t="s">
        <v>232</v>
      </c>
      <c r="G2579" t="s">
        <v>261</v>
      </c>
      <c r="H2579" t="s">
        <v>260</v>
      </c>
      <c r="I2579" t="s">
        <v>35</v>
      </c>
      <c r="J2579" t="s">
        <v>439</v>
      </c>
      <c r="K2579" s="4">
        <v>500</v>
      </c>
      <c r="L2579" s="4">
        <v>500</v>
      </c>
      <c r="M2579" t="s">
        <v>44</v>
      </c>
      <c r="N2579" t="s">
        <v>77</v>
      </c>
      <c r="O2579" t="s">
        <v>99</v>
      </c>
      <c r="P2579" t="s">
        <v>99</v>
      </c>
      <c r="Q2579" t="s">
        <v>159</v>
      </c>
      <c r="R2579" t="s">
        <v>233</v>
      </c>
      <c r="S2579" t="s">
        <v>161</v>
      </c>
      <c r="T2579" t="s">
        <v>162</v>
      </c>
      <c r="U2579" t="s">
        <v>163</v>
      </c>
      <c r="V2579" t="s">
        <v>164</v>
      </c>
      <c r="W2579" t="s">
        <v>116</v>
      </c>
      <c r="X2579" t="s">
        <v>44</v>
      </c>
      <c r="Y2579" t="s">
        <v>99</v>
      </c>
      <c r="Z2579" t="s">
        <v>421</v>
      </c>
      <c r="AC2579" t="str">
        <f>IF(AA2579="",M2579,AA2579)</f>
        <v>sim</v>
      </c>
      <c r="AD2579" t="str">
        <f>IF(AB2579="",X2579,AB2579)</f>
        <v>sim</v>
      </c>
      <c r="AE2579" t="str">
        <f>IF(OR(Configuracao!B9="",Configuracao!B10=""),"aguardando limiar",IF(AND(K2579&gt;=Configuracao!B9,K2579/MAX(Reconciliacao!C2,1)&gt;=Configuracao!B10/100),"sim","não"))</f>
        <v>aguardando limiar</v>
      </c>
    </row>
    <row r="2580" spans="1:31" x14ac:dyDescent="0.25">
      <c r="A2580">
        <v>19556</v>
      </c>
      <c r="D2580" t="s">
        <v>592</v>
      </c>
      <c r="E2580" t="s">
        <v>486</v>
      </c>
      <c r="F2580" t="s">
        <v>232</v>
      </c>
      <c r="G2580" t="s">
        <v>261</v>
      </c>
      <c r="H2580" t="s">
        <v>260</v>
      </c>
      <c r="I2580" t="s">
        <v>35</v>
      </c>
      <c r="J2580" t="s">
        <v>439</v>
      </c>
      <c r="K2580" s="4">
        <v>500</v>
      </c>
      <c r="L2580" s="4">
        <v>500</v>
      </c>
      <c r="M2580" t="s">
        <v>44</v>
      </c>
      <c r="N2580" t="s">
        <v>77</v>
      </c>
      <c r="O2580" t="s">
        <v>99</v>
      </c>
      <c r="P2580" t="s">
        <v>99</v>
      </c>
      <c r="Q2580" t="s">
        <v>159</v>
      </c>
      <c r="R2580" t="s">
        <v>233</v>
      </c>
      <c r="S2580" t="s">
        <v>161</v>
      </c>
      <c r="T2580" t="s">
        <v>162</v>
      </c>
      <c r="U2580" t="s">
        <v>163</v>
      </c>
      <c r="V2580" t="s">
        <v>164</v>
      </c>
      <c r="W2580" t="s">
        <v>116</v>
      </c>
      <c r="X2580" t="s">
        <v>44</v>
      </c>
      <c r="Y2580" t="s">
        <v>99</v>
      </c>
      <c r="Z2580" t="s">
        <v>421</v>
      </c>
      <c r="AC2580" t="str">
        <f>IF(AA2580="",M2580,AA2580)</f>
        <v>sim</v>
      </c>
      <c r="AD2580" t="str">
        <f>IF(AB2580="",X2580,AB2580)</f>
        <v>sim</v>
      </c>
      <c r="AE2580" t="str">
        <f>IF(OR(Configuracao!B9="",Configuracao!B10=""),"aguardando limiar",IF(AND(K2580&gt;=Configuracao!B9,K2580/MAX(Reconciliacao!C2,1)&gt;=Configuracao!B10/100),"sim","não"))</f>
        <v>aguardando limiar</v>
      </c>
    </row>
    <row r="2581" spans="1:31" x14ac:dyDescent="0.25">
      <c r="A2581">
        <v>8315</v>
      </c>
      <c r="C2581" t="s">
        <v>1523</v>
      </c>
      <c r="D2581" t="s">
        <v>1524</v>
      </c>
      <c r="E2581" t="s">
        <v>445</v>
      </c>
      <c r="F2581" t="s">
        <v>232</v>
      </c>
      <c r="G2581" t="s">
        <v>261</v>
      </c>
      <c r="H2581" t="s">
        <v>260</v>
      </c>
      <c r="I2581" t="s">
        <v>32</v>
      </c>
      <c r="J2581" t="s">
        <v>32</v>
      </c>
      <c r="K2581" s="4">
        <v>589.43</v>
      </c>
      <c r="L2581" s="4">
        <v>589.43</v>
      </c>
      <c r="M2581" t="s">
        <v>44</v>
      </c>
      <c r="N2581" t="s">
        <v>77</v>
      </c>
      <c r="O2581" t="s">
        <v>99</v>
      </c>
      <c r="P2581" t="s">
        <v>99</v>
      </c>
      <c r="Q2581" t="s">
        <v>159</v>
      </c>
      <c r="R2581" t="s">
        <v>233</v>
      </c>
      <c r="S2581" t="s">
        <v>161</v>
      </c>
      <c r="T2581" t="s">
        <v>162</v>
      </c>
      <c r="U2581" t="s">
        <v>163</v>
      </c>
      <c r="V2581" t="s">
        <v>164</v>
      </c>
      <c r="W2581" t="s">
        <v>116</v>
      </c>
      <c r="X2581" t="s">
        <v>44</v>
      </c>
      <c r="Y2581" t="s">
        <v>99</v>
      </c>
      <c r="Z2581" t="s">
        <v>421</v>
      </c>
      <c r="AC2581" t="str">
        <f>IF(AA2581="",M2581,AA2581)</f>
        <v>sim</v>
      </c>
      <c r="AD2581" t="str">
        <f>IF(AB2581="",X2581,AB2581)</f>
        <v>sim</v>
      </c>
      <c r="AE2581" t="str">
        <f>IF(OR(Configuracao!B9="",Configuracao!B10=""),"aguardando limiar",IF(AND(K2581&gt;=Configuracao!B9,K2581/MAX(Reconciliacao!C2,1)&gt;=Configuracao!B10/100),"sim","não"))</f>
        <v>aguardando limiar</v>
      </c>
    </row>
    <row r="2582" spans="1:31" x14ac:dyDescent="0.25">
      <c r="A2582">
        <v>8316</v>
      </c>
      <c r="C2582" t="s">
        <v>1523</v>
      </c>
      <c r="D2582" t="s">
        <v>1524</v>
      </c>
      <c r="E2582" t="s">
        <v>445</v>
      </c>
      <c r="F2582" t="s">
        <v>232</v>
      </c>
      <c r="G2582" t="s">
        <v>261</v>
      </c>
      <c r="H2582" t="s">
        <v>260</v>
      </c>
      <c r="I2582" t="s">
        <v>424</v>
      </c>
      <c r="J2582" t="s">
        <v>424</v>
      </c>
      <c r="K2582" s="4">
        <v>589.43</v>
      </c>
      <c r="L2582" s="4">
        <v>589.43</v>
      </c>
      <c r="M2582" t="s">
        <v>44</v>
      </c>
      <c r="N2582" t="s">
        <v>77</v>
      </c>
      <c r="O2582" t="s">
        <v>99</v>
      </c>
      <c r="P2582" t="s">
        <v>99</v>
      </c>
      <c r="Q2582" t="s">
        <v>159</v>
      </c>
      <c r="R2582" t="s">
        <v>233</v>
      </c>
      <c r="S2582" t="s">
        <v>161</v>
      </c>
      <c r="T2582" t="s">
        <v>162</v>
      </c>
      <c r="U2582" t="s">
        <v>163</v>
      </c>
      <c r="V2582" t="s">
        <v>164</v>
      </c>
      <c r="W2582" t="s">
        <v>116</v>
      </c>
      <c r="X2582" t="s">
        <v>44</v>
      </c>
      <c r="Y2582" t="s">
        <v>99</v>
      </c>
      <c r="Z2582" t="s">
        <v>421</v>
      </c>
      <c r="AC2582" t="str">
        <f>IF(AA2582="",M2582,AA2582)</f>
        <v>sim</v>
      </c>
      <c r="AD2582" t="str">
        <f>IF(AB2582="",X2582,AB2582)</f>
        <v>sim</v>
      </c>
      <c r="AE2582" t="str">
        <f>IF(OR(Configuracao!B9="",Configuracao!B10=""),"aguardando limiar",IF(AND(K2582&gt;=Configuracao!B9,K2582/MAX(Reconciliacao!C2,1)&gt;=Configuracao!B10/100),"sim","não"))</f>
        <v>aguardando limiar</v>
      </c>
    </row>
    <row r="2583" spans="1:31" x14ac:dyDescent="0.25">
      <c r="A2583">
        <v>8317</v>
      </c>
      <c r="C2583" t="s">
        <v>1523</v>
      </c>
      <c r="D2583" t="s">
        <v>1524</v>
      </c>
      <c r="E2583" t="s">
        <v>445</v>
      </c>
      <c r="F2583" t="s">
        <v>232</v>
      </c>
      <c r="G2583" t="s">
        <v>261</v>
      </c>
      <c r="H2583" t="s">
        <v>260</v>
      </c>
      <c r="I2583" t="s">
        <v>420</v>
      </c>
      <c r="J2583" t="s">
        <v>420</v>
      </c>
      <c r="K2583" s="4">
        <v>589.43</v>
      </c>
      <c r="L2583" s="4">
        <v>589.43</v>
      </c>
      <c r="M2583" t="s">
        <v>44</v>
      </c>
      <c r="N2583" t="s">
        <v>77</v>
      </c>
      <c r="O2583" t="s">
        <v>99</v>
      </c>
      <c r="P2583" t="s">
        <v>99</v>
      </c>
      <c r="Q2583" t="s">
        <v>159</v>
      </c>
      <c r="R2583" t="s">
        <v>233</v>
      </c>
      <c r="S2583" t="s">
        <v>161</v>
      </c>
      <c r="T2583" t="s">
        <v>162</v>
      </c>
      <c r="U2583" t="s">
        <v>163</v>
      </c>
      <c r="V2583" t="s">
        <v>164</v>
      </c>
      <c r="W2583" t="s">
        <v>116</v>
      </c>
      <c r="X2583" t="s">
        <v>44</v>
      </c>
      <c r="Y2583" t="s">
        <v>99</v>
      </c>
      <c r="Z2583" t="s">
        <v>421</v>
      </c>
      <c r="AC2583" t="str">
        <f>IF(AA2583="",M2583,AA2583)</f>
        <v>sim</v>
      </c>
      <c r="AD2583" t="str">
        <f>IF(AB2583="",X2583,AB2583)</f>
        <v>sim</v>
      </c>
      <c r="AE2583" t="str">
        <f>IF(OR(Configuracao!B9="",Configuracao!B10=""),"aguardando limiar",IF(AND(K2583&gt;=Configuracao!B9,K2583/MAX(Reconciliacao!C2,1)&gt;=Configuracao!B10/100),"sim","não"))</f>
        <v>aguardando limiar</v>
      </c>
    </row>
    <row r="2584" spans="1:31" x14ac:dyDescent="0.25">
      <c r="A2584">
        <v>8318</v>
      </c>
      <c r="C2584" t="s">
        <v>1523</v>
      </c>
      <c r="D2584" t="s">
        <v>1524</v>
      </c>
      <c r="E2584" t="s">
        <v>445</v>
      </c>
      <c r="F2584" t="s">
        <v>232</v>
      </c>
      <c r="G2584" t="s">
        <v>261</v>
      </c>
      <c r="H2584" t="s">
        <v>260</v>
      </c>
      <c r="I2584" t="s">
        <v>454</v>
      </c>
      <c r="J2584" t="s">
        <v>454</v>
      </c>
      <c r="K2584" s="4">
        <v>589.43</v>
      </c>
      <c r="L2584" s="4">
        <v>589.43</v>
      </c>
      <c r="M2584" t="s">
        <v>44</v>
      </c>
      <c r="N2584" t="s">
        <v>77</v>
      </c>
      <c r="O2584" t="s">
        <v>99</v>
      </c>
      <c r="P2584" t="s">
        <v>99</v>
      </c>
      <c r="Q2584" t="s">
        <v>159</v>
      </c>
      <c r="R2584" t="s">
        <v>233</v>
      </c>
      <c r="S2584" t="s">
        <v>161</v>
      </c>
      <c r="T2584" t="s">
        <v>162</v>
      </c>
      <c r="U2584" t="s">
        <v>163</v>
      </c>
      <c r="V2584" t="s">
        <v>164</v>
      </c>
      <c r="W2584" t="s">
        <v>116</v>
      </c>
      <c r="X2584" t="s">
        <v>44</v>
      </c>
      <c r="Y2584" t="s">
        <v>99</v>
      </c>
      <c r="Z2584" t="s">
        <v>421</v>
      </c>
      <c r="AC2584" t="str">
        <f>IF(AA2584="",M2584,AA2584)</f>
        <v>sim</v>
      </c>
      <c r="AD2584" t="str">
        <f>IF(AB2584="",X2584,AB2584)</f>
        <v>sim</v>
      </c>
      <c r="AE2584" t="str">
        <f>IF(OR(Configuracao!B9="",Configuracao!B10=""),"aguardando limiar",IF(AND(K2584&gt;=Configuracao!B9,K2584/MAX(Reconciliacao!C2,1)&gt;=Configuracao!B10/100),"sim","não"))</f>
        <v>aguardando limiar</v>
      </c>
    </row>
    <row r="2585" spans="1:31" x14ac:dyDescent="0.25">
      <c r="A2585">
        <v>12473</v>
      </c>
      <c r="D2585" t="s">
        <v>1404</v>
      </c>
      <c r="E2585" t="s">
        <v>525</v>
      </c>
      <c r="F2585" t="s">
        <v>232</v>
      </c>
      <c r="G2585" t="s">
        <v>261</v>
      </c>
      <c r="H2585" t="s">
        <v>260</v>
      </c>
      <c r="I2585" t="s">
        <v>454</v>
      </c>
      <c r="J2585" t="s">
        <v>420</v>
      </c>
      <c r="K2585" s="4">
        <v>1000</v>
      </c>
      <c r="L2585" s="4">
        <v>1000</v>
      </c>
      <c r="M2585" t="s">
        <v>44</v>
      </c>
      <c r="N2585" t="s">
        <v>77</v>
      </c>
      <c r="O2585" t="s">
        <v>99</v>
      </c>
      <c r="P2585" t="s">
        <v>99</v>
      </c>
      <c r="Q2585" t="s">
        <v>159</v>
      </c>
      <c r="R2585" t="s">
        <v>233</v>
      </c>
      <c r="S2585" t="s">
        <v>161</v>
      </c>
      <c r="T2585" t="s">
        <v>162</v>
      </c>
      <c r="U2585" t="s">
        <v>163</v>
      </c>
      <c r="V2585" t="s">
        <v>164</v>
      </c>
      <c r="W2585" t="s">
        <v>116</v>
      </c>
      <c r="X2585" t="s">
        <v>44</v>
      </c>
      <c r="Y2585" t="s">
        <v>99</v>
      </c>
      <c r="Z2585" t="s">
        <v>421</v>
      </c>
      <c r="AC2585" t="str">
        <f>IF(AA2585="",M2585,AA2585)</f>
        <v>sim</v>
      </c>
      <c r="AD2585" t="str">
        <f>IF(AB2585="",X2585,AB2585)</f>
        <v>sim</v>
      </c>
      <c r="AE2585" t="str">
        <f>IF(OR(Configuracao!B9="",Configuracao!B10=""),"aguardando limiar",IF(AND(K2585&gt;=Configuracao!B9,K2585/MAX(Reconciliacao!C2,1)&gt;=Configuracao!B10/100),"sim","não"))</f>
        <v>aguardando limiar</v>
      </c>
    </row>
    <row r="2586" spans="1:31" x14ac:dyDescent="0.25">
      <c r="A2586">
        <v>12474</v>
      </c>
      <c r="D2586" t="s">
        <v>1404</v>
      </c>
      <c r="E2586" t="s">
        <v>525</v>
      </c>
      <c r="F2586" t="s">
        <v>232</v>
      </c>
      <c r="G2586" t="s">
        <v>261</v>
      </c>
      <c r="H2586" t="s">
        <v>260</v>
      </c>
      <c r="I2586" t="s">
        <v>461</v>
      </c>
      <c r="J2586" t="s">
        <v>454</v>
      </c>
      <c r="K2586" s="4">
        <v>1000</v>
      </c>
      <c r="L2586" s="4">
        <v>1000</v>
      </c>
      <c r="M2586" t="s">
        <v>44</v>
      </c>
      <c r="N2586" t="s">
        <v>77</v>
      </c>
      <c r="O2586" t="s">
        <v>99</v>
      </c>
      <c r="P2586" t="s">
        <v>99</v>
      </c>
      <c r="Q2586" t="s">
        <v>159</v>
      </c>
      <c r="R2586" t="s">
        <v>233</v>
      </c>
      <c r="S2586" t="s">
        <v>161</v>
      </c>
      <c r="T2586" t="s">
        <v>162</v>
      </c>
      <c r="U2586" t="s">
        <v>163</v>
      </c>
      <c r="V2586" t="s">
        <v>164</v>
      </c>
      <c r="W2586" t="s">
        <v>116</v>
      </c>
      <c r="X2586" t="s">
        <v>44</v>
      </c>
      <c r="Y2586" t="s">
        <v>99</v>
      </c>
      <c r="Z2586" t="s">
        <v>421</v>
      </c>
      <c r="AC2586" t="str">
        <f>IF(AA2586="",M2586,AA2586)</f>
        <v>sim</v>
      </c>
      <c r="AD2586" t="str">
        <f>IF(AB2586="",X2586,AB2586)</f>
        <v>sim</v>
      </c>
      <c r="AE2586" t="str">
        <f>IF(OR(Configuracao!B9="",Configuracao!B10=""),"aguardando limiar",IF(AND(K2586&gt;=Configuracao!B9,K2586/MAX(Reconciliacao!C2,1)&gt;=Configuracao!B10/100),"sim","não"))</f>
        <v>aguardando limiar</v>
      </c>
    </row>
    <row r="2587" spans="1:31" x14ac:dyDescent="0.25">
      <c r="A2587">
        <v>12475</v>
      </c>
      <c r="D2587" t="s">
        <v>1404</v>
      </c>
      <c r="E2587" t="s">
        <v>525</v>
      </c>
      <c r="F2587" t="s">
        <v>232</v>
      </c>
      <c r="G2587" t="s">
        <v>261</v>
      </c>
      <c r="H2587" t="s">
        <v>260</v>
      </c>
      <c r="I2587" t="s">
        <v>442</v>
      </c>
      <c r="J2587" t="s">
        <v>461</v>
      </c>
      <c r="K2587" s="4">
        <v>1000</v>
      </c>
      <c r="L2587" s="4">
        <v>1000</v>
      </c>
      <c r="M2587" t="s">
        <v>44</v>
      </c>
      <c r="N2587" t="s">
        <v>77</v>
      </c>
      <c r="O2587" t="s">
        <v>99</v>
      </c>
      <c r="P2587" t="s">
        <v>99</v>
      </c>
      <c r="Q2587" t="s">
        <v>159</v>
      </c>
      <c r="R2587" t="s">
        <v>233</v>
      </c>
      <c r="S2587" t="s">
        <v>161</v>
      </c>
      <c r="T2587" t="s">
        <v>162</v>
      </c>
      <c r="U2587" t="s">
        <v>163</v>
      </c>
      <c r="V2587" t="s">
        <v>164</v>
      </c>
      <c r="W2587" t="s">
        <v>116</v>
      </c>
      <c r="X2587" t="s">
        <v>44</v>
      </c>
      <c r="Y2587" t="s">
        <v>99</v>
      </c>
      <c r="Z2587" t="s">
        <v>421</v>
      </c>
      <c r="AC2587" t="str">
        <f>IF(AA2587="",M2587,AA2587)</f>
        <v>sim</v>
      </c>
      <c r="AD2587" t="str">
        <f>IF(AB2587="",X2587,AB2587)</f>
        <v>sim</v>
      </c>
      <c r="AE2587" t="str">
        <f>IF(OR(Configuracao!B9="",Configuracao!B10=""),"aguardando limiar",IF(AND(K2587&gt;=Configuracao!B9,K2587/MAX(Reconciliacao!C2,1)&gt;=Configuracao!B10/100),"sim","não"))</f>
        <v>aguardando limiar</v>
      </c>
    </row>
    <row r="2588" spans="1:31" x14ac:dyDescent="0.25">
      <c r="A2588">
        <v>12476</v>
      </c>
      <c r="D2588" t="s">
        <v>1404</v>
      </c>
      <c r="E2588" t="s">
        <v>525</v>
      </c>
      <c r="F2588" t="s">
        <v>232</v>
      </c>
      <c r="G2588" t="s">
        <v>261</v>
      </c>
      <c r="H2588" t="s">
        <v>260</v>
      </c>
      <c r="I2588" t="s">
        <v>439</v>
      </c>
      <c r="J2588" t="s">
        <v>442</v>
      </c>
      <c r="K2588" s="4">
        <v>1000</v>
      </c>
      <c r="L2588" s="4">
        <v>1000</v>
      </c>
      <c r="M2588" t="s">
        <v>44</v>
      </c>
      <c r="N2588" t="s">
        <v>77</v>
      </c>
      <c r="O2588" t="s">
        <v>99</v>
      </c>
      <c r="P2588" t="s">
        <v>99</v>
      </c>
      <c r="Q2588" t="s">
        <v>159</v>
      </c>
      <c r="R2588" t="s">
        <v>233</v>
      </c>
      <c r="S2588" t="s">
        <v>161</v>
      </c>
      <c r="T2588" t="s">
        <v>162</v>
      </c>
      <c r="U2588" t="s">
        <v>163</v>
      </c>
      <c r="V2588" t="s">
        <v>164</v>
      </c>
      <c r="W2588" t="s">
        <v>116</v>
      </c>
      <c r="X2588" t="s">
        <v>44</v>
      </c>
      <c r="Y2588" t="s">
        <v>99</v>
      </c>
      <c r="Z2588" t="s">
        <v>421</v>
      </c>
      <c r="AC2588" t="str">
        <f>IF(AA2588="",M2588,AA2588)</f>
        <v>sim</v>
      </c>
      <c r="AD2588" t="str">
        <f>IF(AB2588="",X2588,AB2588)</f>
        <v>sim</v>
      </c>
      <c r="AE2588" t="str">
        <f>IF(OR(Configuracao!B9="",Configuracao!B10=""),"aguardando limiar",IF(AND(K2588&gt;=Configuracao!B9,K2588/MAX(Reconciliacao!C2,1)&gt;=Configuracao!B10/100),"sim","não"))</f>
        <v>aguardando limiar</v>
      </c>
    </row>
    <row r="2589" spans="1:31" x14ac:dyDescent="0.25">
      <c r="A2589">
        <v>12477</v>
      </c>
      <c r="D2589" t="s">
        <v>1404</v>
      </c>
      <c r="E2589" t="s">
        <v>525</v>
      </c>
      <c r="F2589" t="s">
        <v>232</v>
      </c>
      <c r="G2589" t="s">
        <v>261</v>
      </c>
      <c r="H2589" t="s">
        <v>260</v>
      </c>
      <c r="I2589" t="s">
        <v>35</v>
      </c>
      <c r="J2589" t="s">
        <v>439</v>
      </c>
      <c r="K2589" s="4">
        <v>1000</v>
      </c>
      <c r="L2589" s="4">
        <v>1000</v>
      </c>
      <c r="M2589" t="s">
        <v>44</v>
      </c>
      <c r="N2589" t="s">
        <v>77</v>
      </c>
      <c r="O2589" t="s">
        <v>99</v>
      </c>
      <c r="P2589" t="s">
        <v>99</v>
      </c>
      <c r="Q2589" t="s">
        <v>159</v>
      </c>
      <c r="R2589" t="s">
        <v>233</v>
      </c>
      <c r="S2589" t="s">
        <v>161</v>
      </c>
      <c r="T2589" t="s">
        <v>162</v>
      </c>
      <c r="U2589" t="s">
        <v>163</v>
      </c>
      <c r="V2589" t="s">
        <v>164</v>
      </c>
      <c r="W2589" t="s">
        <v>116</v>
      </c>
      <c r="X2589" t="s">
        <v>44</v>
      </c>
      <c r="Y2589" t="s">
        <v>99</v>
      </c>
      <c r="Z2589" t="s">
        <v>421</v>
      </c>
      <c r="AC2589" t="str">
        <f>IF(AA2589="",M2589,AA2589)</f>
        <v>sim</v>
      </c>
      <c r="AD2589" t="str">
        <f>IF(AB2589="",X2589,AB2589)</f>
        <v>sim</v>
      </c>
      <c r="AE2589" t="str">
        <f>IF(OR(Configuracao!B9="",Configuracao!B10=""),"aguardando limiar",IF(AND(K2589&gt;=Configuracao!B9,K2589/MAX(Reconciliacao!C2,1)&gt;=Configuracao!B10/100),"sim","não"))</f>
        <v>aguardando limiar</v>
      </c>
    </row>
    <row r="2590" spans="1:31" x14ac:dyDescent="0.25">
      <c r="A2590">
        <v>7002</v>
      </c>
      <c r="C2590" t="s">
        <v>1525</v>
      </c>
      <c r="D2590" t="s">
        <v>1323</v>
      </c>
      <c r="E2590" t="s">
        <v>511</v>
      </c>
      <c r="F2590" t="s">
        <v>232</v>
      </c>
      <c r="G2590" t="s">
        <v>261</v>
      </c>
      <c r="H2590" t="s">
        <v>260</v>
      </c>
      <c r="I2590" t="s">
        <v>32</v>
      </c>
      <c r="J2590" t="s">
        <v>32</v>
      </c>
      <c r="K2590" s="4">
        <v>1053.1</v>
      </c>
      <c r="L2590" s="4">
        <v>1053.1</v>
      </c>
      <c r="M2590" t="s">
        <v>44</v>
      </c>
      <c r="N2590" t="s">
        <v>77</v>
      </c>
      <c r="O2590" t="s">
        <v>99</v>
      </c>
      <c r="P2590" t="s">
        <v>99</v>
      </c>
      <c r="Q2590" t="s">
        <v>159</v>
      </c>
      <c r="R2590" t="s">
        <v>233</v>
      </c>
      <c r="S2590" t="s">
        <v>161</v>
      </c>
      <c r="T2590" t="s">
        <v>162</v>
      </c>
      <c r="U2590" t="s">
        <v>163</v>
      </c>
      <c r="V2590" t="s">
        <v>164</v>
      </c>
      <c r="W2590" t="s">
        <v>116</v>
      </c>
      <c r="X2590" t="s">
        <v>44</v>
      </c>
      <c r="Y2590" t="s">
        <v>99</v>
      </c>
      <c r="Z2590" t="s">
        <v>421</v>
      </c>
      <c r="AC2590" t="str">
        <f>IF(AA2590="",M2590,AA2590)</f>
        <v>sim</v>
      </c>
      <c r="AD2590" t="str">
        <f>IF(AB2590="",X2590,AB2590)</f>
        <v>sim</v>
      </c>
      <c r="AE2590" t="str">
        <f>IF(OR(Configuracao!B9="",Configuracao!B10=""),"aguardando limiar",IF(AND(K2590&gt;=Configuracao!B9,K2590/MAX(Reconciliacao!C2,1)&gt;=Configuracao!B10/100),"sim","não"))</f>
        <v>aguardando limiar</v>
      </c>
    </row>
    <row r="2591" spans="1:31" x14ac:dyDescent="0.25">
      <c r="A2591">
        <v>7003</v>
      </c>
      <c r="C2591" t="s">
        <v>1525</v>
      </c>
      <c r="D2591" t="s">
        <v>1323</v>
      </c>
      <c r="E2591" t="s">
        <v>511</v>
      </c>
      <c r="F2591" t="s">
        <v>232</v>
      </c>
      <c r="G2591" t="s">
        <v>261</v>
      </c>
      <c r="H2591" t="s">
        <v>260</v>
      </c>
      <c r="I2591" t="s">
        <v>424</v>
      </c>
      <c r="J2591" t="s">
        <v>424</v>
      </c>
      <c r="K2591" s="4">
        <v>1053.1</v>
      </c>
      <c r="L2591" s="4">
        <v>1053.1</v>
      </c>
      <c r="M2591" t="s">
        <v>44</v>
      </c>
      <c r="N2591" t="s">
        <v>77</v>
      </c>
      <c r="O2591" t="s">
        <v>99</v>
      </c>
      <c r="P2591" t="s">
        <v>99</v>
      </c>
      <c r="Q2591" t="s">
        <v>159</v>
      </c>
      <c r="R2591" t="s">
        <v>233</v>
      </c>
      <c r="S2591" t="s">
        <v>161</v>
      </c>
      <c r="T2591" t="s">
        <v>162</v>
      </c>
      <c r="U2591" t="s">
        <v>163</v>
      </c>
      <c r="V2591" t="s">
        <v>164</v>
      </c>
      <c r="W2591" t="s">
        <v>116</v>
      </c>
      <c r="X2591" t="s">
        <v>44</v>
      </c>
      <c r="Y2591" t="s">
        <v>99</v>
      </c>
      <c r="Z2591" t="s">
        <v>421</v>
      </c>
      <c r="AC2591" t="str">
        <f>IF(AA2591="",M2591,AA2591)</f>
        <v>sim</v>
      </c>
      <c r="AD2591" t="str">
        <f>IF(AB2591="",X2591,AB2591)</f>
        <v>sim</v>
      </c>
      <c r="AE2591" t="str">
        <f>IF(OR(Configuracao!B9="",Configuracao!B10=""),"aguardando limiar",IF(AND(K2591&gt;=Configuracao!B9,K2591/MAX(Reconciliacao!C2,1)&gt;=Configuracao!B10/100),"sim","não"))</f>
        <v>aguardando limiar</v>
      </c>
    </row>
    <row r="2592" spans="1:31" x14ac:dyDescent="0.25">
      <c r="A2592">
        <v>7005</v>
      </c>
      <c r="C2592" t="s">
        <v>1525</v>
      </c>
      <c r="D2592" t="s">
        <v>1323</v>
      </c>
      <c r="E2592" t="s">
        <v>511</v>
      </c>
      <c r="F2592" t="s">
        <v>232</v>
      </c>
      <c r="G2592" t="s">
        <v>261</v>
      </c>
      <c r="H2592" t="s">
        <v>260</v>
      </c>
      <c r="I2592" t="s">
        <v>454</v>
      </c>
      <c r="J2592" t="s">
        <v>454</v>
      </c>
      <c r="K2592" s="4">
        <v>1053.1</v>
      </c>
      <c r="L2592" s="4">
        <v>1053.1</v>
      </c>
      <c r="M2592" t="s">
        <v>44</v>
      </c>
      <c r="N2592" t="s">
        <v>77</v>
      </c>
      <c r="O2592" t="s">
        <v>99</v>
      </c>
      <c r="P2592" t="s">
        <v>99</v>
      </c>
      <c r="Q2592" t="s">
        <v>159</v>
      </c>
      <c r="R2592" t="s">
        <v>233</v>
      </c>
      <c r="S2592" t="s">
        <v>161</v>
      </c>
      <c r="T2592" t="s">
        <v>162</v>
      </c>
      <c r="U2592" t="s">
        <v>163</v>
      </c>
      <c r="V2592" t="s">
        <v>164</v>
      </c>
      <c r="W2592" t="s">
        <v>116</v>
      </c>
      <c r="X2592" t="s">
        <v>44</v>
      </c>
      <c r="Y2592" t="s">
        <v>99</v>
      </c>
      <c r="Z2592" t="s">
        <v>421</v>
      </c>
      <c r="AC2592" t="str">
        <f>IF(AA2592="",M2592,AA2592)</f>
        <v>sim</v>
      </c>
      <c r="AD2592" t="str">
        <f>IF(AB2592="",X2592,AB2592)</f>
        <v>sim</v>
      </c>
      <c r="AE2592" t="str">
        <f>IF(OR(Configuracao!B9="",Configuracao!B10=""),"aguardando limiar",IF(AND(K2592&gt;=Configuracao!B9,K2592/MAX(Reconciliacao!C2,1)&gt;=Configuracao!B10/100),"sim","não"))</f>
        <v>aguardando limiar</v>
      </c>
    </row>
    <row r="2593" spans="1:31" x14ac:dyDescent="0.25">
      <c r="A2593">
        <v>7006</v>
      </c>
      <c r="C2593" t="s">
        <v>1525</v>
      </c>
      <c r="D2593" t="s">
        <v>1323</v>
      </c>
      <c r="E2593" t="s">
        <v>511</v>
      </c>
      <c r="F2593" t="s">
        <v>232</v>
      </c>
      <c r="G2593" t="s">
        <v>261</v>
      </c>
      <c r="H2593" t="s">
        <v>260</v>
      </c>
      <c r="I2593" t="s">
        <v>461</v>
      </c>
      <c r="J2593" t="s">
        <v>461</v>
      </c>
      <c r="K2593" s="4">
        <v>1053.1</v>
      </c>
      <c r="L2593" s="4">
        <v>1053.1</v>
      </c>
      <c r="M2593" t="s">
        <v>44</v>
      </c>
      <c r="N2593" t="s">
        <v>77</v>
      </c>
      <c r="O2593" t="s">
        <v>99</v>
      </c>
      <c r="P2593" t="s">
        <v>99</v>
      </c>
      <c r="Q2593" t="s">
        <v>159</v>
      </c>
      <c r="R2593" t="s">
        <v>233</v>
      </c>
      <c r="S2593" t="s">
        <v>161</v>
      </c>
      <c r="T2593" t="s">
        <v>162</v>
      </c>
      <c r="U2593" t="s">
        <v>163</v>
      </c>
      <c r="V2593" t="s">
        <v>164</v>
      </c>
      <c r="W2593" t="s">
        <v>116</v>
      </c>
      <c r="X2593" t="s">
        <v>44</v>
      </c>
      <c r="Y2593" t="s">
        <v>99</v>
      </c>
      <c r="Z2593" t="s">
        <v>421</v>
      </c>
      <c r="AC2593" t="str">
        <f>IF(AA2593="",M2593,AA2593)</f>
        <v>sim</v>
      </c>
      <c r="AD2593" t="str">
        <f>IF(AB2593="",X2593,AB2593)</f>
        <v>sim</v>
      </c>
      <c r="AE2593" t="str">
        <f>IF(OR(Configuracao!B9="",Configuracao!B10=""),"aguardando limiar",IF(AND(K2593&gt;=Configuracao!B9,K2593/MAX(Reconciliacao!C2,1)&gt;=Configuracao!B10/100),"sim","não"))</f>
        <v>aguardando limiar</v>
      </c>
    </row>
    <row r="2594" spans="1:31" x14ac:dyDescent="0.25">
      <c r="A2594">
        <v>7007</v>
      </c>
      <c r="C2594" t="s">
        <v>1525</v>
      </c>
      <c r="D2594" t="s">
        <v>1323</v>
      </c>
      <c r="E2594" t="s">
        <v>511</v>
      </c>
      <c r="F2594" t="s">
        <v>232</v>
      </c>
      <c r="G2594" t="s">
        <v>261</v>
      </c>
      <c r="H2594" t="s">
        <v>260</v>
      </c>
      <c r="I2594" t="s">
        <v>442</v>
      </c>
      <c r="J2594" t="s">
        <v>442</v>
      </c>
      <c r="K2594" s="4">
        <v>1053.1</v>
      </c>
      <c r="L2594" s="4">
        <v>1053.1</v>
      </c>
      <c r="M2594" t="s">
        <v>44</v>
      </c>
      <c r="N2594" t="s">
        <v>77</v>
      </c>
      <c r="O2594" t="s">
        <v>99</v>
      </c>
      <c r="P2594" t="s">
        <v>99</v>
      </c>
      <c r="Q2594" t="s">
        <v>159</v>
      </c>
      <c r="R2594" t="s">
        <v>233</v>
      </c>
      <c r="S2594" t="s">
        <v>161</v>
      </c>
      <c r="T2594" t="s">
        <v>162</v>
      </c>
      <c r="U2594" t="s">
        <v>163</v>
      </c>
      <c r="V2594" t="s">
        <v>164</v>
      </c>
      <c r="W2594" t="s">
        <v>116</v>
      </c>
      <c r="X2594" t="s">
        <v>44</v>
      </c>
      <c r="Y2594" t="s">
        <v>99</v>
      </c>
      <c r="Z2594" t="s">
        <v>421</v>
      </c>
      <c r="AC2594" t="str">
        <f>IF(AA2594="",M2594,AA2594)</f>
        <v>sim</v>
      </c>
      <c r="AD2594" t="str">
        <f>IF(AB2594="",X2594,AB2594)</f>
        <v>sim</v>
      </c>
      <c r="AE2594" t="str">
        <f>IF(OR(Configuracao!B9="",Configuracao!B10=""),"aguardando limiar",IF(AND(K2594&gt;=Configuracao!B9,K2594/MAX(Reconciliacao!C2,1)&gt;=Configuracao!B10/100),"sim","não"))</f>
        <v>aguardando limiar</v>
      </c>
    </row>
    <row r="2595" spans="1:31" x14ac:dyDescent="0.25">
      <c r="A2595">
        <v>7008</v>
      </c>
      <c r="C2595" t="s">
        <v>1525</v>
      </c>
      <c r="D2595" t="s">
        <v>1323</v>
      </c>
      <c r="E2595" t="s">
        <v>511</v>
      </c>
      <c r="F2595" t="s">
        <v>232</v>
      </c>
      <c r="G2595" t="s">
        <v>261</v>
      </c>
      <c r="H2595" t="s">
        <v>260</v>
      </c>
      <c r="I2595" t="s">
        <v>439</v>
      </c>
      <c r="J2595" t="s">
        <v>439</v>
      </c>
      <c r="K2595" s="4">
        <v>1053.1</v>
      </c>
      <c r="L2595" s="4">
        <v>1053.1</v>
      </c>
      <c r="M2595" t="s">
        <v>44</v>
      </c>
      <c r="N2595" t="s">
        <v>77</v>
      </c>
      <c r="O2595" t="s">
        <v>99</v>
      </c>
      <c r="P2595" t="s">
        <v>99</v>
      </c>
      <c r="Q2595" t="s">
        <v>159</v>
      </c>
      <c r="R2595" t="s">
        <v>233</v>
      </c>
      <c r="S2595" t="s">
        <v>161</v>
      </c>
      <c r="T2595" t="s">
        <v>162</v>
      </c>
      <c r="U2595" t="s">
        <v>163</v>
      </c>
      <c r="V2595" t="s">
        <v>164</v>
      </c>
      <c r="W2595" t="s">
        <v>116</v>
      </c>
      <c r="X2595" t="s">
        <v>44</v>
      </c>
      <c r="Y2595" t="s">
        <v>99</v>
      </c>
      <c r="Z2595" t="s">
        <v>421</v>
      </c>
      <c r="AC2595" t="str">
        <f>IF(AA2595="",M2595,AA2595)</f>
        <v>sim</v>
      </c>
      <c r="AD2595" t="str">
        <f>IF(AB2595="",X2595,AB2595)</f>
        <v>sim</v>
      </c>
      <c r="AE2595" t="str">
        <f>IF(OR(Configuracao!B9="",Configuracao!B10=""),"aguardando limiar",IF(AND(K2595&gt;=Configuracao!B9,K2595/MAX(Reconciliacao!C2,1)&gt;=Configuracao!B10/100),"sim","não"))</f>
        <v>aguardando limiar</v>
      </c>
    </row>
    <row r="2596" spans="1:31" x14ac:dyDescent="0.25">
      <c r="A2596">
        <v>7009</v>
      </c>
      <c r="C2596" t="s">
        <v>1525</v>
      </c>
      <c r="D2596" t="s">
        <v>1323</v>
      </c>
      <c r="E2596" t="s">
        <v>511</v>
      </c>
      <c r="F2596" t="s">
        <v>232</v>
      </c>
      <c r="G2596" t="s">
        <v>261</v>
      </c>
      <c r="H2596" t="s">
        <v>260</v>
      </c>
      <c r="I2596" t="s">
        <v>35</v>
      </c>
      <c r="J2596" t="s">
        <v>35</v>
      </c>
      <c r="K2596" s="4">
        <v>1053.1</v>
      </c>
      <c r="L2596" s="4">
        <v>1053.1</v>
      </c>
      <c r="M2596" t="s">
        <v>44</v>
      </c>
      <c r="N2596" t="s">
        <v>77</v>
      </c>
      <c r="O2596" t="s">
        <v>99</v>
      </c>
      <c r="P2596" t="s">
        <v>99</v>
      </c>
      <c r="Q2596" t="s">
        <v>159</v>
      </c>
      <c r="R2596" t="s">
        <v>233</v>
      </c>
      <c r="S2596" t="s">
        <v>161</v>
      </c>
      <c r="T2596" t="s">
        <v>162</v>
      </c>
      <c r="U2596" t="s">
        <v>163</v>
      </c>
      <c r="V2596" t="s">
        <v>164</v>
      </c>
      <c r="W2596" t="s">
        <v>116</v>
      </c>
      <c r="X2596" t="s">
        <v>44</v>
      </c>
      <c r="Y2596" t="s">
        <v>99</v>
      </c>
      <c r="Z2596" t="s">
        <v>421</v>
      </c>
      <c r="AC2596" t="str">
        <f>IF(AA2596="",M2596,AA2596)</f>
        <v>sim</v>
      </c>
      <c r="AD2596" t="str">
        <f>IF(AB2596="",X2596,AB2596)</f>
        <v>sim</v>
      </c>
      <c r="AE2596" t="str">
        <f>IF(OR(Configuracao!B9="",Configuracao!B10=""),"aguardando limiar",IF(AND(K2596&gt;=Configuracao!B9,K2596/MAX(Reconciliacao!C2,1)&gt;=Configuracao!B10/100),"sim","não"))</f>
        <v>aguardando limiar</v>
      </c>
    </row>
    <row r="2597" spans="1:31" x14ac:dyDescent="0.25">
      <c r="A2597">
        <v>8213</v>
      </c>
      <c r="C2597" t="s">
        <v>1526</v>
      </c>
      <c r="D2597" t="s">
        <v>1527</v>
      </c>
      <c r="E2597" t="s">
        <v>525</v>
      </c>
      <c r="F2597" t="s">
        <v>232</v>
      </c>
      <c r="G2597" t="s">
        <v>261</v>
      </c>
      <c r="H2597" t="s">
        <v>260</v>
      </c>
      <c r="I2597" t="s">
        <v>32</v>
      </c>
      <c r="J2597" t="s">
        <v>32</v>
      </c>
      <c r="K2597" s="4">
        <v>1829.97</v>
      </c>
      <c r="L2597" s="4">
        <v>1829.97</v>
      </c>
      <c r="M2597" t="s">
        <v>44</v>
      </c>
      <c r="N2597" t="s">
        <v>77</v>
      </c>
      <c r="O2597" t="s">
        <v>99</v>
      </c>
      <c r="P2597" t="s">
        <v>99</v>
      </c>
      <c r="Q2597" t="s">
        <v>159</v>
      </c>
      <c r="R2597" t="s">
        <v>233</v>
      </c>
      <c r="S2597" t="s">
        <v>161</v>
      </c>
      <c r="T2597" t="s">
        <v>162</v>
      </c>
      <c r="U2597" t="s">
        <v>163</v>
      </c>
      <c r="V2597" t="s">
        <v>164</v>
      </c>
      <c r="W2597" t="s">
        <v>116</v>
      </c>
      <c r="X2597" t="s">
        <v>44</v>
      </c>
      <c r="Y2597" t="s">
        <v>99</v>
      </c>
      <c r="Z2597" t="s">
        <v>421</v>
      </c>
      <c r="AC2597" t="str">
        <f>IF(AA2597="",M2597,AA2597)</f>
        <v>sim</v>
      </c>
      <c r="AD2597" t="str">
        <f>IF(AB2597="",X2597,AB2597)</f>
        <v>sim</v>
      </c>
      <c r="AE2597" t="str">
        <f>IF(OR(Configuracao!B9="",Configuracao!B10=""),"aguardando limiar",IF(AND(K2597&gt;=Configuracao!B9,K2597/MAX(Reconciliacao!C2,1)&gt;=Configuracao!B10/100),"sim","não"))</f>
        <v>aguardando limiar</v>
      </c>
    </row>
    <row r="2598" spans="1:31" x14ac:dyDescent="0.25">
      <c r="A2598">
        <v>13350</v>
      </c>
      <c r="C2598" t="s">
        <v>1528</v>
      </c>
      <c r="D2598" t="s">
        <v>1527</v>
      </c>
      <c r="E2598" t="s">
        <v>525</v>
      </c>
      <c r="F2598" t="s">
        <v>232</v>
      </c>
      <c r="G2598" t="s">
        <v>261</v>
      </c>
      <c r="H2598" t="s">
        <v>260</v>
      </c>
      <c r="I2598" t="s">
        <v>424</v>
      </c>
      <c r="J2598" t="s">
        <v>424</v>
      </c>
      <c r="K2598" s="4">
        <v>2025.05</v>
      </c>
      <c r="L2598" s="4">
        <v>2025.05</v>
      </c>
      <c r="M2598" t="s">
        <v>44</v>
      </c>
      <c r="N2598" t="s">
        <v>77</v>
      </c>
      <c r="O2598" t="s">
        <v>99</v>
      </c>
      <c r="P2598" t="s">
        <v>99</v>
      </c>
      <c r="Q2598" t="s">
        <v>159</v>
      </c>
      <c r="R2598" t="s">
        <v>233</v>
      </c>
      <c r="S2598" t="s">
        <v>161</v>
      </c>
      <c r="T2598" t="s">
        <v>162</v>
      </c>
      <c r="U2598" t="s">
        <v>163</v>
      </c>
      <c r="V2598" t="s">
        <v>164</v>
      </c>
      <c r="W2598" t="s">
        <v>116</v>
      </c>
      <c r="X2598" t="s">
        <v>44</v>
      </c>
      <c r="Y2598" t="s">
        <v>99</v>
      </c>
      <c r="Z2598" t="s">
        <v>421</v>
      </c>
      <c r="AC2598" t="str">
        <f>IF(AA2598="",M2598,AA2598)</f>
        <v>sim</v>
      </c>
      <c r="AD2598" t="str">
        <f>IF(AB2598="",X2598,AB2598)</f>
        <v>sim</v>
      </c>
      <c r="AE2598" t="str">
        <f>IF(OR(Configuracao!B9="",Configuracao!B10=""),"aguardando limiar",IF(AND(K2598&gt;=Configuracao!B9,K2598/MAX(Reconciliacao!C2,1)&gt;=Configuracao!B10/100),"sim","não"))</f>
        <v>aguardando limiar</v>
      </c>
    </row>
    <row r="2599" spans="1:31" x14ac:dyDescent="0.25">
      <c r="A2599">
        <v>18867</v>
      </c>
      <c r="C2599" t="s">
        <v>1529</v>
      </c>
      <c r="D2599" t="s">
        <v>1530</v>
      </c>
      <c r="E2599" t="s">
        <v>486</v>
      </c>
      <c r="F2599" t="s">
        <v>232</v>
      </c>
      <c r="G2599" t="s">
        <v>250</v>
      </c>
      <c r="H2599" t="s">
        <v>249</v>
      </c>
      <c r="I2599" t="s">
        <v>35</v>
      </c>
      <c r="J2599" t="s">
        <v>35</v>
      </c>
      <c r="K2599" s="4">
        <v>125</v>
      </c>
      <c r="L2599" s="4">
        <v>125</v>
      </c>
      <c r="M2599" t="s">
        <v>44</v>
      </c>
      <c r="N2599" t="s">
        <v>77</v>
      </c>
      <c r="O2599" t="s">
        <v>99</v>
      </c>
      <c r="P2599" t="s">
        <v>99</v>
      </c>
      <c r="Q2599" t="s">
        <v>159</v>
      </c>
      <c r="R2599" t="s">
        <v>233</v>
      </c>
      <c r="S2599" t="s">
        <v>161</v>
      </c>
      <c r="T2599" t="s">
        <v>162</v>
      </c>
      <c r="U2599" t="s">
        <v>163</v>
      </c>
      <c r="V2599" t="s">
        <v>164</v>
      </c>
      <c r="W2599" t="s">
        <v>116</v>
      </c>
      <c r="X2599" t="s">
        <v>44</v>
      </c>
      <c r="Y2599" t="s">
        <v>99</v>
      </c>
      <c r="Z2599" t="s">
        <v>421</v>
      </c>
      <c r="AC2599" t="str">
        <f>IF(AA2599="",M2599,AA2599)</f>
        <v>sim</v>
      </c>
      <c r="AD2599" t="str">
        <f>IF(AB2599="",X2599,AB2599)</f>
        <v>sim</v>
      </c>
      <c r="AE2599" t="str">
        <f>IF(OR(Configuracao!B9="",Configuracao!B10=""),"aguardando limiar",IF(AND(K2599&gt;=Configuracao!B9,K2599/MAX(Reconciliacao!C2,1)&gt;=Configuracao!B10/100),"sim","não"))</f>
        <v>aguardando limiar</v>
      </c>
    </row>
    <row r="2600" spans="1:31" x14ac:dyDescent="0.25">
      <c r="A2600">
        <v>11385</v>
      </c>
      <c r="D2600" t="s">
        <v>1530</v>
      </c>
      <c r="E2600" t="s">
        <v>477</v>
      </c>
      <c r="F2600" t="s">
        <v>232</v>
      </c>
      <c r="G2600" t="s">
        <v>250</v>
      </c>
      <c r="H2600" t="s">
        <v>249</v>
      </c>
      <c r="I2600" t="s">
        <v>32</v>
      </c>
      <c r="J2600" t="s">
        <v>32</v>
      </c>
      <c r="K2600" s="4">
        <v>220</v>
      </c>
      <c r="L2600" s="4">
        <v>220</v>
      </c>
      <c r="M2600" t="s">
        <v>44</v>
      </c>
      <c r="N2600" t="s">
        <v>77</v>
      </c>
      <c r="O2600" t="s">
        <v>99</v>
      </c>
      <c r="P2600" t="s">
        <v>99</v>
      </c>
      <c r="Q2600" t="s">
        <v>159</v>
      </c>
      <c r="R2600" t="s">
        <v>233</v>
      </c>
      <c r="S2600" t="s">
        <v>161</v>
      </c>
      <c r="T2600" t="s">
        <v>162</v>
      </c>
      <c r="U2600" t="s">
        <v>163</v>
      </c>
      <c r="V2600" t="s">
        <v>164</v>
      </c>
      <c r="W2600" t="s">
        <v>116</v>
      </c>
      <c r="X2600" t="s">
        <v>44</v>
      </c>
      <c r="Y2600" t="s">
        <v>99</v>
      </c>
      <c r="Z2600" t="s">
        <v>421</v>
      </c>
      <c r="AC2600" t="str">
        <f>IF(AA2600="",M2600,AA2600)</f>
        <v>sim</v>
      </c>
      <c r="AD2600" t="str">
        <f>IF(AB2600="",X2600,AB2600)</f>
        <v>sim</v>
      </c>
      <c r="AE2600" t="str">
        <f>IF(OR(Configuracao!B9="",Configuracao!B10=""),"aguardando limiar",IF(AND(K2600&gt;=Configuracao!B9,K2600/MAX(Reconciliacao!C2,1)&gt;=Configuracao!B10/100),"sim","não"))</f>
        <v>aguardando limiar</v>
      </c>
    </row>
    <row r="2601" spans="1:31" x14ac:dyDescent="0.25">
      <c r="A2601">
        <v>11387</v>
      </c>
      <c r="D2601" t="s">
        <v>1530</v>
      </c>
      <c r="E2601" t="s">
        <v>525</v>
      </c>
      <c r="F2601" t="s">
        <v>232</v>
      </c>
      <c r="G2601" t="s">
        <v>250</v>
      </c>
      <c r="H2601" t="s">
        <v>249</v>
      </c>
      <c r="I2601" t="s">
        <v>32</v>
      </c>
      <c r="J2601" t="s">
        <v>32</v>
      </c>
      <c r="K2601" s="4">
        <v>220</v>
      </c>
      <c r="L2601" s="4">
        <v>220</v>
      </c>
      <c r="M2601" t="s">
        <v>44</v>
      </c>
      <c r="N2601" t="s">
        <v>77</v>
      </c>
      <c r="O2601" t="s">
        <v>99</v>
      </c>
      <c r="P2601" t="s">
        <v>99</v>
      </c>
      <c r="Q2601" t="s">
        <v>159</v>
      </c>
      <c r="R2601" t="s">
        <v>233</v>
      </c>
      <c r="S2601" t="s">
        <v>161</v>
      </c>
      <c r="T2601" t="s">
        <v>162</v>
      </c>
      <c r="U2601" t="s">
        <v>163</v>
      </c>
      <c r="V2601" t="s">
        <v>164</v>
      </c>
      <c r="W2601" t="s">
        <v>116</v>
      </c>
      <c r="X2601" t="s">
        <v>44</v>
      </c>
      <c r="Y2601" t="s">
        <v>99</v>
      </c>
      <c r="Z2601" t="s">
        <v>421</v>
      </c>
      <c r="AC2601" t="str">
        <f>IF(AA2601="",M2601,AA2601)</f>
        <v>sim</v>
      </c>
      <c r="AD2601" t="str">
        <f>IF(AB2601="",X2601,AB2601)</f>
        <v>sim</v>
      </c>
      <c r="AE2601" t="str">
        <f>IF(OR(Configuracao!B9="",Configuracao!B10=""),"aguardando limiar",IF(AND(K2601&gt;=Configuracao!B9,K2601/MAX(Reconciliacao!C2,1)&gt;=Configuracao!B10/100),"sim","não"))</f>
        <v>aguardando limiar</v>
      </c>
    </row>
    <row r="2602" spans="1:31" x14ac:dyDescent="0.25">
      <c r="A2602">
        <v>12184</v>
      </c>
      <c r="D2602" t="s">
        <v>1530</v>
      </c>
      <c r="E2602" t="s">
        <v>477</v>
      </c>
      <c r="F2602" t="s">
        <v>232</v>
      </c>
      <c r="G2602" t="s">
        <v>250</v>
      </c>
      <c r="H2602" t="s">
        <v>249</v>
      </c>
      <c r="I2602" t="s">
        <v>424</v>
      </c>
      <c r="J2602" t="s">
        <v>424</v>
      </c>
      <c r="K2602" s="4">
        <v>220</v>
      </c>
      <c r="L2602" s="4">
        <v>220</v>
      </c>
      <c r="M2602" t="s">
        <v>44</v>
      </c>
      <c r="N2602" t="s">
        <v>77</v>
      </c>
      <c r="O2602" t="s">
        <v>99</v>
      </c>
      <c r="P2602" t="s">
        <v>99</v>
      </c>
      <c r="Q2602" t="s">
        <v>159</v>
      </c>
      <c r="R2602" t="s">
        <v>233</v>
      </c>
      <c r="S2602" t="s">
        <v>161</v>
      </c>
      <c r="T2602" t="s">
        <v>162</v>
      </c>
      <c r="U2602" t="s">
        <v>163</v>
      </c>
      <c r="V2602" t="s">
        <v>164</v>
      </c>
      <c r="W2602" t="s">
        <v>116</v>
      </c>
      <c r="X2602" t="s">
        <v>44</v>
      </c>
      <c r="Y2602" t="s">
        <v>99</v>
      </c>
      <c r="Z2602" t="s">
        <v>421</v>
      </c>
      <c r="AC2602" t="str">
        <f>IF(AA2602="",M2602,AA2602)</f>
        <v>sim</v>
      </c>
      <c r="AD2602" t="str">
        <f>IF(AB2602="",X2602,AB2602)</f>
        <v>sim</v>
      </c>
      <c r="AE2602" t="str">
        <f>IF(OR(Configuracao!B9="",Configuracao!B10=""),"aguardando limiar",IF(AND(K2602&gt;=Configuracao!B9,K2602/MAX(Reconciliacao!C2,1)&gt;=Configuracao!B10/100),"sim","não"))</f>
        <v>aguardando limiar</v>
      </c>
    </row>
    <row r="2603" spans="1:31" x14ac:dyDescent="0.25">
      <c r="A2603">
        <v>12186</v>
      </c>
      <c r="D2603" t="s">
        <v>1530</v>
      </c>
      <c r="E2603" t="s">
        <v>525</v>
      </c>
      <c r="F2603" t="s">
        <v>232</v>
      </c>
      <c r="G2603" t="s">
        <v>250</v>
      </c>
      <c r="H2603" t="s">
        <v>249</v>
      </c>
      <c r="I2603" t="s">
        <v>424</v>
      </c>
      <c r="J2603" t="s">
        <v>424</v>
      </c>
      <c r="K2603" s="4">
        <v>220</v>
      </c>
      <c r="L2603" s="4">
        <v>220</v>
      </c>
      <c r="M2603" t="s">
        <v>44</v>
      </c>
      <c r="N2603" t="s">
        <v>77</v>
      </c>
      <c r="O2603" t="s">
        <v>99</v>
      </c>
      <c r="P2603" t="s">
        <v>99</v>
      </c>
      <c r="Q2603" t="s">
        <v>159</v>
      </c>
      <c r="R2603" t="s">
        <v>233</v>
      </c>
      <c r="S2603" t="s">
        <v>161</v>
      </c>
      <c r="T2603" t="s">
        <v>162</v>
      </c>
      <c r="U2603" t="s">
        <v>163</v>
      </c>
      <c r="V2603" t="s">
        <v>164</v>
      </c>
      <c r="W2603" t="s">
        <v>116</v>
      </c>
      <c r="X2603" t="s">
        <v>44</v>
      </c>
      <c r="Y2603" t="s">
        <v>99</v>
      </c>
      <c r="Z2603" t="s">
        <v>421</v>
      </c>
      <c r="AC2603" t="str">
        <f>IF(AA2603="",M2603,AA2603)</f>
        <v>sim</v>
      </c>
      <c r="AD2603" t="str">
        <f>IF(AB2603="",X2603,AB2603)</f>
        <v>sim</v>
      </c>
      <c r="AE2603" t="str">
        <f>IF(OR(Configuracao!B9="",Configuracao!B10=""),"aguardando limiar",IF(AND(K2603&gt;=Configuracao!B9,K2603/MAX(Reconciliacao!C2,1)&gt;=Configuracao!B10/100),"sim","não"))</f>
        <v>aguardando limiar</v>
      </c>
    </row>
    <row r="2604" spans="1:31" x14ac:dyDescent="0.25">
      <c r="A2604">
        <v>12708</v>
      </c>
      <c r="D2604" t="s">
        <v>1530</v>
      </c>
      <c r="E2604" t="s">
        <v>477</v>
      </c>
      <c r="F2604" t="s">
        <v>232</v>
      </c>
      <c r="G2604" t="s">
        <v>250</v>
      </c>
      <c r="H2604" t="s">
        <v>249</v>
      </c>
      <c r="I2604" t="s">
        <v>420</v>
      </c>
      <c r="J2604" t="s">
        <v>420</v>
      </c>
      <c r="K2604" s="4">
        <v>220</v>
      </c>
      <c r="L2604" s="4">
        <v>220</v>
      </c>
      <c r="M2604" t="s">
        <v>44</v>
      </c>
      <c r="N2604" t="s">
        <v>77</v>
      </c>
      <c r="O2604" t="s">
        <v>99</v>
      </c>
      <c r="P2604" t="s">
        <v>99</v>
      </c>
      <c r="Q2604" t="s">
        <v>159</v>
      </c>
      <c r="R2604" t="s">
        <v>233</v>
      </c>
      <c r="S2604" t="s">
        <v>161</v>
      </c>
      <c r="T2604" t="s">
        <v>162</v>
      </c>
      <c r="U2604" t="s">
        <v>163</v>
      </c>
      <c r="V2604" t="s">
        <v>164</v>
      </c>
      <c r="W2604" t="s">
        <v>116</v>
      </c>
      <c r="X2604" t="s">
        <v>44</v>
      </c>
      <c r="Y2604" t="s">
        <v>99</v>
      </c>
      <c r="Z2604" t="s">
        <v>421</v>
      </c>
      <c r="AC2604" t="str">
        <f>IF(AA2604="",M2604,AA2604)</f>
        <v>sim</v>
      </c>
      <c r="AD2604" t="str">
        <f>IF(AB2604="",X2604,AB2604)</f>
        <v>sim</v>
      </c>
      <c r="AE2604" t="str">
        <f>IF(OR(Configuracao!B9="",Configuracao!B10=""),"aguardando limiar",IF(AND(K2604&gt;=Configuracao!B9,K2604/MAX(Reconciliacao!C2,1)&gt;=Configuracao!B10/100),"sim","não"))</f>
        <v>aguardando limiar</v>
      </c>
    </row>
    <row r="2605" spans="1:31" x14ac:dyDescent="0.25">
      <c r="A2605">
        <v>12710</v>
      </c>
      <c r="D2605" t="s">
        <v>1530</v>
      </c>
      <c r="E2605" t="s">
        <v>525</v>
      </c>
      <c r="F2605" t="s">
        <v>232</v>
      </c>
      <c r="G2605" t="s">
        <v>250</v>
      </c>
      <c r="H2605" t="s">
        <v>249</v>
      </c>
      <c r="I2605" t="s">
        <v>420</v>
      </c>
      <c r="J2605" t="s">
        <v>420</v>
      </c>
      <c r="K2605" s="4">
        <v>220</v>
      </c>
      <c r="L2605" s="4">
        <v>220</v>
      </c>
      <c r="M2605" t="s">
        <v>44</v>
      </c>
      <c r="N2605" t="s">
        <v>77</v>
      </c>
      <c r="O2605" t="s">
        <v>99</v>
      </c>
      <c r="P2605" t="s">
        <v>99</v>
      </c>
      <c r="Q2605" t="s">
        <v>159</v>
      </c>
      <c r="R2605" t="s">
        <v>233</v>
      </c>
      <c r="S2605" t="s">
        <v>161</v>
      </c>
      <c r="T2605" t="s">
        <v>162</v>
      </c>
      <c r="U2605" t="s">
        <v>163</v>
      </c>
      <c r="V2605" t="s">
        <v>164</v>
      </c>
      <c r="W2605" t="s">
        <v>116</v>
      </c>
      <c r="X2605" t="s">
        <v>44</v>
      </c>
      <c r="Y2605" t="s">
        <v>99</v>
      </c>
      <c r="Z2605" t="s">
        <v>421</v>
      </c>
      <c r="AC2605" t="str">
        <f>IF(AA2605="",M2605,AA2605)</f>
        <v>sim</v>
      </c>
      <c r="AD2605" t="str">
        <f>IF(AB2605="",X2605,AB2605)</f>
        <v>sim</v>
      </c>
      <c r="AE2605" t="str">
        <f>IF(OR(Configuracao!B9="",Configuracao!B10=""),"aguardando limiar",IF(AND(K2605&gt;=Configuracao!B9,K2605/MAX(Reconciliacao!C2,1)&gt;=Configuracao!B10/100),"sim","não"))</f>
        <v>aguardando limiar</v>
      </c>
    </row>
    <row r="2606" spans="1:31" x14ac:dyDescent="0.25">
      <c r="A2606">
        <v>7266</v>
      </c>
      <c r="C2606" t="s">
        <v>1505</v>
      </c>
      <c r="D2606" t="s">
        <v>1530</v>
      </c>
      <c r="E2606" t="s">
        <v>511</v>
      </c>
      <c r="F2606" t="s">
        <v>232</v>
      </c>
      <c r="G2606" t="s">
        <v>250</v>
      </c>
      <c r="H2606" t="s">
        <v>249</v>
      </c>
      <c r="I2606" t="s">
        <v>35</v>
      </c>
      <c r="J2606" t="s">
        <v>35</v>
      </c>
      <c r="K2606" s="4">
        <v>250</v>
      </c>
      <c r="L2606" s="4">
        <v>250</v>
      </c>
      <c r="M2606" t="s">
        <v>44</v>
      </c>
      <c r="N2606" t="s">
        <v>77</v>
      </c>
      <c r="O2606" t="s">
        <v>99</v>
      </c>
      <c r="P2606" t="s">
        <v>99</v>
      </c>
      <c r="Q2606" t="s">
        <v>159</v>
      </c>
      <c r="R2606" t="s">
        <v>233</v>
      </c>
      <c r="S2606" t="s">
        <v>161</v>
      </c>
      <c r="T2606" t="s">
        <v>162</v>
      </c>
      <c r="U2606" t="s">
        <v>163</v>
      </c>
      <c r="V2606" t="s">
        <v>164</v>
      </c>
      <c r="W2606" t="s">
        <v>116</v>
      </c>
      <c r="X2606" t="s">
        <v>44</v>
      </c>
      <c r="Y2606" t="s">
        <v>99</v>
      </c>
      <c r="Z2606" t="s">
        <v>421</v>
      </c>
      <c r="AC2606" t="str">
        <f>IF(AA2606="",M2606,AA2606)</f>
        <v>sim</v>
      </c>
      <c r="AD2606" t="str">
        <f>IF(AB2606="",X2606,AB2606)</f>
        <v>sim</v>
      </c>
      <c r="AE2606" t="str">
        <f>IF(OR(Configuracao!B9="",Configuracao!B10=""),"aguardando limiar",IF(AND(K2606&gt;=Configuracao!B9,K2606/MAX(Reconciliacao!C2,1)&gt;=Configuracao!B10/100),"sim","não"))</f>
        <v>aguardando limiar</v>
      </c>
    </row>
    <row r="2607" spans="1:31" x14ac:dyDescent="0.25">
      <c r="A2607">
        <v>14596</v>
      </c>
      <c r="D2607" t="s">
        <v>1530</v>
      </c>
      <c r="E2607" t="s">
        <v>477</v>
      </c>
      <c r="F2607" t="s">
        <v>232</v>
      </c>
      <c r="G2607" t="s">
        <v>250</v>
      </c>
      <c r="H2607" t="s">
        <v>249</v>
      </c>
      <c r="I2607" t="s">
        <v>454</v>
      </c>
      <c r="J2607" t="s">
        <v>454</v>
      </c>
      <c r="K2607" s="4">
        <v>250</v>
      </c>
      <c r="L2607" s="4">
        <v>250</v>
      </c>
      <c r="M2607" t="s">
        <v>44</v>
      </c>
      <c r="N2607" t="s">
        <v>77</v>
      </c>
      <c r="O2607" t="s">
        <v>99</v>
      </c>
      <c r="P2607" t="s">
        <v>99</v>
      </c>
      <c r="Q2607" t="s">
        <v>159</v>
      </c>
      <c r="R2607" t="s">
        <v>233</v>
      </c>
      <c r="S2607" t="s">
        <v>161</v>
      </c>
      <c r="T2607" t="s">
        <v>162</v>
      </c>
      <c r="U2607" t="s">
        <v>163</v>
      </c>
      <c r="V2607" t="s">
        <v>164</v>
      </c>
      <c r="W2607" t="s">
        <v>116</v>
      </c>
      <c r="X2607" t="s">
        <v>44</v>
      </c>
      <c r="Y2607" t="s">
        <v>99</v>
      </c>
      <c r="Z2607" t="s">
        <v>421</v>
      </c>
      <c r="AC2607" t="str">
        <f>IF(AA2607="",M2607,AA2607)</f>
        <v>sim</v>
      </c>
      <c r="AD2607" t="str">
        <f>IF(AB2607="",X2607,AB2607)</f>
        <v>sim</v>
      </c>
      <c r="AE2607" t="str">
        <f>IF(OR(Configuracao!B9="",Configuracao!B10=""),"aguardando limiar",IF(AND(K2607&gt;=Configuracao!B9,K2607/MAX(Reconciliacao!C2,1)&gt;=Configuracao!B10/100),"sim","não"))</f>
        <v>aguardando limiar</v>
      </c>
    </row>
    <row r="2608" spans="1:31" x14ac:dyDescent="0.25">
      <c r="A2608">
        <v>14598</v>
      </c>
      <c r="D2608" t="s">
        <v>1530</v>
      </c>
      <c r="E2608" t="s">
        <v>525</v>
      </c>
      <c r="F2608" t="s">
        <v>232</v>
      </c>
      <c r="G2608" t="s">
        <v>250</v>
      </c>
      <c r="H2608" t="s">
        <v>249</v>
      </c>
      <c r="I2608" t="s">
        <v>454</v>
      </c>
      <c r="J2608" t="s">
        <v>454</v>
      </c>
      <c r="K2608" s="4">
        <v>250</v>
      </c>
      <c r="L2608" s="4">
        <v>250</v>
      </c>
      <c r="M2608" t="s">
        <v>44</v>
      </c>
      <c r="N2608" t="s">
        <v>77</v>
      </c>
      <c r="O2608" t="s">
        <v>99</v>
      </c>
      <c r="P2608" t="s">
        <v>99</v>
      </c>
      <c r="Q2608" t="s">
        <v>159</v>
      </c>
      <c r="R2608" t="s">
        <v>233</v>
      </c>
      <c r="S2608" t="s">
        <v>161</v>
      </c>
      <c r="T2608" t="s">
        <v>162</v>
      </c>
      <c r="U2608" t="s">
        <v>163</v>
      </c>
      <c r="V2608" t="s">
        <v>164</v>
      </c>
      <c r="W2608" t="s">
        <v>116</v>
      </c>
      <c r="X2608" t="s">
        <v>44</v>
      </c>
      <c r="Y2608" t="s">
        <v>99</v>
      </c>
      <c r="Z2608" t="s">
        <v>421</v>
      </c>
      <c r="AC2608" t="str">
        <f>IF(AA2608="",M2608,AA2608)</f>
        <v>sim</v>
      </c>
      <c r="AD2608" t="str">
        <f>IF(AB2608="",X2608,AB2608)</f>
        <v>sim</v>
      </c>
      <c r="AE2608" t="str">
        <f>IF(OR(Configuracao!B9="",Configuracao!B10=""),"aguardando limiar",IF(AND(K2608&gt;=Configuracao!B9,K2608/MAX(Reconciliacao!C2,1)&gt;=Configuracao!B10/100),"sim","não"))</f>
        <v>aguardando limiar</v>
      </c>
    </row>
    <row r="2609" spans="1:31" x14ac:dyDescent="0.25">
      <c r="A2609">
        <v>16219</v>
      </c>
      <c r="C2609" t="s">
        <v>1531</v>
      </c>
      <c r="D2609" t="s">
        <v>1530</v>
      </c>
      <c r="E2609" t="s">
        <v>525</v>
      </c>
      <c r="F2609" t="s">
        <v>232</v>
      </c>
      <c r="G2609" t="s">
        <v>250</v>
      </c>
      <c r="H2609" t="s">
        <v>249</v>
      </c>
      <c r="I2609" t="s">
        <v>461</v>
      </c>
      <c r="J2609" t="s">
        <v>461</v>
      </c>
      <c r="K2609" s="4">
        <v>250</v>
      </c>
      <c r="L2609" s="4">
        <v>250</v>
      </c>
      <c r="M2609" t="s">
        <v>44</v>
      </c>
      <c r="N2609" t="s">
        <v>77</v>
      </c>
      <c r="O2609" t="s">
        <v>99</v>
      </c>
      <c r="P2609" t="s">
        <v>99</v>
      </c>
      <c r="Q2609" t="s">
        <v>159</v>
      </c>
      <c r="R2609" t="s">
        <v>233</v>
      </c>
      <c r="S2609" t="s">
        <v>161</v>
      </c>
      <c r="T2609" t="s">
        <v>162</v>
      </c>
      <c r="U2609" t="s">
        <v>163</v>
      </c>
      <c r="V2609" t="s">
        <v>164</v>
      </c>
      <c r="W2609" t="s">
        <v>116</v>
      </c>
      <c r="X2609" t="s">
        <v>44</v>
      </c>
      <c r="Y2609" t="s">
        <v>99</v>
      </c>
      <c r="Z2609" t="s">
        <v>421</v>
      </c>
      <c r="AC2609" t="str">
        <f>IF(AA2609="",M2609,AA2609)</f>
        <v>sim</v>
      </c>
      <c r="AD2609" t="str">
        <f>IF(AB2609="",X2609,AB2609)</f>
        <v>sim</v>
      </c>
      <c r="AE2609" t="str">
        <f>IF(OR(Configuracao!B9="",Configuracao!B10=""),"aguardando limiar",IF(AND(K2609&gt;=Configuracao!B9,K2609/MAX(Reconciliacao!C2,1)&gt;=Configuracao!B10/100),"sim","não"))</f>
        <v>aguardando limiar</v>
      </c>
    </row>
    <row r="2610" spans="1:31" x14ac:dyDescent="0.25">
      <c r="A2610">
        <v>17406</v>
      </c>
      <c r="C2610" t="s">
        <v>1531</v>
      </c>
      <c r="D2610" t="s">
        <v>1530</v>
      </c>
      <c r="E2610" t="s">
        <v>525</v>
      </c>
      <c r="F2610" t="s">
        <v>232</v>
      </c>
      <c r="G2610" t="s">
        <v>250</v>
      </c>
      <c r="H2610" t="s">
        <v>249</v>
      </c>
      <c r="I2610" t="s">
        <v>442</v>
      </c>
      <c r="J2610" t="s">
        <v>442</v>
      </c>
      <c r="K2610" s="4">
        <v>250</v>
      </c>
      <c r="L2610" s="4">
        <v>93.08</v>
      </c>
      <c r="M2610" t="s">
        <v>44</v>
      </c>
      <c r="N2610" t="s">
        <v>77</v>
      </c>
      <c r="O2610" t="s">
        <v>99</v>
      </c>
      <c r="P2610" t="s">
        <v>99</v>
      </c>
      <c r="Q2610" t="s">
        <v>159</v>
      </c>
      <c r="R2610" t="s">
        <v>233</v>
      </c>
      <c r="S2610" t="s">
        <v>161</v>
      </c>
      <c r="T2610" t="s">
        <v>162</v>
      </c>
      <c r="U2610" t="s">
        <v>163</v>
      </c>
      <c r="V2610" t="s">
        <v>164</v>
      </c>
      <c r="W2610" t="s">
        <v>116</v>
      </c>
      <c r="X2610" t="s">
        <v>44</v>
      </c>
      <c r="Y2610" t="s">
        <v>99</v>
      </c>
      <c r="Z2610" t="s">
        <v>421</v>
      </c>
      <c r="AC2610" t="str">
        <f>IF(AA2610="",M2610,AA2610)</f>
        <v>sim</v>
      </c>
      <c r="AD2610" t="str">
        <f>IF(AB2610="",X2610,AB2610)</f>
        <v>sim</v>
      </c>
      <c r="AE2610" t="str">
        <f>IF(OR(Configuracao!B9="",Configuracao!B10=""),"aguardando limiar",IF(AND(K2610&gt;=Configuracao!B9,K2610/MAX(Reconciliacao!C2,1)&gt;=Configuracao!B10/100),"sim","não"))</f>
        <v>aguardando limiar</v>
      </c>
    </row>
    <row r="2611" spans="1:31" x14ac:dyDescent="0.25">
      <c r="A2611">
        <v>18000</v>
      </c>
      <c r="C2611" t="s">
        <v>1531</v>
      </c>
      <c r="D2611" t="s">
        <v>1530</v>
      </c>
      <c r="E2611" t="s">
        <v>525</v>
      </c>
      <c r="F2611" t="s">
        <v>232</v>
      </c>
      <c r="G2611" t="s">
        <v>250</v>
      </c>
      <c r="H2611" t="s">
        <v>249</v>
      </c>
      <c r="I2611" t="s">
        <v>439</v>
      </c>
      <c r="J2611" t="s">
        <v>439</v>
      </c>
      <c r="K2611" s="4">
        <v>250</v>
      </c>
      <c r="L2611" s="4">
        <v>250</v>
      </c>
      <c r="M2611" t="s">
        <v>44</v>
      </c>
      <c r="N2611" t="s">
        <v>77</v>
      </c>
      <c r="O2611" t="s">
        <v>99</v>
      </c>
      <c r="P2611" t="s">
        <v>99</v>
      </c>
      <c r="Q2611" t="s">
        <v>159</v>
      </c>
      <c r="R2611" t="s">
        <v>233</v>
      </c>
      <c r="S2611" t="s">
        <v>161</v>
      </c>
      <c r="T2611" t="s">
        <v>162</v>
      </c>
      <c r="U2611" t="s">
        <v>163</v>
      </c>
      <c r="V2611" t="s">
        <v>164</v>
      </c>
      <c r="W2611" t="s">
        <v>116</v>
      </c>
      <c r="X2611" t="s">
        <v>44</v>
      </c>
      <c r="Y2611" t="s">
        <v>99</v>
      </c>
      <c r="Z2611" t="s">
        <v>421</v>
      </c>
      <c r="AC2611" t="str">
        <f>IF(AA2611="",M2611,AA2611)</f>
        <v>sim</v>
      </c>
      <c r="AD2611" t="str">
        <f>IF(AB2611="",X2611,AB2611)</f>
        <v>sim</v>
      </c>
      <c r="AE2611" t="str">
        <f>IF(OR(Configuracao!B9="",Configuracao!B10=""),"aguardando limiar",IF(AND(K2611&gt;=Configuracao!B9,K2611/MAX(Reconciliacao!C2,1)&gt;=Configuracao!B10/100),"sim","não"))</f>
        <v>aguardando limiar</v>
      </c>
    </row>
    <row r="2612" spans="1:31" x14ac:dyDescent="0.25">
      <c r="A2612">
        <v>18866</v>
      </c>
      <c r="C2612" t="s">
        <v>1531</v>
      </c>
      <c r="D2612" t="s">
        <v>1530</v>
      </c>
      <c r="E2612" t="s">
        <v>525</v>
      </c>
      <c r="F2612" t="s">
        <v>232</v>
      </c>
      <c r="G2612" t="s">
        <v>250</v>
      </c>
      <c r="H2612" t="s">
        <v>249</v>
      </c>
      <c r="I2612" t="s">
        <v>35</v>
      </c>
      <c r="J2612" t="s">
        <v>35</v>
      </c>
      <c r="K2612" s="4">
        <v>250</v>
      </c>
      <c r="L2612" s="4">
        <v>250</v>
      </c>
      <c r="M2612" t="s">
        <v>44</v>
      </c>
      <c r="N2612" t="s">
        <v>77</v>
      </c>
      <c r="O2612" t="s">
        <v>99</v>
      </c>
      <c r="P2612" t="s">
        <v>99</v>
      </c>
      <c r="Q2612" t="s">
        <v>159</v>
      </c>
      <c r="R2612" t="s">
        <v>233</v>
      </c>
      <c r="S2612" t="s">
        <v>161</v>
      </c>
      <c r="T2612" t="s">
        <v>162</v>
      </c>
      <c r="U2612" t="s">
        <v>163</v>
      </c>
      <c r="V2612" t="s">
        <v>164</v>
      </c>
      <c r="W2612" t="s">
        <v>116</v>
      </c>
      <c r="X2612" t="s">
        <v>44</v>
      </c>
      <c r="Y2612" t="s">
        <v>99</v>
      </c>
      <c r="Z2612" t="s">
        <v>421</v>
      </c>
      <c r="AC2612" t="str">
        <f>IF(AA2612="",M2612,AA2612)</f>
        <v>sim</v>
      </c>
      <c r="AD2612" t="str">
        <f>IF(AB2612="",X2612,AB2612)</f>
        <v>sim</v>
      </c>
      <c r="AE2612" t="str">
        <f>IF(OR(Configuracao!B9="",Configuracao!B10=""),"aguardando limiar",IF(AND(K2612&gt;=Configuracao!B9,K2612/MAX(Reconciliacao!C2,1)&gt;=Configuracao!B10/100),"sim","não"))</f>
        <v>aguardando limiar</v>
      </c>
    </row>
    <row r="2613" spans="1:31" x14ac:dyDescent="0.25">
      <c r="A2613">
        <v>7259</v>
      </c>
      <c r="D2613" t="s">
        <v>1530</v>
      </c>
      <c r="E2613" t="s">
        <v>511</v>
      </c>
      <c r="F2613" t="s">
        <v>232</v>
      </c>
      <c r="G2613" t="s">
        <v>250</v>
      </c>
      <c r="H2613" t="s">
        <v>249</v>
      </c>
      <c r="I2613" t="s">
        <v>32</v>
      </c>
      <c r="J2613" t="s">
        <v>32</v>
      </c>
      <c r="K2613" s="4">
        <v>440</v>
      </c>
      <c r="L2613" s="4">
        <v>440</v>
      </c>
      <c r="M2613" t="s">
        <v>44</v>
      </c>
      <c r="N2613" t="s">
        <v>77</v>
      </c>
      <c r="O2613" t="s">
        <v>99</v>
      </c>
      <c r="P2613" t="s">
        <v>99</v>
      </c>
      <c r="Q2613" t="s">
        <v>159</v>
      </c>
      <c r="R2613" t="s">
        <v>233</v>
      </c>
      <c r="S2613" t="s">
        <v>161</v>
      </c>
      <c r="T2613" t="s">
        <v>162</v>
      </c>
      <c r="U2613" t="s">
        <v>163</v>
      </c>
      <c r="V2613" t="s">
        <v>164</v>
      </c>
      <c r="W2613" t="s">
        <v>116</v>
      </c>
      <c r="X2613" t="s">
        <v>44</v>
      </c>
      <c r="Y2613" t="s">
        <v>99</v>
      </c>
      <c r="Z2613" t="s">
        <v>421</v>
      </c>
      <c r="AC2613" t="str">
        <f>IF(AA2613="",M2613,AA2613)</f>
        <v>sim</v>
      </c>
      <c r="AD2613" t="str">
        <f>IF(AB2613="",X2613,AB2613)</f>
        <v>sim</v>
      </c>
      <c r="AE2613" t="str">
        <f>IF(OR(Configuracao!B9="",Configuracao!B10=""),"aguardando limiar",IF(AND(K2613&gt;=Configuracao!B9,K2613/MAX(Reconciliacao!C2,1)&gt;=Configuracao!B10/100),"sim","não"))</f>
        <v>aguardando limiar</v>
      </c>
    </row>
    <row r="2614" spans="1:31" x14ac:dyDescent="0.25">
      <c r="A2614">
        <v>7260</v>
      </c>
      <c r="D2614" t="s">
        <v>1530</v>
      </c>
      <c r="E2614" t="s">
        <v>511</v>
      </c>
      <c r="F2614" t="s">
        <v>232</v>
      </c>
      <c r="G2614" t="s">
        <v>250</v>
      </c>
      <c r="H2614" t="s">
        <v>249</v>
      </c>
      <c r="I2614" t="s">
        <v>424</v>
      </c>
      <c r="J2614" t="s">
        <v>424</v>
      </c>
      <c r="K2614" s="4">
        <v>440</v>
      </c>
      <c r="L2614" s="4">
        <v>440</v>
      </c>
      <c r="M2614" t="s">
        <v>44</v>
      </c>
      <c r="N2614" t="s">
        <v>77</v>
      </c>
      <c r="O2614" t="s">
        <v>99</v>
      </c>
      <c r="P2614" t="s">
        <v>99</v>
      </c>
      <c r="Q2614" t="s">
        <v>159</v>
      </c>
      <c r="R2614" t="s">
        <v>233</v>
      </c>
      <c r="S2614" t="s">
        <v>161</v>
      </c>
      <c r="T2614" t="s">
        <v>162</v>
      </c>
      <c r="U2614" t="s">
        <v>163</v>
      </c>
      <c r="V2614" t="s">
        <v>164</v>
      </c>
      <c r="W2614" t="s">
        <v>116</v>
      </c>
      <c r="X2614" t="s">
        <v>44</v>
      </c>
      <c r="Y2614" t="s">
        <v>99</v>
      </c>
      <c r="Z2614" t="s">
        <v>421</v>
      </c>
      <c r="AC2614" t="str">
        <f>IF(AA2614="",M2614,AA2614)</f>
        <v>sim</v>
      </c>
      <c r="AD2614" t="str">
        <f>IF(AB2614="",X2614,AB2614)</f>
        <v>sim</v>
      </c>
      <c r="AE2614" t="str">
        <f>IF(OR(Configuracao!B9="",Configuracao!B10=""),"aguardando limiar",IF(AND(K2614&gt;=Configuracao!B9,K2614/MAX(Reconciliacao!C2,1)&gt;=Configuracao!B10/100),"sim","não"))</f>
        <v>aguardando limiar</v>
      </c>
    </row>
    <row r="2615" spans="1:31" x14ac:dyDescent="0.25">
      <c r="A2615">
        <v>7261</v>
      </c>
      <c r="D2615" t="s">
        <v>1530</v>
      </c>
      <c r="E2615" t="s">
        <v>511</v>
      </c>
      <c r="F2615" t="s">
        <v>232</v>
      </c>
      <c r="G2615" t="s">
        <v>250</v>
      </c>
      <c r="H2615" t="s">
        <v>249</v>
      </c>
      <c r="I2615" t="s">
        <v>420</v>
      </c>
      <c r="J2615" t="s">
        <v>420</v>
      </c>
      <c r="K2615" s="4">
        <v>440</v>
      </c>
      <c r="L2615" s="4">
        <v>440</v>
      </c>
      <c r="M2615" t="s">
        <v>44</v>
      </c>
      <c r="N2615" t="s">
        <v>77</v>
      </c>
      <c r="O2615" t="s">
        <v>99</v>
      </c>
      <c r="P2615" t="s">
        <v>99</v>
      </c>
      <c r="Q2615" t="s">
        <v>159</v>
      </c>
      <c r="R2615" t="s">
        <v>233</v>
      </c>
      <c r="S2615" t="s">
        <v>161</v>
      </c>
      <c r="T2615" t="s">
        <v>162</v>
      </c>
      <c r="U2615" t="s">
        <v>163</v>
      </c>
      <c r="V2615" t="s">
        <v>164</v>
      </c>
      <c r="W2615" t="s">
        <v>116</v>
      </c>
      <c r="X2615" t="s">
        <v>44</v>
      </c>
      <c r="Y2615" t="s">
        <v>99</v>
      </c>
      <c r="Z2615" t="s">
        <v>421</v>
      </c>
      <c r="AC2615" t="str">
        <f>IF(AA2615="",M2615,AA2615)</f>
        <v>sim</v>
      </c>
      <c r="AD2615" t="str">
        <f>IF(AB2615="",X2615,AB2615)</f>
        <v>sim</v>
      </c>
      <c r="AE2615" t="str">
        <f>IF(OR(Configuracao!B9="",Configuracao!B10=""),"aguardando limiar",IF(AND(K2615&gt;=Configuracao!B9,K2615/MAX(Reconciliacao!C2,1)&gt;=Configuracao!B10/100),"sim","não"))</f>
        <v>aguardando limiar</v>
      </c>
    </row>
    <row r="2616" spans="1:31" x14ac:dyDescent="0.25">
      <c r="A2616">
        <v>11386</v>
      </c>
      <c r="D2616" t="s">
        <v>1530</v>
      </c>
      <c r="E2616" t="s">
        <v>465</v>
      </c>
      <c r="F2616" t="s">
        <v>232</v>
      </c>
      <c r="G2616" t="s">
        <v>250</v>
      </c>
      <c r="H2616" t="s">
        <v>249</v>
      </c>
      <c r="I2616" t="s">
        <v>32</v>
      </c>
      <c r="J2616" t="s">
        <v>32</v>
      </c>
      <c r="K2616" s="4">
        <v>440</v>
      </c>
      <c r="L2616" s="4">
        <v>440</v>
      </c>
      <c r="M2616" t="s">
        <v>44</v>
      </c>
      <c r="N2616" t="s">
        <v>77</v>
      </c>
      <c r="O2616" t="s">
        <v>99</v>
      </c>
      <c r="P2616" t="s">
        <v>99</v>
      </c>
      <c r="Q2616" t="s">
        <v>159</v>
      </c>
      <c r="R2616" t="s">
        <v>233</v>
      </c>
      <c r="S2616" t="s">
        <v>161</v>
      </c>
      <c r="T2616" t="s">
        <v>162</v>
      </c>
      <c r="U2616" t="s">
        <v>163</v>
      </c>
      <c r="V2616" t="s">
        <v>164</v>
      </c>
      <c r="W2616" t="s">
        <v>116</v>
      </c>
      <c r="X2616" t="s">
        <v>44</v>
      </c>
      <c r="Y2616" t="s">
        <v>99</v>
      </c>
      <c r="Z2616" t="s">
        <v>421</v>
      </c>
      <c r="AC2616" t="str">
        <f>IF(AA2616="",M2616,AA2616)</f>
        <v>sim</v>
      </c>
      <c r="AD2616" t="str">
        <f>IF(AB2616="",X2616,AB2616)</f>
        <v>sim</v>
      </c>
      <c r="AE2616" t="str">
        <f>IF(OR(Configuracao!B9="",Configuracao!B10=""),"aguardando limiar",IF(AND(K2616&gt;=Configuracao!B9,K2616/MAX(Reconciliacao!C2,1)&gt;=Configuracao!B10/100),"sim","não"))</f>
        <v>aguardando limiar</v>
      </c>
    </row>
    <row r="2617" spans="1:31" x14ac:dyDescent="0.25">
      <c r="A2617">
        <v>12185</v>
      </c>
      <c r="D2617" t="s">
        <v>1530</v>
      </c>
      <c r="E2617" t="s">
        <v>465</v>
      </c>
      <c r="F2617" t="s">
        <v>232</v>
      </c>
      <c r="G2617" t="s">
        <v>250</v>
      </c>
      <c r="H2617" t="s">
        <v>249</v>
      </c>
      <c r="I2617" t="s">
        <v>424</v>
      </c>
      <c r="J2617" t="s">
        <v>424</v>
      </c>
      <c r="K2617" s="4">
        <v>440</v>
      </c>
      <c r="L2617" s="4">
        <v>440</v>
      </c>
      <c r="M2617" t="s">
        <v>44</v>
      </c>
      <c r="N2617" t="s">
        <v>77</v>
      </c>
      <c r="O2617" t="s">
        <v>99</v>
      </c>
      <c r="P2617" t="s">
        <v>99</v>
      </c>
      <c r="Q2617" t="s">
        <v>159</v>
      </c>
      <c r="R2617" t="s">
        <v>233</v>
      </c>
      <c r="S2617" t="s">
        <v>161</v>
      </c>
      <c r="T2617" t="s">
        <v>162</v>
      </c>
      <c r="U2617" t="s">
        <v>163</v>
      </c>
      <c r="V2617" t="s">
        <v>164</v>
      </c>
      <c r="W2617" t="s">
        <v>116</v>
      </c>
      <c r="X2617" t="s">
        <v>44</v>
      </c>
      <c r="Y2617" t="s">
        <v>99</v>
      </c>
      <c r="Z2617" t="s">
        <v>421</v>
      </c>
      <c r="AC2617" t="str">
        <f>IF(AA2617="",M2617,AA2617)</f>
        <v>sim</v>
      </c>
      <c r="AD2617" t="str">
        <f>IF(AB2617="",X2617,AB2617)</f>
        <v>sim</v>
      </c>
      <c r="AE2617" t="str">
        <f>IF(OR(Configuracao!B9="",Configuracao!B10=""),"aguardando limiar",IF(AND(K2617&gt;=Configuracao!B9,K2617/MAX(Reconciliacao!C2,1)&gt;=Configuracao!B10/100),"sim","não"))</f>
        <v>aguardando limiar</v>
      </c>
    </row>
    <row r="2618" spans="1:31" x14ac:dyDescent="0.25">
      <c r="A2618">
        <v>12709</v>
      </c>
      <c r="D2618" t="s">
        <v>1530</v>
      </c>
      <c r="E2618" t="s">
        <v>465</v>
      </c>
      <c r="F2618" t="s">
        <v>232</v>
      </c>
      <c r="G2618" t="s">
        <v>250</v>
      </c>
      <c r="H2618" t="s">
        <v>249</v>
      </c>
      <c r="I2618" t="s">
        <v>420</v>
      </c>
      <c r="J2618" t="s">
        <v>420</v>
      </c>
      <c r="K2618" s="4">
        <v>440</v>
      </c>
      <c r="L2618" s="4">
        <v>440</v>
      </c>
      <c r="M2618" t="s">
        <v>44</v>
      </c>
      <c r="N2618" t="s">
        <v>77</v>
      </c>
      <c r="O2618" t="s">
        <v>99</v>
      </c>
      <c r="P2618" t="s">
        <v>99</v>
      </c>
      <c r="Q2618" t="s">
        <v>159</v>
      </c>
      <c r="R2618" t="s">
        <v>233</v>
      </c>
      <c r="S2618" t="s">
        <v>161</v>
      </c>
      <c r="T2618" t="s">
        <v>162</v>
      </c>
      <c r="U2618" t="s">
        <v>163</v>
      </c>
      <c r="V2618" t="s">
        <v>164</v>
      </c>
      <c r="W2618" t="s">
        <v>116</v>
      </c>
      <c r="X2618" t="s">
        <v>44</v>
      </c>
      <c r="Y2618" t="s">
        <v>99</v>
      </c>
      <c r="Z2618" t="s">
        <v>421</v>
      </c>
      <c r="AC2618" t="str">
        <f>IF(AA2618="",M2618,AA2618)</f>
        <v>sim</v>
      </c>
      <c r="AD2618" t="str">
        <f>IF(AB2618="",X2618,AB2618)</f>
        <v>sim</v>
      </c>
      <c r="AE2618" t="str">
        <f>IF(OR(Configuracao!B9="",Configuracao!B10=""),"aguardando limiar",IF(AND(K2618&gt;=Configuracao!B9,K2618/MAX(Reconciliacao!C2,1)&gt;=Configuracao!B10/100),"sim","não"))</f>
        <v>aguardando limiar</v>
      </c>
    </row>
    <row r="2619" spans="1:31" x14ac:dyDescent="0.25">
      <c r="A2619">
        <v>7262</v>
      </c>
      <c r="D2619" t="s">
        <v>1530</v>
      </c>
      <c r="E2619" t="s">
        <v>511</v>
      </c>
      <c r="F2619" t="s">
        <v>232</v>
      </c>
      <c r="G2619" t="s">
        <v>250</v>
      </c>
      <c r="H2619" t="s">
        <v>249</v>
      </c>
      <c r="I2619" t="s">
        <v>454</v>
      </c>
      <c r="J2619" t="s">
        <v>454</v>
      </c>
      <c r="K2619" s="4">
        <v>500</v>
      </c>
      <c r="L2619" s="4">
        <v>500</v>
      </c>
      <c r="M2619" t="s">
        <v>44</v>
      </c>
      <c r="N2619" t="s">
        <v>77</v>
      </c>
      <c r="O2619" t="s">
        <v>99</v>
      </c>
      <c r="P2619" t="s">
        <v>99</v>
      </c>
      <c r="Q2619" t="s">
        <v>159</v>
      </c>
      <c r="R2619" t="s">
        <v>233</v>
      </c>
      <c r="S2619" t="s">
        <v>161</v>
      </c>
      <c r="T2619" t="s">
        <v>162</v>
      </c>
      <c r="U2619" t="s">
        <v>163</v>
      </c>
      <c r="V2619" t="s">
        <v>164</v>
      </c>
      <c r="W2619" t="s">
        <v>116</v>
      </c>
      <c r="X2619" t="s">
        <v>44</v>
      </c>
      <c r="Y2619" t="s">
        <v>99</v>
      </c>
      <c r="Z2619" t="s">
        <v>421</v>
      </c>
      <c r="AC2619" t="str">
        <f>IF(AA2619="",M2619,AA2619)</f>
        <v>sim</v>
      </c>
      <c r="AD2619" t="str">
        <f>IF(AB2619="",X2619,AB2619)</f>
        <v>sim</v>
      </c>
      <c r="AE2619" t="str">
        <f>IF(OR(Configuracao!B9="",Configuracao!B10=""),"aguardando limiar",IF(AND(K2619&gt;=Configuracao!B9,K2619/MAX(Reconciliacao!C2,1)&gt;=Configuracao!B10/100),"sim","não"))</f>
        <v>aguardando limiar</v>
      </c>
    </row>
    <row r="2620" spans="1:31" x14ac:dyDescent="0.25">
      <c r="A2620">
        <v>7263</v>
      </c>
      <c r="C2620" t="s">
        <v>1532</v>
      </c>
      <c r="D2620" t="s">
        <v>1530</v>
      </c>
      <c r="E2620" t="s">
        <v>511</v>
      </c>
      <c r="F2620" t="s">
        <v>232</v>
      </c>
      <c r="G2620" t="s">
        <v>250</v>
      </c>
      <c r="H2620" t="s">
        <v>249</v>
      </c>
      <c r="I2620" t="s">
        <v>461</v>
      </c>
      <c r="J2620" t="s">
        <v>461</v>
      </c>
      <c r="K2620" s="4">
        <v>500</v>
      </c>
      <c r="L2620" s="4">
        <v>500</v>
      </c>
      <c r="M2620" t="s">
        <v>44</v>
      </c>
      <c r="N2620" t="s">
        <v>77</v>
      </c>
      <c r="O2620" t="s">
        <v>99</v>
      </c>
      <c r="P2620" t="s">
        <v>99</v>
      </c>
      <c r="Q2620" t="s">
        <v>159</v>
      </c>
      <c r="R2620" t="s">
        <v>233</v>
      </c>
      <c r="S2620" t="s">
        <v>161</v>
      </c>
      <c r="T2620" t="s">
        <v>162</v>
      </c>
      <c r="U2620" t="s">
        <v>163</v>
      </c>
      <c r="V2620" t="s">
        <v>164</v>
      </c>
      <c r="W2620" t="s">
        <v>116</v>
      </c>
      <c r="X2620" t="s">
        <v>44</v>
      </c>
      <c r="Y2620" t="s">
        <v>99</v>
      </c>
      <c r="Z2620" t="s">
        <v>421</v>
      </c>
      <c r="AC2620" t="str">
        <f>IF(AA2620="",M2620,AA2620)</f>
        <v>sim</v>
      </c>
      <c r="AD2620" t="str">
        <f>IF(AB2620="",X2620,AB2620)</f>
        <v>sim</v>
      </c>
      <c r="AE2620" t="str">
        <f>IF(OR(Configuracao!B9="",Configuracao!B10=""),"aguardando limiar",IF(AND(K2620&gt;=Configuracao!B9,K2620/MAX(Reconciliacao!C2,1)&gt;=Configuracao!B10/100),"sim","não"))</f>
        <v>aguardando limiar</v>
      </c>
    </row>
    <row r="2621" spans="1:31" x14ac:dyDescent="0.25">
      <c r="A2621">
        <v>7264</v>
      </c>
      <c r="C2621" t="s">
        <v>1532</v>
      </c>
      <c r="D2621" t="s">
        <v>1530</v>
      </c>
      <c r="E2621" t="s">
        <v>511</v>
      </c>
      <c r="F2621" t="s">
        <v>232</v>
      </c>
      <c r="G2621" t="s">
        <v>250</v>
      </c>
      <c r="H2621" t="s">
        <v>249</v>
      </c>
      <c r="I2621" t="s">
        <v>442</v>
      </c>
      <c r="J2621" t="s">
        <v>442</v>
      </c>
      <c r="K2621" s="4">
        <v>500</v>
      </c>
      <c r="L2621" s="4">
        <v>186.15</v>
      </c>
      <c r="M2621" t="s">
        <v>44</v>
      </c>
      <c r="N2621" t="s">
        <v>77</v>
      </c>
      <c r="O2621" t="s">
        <v>99</v>
      </c>
      <c r="P2621" t="s">
        <v>99</v>
      </c>
      <c r="Q2621" t="s">
        <v>159</v>
      </c>
      <c r="R2621" t="s">
        <v>233</v>
      </c>
      <c r="S2621" t="s">
        <v>161</v>
      </c>
      <c r="T2621" t="s">
        <v>162</v>
      </c>
      <c r="U2621" t="s">
        <v>163</v>
      </c>
      <c r="V2621" t="s">
        <v>164</v>
      </c>
      <c r="W2621" t="s">
        <v>116</v>
      </c>
      <c r="X2621" t="s">
        <v>44</v>
      </c>
      <c r="Y2621" t="s">
        <v>99</v>
      </c>
      <c r="Z2621" t="s">
        <v>421</v>
      </c>
      <c r="AC2621" t="str">
        <f>IF(AA2621="",M2621,AA2621)</f>
        <v>sim</v>
      </c>
      <c r="AD2621" t="str">
        <f>IF(AB2621="",X2621,AB2621)</f>
        <v>sim</v>
      </c>
      <c r="AE2621" t="str">
        <f>IF(OR(Configuracao!B9="",Configuracao!B10=""),"aguardando limiar",IF(AND(K2621&gt;=Configuracao!B9,K2621/MAX(Reconciliacao!C2,1)&gt;=Configuracao!B10/100),"sim","não"))</f>
        <v>aguardando limiar</v>
      </c>
    </row>
    <row r="2622" spans="1:31" x14ac:dyDescent="0.25">
      <c r="A2622">
        <v>7265</v>
      </c>
      <c r="C2622" t="s">
        <v>1532</v>
      </c>
      <c r="D2622" t="s">
        <v>1530</v>
      </c>
      <c r="E2622" t="s">
        <v>511</v>
      </c>
      <c r="F2622" t="s">
        <v>232</v>
      </c>
      <c r="G2622" t="s">
        <v>250</v>
      </c>
      <c r="H2622" t="s">
        <v>249</v>
      </c>
      <c r="I2622" t="s">
        <v>439</v>
      </c>
      <c r="J2622" t="s">
        <v>439</v>
      </c>
      <c r="K2622" s="4">
        <v>500</v>
      </c>
      <c r="L2622" s="4">
        <v>500</v>
      </c>
      <c r="M2622" t="s">
        <v>44</v>
      </c>
      <c r="N2622" t="s">
        <v>77</v>
      </c>
      <c r="O2622" t="s">
        <v>99</v>
      </c>
      <c r="P2622" t="s">
        <v>99</v>
      </c>
      <c r="Q2622" t="s">
        <v>159</v>
      </c>
      <c r="R2622" t="s">
        <v>233</v>
      </c>
      <c r="S2622" t="s">
        <v>161</v>
      </c>
      <c r="T2622" t="s">
        <v>162</v>
      </c>
      <c r="U2622" t="s">
        <v>163</v>
      </c>
      <c r="V2622" t="s">
        <v>164</v>
      </c>
      <c r="W2622" t="s">
        <v>116</v>
      </c>
      <c r="X2622" t="s">
        <v>44</v>
      </c>
      <c r="Y2622" t="s">
        <v>99</v>
      </c>
      <c r="Z2622" t="s">
        <v>421</v>
      </c>
      <c r="AC2622" t="str">
        <f>IF(AA2622="",M2622,AA2622)</f>
        <v>sim</v>
      </c>
      <c r="AD2622" t="str">
        <f>IF(AB2622="",X2622,AB2622)</f>
        <v>sim</v>
      </c>
      <c r="AE2622" t="str">
        <f>IF(OR(Configuracao!B9="",Configuracao!B10=""),"aguardando limiar",IF(AND(K2622&gt;=Configuracao!B9,K2622/MAX(Reconciliacao!C2,1)&gt;=Configuracao!B10/100),"sim","não"))</f>
        <v>aguardando limiar</v>
      </c>
    </row>
    <row r="2623" spans="1:31" x14ac:dyDescent="0.25">
      <c r="A2623">
        <v>14597</v>
      </c>
      <c r="D2623" t="s">
        <v>1530</v>
      </c>
      <c r="E2623" t="s">
        <v>465</v>
      </c>
      <c r="F2623" t="s">
        <v>232</v>
      </c>
      <c r="G2623" t="s">
        <v>250</v>
      </c>
      <c r="H2623" t="s">
        <v>249</v>
      </c>
      <c r="I2623" t="s">
        <v>454</v>
      </c>
      <c r="J2623" t="s">
        <v>454</v>
      </c>
      <c r="K2623" s="4">
        <v>500</v>
      </c>
      <c r="L2623" s="4">
        <v>500</v>
      </c>
      <c r="M2623" t="s">
        <v>44</v>
      </c>
      <c r="N2623" t="s">
        <v>77</v>
      </c>
      <c r="O2623" t="s">
        <v>99</v>
      </c>
      <c r="P2623" t="s">
        <v>99</v>
      </c>
      <c r="Q2623" t="s">
        <v>159</v>
      </c>
      <c r="R2623" t="s">
        <v>233</v>
      </c>
      <c r="S2623" t="s">
        <v>161</v>
      </c>
      <c r="T2623" t="s">
        <v>162</v>
      </c>
      <c r="U2623" t="s">
        <v>163</v>
      </c>
      <c r="V2623" t="s">
        <v>164</v>
      </c>
      <c r="W2623" t="s">
        <v>116</v>
      </c>
      <c r="X2623" t="s">
        <v>44</v>
      </c>
      <c r="Y2623" t="s">
        <v>99</v>
      </c>
      <c r="Z2623" t="s">
        <v>421</v>
      </c>
      <c r="AC2623" t="str">
        <f>IF(AA2623="",M2623,AA2623)</f>
        <v>sim</v>
      </c>
      <c r="AD2623" t="str">
        <f>IF(AB2623="",X2623,AB2623)</f>
        <v>sim</v>
      </c>
      <c r="AE2623" t="str">
        <f>IF(OR(Configuracao!B9="",Configuracao!B10=""),"aguardando limiar",IF(AND(K2623&gt;=Configuracao!B9,K2623/MAX(Reconciliacao!C2,1)&gt;=Configuracao!B10/100),"sim","não"))</f>
        <v>aguardando limiar</v>
      </c>
    </row>
    <row r="2624" spans="1:31" x14ac:dyDescent="0.25">
      <c r="A2624">
        <v>16218</v>
      </c>
      <c r="C2624" t="s">
        <v>1533</v>
      </c>
      <c r="D2624" t="s">
        <v>1530</v>
      </c>
      <c r="E2624" t="s">
        <v>465</v>
      </c>
      <c r="F2624" t="s">
        <v>232</v>
      </c>
      <c r="G2624" t="s">
        <v>250</v>
      </c>
      <c r="H2624" t="s">
        <v>249</v>
      </c>
      <c r="I2624" t="s">
        <v>461</v>
      </c>
      <c r="J2624" t="s">
        <v>461</v>
      </c>
      <c r="K2624" s="4">
        <v>500</v>
      </c>
      <c r="L2624" s="4">
        <v>500</v>
      </c>
      <c r="M2624" t="s">
        <v>44</v>
      </c>
      <c r="N2624" t="s">
        <v>77</v>
      </c>
      <c r="O2624" t="s">
        <v>99</v>
      </c>
      <c r="P2624" t="s">
        <v>99</v>
      </c>
      <c r="Q2624" t="s">
        <v>159</v>
      </c>
      <c r="R2624" t="s">
        <v>233</v>
      </c>
      <c r="S2624" t="s">
        <v>161</v>
      </c>
      <c r="T2624" t="s">
        <v>162</v>
      </c>
      <c r="U2624" t="s">
        <v>163</v>
      </c>
      <c r="V2624" t="s">
        <v>164</v>
      </c>
      <c r="W2624" t="s">
        <v>116</v>
      </c>
      <c r="X2624" t="s">
        <v>44</v>
      </c>
      <c r="Y2624" t="s">
        <v>99</v>
      </c>
      <c r="Z2624" t="s">
        <v>421</v>
      </c>
      <c r="AC2624" t="str">
        <f>IF(AA2624="",M2624,AA2624)</f>
        <v>sim</v>
      </c>
      <c r="AD2624" t="str">
        <f>IF(AB2624="",X2624,AB2624)</f>
        <v>sim</v>
      </c>
      <c r="AE2624" t="str">
        <f>IF(OR(Configuracao!B9="",Configuracao!B10=""),"aguardando limiar",IF(AND(K2624&gt;=Configuracao!B9,K2624/MAX(Reconciliacao!C2,1)&gt;=Configuracao!B10/100),"sim","não"))</f>
        <v>aguardando limiar</v>
      </c>
    </row>
    <row r="2625" spans="1:31" x14ac:dyDescent="0.25">
      <c r="A2625">
        <v>17405</v>
      </c>
      <c r="C2625" t="s">
        <v>1533</v>
      </c>
      <c r="D2625" t="s">
        <v>1530</v>
      </c>
      <c r="E2625" t="s">
        <v>465</v>
      </c>
      <c r="F2625" t="s">
        <v>232</v>
      </c>
      <c r="G2625" t="s">
        <v>250</v>
      </c>
      <c r="H2625" t="s">
        <v>249</v>
      </c>
      <c r="I2625" t="s">
        <v>442</v>
      </c>
      <c r="J2625" t="s">
        <v>442</v>
      </c>
      <c r="K2625" s="4">
        <v>500</v>
      </c>
      <c r="L2625" s="4">
        <v>186.15</v>
      </c>
      <c r="M2625" t="s">
        <v>44</v>
      </c>
      <c r="N2625" t="s">
        <v>77</v>
      </c>
      <c r="O2625" t="s">
        <v>99</v>
      </c>
      <c r="P2625" t="s">
        <v>99</v>
      </c>
      <c r="Q2625" t="s">
        <v>159</v>
      </c>
      <c r="R2625" t="s">
        <v>233</v>
      </c>
      <c r="S2625" t="s">
        <v>161</v>
      </c>
      <c r="T2625" t="s">
        <v>162</v>
      </c>
      <c r="U2625" t="s">
        <v>163</v>
      </c>
      <c r="V2625" t="s">
        <v>164</v>
      </c>
      <c r="W2625" t="s">
        <v>116</v>
      </c>
      <c r="X2625" t="s">
        <v>44</v>
      </c>
      <c r="Y2625" t="s">
        <v>99</v>
      </c>
      <c r="Z2625" t="s">
        <v>421</v>
      </c>
      <c r="AC2625" t="str">
        <f>IF(AA2625="",M2625,AA2625)</f>
        <v>sim</v>
      </c>
      <c r="AD2625" t="str">
        <f>IF(AB2625="",X2625,AB2625)</f>
        <v>sim</v>
      </c>
      <c r="AE2625" t="str">
        <f>IF(OR(Configuracao!B9="",Configuracao!B10=""),"aguardando limiar",IF(AND(K2625&gt;=Configuracao!B9,K2625/MAX(Reconciliacao!C2,1)&gt;=Configuracao!B10/100),"sim","não"))</f>
        <v>aguardando limiar</v>
      </c>
    </row>
    <row r="2626" spans="1:31" x14ac:dyDescent="0.25">
      <c r="A2626">
        <v>17999</v>
      </c>
      <c r="C2626" t="s">
        <v>1533</v>
      </c>
      <c r="D2626" t="s">
        <v>1530</v>
      </c>
      <c r="E2626" t="s">
        <v>465</v>
      </c>
      <c r="F2626" t="s">
        <v>232</v>
      </c>
      <c r="G2626" t="s">
        <v>250</v>
      </c>
      <c r="H2626" t="s">
        <v>249</v>
      </c>
      <c r="I2626" t="s">
        <v>439</v>
      </c>
      <c r="J2626" t="s">
        <v>439</v>
      </c>
      <c r="K2626" s="4">
        <v>500</v>
      </c>
      <c r="L2626" s="4">
        <v>500</v>
      </c>
      <c r="M2626" t="s">
        <v>44</v>
      </c>
      <c r="N2626" t="s">
        <v>77</v>
      </c>
      <c r="O2626" t="s">
        <v>99</v>
      </c>
      <c r="P2626" t="s">
        <v>99</v>
      </c>
      <c r="Q2626" t="s">
        <v>159</v>
      </c>
      <c r="R2626" t="s">
        <v>233</v>
      </c>
      <c r="S2626" t="s">
        <v>161</v>
      </c>
      <c r="T2626" t="s">
        <v>162</v>
      </c>
      <c r="U2626" t="s">
        <v>163</v>
      </c>
      <c r="V2626" t="s">
        <v>164</v>
      </c>
      <c r="W2626" t="s">
        <v>116</v>
      </c>
      <c r="X2626" t="s">
        <v>44</v>
      </c>
      <c r="Y2626" t="s">
        <v>99</v>
      </c>
      <c r="Z2626" t="s">
        <v>421</v>
      </c>
      <c r="AC2626" t="str">
        <f>IF(AA2626="",M2626,AA2626)</f>
        <v>sim</v>
      </c>
      <c r="AD2626" t="str">
        <f>IF(AB2626="",X2626,AB2626)</f>
        <v>sim</v>
      </c>
      <c r="AE2626" t="str">
        <f>IF(OR(Configuracao!B9="",Configuracao!B10=""),"aguardando limiar",IF(AND(K2626&gt;=Configuracao!B9,K2626/MAX(Reconciliacao!C2,1)&gt;=Configuracao!B10/100),"sim","não"))</f>
        <v>aguardando limiar</v>
      </c>
    </row>
    <row r="2627" spans="1:31" x14ac:dyDescent="0.25">
      <c r="A2627">
        <v>18865</v>
      </c>
      <c r="C2627" t="s">
        <v>1533</v>
      </c>
      <c r="D2627" t="s">
        <v>1530</v>
      </c>
      <c r="E2627" t="s">
        <v>465</v>
      </c>
      <c r="F2627" t="s">
        <v>232</v>
      </c>
      <c r="G2627" t="s">
        <v>250</v>
      </c>
      <c r="H2627" t="s">
        <v>249</v>
      </c>
      <c r="I2627" t="s">
        <v>35</v>
      </c>
      <c r="J2627" t="s">
        <v>35</v>
      </c>
      <c r="K2627" s="4">
        <v>500</v>
      </c>
      <c r="L2627" s="4">
        <v>500</v>
      </c>
      <c r="M2627" t="s">
        <v>44</v>
      </c>
      <c r="N2627" t="s">
        <v>77</v>
      </c>
      <c r="O2627" t="s">
        <v>99</v>
      </c>
      <c r="P2627" t="s">
        <v>99</v>
      </c>
      <c r="Q2627" t="s">
        <v>159</v>
      </c>
      <c r="R2627" t="s">
        <v>233</v>
      </c>
      <c r="S2627" t="s">
        <v>161</v>
      </c>
      <c r="T2627" t="s">
        <v>162</v>
      </c>
      <c r="U2627" t="s">
        <v>163</v>
      </c>
      <c r="V2627" t="s">
        <v>164</v>
      </c>
      <c r="W2627" t="s">
        <v>116</v>
      </c>
      <c r="X2627" t="s">
        <v>44</v>
      </c>
      <c r="Y2627" t="s">
        <v>99</v>
      </c>
      <c r="Z2627" t="s">
        <v>421</v>
      </c>
      <c r="AC2627" t="str">
        <f>IF(AA2627="",M2627,AA2627)</f>
        <v>sim</v>
      </c>
      <c r="AD2627" t="str">
        <f>IF(AB2627="",X2627,AB2627)</f>
        <v>sim</v>
      </c>
      <c r="AE2627" t="str">
        <f>IF(OR(Configuracao!B9="",Configuracao!B10=""),"aguardando limiar",IF(AND(K2627&gt;=Configuracao!B9,K2627/MAX(Reconciliacao!C2,1)&gt;=Configuracao!B10/100),"sim","não"))</f>
        <v>aguardando limiar</v>
      </c>
    </row>
    <row r="2628" spans="1:31" x14ac:dyDescent="0.25">
      <c r="A2628">
        <v>18864</v>
      </c>
      <c r="C2628" t="s">
        <v>1534</v>
      </c>
      <c r="D2628" t="s">
        <v>1530</v>
      </c>
      <c r="E2628" t="s">
        <v>445</v>
      </c>
      <c r="F2628" t="s">
        <v>232</v>
      </c>
      <c r="G2628" t="s">
        <v>250</v>
      </c>
      <c r="H2628" t="s">
        <v>249</v>
      </c>
      <c r="I2628" t="s">
        <v>35</v>
      </c>
      <c r="J2628" t="s">
        <v>35</v>
      </c>
      <c r="K2628" s="4">
        <v>625</v>
      </c>
      <c r="L2628" s="4">
        <v>625</v>
      </c>
      <c r="M2628" t="s">
        <v>44</v>
      </c>
      <c r="N2628" t="s">
        <v>77</v>
      </c>
      <c r="O2628" t="s">
        <v>99</v>
      </c>
      <c r="P2628" t="s">
        <v>99</v>
      </c>
      <c r="Q2628" t="s">
        <v>159</v>
      </c>
      <c r="R2628" t="s">
        <v>233</v>
      </c>
      <c r="S2628" t="s">
        <v>161</v>
      </c>
      <c r="T2628" t="s">
        <v>162</v>
      </c>
      <c r="U2628" t="s">
        <v>163</v>
      </c>
      <c r="V2628" t="s">
        <v>164</v>
      </c>
      <c r="W2628" t="s">
        <v>116</v>
      </c>
      <c r="X2628" t="s">
        <v>44</v>
      </c>
      <c r="Y2628" t="s">
        <v>99</v>
      </c>
      <c r="Z2628" t="s">
        <v>421</v>
      </c>
      <c r="AC2628" t="str">
        <f>IF(AA2628="",M2628,AA2628)</f>
        <v>sim</v>
      </c>
      <c r="AD2628" t="str">
        <f>IF(AB2628="",X2628,AB2628)</f>
        <v>sim</v>
      </c>
      <c r="AE2628" t="str">
        <f>IF(OR(Configuracao!B9="",Configuracao!B10=""),"aguardando limiar",IF(AND(K2628&gt;=Configuracao!B9,K2628/MAX(Reconciliacao!C2,1)&gt;=Configuracao!B10/100),"sim","não"))</f>
        <v>aguardando limiar</v>
      </c>
    </row>
    <row r="2629" spans="1:31" x14ac:dyDescent="0.25">
      <c r="A2629">
        <v>11384</v>
      </c>
      <c r="D2629" t="s">
        <v>1530</v>
      </c>
      <c r="E2629" t="s">
        <v>445</v>
      </c>
      <c r="F2629" t="s">
        <v>232</v>
      </c>
      <c r="G2629" t="s">
        <v>250</v>
      </c>
      <c r="H2629" t="s">
        <v>249</v>
      </c>
      <c r="I2629" t="s">
        <v>32</v>
      </c>
      <c r="J2629" t="s">
        <v>32</v>
      </c>
      <c r="K2629" s="4">
        <v>660</v>
      </c>
      <c r="L2629" s="4">
        <v>660</v>
      </c>
      <c r="M2629" t="s">
        <v>44</v>
      </c>
      <c r="N2629" t="s">
        <v>77</v>
      </c>
      <c r="O2629" t="s">
        <v>99</v>
      </c>
      <c r="P2629" t="s">
        <v>99</v>
      </c>
      <c r="Q2629" t="s">
        <v>159</v>
      </c>
      <c r="R2629" t="s">
        <v>233</v>
      </c>
      <c r="S2629" t="s">
        <v>161</v>
      </c>
      <c r="T2629" t="s">
        <v>162</v>
      </c>
      <c r="U2629" t="s">
        <v>163</v>
      </c>
      <c r="V2629" t="s">
        <v>164</v>
      </c>
      <c r="W2629" t="s">
        <v>116</v>
      </c>
      <c r="X2629" t="s">
        <v>44</v>
      </c>
      <c r="Y2629" t="s">
        <v>99</v>
      </c>
      <c r="Z2629" t="s">
        <v>421</v>
      </c>
      <c r="AC2629" t="str">
        <f>IF(AA2629="",M2629,AA2629)</f>
        <v>sim</v>
      </c>
      <c r="AD2629" t="str">
        <f>IF(AB2629="",X2629,AB2629)</f>
        <v>sim</v>
      </c>
      <c r="AE2629" t="str">
        <f>IF(OR(Configuracao!B9="",Configuracao!B10=""),"aguardando limiar",IF(AND(K2629&gt;=Configuracao!B9,K2629/MAX(Reconciliacao!C2,1)&gt;=Configuracao!B10/100),"sim","não"))</f>
        <v>aguardando limiar</v>
      </c>
    </row>
    <row r="2630" spans="1:31" x14ac:dyDescent="0.25">
      <c r="A2630">
        <v>12183</v>
      </c>
      <c r="D2630" t="s">
        <v>1530</v>
      </c>
      <c r="E2630" t="s">
        <v>445</v>
      </c>
      <c r="F2630" t="s">
        <v>232</v>
      </c>
      <c r="G2630" t="s">
        <v>250</v>
      </c>
      <c r="H2630" t="s">
        <v>249</v>
      </c>
      <c r="I2630" t="s">
        <v>424</v>
      </c>
      <c r="J2630" t="s">
        <v>424</v>
      </c>
      <c r="K2630" s="4">
        <v>660</v>
      </c>
      <c r="L2630" s="4">
        <v>660</v>
      </c>
      <c r="M2630" t="s">
        <v>44</v>
      </c>
      <c r="N2630" t="s">
        <v>77</v>
      </c>
      <c r="O2630" t="s">
        <v>99</v>
      </c>
      <c r="P2630" t="s">
        <v>99</v>
      </c>
      <c r="Q2630" t="s">
        <v>159</v>
      </c>
      <c r="R2630" t="s">
        <v>233</v>
      </c>
      <c r="S2630" t="s">
        <v>161</v>
      </c>
      <c r="T2630" t="s">
        <v>162</v>
      </c>
      <c r="U2630" t="s">
        <v>163</v>
      </c>
      <c r="V2630" t="s">
        <v>164</v>
      </c>
      <c r="W2630" t="s">
        <v>116</v>
      </c>
      <c r="X2630" t="s">
        <v>44</v>
      </c>
      <c r="Y2630" t="s">
        <v>99</v>
      </c>
      <c r="Z2630" t="s">
        <v>421</v>
      </c>
      <c r="AC2630" t="str">
        <f>IF(AA2630="",M2630,AA2630)</f>
        <v>sim</v>
      </c>
      <c r="AD2630" t="str">
        <f>IF(AB2630="",X2630,AB2630)</f>
        <v>sim</v>
      </c>
      <c r="AE2630" t="str">
        <f>IF(OR(Configuracao!B9="",Configuracao!B10=""),"aguardando limiar",IF(AND(K2630&gt;=Configuracao!B9,K2630/MAX(Reconciliacao!C2,1)&gt;=Configuracao!B10/100),"sim","não"))</f>
        <v>aguardando limiar</v>
      </c>
    </row>
    <row r="2631" spans="1:31" x14ac:dyDescent="0.25">
      <c r="A2631">
        <v>12707</v>
      </c>
      <c r="D2631" t="s">
        <v>1530</v>
      </c>
      <c r="E2631" t="s">
        <v>445</v>
      </c>
      <c r="F2631" t="s">
        <v>232</v>
      </c>
      <c r="G2631" t="s">
        <v>250</v>
      </c>
      <c r="H2631" t="s">
        <v>249</v>
      </c>
      <c r="I2631" t="s">
        <v>420</v>
      </c>
      <c r="J2631" t="s">
        <v>420</v>
      </c>
      <c r="K2631" s="4">
        <v>660</v>
      </c>
      <c r="L2631" s="4">
        <v>660</v>
      </c>
      <c r="M2631" t="s">
        <v>44</v>
      </c>
      <c r="N2631" t="s">
        <v>77</v>
      </c>
      <c r="O2631" t="s">
        <v>99</v>
      </c>
      <c r="P2631" t="s">
        <v>99</v>
      </c>
      <c r="Q2631" t="s">
        <v>159</v>
      </c>
      <c r="R2631" t="s">
        <v>233</v>
      </c>
      <c r="S2631" t="s">
        <v>161</v>
      </c>
      <c r="T2631" t="s">
        <v>162</v>
      </c>
      <c r="U2631" t="s">
        <v>163</v>
      </c>
      <c r="V2631" t="s">
        <v>164</v>
      </c>
      <c r="W2631" t="s">
        <v>116</v>
      </c>
      <c r="X2631" t="s">
        <v>44</v>
      </c>
      <c r="Y2631" t="s">
        <v>99</v>
      </c>
      <c r="Z2631" t="s">
        <v>421</v>
      </c>
      <c r="AC2631" t="str">
        <f>IF(AA2631="",M2631,AA2631)</f>
        <v>sim</v>
      </c>
      <c r="AD2631" t="str">
        <f>IF(AB2631="",X2631,AB2631)</f>
        <v>sim</v>
      </c>
      <c r="AE2631" t="str">
        <f>IF(OR(Configuracao!B9="",Configuracao!B10=""),"aguardando limiar",IF(AND(K2631&gt;=Configuracao!B9,K2631/MAX(Reconciliacao!C2,1)&gt;=Configuracao!B10/100),"sim","não"))</f>
        <v>aguardando limiar</v>
      </c>
    </row>
    <row r="2632" spans="1:31" x14ac:dyDescent="0.25">
      <c r="A2632">
        <v>14595</v>
      </c>
      <c r="D2632" t="s">
        <v>1530</v>
      </c>
      <c r="E2632" t="s">
        <v>445</v>
      </c>
      <c r="F2632" t="s">
        <v>232</v>
      </c>
      <c r="G2632" t="s">
        <v>250</v>
      </c>
      <c r="H2632" t="s">
        <v>249</v>
      </c>
      <c r="I2632" t="s">
        <v>454</v>
      </c>
      <c r="J2632" t="s">
        <v>454</v>
      </c>
      <c r="K2632" s="4">
        <v>750</v>
      </c>
      <c r="L2632" s="4">
        <v>750</v>
      </c>
      <c r="M2632" t="s">
        <v>44</v>
      </c>
      <c r="N2632" t="s">
        <v>77</v>
      </c>
      <c r="O2632" t="s">
        <v>99</v>
      </c>
      <c r="P2632" t="s">
        <v>99</v>
      </c>
      <c r="Q2632" t="s">
        <v>159</v>
      </c>
      <c r="R2632" t="s">
        <v>233</v>
      </c>
      <c r="S2632" t="s">
        <v>161</v>
      </c>
      <c r="T2632" t="s">
        <v>162</v>
      </c>
      <c r="U2632" t="s">
        <v>163</v>
      </c>
      <c r="V2632" t="s">
        <v>164</v>
      </c>
      <c r="W2632" t="s">
        <v>116</v>
      </c>
      <c r="X2632" t="s">
        <v>44</v>
      </c>
      <c r="Y2632" t="s">
        <v>99</v>
      </c>
      <c r="Z2632" t="s">
        <v>421</v>
      </c>
      <c r="AC2632" t="str">
        <f>IF(AA2632="",M2632,AA2632)</f>
        <v>sim</v>
      </c>
      <c r="AD2632" t="str">
        <f>IF(AB2632="",X2632,AB2632)</f>
        <v>sim</v>
      </c>
      <c r="AE2632" t="str">
        <f>IF(OR(Configuracao!B9="",Configuracao!B10=""),"aguardando limiar",IF(AND(K2632&gt;=Configuracao!B9,K2632/MAX(Reconciliacao!C2,1)&gt;=Configuracao!B10/100),"sim","não"))</f>
        <v>aguardando limiar</v>
      </c>
    </row>
    <row r="2633" spans="1:31" x14ac:dyDescent="0.25">
      <c r="A2633">
        <v>16217</v>
      </c>
      <c r="C2633" t="s">
        <v>1534</v>
      </c>
      <c r="D2633" t="s">
        <v>1530</v>
      </c>
      <c r="E2633" t="s">
        <v>445</v>
      </c>
      <c r="F2633" t="s">
        <v>232</v>
      </c>
      <c r="G2633" t="s">
        <v>250</v>
      </c>
      <c r="H2633" t="s">
        <v>249</v>
      </c>
      <c r="I2633" t="s">
        <v>461</v>
      </c>
      <c r="J2633" t="s">
        <v>461</v>
      </c>
      <c r="K2633" s="4">
        <v>750</v>
      </c>
      <c r="L2633" s="4">
        <v>750</v>
      </c>
      <c r="M2633" t="s">
        <v>44</v>
      </c>
      <c r="N2633" t="s">
        <v>77</v>
      </c>
      <c r="O2633" t="s">
        <v>99</v>
      </c>
      <c r="P2633" t="s">
        <v>99</v>
      </c>
      <c r="Q2633" t="s">
        <v>159</v>
      </c>
      <c r="R2633" t="s">
        <v>233</v>
      </c>
      <c r="S2633" t="s">
        <v>161</v>
      </c>
      <c r="T2633" t="s">
        <v>162</v>
      </c>
      <c r="U2633" t="s">
        <v>163</v>
      </c>
      <c r="V2633" t="s">
        <v>164</v>
      </c>
      <c r="W2633" t="s">
        <v>116</v>
      </c>
      <c r="X2633" t="s">
        <v>44</v>
      </c>
      <c r="Y2633" t="s">
        <v>99</v>
      </c>
      <c r="Z2633" t="s">
        <v>421</v>
      </c>
      <c r="AC2633" t="str">
        <f>IF(AA2633="",M2633,AA2633)</f>
        <v>sim</v>
      </c>
      <c r="AD2633" t="str">
        <f>IF(AB2633="",X2633,AB2633)</f>
        <v>sim</v>
      </c>
      <c r="AE2633" t="str">
        <f>IF(OR(Configuracao!B9="",Configuracao!B10=""),"aguardando limiar",IF(AND(K2633&gt;=Configuracao!B9,K2633/MAX(Reconciliacao!C2,1)&gt;=Configuracao!B10/100),"sim","não"))</f>
        <v>aguardando limiar</v>
      </c>
    </row>
    <row r="2634" spans="1:31" x14ac:dyDescent="0.25">
      <c r="A2634">
        <v>17404</v>
      </c>
      <c r="C2634" t="s">
        <v>1534</v>
      </c>
      <c r="D2634" t="s">
        <v>1530</v>
      </c>
      <c r="E2634" t="s">
        <v>445</v>
      </c>
      <c r="F2634" t="s">
        <v>232</v>
      </c>
      <c r="G2634" t="s">
        <v>250</v>
      </c>
      <c r="H2634" t="s">
        <v>249</v>
      </c>
      <c r="I2634" t="s">
        <v>442</v>
      </c>
      <c r="J2634" t="s">
        <v>442</v>
      </c>
      <c r="K2634" s="4">
        <v>750</v>
      </c>
      <c r="L2634" s="4">
        <v>279.23</v>
      </c>
      <c r="M2634" t="s">
        <v>44</v>
      </c>
      <c r="N2634" t="s">
        <v>77</v>
      </c>
      <c r="O2634" t="s">
        <v>99</v>
      </c>
      <c r="P2634" t="s">
        <v>99</v>
      </c>
      <c r="Q2634" t="s">
        <v>159</v>
      </c>
      <c r="R2634" t="s">
        <v>233</v>
      </c>
      <c r="S2634" t="s">
        <v>161</v>
      </c>
      <c r="T2634" t="s">
        <v>162</v>
      </c>
      <c r="U2634" t="s">
        <v>163</v>
      </c>
      <c r="V2634" t="s">
        <v>164</v>
      </c>
      <c r="W2634" t="s">
        <v>116</v>
      </c>
      <c r="X2634" t="s">
        <v>44</v>
      </c>
      <c r="Y2634" t="s">
        <v>99</v>
      </c>
      <c r="Z2634" t="s">
        <v>421</v>
      </c>
      <c r="AC2634" t="str">
        <f>IF(AA2634="",M2634,AA2634)</f>
        <v>sim</v>
      </c>
      <c r="AD2634" t="str">
        <f>IF(AB2634="",X2634,AB2634)</f>
        <v>sim</v>
      </c>
      <c r="AE2634" t="str">
        <f>IF(OR(Configuracao!B9="",Configuracao!B10=""),"aguardando limiar",IF(AND(K2634&gt;=Configuracao!B9,K2634/MAX(Reconciliacao!C2,1)&gt;=Configuracao!B10/100),"sim","não"))</f>
        <v>aguardando limiar</v>
      </c>
    </row>
    <row r="2635" spans="1:31" x14ac:dyDescent="0.25">
      <c r="A2635">
        <v>17998</v>
      </c>
      <c r="C2635" t="s">
        <v>1534</v>
      </c>
      <c r="D2635" t="s">
        <v>1530</v>
      </c>
      <c r="E2635" t="s">
        <v>445</v>
      </c>
      <c r="F2635" t="s">
        <v>232</v>
      </c>
      <c r="G2635" t="s">
        <v>250</v>
      </c>
      <c r="H2635" t="s">
        <v>249</v>
      </c>
      <c r="I2635" t="s">
        <v>439</v>
      </c>
      <c r="J2635" t="s">
        <v>439</v>
      </c>
      <c r="K2635" s="4">
        <v>750</v>
      </c>
      <c r="L2635" s="4">
        <v>750</v>
      </c>
      <c r="M2635" t="s">
        <v>44</v>
      </c>
      <c r="N2635" t="s">
        <v>77</v>
      </c>
      <c r="O2635" t="s">
        <v>99</v>
      </c>
      <c r="P2635" t="s">
        <v>99</v>
      </c>
      <c r="Q2635" t="s">
        <v>159</v>
      </c>
      <c r="R2635" t="s">
        <v>233</v>
      </c>
      <c r="S2635" t="s">
        <v>161</v>
      </c>
      <c r="T2635" t="s">
        <v>162</v>
      </c>
      <c r="U2635" t="s">
        <v>163</v>
      </c>
      <c r="V2635" t="s">
        <v>164</v>
      </c>
      <c r="W2635" t="s">
        <v>116</v>
      </c>
      <c r="X2635" t="s">
        <v>44</v>
      </c>
      <c r="Y2635" t="s">
        <v>99</v>
      </c>
      <c r="Z2635" t="s">
        <v>421</v>
      </c>
      <c r="AC2635" t="str">
        <f>IF(AA2635="",M2635,AA2635)</f>
        <v>sim</v>
      </c>
      <c r="AD2635" t="str">
        <f>IF(AB2635="",X2635,AB2635)</f>
        <v>sim</v>
      </c>
      <c r="AE2635" t="str">
        <f>IF(OR(Configuracao!B9="",Configuracao!B10=""),"aguardando limiar",IF(AND(K2635&gt;=Configuracao!B9,K2635/MAX(Reconciliacao!C2,1)&gt;=Configuracao!B10/100),"sim","não"))</f>
        <v>aguardando limiar</v>
      </c>
    </row>
    <row r="2636" spans="1:31" x14ac:dyDescent="0.25">
      <c r="A2636">
        <v>18863</v>
      </c>
      <c r="C2636" t="s">
        <v>1535</v>
      </c>
      <c r="D2636" t="s">
        <v>1530</v>
      </c>
      <c r="E2636" t="s">
        <v>467</v>
      </c>
      <c r="F2636" t="s">
        <v>232</v>
      </c>
      <c r="G2636" t="s">
        <v>250</v>
      </c>
      <c r="H2636" t="s">
        <v>249</v>
      </c>
      <c r="I2636" t="s">
        <v>35</v>
      </c>
      <c r="J2636" t="s">
        <v>35</v>
      </c>
      <c r="K2636" s="4">
        <v>1000</v>
      </c>
      <c r="L2636" s="4">
        <v>1000</v>
      </c>
      <c r="M2636" t="s">
        <v>44</v>
      </c>
      <c r="N2636" t="s">
        <v>77</v>
      </c>
      <c r="O2636" t="s">
        <v>99</v>
      </c>
      <c r="P2636" t="s">
        <v>99</v>
      </c>
      <c r="Q2636" t="s">
        <v>159</v>
      </c>
      <c r="R2636" t="s">
        <v>233</v>
      </c>
      <c r="S2636" t="s">
        <v>161</v>
      </c>
      <c r="T2636" t="s">
        <v>162</v>
      </c>
      <c r="U2636" t="s">
        <v>163</v>
      </c>
      <c r="V2636" t="s">
        <v>164</v>
      </c>
      <c r="W2636" t="s">
        <v>116</v>
      </c>
      <c r="X2636" t="s">
        <v>44</v>
      </c>
      <c r="Y2636" t="s">
        <v>99</v>
      </c>
      <c r="Z2636" t="s">
        <v>421</v>
      </c>
      <c r="AC2636" t="str">
        <f>IF(AA2636="",M2636,AA2636)</f>
        <v>sim</v>
      </c>
      <c r="AD2636" t="str">
        <f>IF(AB2636="",X2636,AB2636)</f>
        <v>sim</v>
      </c>
      <c r="AE2636" t="str">
        <f>IF(OR(Configuracao!B9="",Configuracao!B10=""),"aguardando limiar",IF(AND(K2636&gt;=Configuracao!B9,K2636/MAX(Reconciliacao!C2,1)&gt;=Configuracao!B10/100),"sim","não"))</f>
        <v>aguardando limiar</v>
      </c>
    </row>
    <row r="2637" spans="1:31" x14ac:dyDescent="0.25">
      <c r="A2637">
        <v>17403</v>
      </c>
      <c r="C2637" t="s">
        <v>1536</v>
      </c>
      <c r="D2637" t="s">
        <v>1530</v>
      </c>
      <c r="E2637" t="s">
        <v>467</v>
      </c>
      <c r="F2637" t="s">
        <v>232</v>
      </c>
      <c r="G2637" t="s">
        <v>250</v>
      </c>
      <c r="H2637" t="s">
        <v>249</v>
      </c>
      <c r="I2637" t="s">
        <v>442</v>
      </c>
      <c r="J2637" t="s">
        <v>442</v>
      </c>
      <c r="K2637" s="4">
        <v>1250</v>
      </c>
      <c r="L2637" s="4">
        <v>465.38</v>
      </c>
      <c r="M2637" t="s">
        <v>44</v>
      </c>
      <c r="N2637" t="s">
        <v>77</v>
      </c>
      <c r="O2637" t="s">
        <v>99</v>
      </c>
      <c r="P2637" t="s">
        <v>99</v>
      </c>
      <c r="Q2637" t="s">
        <v>159</v>
      </c>
      <c r="R2637" t="s">
        <v>233</v>
      </c>
      <c r="S2637" t="s">
        <v>161</v>
      </c>
      <c r="T2637" t="s">
        <v>162</v>
      </c>
      <c r="U2637" t="s">
        <v>163</v>
      </c>
      <c r="V2637" t="s">
        <v>164</v>
      </c>
      <c r="W2637" t="s">
        <v>116</v>
      </c>
      <c r="X2637" t="s">
        <v>44</v>
      </c>
      <c r="Y2637" t="s">
        <v>99</v>
      </c>
      <c r="Z2637" t="s">
        <v>421</v>
      </c>
      <c r="AC2637" t="str">
        <f>IF(AA2637="",M2637,AA2637)</f>
        <v>sim</v>
      </c>
      <c r="AD2637" t="str">
        <f>IF(AB2637="",X2637,AB2637)</f>
        <v>sim</v>
      </c>
      <c r="AE2637" t="str">
        <f>IF(OR(Configuracao!B9="",Configuracao!B10=""),"aguardando limiar",IF(AND(K2637&gt;=Configuracao!B9,K2637/MAX(Reconciliacao!C2,1)&gt;=Configuracao!B10/100),"sim","não"))</f>
        <v>aguardando limiar</v>
      </c>
    </row>
    <row r="2638" spans="1:31" x14ac:dyDescent="0.25">
      <c r="A2638">
        <v>17997</v>
      </c>
      <c r="C2638" t="s">
        <v>1536</v>
      </c>
      <c r="D2638" t="s">
        <v>1530</v>
      </c>
      <c r="E2638" t="s">
        <v>467</v>
      </c>
      <c r="F2638" t="s">
        <v>232</v>
      </c>
      <c r="G2638" t="s">
        <v>250</v>
      </c>
      <c r="H2638" t="s">
        <v>249</v>
      </c>
      <c r="I2638" t="s">
        <v>439</v>
      </c>
      <c r="J2638" t="s">
        <v>439</v>
      </c>
      <c r="K2638" s="4">
        <v>1250</v>
      </c>
      <c r="L2638" s="4">
        <v>1250</v>
      </c>
      <c r="M2638" t="s">
        <v>44</v>
      </c>
      <c r="N2638" t="s">
        <v>77</v>
      </c>
      <c r="O2638" t="s">
        <v>99</v>
      </c>
      <c r="P2638" t="s">
        <v>99</v>
      </c>
      <c r="Q2638" t="s">
        <v>159</v>
      </c>
      <c r="R2638" t="s">
        <v>233</v>
      </c>
      <c r="S2638" t="s">
        <v>161</v>
      </c>
      <c r="T2638" t="s">
        <v>162</v>
      </c>
      <c r="U2638" t="s">
        <v>163</v>
      </c>
      <c r="V2638" t="s">
        <v>164</v>
      </c>
      <c r="W2638" t="s">
        <v>116</v>
      </c>
      <c r="X2638" t="s">
        <v>44</v>
      </c>
      <c r="Y2638" t="s">
        <v>99</v>
      </c>
      <c r="Z2638" t="s">
        <v>421</v>
      </c>
      <c r="AC2638" t="str">
        <f>IF(AA2638="",M2638,AA2638)</f>
        <v>sim</v>
      </c>
      <c r="AD2638" t="str">
        <f>IF(AB2638="",X2638,AB2638)</f>
        <v>sim</v>
      </c>
      <c r="AE2638" t="str">
        <f>IF(OR(Configuracao!B9="",Configuracao!B10=""),"aguardando limiar",IF(AND(K2638&gt;=Configuracao!B9,K2638/MAX(Reconciliacao!C2,1)&gt;=Configuracao!B10/100),"sim","não"))</f>
        <v>aguardando limiar</v>
      </c>
    </row>
    <row r="2639" spans="1:31" x14ac:dyDescent="0.25">
      <c r="A2639">
        <v>11383</v>
      </c>
      <c r="D2639" t="s">
        <v>1530</v>
      </c>
      <c r="E2639" t="s">
        <v>467</v>
      </c>
      <c r="F2639" t="s">
        <v>232</v>
      </c>
      <c r="G2639" t="s">
        <v>250</v>
      </c>
      <c r="H2639" t="s">
        <v>249</v>
      </c>
      <c r="I2639" t="s">
        <v>32</v>
      </c>
      <c r="J2639" t="s">
        <v>32</v>
      </c>
      <c r="K2639" s="4">
        <v>1320</v>
      </c>
      <c r="L2639" s="4">
        <v>1320</v>
      </c>
      <c r="M2639" t="s">
        <v>44</v>
      </c>
      <c r="N2639" t="s">
        <v>77</v>
      </c>
      <c r="O2639" t="s">
        <v>99</v>
      </c>
      <c r="P2639" t="s">
        <v>99</v>
      </c>
      <c r="Q2639" t="s">
        <v>159</v>
      </c>
      <c r="R2639" t="s">
        <v>233</v>
      </c>
      <c r="S2639" t="s">
        <v>161</v>
      </c>
      <c r="T2639" t="s">
        <v>162</v>
      </c>
      <c r="U2639" t="s">
        <v>163</v>
      </c>
      <c r="V2639" t="s">
        <v>164</v>
      </c>
      <c r="W2639" t="s">
        <v>116</v>
      </c>
      <c r="X2639" t="s">
        <v>44</v>
      </c>
      <c r="Y2639" t="s">
        <v>99</v>
      </c>
      <c r="Z2639" t="s">
        <v>421</v>
      </c>
      <c r="AC2639" t="str">
        <f>IF(AA2639="",M2639,AA2639)</f>
        <v>sim</v>
      </c>
      <c r="AD2639" t="str">
        <f>IF(AB2639="",X2639,AB2639)</f>
        <v>sim</v>
      </c>
      <c r="AE2639" t="str">
        <f>IF(OR(Configuracao!B9="",Configuracao!B10=""),"aguardando limiar",IF(AND(K2639&gt;=Configuracao!B9,K2639/MAX(Reconciliacao!C2,1)&gt;=Configuracao!B10/100),"sim","não"))</f>
        <v>aguardando limiar</v>
      </c>
    </row>
    <row r="2640" spans="1:31" x14ac:dyDescent="0.25">
      <c r="A2640">
        <v>12182</v>
      </c>
      <c r="D2640" t="s">
        <v>1530</v>
      </c>
      <c r="E2640" t="s">
        <v>467</v>
      </c>
      <c r="F2640" t="s">
        <v>232</v>
      </c>
      <c r="G2640" t="s">
        <v>250</v>
      </c>
      <c r="H2640" t="s">
        <v>249</v>
      </c>
      <c r="I2640" t="s">
        <v>424</v>
      </c>
      <c r="J2640" t="s">
        <v>424</v>
      </c>
      <c r="K2640" s="4">
        <v>1320</v>
      </c>
      <c r="L2640" s="4">
        <v>1320</v>
      </c>
      <c r="M2640" t="s">
        <v>44</v>
      </c>
      <c r="N2640" t="s">
        <v>77</v>
      </c>
      <c r="O2640" t="s">
        <v>99</v>
      </c>
      <c r="P2640" t="s">
        <v>99</v>
      </c>
      <c r="Q2640" t="s">
        <v>159</v>
      </c>
      <c r="R2640" t="s">
        <v>233</v>
      </c>
      <c r="S2640" t="s">
        <v>161</v>
      </c>
      <c r="T2640" t="s">
        <v>162</v>
      </c>
      <c r="U2640" t="s">
        <v>163</v>
      </c>
      <c r="V2640" t="s">
        <v>164</v>
      </c>
      <c r="W2640" t="s">
        <v>116</v>
      </c>
      <c r="X2640" t="s">
        <v>44</v>
      </c>
      <c r="Y2640" t="s">
        <v>99</v>
      </c>
      <c r="Z2640" t="s">
        <v>421</v>
      </c>
      <c r="AC2640" t="str">
        <f>IF(AA2640="",M2640,AA2640)</f>
        <v>sim</v>
      </c>
      <c r="AD2640" t="str">
        <f>IF(AB2640="",X2640,AB2640)</f>
        <v>sim</v>
      </c>
      <c r="AE2640" t="str">
        <f>IF(OR(Configuracao!B9="",Configuracao!B10=""),"aguardando limiar",IF(AND(K2640&gt;=Configuracao!B9,K2640/MAX(Reconciliacao!C2,1)&gt;=Configuracao!B10/100),"sim","não"))</f>
        <v>aguardando limiar</v>
      </c>
    </row>
    <row r="2641" spans="1:31" x14ac:dyDescent="0.25">
      <c r="A2641">
        <v>12706</v>
      </c>
      <c r="D2641" t="s">
        <v>1530</v>
      </c>
      <c r="E2641" t="s">
        <v>467</v>
      </c>
      <c r="F2641" t="s">
        <v>232</v>
      </c>
      <c r="G2641" t="s">
        <v>250</v>
      </c>
      <c r="H2641" t="s">
        <v>249</v>
      </c>
      <c r="I2641" t="s">
        <v>420</v>
      </c>
      <c r="J2641" t="s">
        <v>420</v>
      </c>
      <c r="K2641" s="4">
        <v>1320</v>
      </c>
      <c r="L2641" s="4">
        <v>1320</v>
      </c>
      <c r="M2641" t="s">
        <v>44</v>
      </c>
      <c r="N2641" t="s">
        <v>77</v>
      </c>
      <c r="O2641" t="s">
        <v>99</v>
      </c>
      <c r="P2641" t="s">
        <v>99</v>
      </c>
      <c r="Q2641" t="s">
        <v>159</v>
      </c>
      <c r="R2641" t="s">
        <v>233</v>
      </c>
      <c r="S2641" t="s">
        <v>161</v>
      </c>
      <c r="T2641" t="s">
        <v>162</v>
      </c>
      <c r="U2641" t="s">
        <v>163</v>
      </c>
      <c r="V2641" t="s">
        <v>164</v>
      </c>
      <c r="W2641" t="s">
        <v>116</v>
      </c>
      <c r="X2641" t="s">
        <v>44</v>
      </c>
      <c r="Y2641" t="s">
        <v>99</v>
      </c>
      <c r="Z2641" t="s">
        <v>421</v>
      </c>
      <c r="AC2641" t="str">
        <f>IF(AA2641="",M2641,AA2641)</f>
        <v>sim</v>
      </c>
      <c r="AD2641" t="str">
        <f>IF(AB2641="",X2641,AB2641)</f>
        <v>sim</v>
      </c>
      <c r="AE2641" t="str">
        <f>IF(OR(Configuracao!B9="",Configuracao!B10=""),"aguardando limiar",IF(AND(K2641&gt;=Configuracao!B9,K2641/MAX(Reconciliacao!C2,1)&gt;=Configuracao!B10/100),"sim","não"))</f>
        <v>aguardando limiar</v>
      </c>
    </row>
    <row r="2642" spans="1:31" x14ac:dyDescent="0.25">
      <c r="A2642">
        <v>14594</v>
      </c>
      <c r="D2642" t="s">
        <v>1530</v>
      </c>
      <c r="E2642" t="s">
        <v>467</v>
      </c>
      <c r="F2642" t="s">
        <v>232</v>
      </c>
      <c r="G2642" t="s">
        <v>250</v>
      </c>
      <c r="H2642" t="s">
        <v>249</v>
      </c>
      <c r="I2642" t="s">
        <v>454</v>
      </c>
      <c r="J2642" t="s">
        <v>454</v>
      </c>
      <c r="K2642" s="4">
        <v>1500</v>
      </c>
      <c r="L2642" s="4">
        <v>1500</v>
      </c>
      <c r="M2642" t="s">
        <v>44</v>
      </c>
      <c r="N2642" t="s">
        <v>77</v>
      </c>
      <c r="O2642" t="s">
        <v>99</v>
      </c>
      <c r="P2642" t="s">
        <v>99</v>
      </c>
      <c r="Q2642" t="s">
        <v>159</v>
      </c>
      <c r="R2642" t="s">
        <v>233</v>
      </c>
      <c r="S2642" t="s">
        <v>161</v>
      </c>
      <c r="T2642" t="s">
        <v>162</v>
      </c>
      <c r="U2642" t="s">
        <v>163</v>
      </c>
      <c r="V2642" t="s">
        <v>164</v>
      </c>
      <c r="W2642" t="s">
        <v>116</v>
      </c>
      <c r="X2642" t="s">
        <v>166</v>
      </c>
      <c r="Y2642" t="s">
        <v>1537</v>
      </c>
      <c r="Z2642" t="s">
        <v>434</v>
      </c>
      <c r="AC2642" t="str">
        <f>IF(AA2642="",M2642,AA2642)</f>
        <v>sim</v>
      </c>
      <c r="AD2642" t="str">
        <f>IF(AB2642="",X2642,AB2642)</f>
        <v>não</v>
      </c>
      <c r="AE2642" t="str">
        <f>IF(OR(Configuracao!B9="",Configuracao!B10=""),"aguardando limiar",IF(AND(K2642&gt;=Configuracao!B9,K2642/MAX(Reconciliacao!C2,1)&gt;=Configuracao!B10/100),"sim","não"))</f>
        <v>aguardando limiar</v>
      </c>
    </row>
    <row r="2643" spans="1:31" x14ac:dyDescent="0.25">
      <c r="A2643">
        <v>16216</v>
      </c>
      <c r="C2643" t="s">
        <v>1538</v>
      </c>
      <c r="D2643" t="s">
        <v>1530</v>
      </c>
      <c r="E2643" t="s">
        <v>467</v>
      </c>
      <c r="F2643" t="s">
        <v>232</v>
      </c>
      <c r="G2643" t="s">
        <v>250</v>
      </c>
      <c r="H2643" t="s">
        <v>249</v>
      </c>
      <c r="I2643" t="s">
        <v>461</v>
      </c>
      <c r="J2643" t="s">
        <v>461</v>
      </c>
      <c r="K2643" s="4">
        <v>1500</v>
      </c>
      <c r="L2643" s="4">
        <v>1500</v>
      </c>
      <c r="M2643" t="s">
        <v>44</v>
      </c>
      <c r="N2643" t="s">
        <v>77</v>
      </c>
      <c r="O2643" t="s">
        <v>99</v>
      </c>
      <c r="P2643" t="s">
        <v>99</v>
      </c>
      <c r="Q2643" t="s">
        <v>159</v>
      </c>
      <c r="R2643" t="s">
        <v>233</v>
      </c>
      <c r="S2643" t="s">
        <v>161</v>
      </c>
      <c r="T2643" t="s">
        <v>162</v>
      </c>
      <c r="U2643" t="s">
        <v>163</v>
      </c>
      <c r="V2643" t="s">
        <v>164</v>
      </c>
      <c r="W2643" t="s">
        <v>116</v>
      </c>
      <c r="X2643" t="s">
        <v>166</v>
      </c>
      <c r="Y2643" t="s">
        <v>1537</v>
      </c>
      <c r="Z2643" t="s">
        <v>434</v>
      </c>
      <c r="AC2643" t="str">
        <f>IF(AA2643="",M2643,AA2643)</f>
        <v>sim</v>
      </c>
      <c r="AD2643" t="str">
        <f>IF(AB2643="",X2643,AB2643)</f>
        <v>não</v>
      </c>
      <c r="AE2643" t="str">
        <f>IF(OR(Configuracao!B9="",Configuracao!B10=""),"aguardando limiar",IF(AND(K2643&gt;=Configuracao!B9,K2643/MAX(Reconciliacao!C2,1)&gt;=Configuracao!B10/100),"sim","não"))</f>
        <v>aguardando limiar</v>
      </c>
    </row>
    <row r="2644" spans="1:31" x14ac:dyDescent="0.25">
      <c r="A2644">
        <v>16639</v>
      </c>
      <c r="C2644" t="s">
        <v>1539</v>
      </c>
      <c r="D2644" t="s">
        <v>830</v>
      </c>
      <c r="E2644" t="s">
        <v>451</v>
      </c>
      <c r="F2644" t="s">
        <v>227</v>
      </c>
      <c r="G2644" t="s">
        <v>375</v>
      </c>
      <c r="H2644" t="s">
        <v>374</v>
      </c>
      <c r="I2644" t="s">
        <v>461</v>
      </c>
      <c r="J2644" t="s">
        <v>461</v>
      </c>
      <c r="K2644" s="4">
        <v>10</v>
      </c>
      <c r="L2644" s="4">
        <v>10</v>
      </c>
      <c r="M2644" t="s">
        <v>44</v>
      </c>
      <c r="N2644" t="s">
        <v>77</v>
      </c>
      <c r="O2644" t="s">
        <v>99</v>
      </c>
      <c r="P2644" t="s">
        <v>99</v>
      </c>
      <c r="Q2644" t="s">
        <v>159</v>
      </c>
      <c r="R2644" t="s">
        <v>228</v>
      </c>
      <c r="S2644" t="s">
        <v>197</v>
      </c>
      <c r="T2644" t="s">
        <v>198</v>
      </c>
      <c r="U2644" t="s">
        <v>163</v>
      </c>
      <c r="V2644" t="s">
        <v>186</v>
      </c>
      <c r="W2644" t="s">
        <v>116</v>
      </c>
      <c r="X2644" t="s">
        <v>44</v>
      </c>
      <c r="Y2644" t="s">
        <v>99</v>
      </c>
      <c r="Z2644" t="s">
        <v>421</v>
      </c>
      <c r="AC2644" t="str">
        <f>IF(AA2644="",M2644,AA2644)</f>
        <v>sim</v>
      </c>
      <c r="AD2644" t="str">
        <f>IF(AB2644="",X2644,AB2644)</f>
        <v>sim</v>
      </c>
      <c r="AE2644" t="str">
        <f>IF(OR(Configuracao!B9="",Configuracao!B10=""),"aguardando limiar",IF(AND(K2644&gt;=Configuracao!B9,K2644/MAX(Reconciliacao!C2,1)&gt;=Configuracao!B10/100),"sim","não"))</f>
        <v>aguardando limiar</v>
      </c>
    </row>
    <row r="2645" spans="1:31" x14ac:dyDescent="0.25">
      <c r="A2645">
        <v>16679</v>
      </c>
      <c r="C2645" t="s">
        <v>1540</v>
      </c>
      <c r="D2645" t="s">
        <v>830</v>
      </c>
      <c r="E2645" t="s">
        <v>465</v>
      </c>
      <c r="F2645" t="s">
        <v>227</v>
      </c>
      <c r="G2645" t="s">
        <v>375</v>
      </c>
      <c r="H2645" t="s">
        <v>374</v>
      </c>
      <c r="I2645" t="s">
        <v>461</v>
      </c>
      <c r="J2645" t="s">
        <v>461</v>
      </c>
      <c r="K2645" s="4">
        <v>10</v>
      </c>
      <c r="L2645" s="4">
        <v>10</v>
      </c>
      <c r="M2645" t="s">
        <v>44</v>
      </c>
      <c r="N2645" t="s">
        <v>77</v>
      </c>
      <c r="O2645" t="s">
        <v>99</v>
      </c>
      <c r="P2645" t="s">
        <v>99</v>
      </c>
      <c r="Q2645" t="s">
        <v>159</v>
      </c>
      <c r="R2645" t="s">
        <v>228</v>
      </c>
      <c r="S2645" t="s">
        <v>197</v>
      </c>
      <c r="T2645" t="s">
        <v>198</v>
      </c>
      <c r="U2645" t="s">
        <v>163</v>
      </c>
      <c r="V2645" t="s">
        <v>186</v>
      </c>
      <c r="W2645" t="s">
        <v>116</v>
      </c>
      <c r="X2645" t="s">
        <v>44</v>
      </c>
      <c r="Y2645" t="s">
        <v>99</v>
      </c>
      <c r="Z2645" t="s">
        <v>421</v>
      </c>
      <c r="AC2645" t="str">
        <f>IF(AA2645="",M2645,AA2645)</f>
        <v>sim</v>
      </c>
      <c r="AD2645" t="str">
        <f>IF(AB2645="",X2645,AB2645)</f>
        <v>sim</v>
      </c>
      <c r="AE2645" t="str">
        <f>IF(OR(Configuracao!B9="",Configuracao!B10=""),"aguardando limiar",IF(AND(K2645&gt;=Configuracao!B9,K2645/MAX(Reconciliacao!C2,1)&gt;=Configuracao!B10/100),"sim","não"))</f>
        <v>aguardando limiar</v>
      </c>
    </row>
    <row r="2646" spans="1:31" x14ac:dyDescent="0.25">
      <c r="A2646">
        <v>17682</v>
      </c>
      <c r="C2646" t="s">
        <v>1541</v>
      </c>
      <c r="D2646" t="s">
        <v>830</v>
      </c>
      <c r="E2646" t="s">
        <v>451</v>
      </c>
      <c r="F2646" t="s">
        <v>227</v>
      </c>
      <c r="G2646" t="s">
        <v>375</v>
      </c>
      <c r="H2646" t="s">
        <v>374</v>
      </c>
      <c r="I2646" t="s">
        <v>442</v>
      </c>
      <c r="J2646" t="s">
        <v>442</v>
      </c>
      <c r="K2646" s="4">
        <v>12.5</v>
      </c>
      <c r="L2646" s="4">
        <v>12.5</v>
      </c>
      <c r="M2646" t="s">
        <v>44</v>
      </c>
      <c r="N2646" t="s">
        <v>77</v>
      </c>
      <c r="O2646" t="s">
        <v>99</v>
      </c>
      <c r="P2646" t="s">
        <v>99</v>
      </c>
      <c r="Q2646" t="s">
        <v>159</v>
      </c>
      <c r="R2646" t="s">
        <v>228</v>
      </c>
      <c r="S2646" t="s">
        <v>197</v>
      </c>
      <c r="T2646" t="s">
        <v>198</v>
      </c>
      <c r="U2646" t="s">
        <v>163</v>
      </c>
      <c r="V2646" t="s">
        <v>186</v>
      </c>
      <c r="W2646" t="s">
        <v>116</v>
      </c>
      <c r="X2646" t="s">
        <v>44</v>
      </c>
      <c r="Y2646" t="s">
        <v>99</v>
      </c>
      <c r="Z2646" t="s">
        <v>421</v>
      </c>
      <c r="AC2646" t="str">
        <f>IF(AA2646="",M2646,AA2646)</f>
        <v>sim</v>
      </c>
      <c r="AD2646" t="str">
        <f>IF(AB2646="",X2646,AB2646)</f>
        <v>sim</v>
      </c>
      <c r="AE2646" t="str">
        <f>IF(OR(Configuracao!B9="",Configuracao!B10=""),"aguardando limiar",IF(AND(K2646&gt;=Configuracao!B9,K2646/MAX(Reconciliacao!C2,1)&gt;=Configuracao!B10/100),"sim","não"))</f>
        <v>aguardando limiar</v>
      </c>
    </row>
    <row r="2647" spans="1:31" x14ac:dyDescent="0.25">
      <c r="A2647">
        <v>12809</v>
      </c>
      <c r="C2647" t="s">
        <v>1542</v>
      </c>
      <c r="D2647" t="s">
        <v>830</v>
      </c>
      <c r="E2647" t="s">
        <v>1138</v>
      </c>
      <c r="F2647" t="s">
        <v>227</v>
      </c>
      <c r="G2647" t="s">
        <v>375</v>
      </c>
      <c r="H2647" t="s">
        <v>374</v>
      </c>
      <c r="I2647" t="s">
        <v>420</v>
      </c>
      <c r="J2647" t="s">
        <v>420</v>
      </c>
      <c r="K2647" s="4">
        <v>20</v>
      </c>
      <c r="L2647" s="4">
        <v>20</v>
      </c>
      <c r="M2647" t="s">
        <v>44</v>
      </c>
      <c r="N2647" t="s">
        <v>77</v>
      </c>
      <c r="O2647" t="s">
        <v>99</v>
      </c>
      <c r="P2647" t="s">
        <v>99</v>
      </c>
      <c r="Q2647" t="s">
        <v>159</v>
      </c>
      <c r="R2647" t="s">
        <v>228</v>
      </c>
      <c r="S2647" t="s">
        <v>197</v>
      </c>
      <c r="T2647" t="s">
        <v>198</v>
      </c>
      <c r="U2647" t="s">
        <v>163</v>
      </c>
      <c r="V2647" t="s">
        <v>186</v>
      </c>
      <c r="W2647" t="s">
        <v>116</v>
      </c>
      <c r="X2647" t="s">
        <v>44</v>
      </c>
      <c r="Y2647" t="s">
        <v>99</v>
      </c>
      <c r="Z2647" t="s">
        <v>421</v>
      </c>
      <c r="AC2647" t="str">
        <f>IF(AA2647="",M2647,AA2647)</f>
        <v>sim</v>
      </c>
      <c r="AD2647" t="str">
        <f>IF(AB2647="",X2647,AB2647)</f>
        <v>sim</v>
      </c>
      <c r="AE2647" t="str">
        <f>IF(OR(Configuracao!B9="",Configuracao!B10=""),"aguardando limiar",IF(AND(K2647&gt;=Configuracao!B9,K2647/MAX(Reconciliacao!C2,1)&gt;=Configuracao!B10/100),"sim","não"))</f>
        <v>aguardando limiar</v>
      </c>
    </row>
    <row r="2648" spans="1:31" x14ac:dyDescent="0.25">
      <c r="A2648">
        <v>11756</v>
      </c>
      <c r="C2648" t="s">
        <v>1543</v>
      </c>
      <c r="D2648" t="s">
        <v>830</v>
      </c>
      <c r="E2648" t="s">
        <v>451</v>
      </c>
      <c r="F2648" t="s">
        <v>227</v>
      </c>
      <c r="G2648" t="s">
        <v>375</v>
      </c>
      <c r="H2648" t="s">
        <v>374</v>
      </c>
      <c r="I2648" t="s">
        <v>32</v>
      </c>
      <c r="J2648" t="s">
        <v>32</v>
      </c>
      <c r="K2648" s="4">
        <v>30</v>
      </c>
      <c r="L2648" s="4">
        <v>30</v>
      </c>
      <c r="M2648" t="s">
        <v>44</v>
      </c>
      <c r="N2648" t="s">
        <v>77</v>
      </c>
      <c r="O2648" t="s">
        <v>99</v>
      </c>
      <c r="P2648" t="s">
        <v>99</v>
      </c>
      <c r="Q2648" t="s">
        <v>159</v>
      </c>
      <c r="R2648" t="s">
        <v>228</v>
      </c>
      <c r="S2648" t="s">
        <v>197</v>
      </c>
      <c r="T2648" t="s">
        <v>198</v>
      </c>
      <c r="U2648" t="s">
        <v>163</v>
      </c>
      <c r="V2648" t="s">
        <v>186</v>
      </c>
      <c r="W2648" t="s">
        <v>116</v>
      </c>
      <c r="X2648" t="s">
        <v>44</v>
      </c>
      <c r="Y2648" t="s">
        <v>99</v>
      </c>
      <c r="Z2648" t="s">
        <v>421</v>
      </c>
      <c r="AC2648" t="str">
        <f>IF(AA2648="",M2648,AA2648)</f>
        <v>sim</v>
      </c>
      <c r="AD2648" t="str">
        <f>IF(AB2648="",X2648,AB2648)</f>
        <v>sim</v>
      </c>
      <c r="AE2648" t="str">
        <f>IF(OR(Configuracao!B9="",Configuracao!B10=""),"aguardando limiar",IF(AND(K2648&gt;=Configuracao!B9,K2648/MAX(Reconciliacao!C2,1)&gt;=Configuracao!B10/100),"sim","não"))</f>
        <v>aguardando limiar</v>
      </c>
    </row>
    <row r="2649" spans="1:31" x14ac:dyDescent="0.25">
      <c r="A2649">
        <v>12747</v>
      </c>
      <c r="C2649" t="s">
        <v>1544</v>
      </c>
      <c r="D2649" t="s">
        <v>830</v>
      </c>
      <c r="E2649" t="s">
        <v>445</v>
      </c>
      <c r="F2649" t="s">
        <v>227</v>
      </c>
      <c r="G2649" t="s">
        <v>375</v>
      </c>
      <c r="H2649" t="s">
        <v>374</v>
      </c>
      <c r="I2649" t="s">
        <v>420</v>
      </c>
      <c r="J2649" t="s">
        <v>420</v>
      </c>
      <c r="K2649" s="4">
        <v>35</v>
      </c>
      <c r="L2649" s="4">
        <v>35</v>
      </c>
      <c r="M2649" t="s">
        <v>44</v>
      </c>
      <c r="N2649" t="s">
        <v>77</v>
      </c>
      <c r="O2649" t="s">
        <v>99</v>
      </c>
      <c r="P2649" t="s">
        <v>99</v>
      </c>
      <c r="Q2649" t="s">
        <v>159</v>
      </c>
      <c r="R2649" t="s">
        <v>228</v>
      </c>
      <c r="S2649" t="s">
        <v>197</v>
      </c>
      <c r="T2649" t="s">
        <v>198</v>
      </c>
      <c r="U2649" t="s">
        <v>163</v>
      </c>
      <c r="V2649" t="s">
        <v>186</v>
      </c>
      <c r="W2649" t="s">
        <v>116</v>
      </c>
      <c r="X2649" t="s">
        <v>44</v>
      </c>
      <c r="Y2649" t="s">
        <v>99</v>
      </c>
      <c r="Z2649" t="s">
        <v>421</v>
      </c>
      <c r="AC2649" t="str">
        <f>IF(AA2649="",M2649,AA2649)</f>
        <v>sim</v>
      </c>
      <c r="AD2649" t="str">
        <f>IF(AB2649="",X2649,AB2649)</f>
        <v>sim</v>
      </c>
      <c r="AE2649" t="str">
        <f>IF(OR(Configuracao!B9="",Configuracao!B10=""),"aguardando limiar",IF(AND(K2649&gt;=Configuracao!B9,K2649/MAX(Reconciliacao!C2,1)&gt;=Configuracao!B10/100),"sim","não"))</f>
        <v>aguardando limiar</v>
      </c>
    </row>
    <row r="2650" spans="1:31" x14ac:dyDescent="0.25">
      <c r="A2650">
        <v>13810</v>
      </c>
      <c r="C2650" t="s">
        <v>1545</v>
      </c>
      <c r="D2650" t="s">
        <v>830</v>
      </c>
      <c r="E2650" t="s">
        <v>465</v>
      </c>
      <c r="F2650" t="s">
        <v>227</v>
      </c>
      <c r="G2650" t="s">
        <v>375</v>
      </c>
      <c r="H2650" t="s">
        <v>374</v>
      </c>
      <c r="I2650" t="s">
        <v>454</v>
      </c>
      <c r="J2650" t="s">
        <v>454</v>
      </c>
      <c r="K2650" s="4">
        <v>40</v>
      </c>
      <c r="L2650" s="4">
        <v>40</v>
      </c>
      <c r="M2650" t="s">
        <v>44</v>
      </c>
      <c r="N2650" t="s">
        <v>77</v>
      </c>
      <c r="O2650" t="s">
        <v>99</v>
      </c>
      <c r="P2650" t="s">
        <v>99</v>
      </c>
      <c r="Q2650" t="s">
        <v>159</v>
      </c>
      <c r="R2650" t="s">
        <v>228</v>
      </c>
      <c r="S2650" t="s">
        <v>197</v>
      </c>
      <c r="T2650" t="s">
        <v>198</v>
      </c>
      <c r="U2650" t="s">
        <v>163</v>
      </c>
      <c r="V2650" t="s">
        <v>186</v>
      </c>
      <c r="W2650" t="s">
        <v>116</v>
      </c>
      <c r="X2650" t="s">
        <v>44</v>
      </c>
      <c r="Y2650" t="s">
        <v>99</v>
      </c>
      <c r="Z2650" t="s">
        <v>421</v>
      </c>
      <c r="AC2650" t="str">
        <f>IF(AA2650="",M2650,AA2650)</f>
        <v>sim</v>
      </c>
      <c r="AD2650" t="str">
        <f>IF(AB2650="",X2650,AB2650)</f>
        <v>sim</v>
      </c>
      <c r="AE2650" t="str">
        <f>IF(OR(Configuracao!B9="",Configuracao!B10=""),"aguardando limiar",IF(AND(K2650&gt;=Configuracao!B9,K2650/MAX(Reconciliacao!C2,1)&gt;=Configuracao!B10/100),"sim","não"))</f>
        <v>aguardando limiar</v>
      </c>
    </row>
    <row r="2651" spans="1:31" x14ac:dyDescent="0.25">
      <c r="A2651">
        <v>17442</v>
      </c>
      <c r="C2651" t="s">
        <v>1546</v>
      </c>
      <c r="D2651" t="s">
        <v>830</v>
      </c>
      <c r="E2651" t="s">
        <v>525</v>
      </c>
      <c r="F2651" t="s">
        <v>227</v>
      </c>
      <c r="G2651" t="s">
        <v>375</v>
      </c>
      <c r="H2651" t="s">
        <v>374</v>
      </c>
      <c r="I2651" t="s">
        <v>442</v>
      </c>
      <c r="J2651" t="s">
        <v>442</v>
      </c>
      <c r="K2651" s="4">
        <v>42.5</v>
      </c>
      <c r="L2651" s="4">
        <v>42.5</v>
      </c>
      <c r="M2651" t="s">
        <v>44</v>
      </c>
      <c r="N2651" t="s">
        <v>77</v>
      </c>
      <c r="O2651" t="s">
        <v>99</v>
      </c>
      <c r="P2651" t="s">
        <v>99</v>
      </c>
      <c r="Q2651" t="s">
        <v>159</v>
      </c>
      <c r="R2651" t="s">
        <v>228</v>
      </c>
      <c r="S2651" t="s">
        <v>197</v>
      </c>
      <c r="T2651" t="s">
        <v>198</v>
      </c>
      <c r="U2651" t="s">
        <v>163</v>
      </c>
      <c r="V2651" t="s">
        <v>186</v>
      </c>
      <c r="W2651" t="s">
        <v>116</v>
      </c>
      <c r="X2651" t="s">
        <v>44</v>
      </c>
      <c r="Y2651" t="s">
        <v>99</v>
      </c>
      <c r="Z2651" t="s">
        <v>421</v>
      </c>
      <c r="AC2651" t="str">
        <f>IF(AA2651="",M2651,AA2651)</f>
        <v>sim</v>
      </c>
      <c r="AD2651" t="str">
        <f>IF(AB2651="",X2651,AB2651)</f>
        <v>sim</v>
      </c>
      <c r="AE2651" t="str">
        <f>IF(OR(Configuracao!B9="",Configuracao!B10=""),"aguardando limiar",IF(AND(K2651&gt;=Configuracao!B9,K2651/MAX(Reconciliacao!C2,1)&gt;=Configuracao!B10/100),"sim","não"))</f>
        <v>aguardando limiar</v>
      </c>
    </row>
    <row r="2652" spans="1:31" x14ac:dyDescent="0.25">
      <c r="A2652">
        <v>13442</v>
      </c>
      <c r="C2652" t="s">
        <v>1547</v>
      </c>
      <c r="D2652" t="s">
        <v>830</v>
      </c>
      <c r="E2652" t="s">
        <v>465</v>
      </c>
      <c r="F2652" t="s">
        <v>227</v>
      </c>
      <c r="G2652" t="s">
        <v>375</v>
      </c>
      <c r="H2652" t="s">
        <v>374</v>
      </c>
      <c r="I2652" t="s">
        <v>454</v>
      </c>
      <c r="J2652" t="s">
        <v>454</v>
      </c>
      <c r="K2652" s="4">
        <v>45</v>
      </c>
      <c r="L2652" s="4">
        <v>45</v>
      </c>
      <c r="M2652" t="s">
        <v>44</v>
      </c>
      <c r="N2652" t="s">
        <v>77</v>
      </c>
      <c r="O2652" t="s">
        <v>99</v>
      </c>
      <c r="P2652" t="s">
        <v>99</v>
      </c>
      <c r="Q2652" t="s">
        <v>159</v>
      </c>
      <c r="R2652" t="s">
        <v>228</v>
      </c>
      <c r="S2652" t="s">
        <v>197</v>
      </c>
      <c r="T2652" t="s">
        <v>198</v>
      </c>
      <c r="U2652" t="s">
        <v>163</v>
      </c>
      <c r="V2652" t="s">
        <v>186</v>
      </c>
      <c r="W2652" t="s">
        <v>116</v>
      </c>
      <c r="X2652" t="s">
        <v>44</v>
      </c>
      <c r="Y2652" t="s">
        <v>99</v>
      </c>
      <c r="Z2652" t="s">
        <v>421</v>
      </c>
      <c r="AC2652" t="str">
        <f>IF(AA2652="",M2652,AA2652)</f>
        <v>sim</v>
      </c>
      <c r="AD2652" t="str">
        <f>IF(AB2652="",X2652,AB2652)</f>
        <v>sim</v>
      </c>
      <c r="AE2652" t="str">
        <f>IF(OR(Configuracao!B9="",Configuracao!B10=""),"aguardando limiar",IF(AND(K2652&gt;=Configuracao!B9,K2652/MAX(Reconciliacao!C2,1)&gt;=Configuracao!B10/100),"sim","não"))</f>
        <v>aguardando limiar</v>
      </c>
    </row>
    <row r="2653" spans="1:31" x14ac:dyDescent="0.25">
      <c r="A2653">
        <v>16202</v>
      </c>
      <c r="C2653" t="s">
        <v>1548</v>
      </c>
      <c r="D2653" t="s">
        <v>830</v>
      </c>
      <c r="E2653" t="s">
        <v>465</v>
      </c>
      <c r="F2653" t="s">
        <v>227</v>
      </c>
      <c r="G2653" t="s">
        <v>375</v>
      </c>
      <c r="H2653" t="s">
        <v>374</v>
      </c>
      <c r="I2653" t="s">
        <v>461</v>
      </c>
      <c r="J2653" t="s">
        <v>461</v>
      </c>
      <c r="K2653" s="4">
        <v>47</v>
      </c>
      <c r="L2653" s="4">
        <v>47</v>
      </c>
      <c r="M2653" t="s">
        <v>44</v>
      </c>
      <c r="N2653" t="s">
        <v>77</v>
      </c>
      <c r="O2653" t="s">
        <v>99</v>
      </c>
      <c r="P2653" t="s">
        <v>99</v>
      </c>
      <c r="Q2653" t="s">
        <v>159</v>
      </c>
      <c r="R2653" t="s">
        <v>228</v>
      </c>
      <c r="S2653" t="s">
        <v>197</v>
      </c>
      <c r="T2653" t="s">
        <v>198</v>
      </c>
      <c r="U2653" t="s">
        <v>163</v>
      </c>
      <c r="V2653" t="s">
        <v>186</v>
      </c>
      <c r="W2653" t="s">
        <v>116</v>
      </c>
      <c r="X2653" t="s">
        <v>44</v>
      </c>
      <c r="Y2653" t="s">
        <v>99</v>
      </c>
      <c r="Z2653" t="s">
        <v>421</v>
      </c>
      <c r="AC2653" t="str">
        <f>IF(AA2653="",M2653,AA2653)</f>
        <v>sim</v>
      </c>
      <c r="AD2653" t="str">
        <f>IF(AB2653="",X2653,AB2653)</f>
        <v>sim</v>
      </c>
      <c r="AE2653" t="str">
        <f>IF(OR(Configuracao!B9="",Configuracao!B10=""),"aguardando limiar",IF(AND(K2653&gt;=Configuracao!B9,K2653/MAX(Reconciliacao!C2,1)&gt;=Configuracao!B10/100),"sim","não"))</f>
        <v>aguardando limiar</v>
      </c>
    </row>
    <row r="2654" spans="1:31" x14ac:dyDescent="0.25">
      <c r="A2654">
        <v>11639</v>
      </c>
      <c r="C2654" t="s">
        <v>1549</v>
      </c>
      <c r="D2654" t="s">
        <v>830</v>
      </c>
      <c r="E2654" t="s">
        <v>445</v>
      </c>
      <c r="F2654" t="s">
        <v>227</v>
      </c>
      <c r="G2654" t="s">
        <v>375</v>
      </c>
      <c r="H2654" t="s">
        <v>374</v>
      </c>
      <c r="I2654" t="s">
        <v>32</v>
      </c>
      <c r="J2654" t="s">
        <v>32</v>
      </c>
      <c r="K2654" s="4">
        <v>50</v>
      </c>
      <c r="L2654" s="4">
        <v>50</v>
      </c>
      <c r="M2654" t="s">
        <v>44</v>
      </c>
      <c r="N2654" t="s">
        <v>77</v>
      </c>
      <c r="O2654" t="s">
        <v>99</v>
      </c>
      <c r="P2654" t="s">
        <v>99</v>
      </c>
      <c r="Q2654" t="s">
        <v>159</v>
      </c>
      <c r="R2654" t="s">
        <v>228</v>
      </c>
      <c r="S2654" t="s">
        <v>197</v>
      </c>
      <c r="T2654" t="s">
        <v>198</v>
      </c>
      <c r="U2654" t="s">
        <v>163</v>
      </c>
      <c r="V2654" t="s">
        <v>186</v>
      </c>
      <c r="W2654" t="s">
        <v>116</v>
      </c>
      <c r="X2654" t="s">
        <v>44</v>
      </c>
      <c r="Y2654" t="s">
        <v>99</v>
      </c>
      <c r="Z2654" t="s">
        <v>421</v>
      </c>
      <c r="AC2654" t="str">
        <f>IF(AA2654="",M2654,AA2654)</f>
        <v>sim</v>
      </c>
      <c r="AD2654" t="str">
        <f>IF(AB2654="",X2654,AB2654)</f>
        <v>sim</v>
      </c>
      <c r="AE2654" t="str">
        <f>IF(OR(Configuracao!B9="",Configuracao!B10=""),"aguardando limiar",IF(AND(K2654&gt;=Configuracao!B9,K2654/MAX(Reconciliacao!C2,1)&gt;=Configuracao!B10/100),"sim","não"))</f>
        <v>aguardando limiar</v>
      </c>
    </row>
    <row r="2655" spans="1:31" x14ac:dyDescent="0.25">
      <c r="A2655">
        <v>17711</v>
      </c>
      <c r="C2655" t="s">
        <v>1550</v>
      </c>
      <c r="D2655" t="s">
        <v>830</v>
      </c>
      <c r="E2655" t="s">
        <v>445</v>
      </c>
      <c r="F2655" t="s">
        <v>227</v>
      </c>
      <c r="G2655" t="s">
        <v>375</v>
      </c>
      <c r="H2655" t="s">
        <v>374</v>
      </c>
      <c r="I2655" t="s">
        <v>439</v>
      </c>
      <c r="J2655" t="s">
        <v>439</v>
      </c>
      <c r="K2655" s="4">
        <v>57</v>
      </c>
      <c r="L2655" s="4">
        <v>57</v>
      </c>
      <c r="M2655" t="s">
        <v>44</v>
      </c>
      <c r="N2655" t="s">
        <v>77</v>
      </c>
      <c r="O2655" t="s">
        <v>99</v>
      </c>
      <c r="P2655" t="s">
        <v>99</v>
      </c>
      <c r="Q2655" t="s">
        <v>159</v>
      </c>
      <c r="R2655" t="s">
        <v>228</v>
      </c>
      <c r="S2655" t="s">
        <v>197</v>
      </c>
      <c r="T2655" t="s">
        <v>198</v>
      </c>
      <c r="U2655" t="s">
        <v>163</v>
      </c>
      <c r="V2655" t="s">
        <v>186</v>
      </c>
      <c r="W2655" t="s">
        <v>116</v>
      </c>
      <c r="X2655" t="s">
        <v>44</v>
      </c>
      <c r="Y2655" t="s">
        <v>99</v>
      </c>
      <c r="Z2655" t="s">
        <v>421</v>
      </c>
      <c r="AC2655" t="str">
        <f>IF(AA2655="",M2655,AA2655)</f>
        <v>sim</v>
      </c>
      <c r="AD2655" t="str">
        <f>IF(AB2655="",X2655,AB2655)</f>
        <v>sim</v>
      </c>
      <c r="AE2655" t="str">
        <f>IF(OR(Configuracao!B9="",Configuracao!B10=""),"aguardando limiar",IF(AND(K2655&gt;=Configuracao!B9,K2655/MAX(Reconciliacao!C2,1)&gt;=Configuracao!B10/100),"sim","não"))</f>
        <v>aguardando limiar</v>
      </c>
    </row>
    <row r="2656" spans="1:31" x14ac:dyDescent="0.25">
      <c r="A2656">
        <v>18825</v>
      </c>
      <c r="C2656" t="s">
        <v>1551</v>
      </c>
      <c r="D2656" t="s">
        <v>830</v>
      </c>
      <c r="E2656" t="s">
        <v>445</v>
      </c>
      <c r="F2656" t="s">
        <v>227</v>
      </c>
      <c r="G2656" t="s">
        <v>375</v>
      </c>
      <c r="H2656" t="s">
        <v>374</v>
      </c>
      <c r="I2656" t="s">
        <v>35</v>
      </c>
      <c r="J2656" t="s">
        <v>35</v>
      </c>
      <c r="K2656" s="4">
        <v>59.58</v>
      </c>
      <c r="L2656" s="4">
        <v>59.58</v>
      </c>
      <c r="M2656" t="s">
        <v>44</v>
      </c>
      <c r="N2656" t="s">
        <v>77</v>
      </c>
      <c r="O2656" t="s">
        <v>99</v>
      </c>
      <c r="P2656" t="s">
        <v>99</v>
      </c>
      <c r="Q2656" t="s">
        <v>159</v>
      </c>
      <c r="R2656" t="s">
        <v>228</v>
      </c>
      <c r="S2656" t="s">
        <v>197</v>
      </c>
      <c r="T2656" t="s">
        <v>198</v>
      </c>
      <c r="U2656" t="s">
        <v>163</v>
      </c>
      <c r="V2656" t="s">
        <v>186</v>
      </c>
      <c r="W2656" t="s">
        <v>116</v>
      </c>
      <c r="X2656" t="s">
        <v>44</v>
      </c>
      <c r="Y2656" t="s">
        <v>99</v>
      </c>
      <c r="Z2656" t="s">
        <v>421</v>
      </c>
      <c r="AC2656" t="str">
        <f>IF(AA2656="",M2656,AA2656)</f>
        <v>sim</v>
      </c>
      <c r="AD2656" t="str">
        <f>IF(AB2656="",X2656,AB2656)</f>
        <v>sim</v>
      </c>
      <c r="AE2656" t="str">
        <f>IF(OR(Configuracao!B9="",Configuracao!B10=""),"aguardando limiar",IF(AND(K2656&gt;=Configuracao!B9,K2656/MAX(Reconciliacao!C2,1)&gt;=Configuracao!B10/100),"sim","não"))</f>
        <v>aguardando limiar</v>
      </c>
    </row>
    <row r="2657" spans="1:31" x14ac:dyDescent="0.25">
      <c r="A2657">
        <v>12327</v>
      </c>
      <c r="C2657" t="s">
        <v>1549</v>
      </c>
      <c r="D2657" t="s">
        <v>830</v>
      </c>
      <c r="E2657" t="s">
        <v>445</v>
      </c>
      <c r="F2657" t="s">
        <v>227</v>
      </c>
      <c r="G2657" t="s">
        <v>375</v>
      </c>
      <c r="H2657" t="s">
        <v>374</v>
      </c>
      <c r="I2657" t="s">
        <v>424</v>
      </c>
      <c r="J2657" t="s">
        <v>424</v>
      </c>
      <c r="K2657" s="4">
        <v>65</v>
      </c>
      <c r="L2657" s="4">
        <v>65</v>
      </c>
      <c r="M2657" t="s">
        <v>44</v>
      </c>
      <c r="N2657" t="s">
        <v>77</v>
      </c>
      <c r="O2657" t="s">
        <v>99</v>
      </c>
      <c r="P2657" t="s">
        <v>99</v>
      </c>
      <c r="Q2657" t="s">
        <v>159</v>
      </c>
      <c r="R2657" t="s">
        <v>228</v>
      </c>
      <c r="S2657" t="s">
        <v>197</v>
      </c>
      <c r="T2657" t="s">
        <v>198</v>
      </c>
      <c r="U2657" t="s">
        <v>163</v>
      </c>
      <c r="V2657" t="s">
        <v>186</v>
      </c>
      <c r="W2657" t="s">
        <v>116</v>
      </c>
      <c r="X2657" t="s">
        <v>44</v>
      </c>
      <c r="Y2657" t="s">
        <v>99</v>
      </c>
      <c r="Z2657" t="s">
        <v>421</v>
      </c>
      <c r="AC2657" t="str">
        <f>IF(AA2657="",M2657,AA2657)</f>
        <v>sim</v>
      </c>
      <c r="AD2657" t="str">
        <f>IF(AB2657="",X2657,AB2657)</f>
        <v>sim</v>
      </c>
      <c r="AE2657" t="str">
        <f>IF(OR(Configuracao!B9="",Configuracao!B10=""),"aguardando limiar",IF(AND(K2657&gt;=Configuracao!B9,K2657/MAX(Reconciliacao!C2,1)&gt;=Configuracao!B10/100),"sim","não"))</f>
        <v>aguardando limiar</v>
      </c>
    </row>
    <row r="2658" spans="1:31" x14ac:dyDescent="0.25">
      <c r="A2658">
        <v>13453</v>
      </c>
      <c r="C2658" t="s">
        <v>1552</v>
      </c>
      <c r="D2658" t="s">
        <v>830</v>
      </c>
      <c r="E2658" t="s">
        <v>445</v>
      </c>
      <c r="F2658" t="s">
        <v>227</v>
      </c>
      <c r="G2658" t="s">
        <v>375</v>
      </c>
      <c r="H2658" t="s">
        <v>374</v>
      </c>
      <c r="I2658" t="s">
        <v>454</v>
      </c>
      <c r="J2658" t="s">
        <v>454</v>
      </c>
      <c r="K2658" s="4">
        <v>70</v>
      </c>
      <c r="L2658" s="4">
        <v>70</v>
      </c>
      <c r="M2658" t="s">
        <v>44</v>
      </c>
      <c r="N2658" t="s">
        <v>77</v>
      </c>
      <c r="O2658" t="s">
        <v>99</v>
      </c>
      <c r="P2658" t="s">
        <v>99</v>
      </c>
      <c r="Q2658" t="s">
        <v>159</v>
      </c>
      <c r="R2658" t="s">
        <v>228</v>
      </c>
      <c r="S2658" t="s">
        <v>197</v>
      </c>
      <c r="T2658" t="s">
        <v>198</v>
      </c>
      <c r="U2658" t="s">
        <v>163</v>
      </c>
      <c r="V2658" t="s">
        <v>186</v>
      </c>
      <c r="W2658" t="s">
        <v>116</v>
      </c>
      <c r="X2658" t="s">
        <v>44</v>
      </c>
      <c r="Y2658" t="s">
        <v>99</v>
      </c>
      <c r="Z2658" t="s">
        <v>421</v>
      </c>
      <c r="AC2658" t="str">
        <f>IF(AA2658="",M2658,AA2658)</f>
        <v>sim</v>
      </c>
      <c r="AD2658" t="str">
        <f>IF(AB2658="",X2658,AB2658)</f>
        <v>sim</v>
      </c>
      <c r="AE2658" t="str">
        <f>IF(OR(Configuracao!B9="",Configuracao!B10=""),"aguardando limiar",IF(AND(K2658&gt;=Configuracao!B9,K2658/MAX(Reconciliacao!C2,1)&gt;=Configuracao!B10/100),"sim","não"))</f>
        <v>aguardando limiar</v>
      </c>
    </row>
    <row r="2659" spans="1:31" x14ac:dyDescent="0.25">
      <c r="A2659">
        <v>18757</v>
      </c>
      <c r="C2659" t="s">
        <v>1551</v>
      </c>
      <c r="D2659" t="s">
        <v>830</v>
      </c>
      <c r="E2659" t="s">
        <v>525</v>
      </c>
      <c r="F2659" t="s">
        <v>227</v>
      </c>
      <c r="G2659" t="s">
        <v>375</v>
      </c>
      <c r="H2659" t="s">
        <v>374</v>
      </c>
      <c r="I2659" t="s">
        <v>35</v>
      </c>
      <c r="J2659" t="s">
        <v>35</v>
      </c>
      <c r="K2659" s="4">
        <v>71</v>
      </c>
      <c r="L2659" s="4">
        <v>71</v>
      </c>
      <c r="M2659" t="s">
        <v>44</v>
      </c>
      <c r="N2659" t="s">
        <v>77</v>
      </c>
      <c r="O2659" t="s">
        <v>99</v>
      </c>
      <c r="P2659" t="s">
        <v>99</v>
      </c>
      <c r="Q2659" t="s">
        <v>159</v>
      </c>
      <c r="R2659" t="s">
        <v>228</v>
      </c>
      <c r="S2659" t="s">
        <v>197</v>
      </c>
      <c r="T2659" t="s">
        <v>198</v>
      </c>
      <c r="U2659" t="s">
        <v>163</v>
      </c>
      <c r="V2659" t="s">
        <v>186</v>
      </c>
      <c r="W2659" t="s">
        <v>116</v>
      </c>
      <c r="X2659" t="s">
        <v>44</v>
      </c>
      <c r="Y2659" t="s">
        <v>99</v>
      </c>
      <c r="Z2659" t="s">
        <v>421</v>
      </c>
      <c r="AC2659" t="str">
        <f>IF(AA2659="",M2659,AA2659)</f>
        <v>sim</v>
      </c>
      <c r="AD2659" t="str">
        <f>IF(AB2659="",X2659,AB2659)</f>
        <v>sim</v>
      </c>
      <c r="AE2659" t="str">
        <f>IF(OR(Configuracao!B9="",Configuracao!B10=""),"aguardando limiar",IF(AND(K2659&gt;=Configuracao!B9,K2659/MAX(Reconciliacao!C2,1)&gt;=Configuracao!B10/100),"sim","não"))</f>
        <v>aguardando limiar</v>
      </c>
    </row>
    <row r="2660" spans="1:31" x14ac:dyDescent="0.25">
      <c r="A2660">
        <v>18826</v>
      </c>
      <c r="C2660" t="s">
        <v>1551</v>
      </c>
      <c r="D2660" t="s">
        <v>830</v>
      </c>
      <c r="E2660" t="s">
        <v>465</v>
      </c>
      <c r="F2660" t="s">
        <v>227</v>
      </c>
      <c r="G2660" t="s">
        <v>375</v>
      </c>
      <c r="H2660" t="s">
        <v>374</v>
      </c>
      <c r="I2660" t="s">
        <v>35</v>
      </c>
      <c r="J2660" t="s">
        <v>35</v>
      </c>
      <c r="K2660" s="4">
        <v>83.42</v>
      </c>
      <c r="L2660" s="4">
        <v>83.42</v>
      </c>
      <c r="M2660" t="s">
        <v>44</v>
      </c>
      <c r="N2660" t="s">
        <v>77</v>
      </c>
      <c r="O2660" t="s">
        <v>99</v>
      </c>
      <c r="P2660" t="s">
        <v>99</v>
      </c>
      <c r="Q2660" t="s">
        <v>159</v>
      </c>
      <c r="R2660" t="s">
        <v>228</v>
      </c>
      <c r="S2660" t="s">
        <v>197</v>
      </c>
      <c r="T2660" t="s">
        <v>198</v>
      </c>
      <c r="U2660" t="s">
        <v>163</v>
      </c>
      <c r="V2660" t="s">
        <v>186</v>
      </c>
      <c r="W2660" t="s">
        <v>116</v>
      </c>
      <c r="X2660" t="s">
        <v>44</v>
      </c>
      <c r="Y2660" t="s">
        <v>99</v>
      </c>
      <c r="Z2660" t="s">
        <v>421</v>
      </c>
      <c r="AC2660" t="str">
        <f>IF(AA2660="",M2660,AA2660)</f>
        <v>sim</v>
      </c>
      <c r="AD2660" t="str">
        <f>IF(AB2660="",X2660,AB2660)</f>
        <v>sim</v>
      </c>
      <c r="AE2660" t="str">
        <f>IF(OR(Configuracao!B9="",Configuracao!B10=""),"aguardando limiar",IF(AND(K2660&gt;=Configuracao!B9,K2660/MAX(Reconciliacao!C2,1)&gt;=Configuracao!B10/100),"sim","não"))</f>
        <v>aguardando limiar</v>
      </c>
    </row>
    <row r="2661" spans="1:31" x14ac:dyDescent="0.25">
      <c r="A2661">
        <v>17349</v>
      </c>
      <c r="C2661" t="s">
        <v>1553</v>
      </c>
      <c r="D2661" t="s">
        <v>830</v>
      </c>
      <c r="E2661" t="s">
        <v>465</v>
      </c>
      <c r="F2661" t="s">
        <v>227</v>
      </c>
      <c r="G2661" t="s">
        <v>375</v>
      </c>
      <c r="H2661" t="s">
        <v>374</v>
      </c>
      <c r="I2661" t="s">
        <v>442</v>
      </c>
      <c r="J2661" t="s">
        <v>442</v>
      </c>
      <c r="K2661" s="4">
        <v>94</v>
      </c>
      <c r="L2661" s="4">
        <v>94</v>
      </c>
      <c r="M2661" t="s">
        <v>44</v>
      </c>
      <c r="N2661" t="s">
        <v>77</v>
      </c>
      <c r="O2661" t="s">
        <v>99</v>
      </c>
      <c r="P2661" t="s">
        <v>99</v>
      </c>
      <c r="Q2661" t="s">
        <v>159</v>
      </c>
      <c r="R2661" t="s">
        <v>228</v>
      </c>
      <c r="S2661" t="s">
        <v>197</v>
      </c>
      <c r="T2661" t="s">
        <v>198</v>
      </c>
      <c r="U2661" t="s">
        <v>163</v>
      </c>
      <c r="V2661" t="s">
        <v>186</v>
      </c>
      <c r="W2661" t="s">
        <v>116</v>
      </c>
      <c r="X2661" t="s">
        <v>44</v>
      </c>
      <c r="Y2661" t="s">
        <v>99</v>
      </c>
      <c r="Z2661" t="s">
        <v>421</v>
      </c>
      <c r="AC2661" t="str">
        <f>IF(AA2661="",M2661,AA2661)</f>
        <v>sim</v>
      </c>
      <c r="AD2661" t="str">
        <f>IF(AB2661="",X2661,AB2661)</f>
        <v>sim</v>
      </c>
      <c r="AE2661" t="str">
        <f>IF(OR(Configuracao!B9="",Configuracao!B10=""),"aguardando limiar",IF(AND(K2661&gt;=Configuracao!B9,K2661/MAX(Reconciliacao!C2,1)&gt;=Configuracao!B10/100),"sim","não"))</f>
        <v>aguardando limiar</v>
      </c>
    </row>
    <row r="2662" spans="1:31" x14ac:dyDescent="0.25">
      <c r="A2662">
        <v>17441</v>
      </c>
      <c r="C2662" t="s">
        <v>1546</v>
      </c>
      <c r="D2662" t="s">
        <v>830</v>
      </c>
      <c r="E2662" t="s">
        <v>467</v>
      </c>
      <c r="F2662" t="s">
        <v>227</v>
      </c>
      <c r="G2662" t="s">
        <v>375</v>
      </c>
      <c r="H2662" t="s">
        <v>374</v>
      </c>
      <c r="I2662" t="s">
        <v>442</v>
      </c>
      <c r="J2662" t="s">
        <v>442</v>
      </c>
      <c r="K2662" s="4">
        <v>119.5</v>
      </c>
      <c r="L2662" s="4">
        <v>119.5</v>
      </c>
      <c r="M2662" t="s">
        <v>44</v>
      </c>
      <c r="N2662" t="s">
        <v>77</v>
      </c>
      <c r="O2662" t="s">
        <v>99</v>
      </c>
      <c r="P2662" t="s">
        <v>99</v>
      </c>
      <c r="Q2662" t="s">
        <v>159</v>
      </c>
      <c r="R2662" t="s">
        <v>228</v>
      </c>
      <c r="S2662" t="s">
        <v>197</v>
      </c>
      <c r="T2662" t="s">
        <v>198</v>
      </c>
      <c r="U2662" t="s">
        <v>163</v>
      </c>
      <c r="V2662" t="s">
        <v>186</v>
      </c>
      <c r="W2662" t="s">
        <v>116</v>
      </c>
      <c r="X2662" t="s">
        <v>44</v>
      </c>
      <c r="Y2662" t="s">
        <v>99</v>
      </c>
      <c r="Z2662" t="s">
        <v>421</v>
      </c>
      <c r="AC2662" t="str">
        <f>IF(AA2662="",M2662,AA2662)</f>
        <v>sim</v>
      </c>
      <c r="AD2662" t="str">
        <f>IF(AB2662="",X2662,AB2662)</f>
        <v>sim</v>
      </c>
      <c r="AE2662" t="str">
        <f>IF(OR(Configuracao!B9="",Configuracao!B10=""),"aguardando limiar",IF(AND(K2662&gt;=Configuracao!B9,K2662/MAX(Reconciliacao!C2,1)&gt;=Configuracao!B10/100),"sim","não"))</f>
        <v>aguardando limiar</v>
      </c>
    </row>
    <row r="2663" spans="1:31" x14ac:dyDescent="0.25">
      <c r="A2663">
        <v>17765</v>
      </c>
      <c r="C2663" t="s">
        <v>1554</v>
      </c>
      <c r="D2663" t="s">
        <v>830</v>
      </c>
      <c r="E2663" t="s">
        <v>451</v>
      </c>
      <c r="F2663" t="s">
        <v>227</v>
      </c>
      <c r="G2663" t="s">
        <v>375</v>
      </c>
      <c r="H2663" t="s">
        <v>374</v>
      </c>
      <c r="I2663" t="s">
        <v>439</v>
      </c>
      <c r="J2663" t="s">
        <v>439</v>
      </c>
      <c r="K2663" s="4">
        <v>133</v>
      </c>
      <c r="L2663" s="4">
        <v>133</v>
      </c>
      <c r="M2663" t="s">
        <v>44</v>
      </c>
      <c r="N2663" t="s">
        <v>77</v>
      </c>
      <c r="O2663" t="s">
        <v>99</v>
      </c>
      <c r="P2663" t="s">
        <v>99</v>
      </c>
      <c r="Q2663" t="s">
        <v>159</v>
      </c>
      <c r="R2663" t="s">
        <v>228</v>
      </c>
      <c r="S2663" t="s">
        <v>197</v>
      </c>
      <c r="T2663" t="s">
        <v>198</v>
      </c>
      <c r="U2663" t="s">
        <v>163</v>
      </c>
      <c r="V2663" t="s">
        <v>186</v>
      </c>
      <c r="W2663" t="s">
        <v>116</v>
      </c>
      <c r="X2663" t="s">
        <v>44</v>
      </c>
      <c r="Y2663" t="s">
        <v>99</v>
      </c>
      <c r="Z2663" t="s">
        <v>421</v>
      </c>
      <c r="AC2663" t="str">
        <f>IF(AA2663="",M2663,AA2663)</f>
        <v>sim</v>
      </c>
      <c r="AD2663" t="str">
        <f>IF(AB2663="",X2663,AB2663)</f>
        <v>sim</v>
      </c>
      <c r="AE2663" t="str">
        <f>IF(OR(Configuracao!B9="",Configuracao!B10=""),"aguardando limiar",IF(AND(K2663&gt;=Configuracao!B9,K2663/MAX(Reconciliacao!C2,1)&gt;=Configuracao!B10/100),"sim","não"))</f>
        <v>aguardando limiar</v>
      </c>
    </row>
    <row r="2664" spans="1:31" x14ac:dyDescent="0.25">
      <c r="A2664">
        <v>6974</v>
      </c>
      <c r="D2664" t="s">
        <v>1555</v>
      </c>
      <c r="E2664" t="s">
        <v>451</v>
      </c>
      <c r="F2664" t="s">
        <v>227</v>
      </c>
      <c r="G2664" t="s">
        <v>327</v>
      </c>
      <c r="H2664" t="s">
        <v>326</v>
      </c>
      <c r="I2664" t="s">
        <v>32</v>
      </c>
      <c r="J2664" t="s">
        <v>32</v>
      </c>
      <c r="K2664" s="4">
        <v>704</v>
      </c>
      <c r="L2664" s="4">
        <v>704</v>
      </c>
      <c r="M2664" t="s">
        <v>44</v>
      </c>
      <c r="N2664" t="s">
        <v>77</v>
      </c>
      <c r="O2664" t="s">
        <v>99</v>
      </c>
      <c r="P2664" t="s">
        <v>99</v>
      </c>
      <c r="Q2664" t="s">
        <v>159</v>
      </c>
      <c r="R2664" t="s">
        <v>228</v>
      </c>
      <c r="S2664" t="s">
        <v>197</v>
      </c>
      <c r="T2664" t="s">
        <v>198</v>
      </c>
      <c r="U2664" t="s">
        <v>163</v>
      </c>
      <c r="V2664" t="s">
        <v>186</v>
      </c>
      <c r="W2664" t="s">
        <v>116</v>
      </c>
      <c r="X2664" t="s">
        <v>44</v>
      </c>
      <c r="Y2664" t="s">
        <v>99</v>
      </c>
      <c r="Z2664" t="s">
        <v>421</v>
      </c>
      <c r="AC2664" t="str">
        <f>IF(AA2664="",M2664,AA2664)</f>
        <v>sim</v>
      </c>
      <c r="AD2664" t="str">
        <f>IF(AB2664="",X2664,AB2664)</f>
        <v>sim</v>
      </c>
      <c r="AE2664" t="str">
        <f>IF(OR(Configuracao!B9="",Configuracao!B10=""),"aguardando limiar",IF(AND(K2664&gt;=Configuracao!B9,K2664/MAX(Reconciliacao!C2,1)&gt;=Configuracao!B10/100),"sim","não"))</f>
        <v>aguardando limiar</v>
      </c>
    </row>
    <row r="2665" spans="1:31" x14ac:dyDescent="0.25">
      <c r="A2665">
        <v>6975</v>
      </c>
      <c r="D2665" t="s">
        <v>1555</v>
      </c>
      <c r="E2665" t="s">
        <v>451</v>
      </c>
      <c r="F2665" t="s">
        <v>227</v>
      </c>
      <c r="G2665" t="s">
        <v>327</v>
      </c>
      <c r="H2665" t="s">
        <v>326</v>
      </c>
      <c r="I2665" t="s">
        <v>424</v>
      </c>
      <c r="J2665" t="s">
        <v>424</v>
      </c>
      <c r="K2665" s="4">
        <v>704</v>
      </c>
      <c r="L2665" s="4">
        <v>704</v>
      </c>
      <c r="M2665" t="s">
        <v>44</v>
      </c>
      <c r="N2665" t="s">
        <v>77</v>
      </c>
      <c r="O2665" t="s">
        <v>99</v>
      </c>
      <c r="P2665" t="s">
        <v>99</v>
      </c>
      <c r="Q2665" t="s">
        <v>159</v>
      </c>
      <c r="R2665" t="s">
        <v>228</v>
      </c>
      <c r="S2665" t="s">
        <v>197</v>
      </c>
      <c r="T2665" t="s">
        <v>198</v>
      </c>
      <c r="U2665" t="s">
        <v>163</v>
      </c>
      <c r="V2665" t="s">
        <v>186</v>
      </c>
      <c r="W2665" t="s">
        <v>116</v>
      </c>
      <c r="X2665" t="s">
        <v>44</v>
      </c>
      <c r="Y2665" t="s">
        <v>99</v>
      </c>
      <c r="Z2665" t="s">
        <v>421</v>
      </c>
      <c r="AC2665" t="str">
        <f>IF(AA2665="",M2665,AA2665)</f>
        <v>sim</v>
      </c>
      <c r="AD2665" t="str">
        <f>IF(AB2665="",X2665,AB2665)</f>
        <v>sim</v>
      </c>
      <c r="AE2665" t="str">
        <f>IF(OR(Configuracao!B9="",Configuracao!B10=""),"aguardando limiar",IF(AND(K2665&gt;=Configuracao!B9,K2665/MAX(Reconciliacao!C2,1)&gt;=Configuracao!B10/100),"sim","não"))</f>
        <v>aguardando limiar</v>
      </c>
    </row>
    <row r="2666" spans="1:31" x14ac:dyDescent="0.25">
      <c r="A2666">
        <v>6976</v>
      </c>
      <c r="D2666" t="s">
        <v>1555</v>
      </c>
      <c r="E2666" t="s">
        <v>451</v>
      </c>
      <c r="F2666" t="s">
        <v>227</v>
      </c>
      <c r="G2666" t="s">
        <v>327</v>
      </c>
      <c r="H2666" t="s">
        <v>326</v>
      </c>
      <c r="I2666" t="s">
        <v>420</v>
      </c>
      <c r="J2666" t="s">
        <v>420</v>
      </c>
      <c r="K2666" s="4">
        <v>704</v>
      </c>
      <c r="L2666" s="4">
        <v>704</v>
      </c>
      <c r="M2666" t="s">
        <v>44</v>
      </c>
      <c r="N2666" t="s">
        <v>77</v>
      </c>
      <c r="O2666" t="s">
        <v>99</v>
      </c>
      <c r="P2666" t="s">
        <v>99</v>
      </c>
      <c r="Q2666" t="s">
        <v>159</v>
      </c>
      <c r="R2666" t="s">
        <v>228</v>
      </c>
      <c r="S2666" t="s">
        <v>197</v>
      </c>
      <c r="T2666" t="s">
        <v>198</v>
      </c>
      <c r="U2666" t="s">
        <v>163</v>
      </c>
      <c r="V2666" t="s">
        <v>186</v>
      </c>
      <c r="W2666" t="s">
        <v>116</v>
      </c>
      <c r="X2666" t="s">
        <v>44</v>
      </c>
      <c r="Y2666" t="s">
        <v>99</v>
      </c>
      <c r="Z2666" t="s">
        <v>421</v>
      </c>
      <c r="AC2666" t="str">
        <f>IF(AA2666="",M2666,AA2666)</f>
        <v>sim</v>
      </c>
      <c r="AD2666" t="str">
        <f>IF(AB2666="",X2666,AB2666)</f>
        <v>sim</v>
      </c>
      <c r="AE2666" t="str">
        <f>IF(OR(Configuracao!B9="",Configuracao!B10=""),"aguardando limiar",IF(AND(K2666&gt;=Configuracao!B9,K2666/MAX(Reconciliacao!C2,1)&gt;=Configuracao!B10/100),"sim","não"))</f>
        <v>aguardando limiar</v>
      </c>
    </row>
    <row r="2667" spans="1:31" x14ac:dyDescent="0.25">
      <c r="A2667">
        <v>6977</v>
      </c>
      <c r="D2667" t="s">
        <v>1555</v>
      </c>
      <c r="E2667" t="s">
        <v>451</v>
      </c>
      <c r="F2667" t="s">
        <v>227</v>
      </c>
      <c r="G2667" t="s">
        <v>327</v>
      </c>
      <c r="H2667" t="s">
        <v>326</v>
      </c>
      <c r="I2667" t="s">
        <v>454</v>
      </c>
      <c r="J2667" t="s">
        <v>454</v>
      </c>
      <c r="K2667" s="4">
        <v>704</v>
      </c>
      <c r="L2667" s="4">
        <v>704</v>
      </c>
      <c r="M2667" t="s">
        <v>44</v>
      </c>
      <c r="N2667" t="s">
        <v>77</v>
      </c>
      <c r="O2667" t="s">
        <v>99</v>
      </c>
      <c r="P2667" t="s">
        <v>99</v>
      </c>
      <c r="Q2667" t="s">
        <v>159</v>
      </c>
      <c r="R2667" t="s">
        <v>228</v>
      </c>
      <c r="S2667" t="s">
        <v>197</v>
      </c>
      <c r="T2667" t="s">
        <v>198</v>
      </c>
      <c r="U2667" t="s">
        <v>163</v>
      </c>
      <c r="V2667" t="s">
        <v>186</v>
      </c>
      <c r="W2667" t="s">
        <v>116</v>
      </c>
      <c r="X2667" t="s">
        <v>44</v>
      </c>
      <c r="Y2667" t="s">
        <v>99</v>
      </c>
      <c r="Z2667" t="s">
        <v>421</v>
      </c>
      <c r="AC2667" t="str">
        <f>IF(AA2667="",M2667,AA2667)</f>
        <v>sim</v>
      </c>
      <c r="AD2667" t="str">
        <f>IF(AB2667="",X2667,AB2667)</f>
        <v>sim</v>
      </c>
      <c r="AE2667" t="str">
        <f>IF(OR(Configuracao!B9="",Configuracao!B10=""),"aguardando limiar",IF(AND(K2667&gt;=Configuracao!B9,K2667/MAX(Reconciliacao!C2,1)&gt;=Configuracao!B10/100),"sim","não"))</f>
        <v>aguardando limiar</v>
      </c>
    </row>
    <row r="2668" spans="1:31" x14ac:dyDescent="0.25">
      <c r="A2668">
        <v>6978</v>
      </c>
      <c r="D2668" t="s">
        <v>1555</v>
      </c>
      <c r="E2668" t="s">
        <v>451</v>
      </c>
      <c r="F2668" t="s">
        <v>227</v>
      </c>
      <c r="G2668" t="s">
        <v>327</v>
      </c>
      <c r="H2668" t="s">
        <v>326</v>
      </c>
      <c r="I2668" t="s">
        <v>461</v>
      </c>
      <c r="J2668" t="s">
        <v>461</v>
      </c>
      <c r="K2668" s="4">
        <v>704</v>
      </c>
      <c r="L2668" s="4">
        <v>704</v>
      </c>
      <c r="M2668" t="s">
        <v>44</v>
      </c>
      <c r="N2668" t="s">
        <v>77</v>
      </c>
      <c r="O2668" t="s">
        <v>99</v>
      </c>
      <c r="P2668" t="s">
        <v>99</v>
      </c>
      <c r="Q2668" t="s">
        <v>159</v>
      </c>
      <c r="R2668" t="s">
        <v>228</v>
      </c>
      <c r="S2668" t="s">
        <v>197</v>
      </c>
      <c r="T2668" t="s">
        <v>198</v>
      </c>
      <c r="U2668" t="s">
        <v>163</v>
      </c>
      <c r="V2668" t="s">
        <v>186</v>
      </c>
      <c r="W2668" t="s">
        <v>116</v>
      </c>
      <c r="X2668" t="s">
        <v>44</v>
      </c>
      <c r="Y2668" t="s">
        <v>99</v>
      </c>
      <c r="Z2668" t="s">
        <v>421</v>
      </c>
      <c r="AC2668" t="str">
        <f>IF(AA2668="",M2668,AA2668)</f>
        <v>sim</v>
      </c>
      <c r="AD2668" t="str">
        <f>IF(AB2668="",X2668,AB2668)</f>
        <v>sim</v>
      </c>
      <c r="AE2668" t="str">
        <f>IF(OR(Configuracao!B9="",Configuracao!B10=""),"aguardando limiar",IF(AND(K2668&gt;=Configuracao!B9,K2668/MAX(Reconciliacao!C2,1)&gt;=Configuracao!B10/100),"sim","não"))</f>
        <v>aguardando limiar</v>
      </c>
    </row>
    <row r="2669" spans="1:31" x14ac:dyDescent="0.25">
      <c r="A2669">
        <v>6979</v>
      </c>
      <c r="D2669" t="s">
        <v>1555</v>
      </c>
      <c r="E2669" t="s">
        <v>451</v>
      </c>
      <c r="F2669" t="s">
        <v>227</v>
      </c>
      <c r="G2669" t="s">
        <v>327</v>
      </c>
      <c r="H2669" t="s">
        <v>326</v>
      </c>
      <c r="I2669" t="s">
        <v>442</v>
      </c>
      <c r="J2669" t="s">
        <v>442</v>
      </c>
      <c r="K2669" s="4">
        <v>704</v>
      </c>
      <c r="L2669" s="4">
        <v>704</v>
      </c>
      <c r="M2669" t="s">
        <v>44</v>
      </c>
      <c r="N2669" t="s">
        <v>77</v>
      </c>
      <c r="O2669" t="s">
        <v>99</v>
      </c>
      <c r="P2669" t="s">
        <v>99</v>
      </c>
      <c r="Q2669" t="s">
        <v>159</v>
      </c>
      <c r="R2669" t="s">
        <v>228</v>
      </c>
      <c r="S2669" t="s">
        <v>197</v>
      </c>
      <c r="T2669" t="s">
        <v>198</v>
      </c>
      <c r="U2669" t="s">
        <v>163</v>
      </c>
      <c r="V2669" t="s">
        <v>186</v>
      </c>
      <c r="W2669" t="s">
        <v>116</v>
      </c>
      <c r="X2669" t="s">
        <v>44</v>
      </c>
      <c r="Y2669" t="s">
        <v>99</v>
      </c>
      <c r="Z2669" t="s">
        <v>421</v>
      </c>
      <c r="AC2669" t="str">
        <f>IF(AA2669="",M2669,AA2669)</f>
        <v>sim</v>
      </c>
      <c r="AD2669" t="str">
        <f>IF(AB2669="",X2669,AB2669)</f>
        <v>sim</v>
      </c>
      <c r="AE2669" t="str">
        <f>IF(OR(Configuracao!B9="",Configuracao!B10=""),"aguardando limiar",IF(AND(K2669&gt;=Configuracao!B9,K2669/MAX(Reconciliacao!C2,1)&gt;=Configuracao!B10/100),"sim","não"))</f>
        <v>aguardando limiar</v>
      </c>
    </row>
    <row r="2670" spans="1:31" x14ac:dyDescent="0.25">
      <c r="A2670">
        <v>6980</v>
      </c>
      <c r="D2670" t="s">
        <v>1555</v>
      </c>
      <c r="E2670" t="s">
        <v>451</v>
      </c>
      <c r="F2670" t="s">
        <v>227</v>
      </c>
      <c r="G2670" t="s">
        <v>327</v>
      </c>
      <c r="H2670" t="s">
        <v>326</v>
      </c>
      <c r="I2670" t="s">
        <v>439</v>
      </c>
      <c r="J2670" t="s">
        <v>439</v>
      </c>
      <c r="K2670" s="4">
        <v>704</v>
      </c>
      <c r="L2670" s="4">
        <v>704</v>
      </c>
      <c r="M2670" t="s">
        <v>44</v>
      </c>
      <c r="N2670" t="s">
        <v>77</v>
      </c>
      <c r="O2670" t="s">
        <v>99</v>
      </c>
      <c r="P2670" t="s">
        <v>99</v>
      </c>
      <c r="Q2670" t="s">
        <v>159</v>
      </c>
      <c r="R2670" t="s">
        <v>228</v>
      </c>
      <c r="S2670" t="s">
        <v>197</v>
      </c>
      <c r="T2670" t="s">
        <v>198</v>
      </c>
      <c r="U2670" t="s">
        <v>163</v>
      </c>
      <c r="V2670" t="s">
        <v>186</v>
      </c>
      <c r="W2670" t="s">
        <v>116</v>
      </c>
      <c r="X2670" t="s">
        <v>44</v>
      </c>
      <c r="Y2670" t="s">
        <v>99</v>
      </c>
      <c r="Z2670" t="s">
        <v>421</v>
      </c>
      <c r="AC2670" t="str">
        <f>IF(AA2670="",M2670,AA2670)</f>
        <v>sim</v>
      </c>
      <c r="AD2670" t="str">
        <f>IF(AB2670="",X2670,AB2670)</f>
        <v>sim</v>
      </c>
      <c r="AE2670" t="str">
        <f>IF(OR(Configuracao!B9="",Configuracao!B10=""),"aguardando limiar",IF(AND(K2670&gt;=Configuracao!B9,K2670/MAX(Reconciliacao!C2,1)&gt;=Configuracao!B10/100),"sim","não"))</f>
        <v>aguardando limiar</v>
      </c>
    </row>
    <row r="2671" spans="1:31" x14ac:dyDescent="0.25">
      <c r="A2671">
        <v>6981</v>
      </c>
      <c r="D2671" t="s">
        <v>1555</v>
      </c>
      <c r="E2671" t="s">
        <v>451</v>
      </c>
      <c r="F2671" t="s">
        <v>227</v>
      </c>
      <c r="G2671" t="s">
        <v>327</v>
      </c>
      <c r="H2671" t="s">
        <v>326</v>
      </c>
      <c r="I2671" t="s">
        <v>35</v>
      </c>
      <c r="J2671" t="s">
        <v>35</v>
      </c>
      <c r="K2671" s="4">
        <v>704</v>
      </c>
      <c r="L2671" s="4">
        <v>704</v>
      </c>
      <c r="M2671" t="s">
        <v>44</v>
      </c>
      <c r="N2671" t="s">
        <v>77</v>
      </c>
      <c r="O2671" t="s">
        <v>99</v>
      </c>
      <c r="P2671" t="s">
        <v>99</v>
      </c>
      <c r="Q2671" t="s">
        <v>159</v>
      </c>
      <c r="R2671" t="s">
        <v>228</v>
      </c>
      <c r="S2671" t="s">
        <v>197</v>
      </c>
      <c r="T2671" t="s">
        <v>198</v>
      </c>
      <c r="U2671" t="s">
        <v>163</v>
      </c>
      <c r="V2671" t="s">
        <v>186</v>
      </c>
      <c r="W2671" t="s">
        <v>116</v>
      </c>
      <c r="X2671" t="s">
        <v>44</v>
      </c>
      <c r="Y2671" t="s">
        <v>99</v>
      </c>
      <c r="Z2671" t="s">
        <v>421</v>
      </c>
      <c r="AC2671" t="str">
        <f>IF(AA2671="",M2671,AA2671)</f>
        <v>sim</v>
      </c>
      <c r="AD2671" t="str">
        <f>IF(AB2671="",X2671,AB2671)</f>
        <v>sim</v>
      </c>
      <c r="AE2671" t="str">
        <f>IF(OR(Configuracao!B9="",Configuracao!B10=""),"aguardando limiar",IF(AND(K2671&gt;=Configuracao!B9,K2671/MAX(Reconciliacao!C2,1)&gt;=Configuracao!B10/100),"sim","não"))</f>
        <v>aguardando limiar</v>
      </c>
    </row>
    <row r="2672" spans="1:31" x14ac:dyDescent="0.25">
      <c r="A2672">
        <v>18084</v>
      </c>
      <c r="C2672" t="s">
        <v>1556</v>
      </c>
      <c r="D2672" t="s">
        <v>653</v>
      </c>
      <c r="E2672" t="s">
        <v>451</v>
      </c>
      <c r="F2672" t="s">
        <v>227</v>
      </c>
      <c r="G2672" t="s">
        <v>226</v>
      </c>
      <c r="H2672" t="s">
        <v>225</v>
      </c>
      <c r="I2672" t="s">
        <v>442</v>
      </c>
      <c r="J2672" t="s">
        <v>442</v>
      </c>
      <c r="K2672" s="4">
        <v>8.44</v>
      </c>
      <c r="L2672" s="4">
        <v>8.44</v>
      </c>
      <c r="M2672" t="s">
        <v>44</v>
      </c>
      <c r="N2672" t="s">
        <v>77</v>
      </c>
      <c r="O2672" t="s">
        <v>99</v>
      </c>
      <c r="P2672" t="s">
        <v>99</v>
      </c>
      <c r="Q2672" t="s">
        <v>159</v>
      </c>
      <c r="R2672" t="s">
        <v>228</v>
      </c>
      <c r="S2672" t="s">
        <v>197</v>
      </c>
      <c r="T2672" t="s">
        <v>198</v>
      </c>
      <c r="U2672" t="s">
        <v>163</v>
      </c>
      <c r="V2672" t="s">
        <v>186</v>
      </c>
      <c r="W2672" t="s">
        <v>116</v>
      </c>
      <c r="X2672" t="s">
        <v>44</v>
      </c>
      <c r="Y2672" t="s">
        <v>99</v>
      </c>
      <c r="Z2672" t="s">
        <v>421</v>
      </c>
      <c r="AC2672" t="str">
        <f>IF(AA2672="",M2672,AA2672)</f>
        <v>sim</v>
      </c>
      <c r="AD2672" t="str">
        <f>IF(AB2672="",X2672,AB2672)</f>
        <v>sim</v>
      </c>
      <c r="AE2672" t="str">
        <f>IF(OR(Configuracao!B9="",Configuracao!B10=""),"aguardando limiar",IF(AND(K2672&gt;=Configuracao!B9,K2672/MAX(Reconciliacao!C2,1)&gt;=Configuracao!B10/100),"sim","não"))</f>
        <v>aguardando limiar</v>
      </c>
    </row>
    <row r="2673" spans="1:31" x14ac:dyDescent="0.25">
      <c r="A2673">
        <v>15081</v>
      </c>
      <c r="C2673" t="s">
        <v>1557</v>
      </c>
      <c r="D2673" t="s">
        <v>830</v>
      </c>
      <c r="E2673" t="s">
        <v>451</v>
      </c>
      <c r="F2673" t="s">
        <v>227</v>
      </c>
      <c r="G2673" t="s">
        <v>226</v>
      </c>
      <c r="H2673" t="s">
        <v>225</v>
      </c>
      <c r="I2673" t="s">
        <v>454</v>
      </c>
      <c r="J2673" t="s">
        <v>454</v>
      </c>
      <c r="K2673" s="4">
        <v>9</v>
      </c>
      <c r="L2673" s="4">
        <v>9</v>
      </c>
      <c r="M2673" t="s">
        <v>44</v>
      </c>
      <c r="N2673" t="s">
        <v>77</v>
      </c>
      <c r="O2673" t="s">
        <v>99</v>
      </c>
      <c r="P2673" t="s">
        <v>99</v>
      </c>
      <c r="Q2673" t="s">
        <v>159</v>
      </c>
      <c r="R2673" t="s">
        <v>228</v>
      </c>
      <c r="S2673" t="s">
        <v>197</v>
      </c>
      <c r="T2673" t="s">
        <v>198</v>
      </c>
      <c r="U2673" t="s">
        <v>163</v>
      </c>
      <c r="V2673" t="s">
        <v>186</v>
      </c>
      <c r="W2673" t="s">
        <v>116</v>
      </c>
      <c r="X2673" t="s">
        <v>44</v>
      </c>
      <c r="Y2673" t="s">
        <v>99</v>
      </c>
      <c r="Z2673" t="s">
        <v>421</v>
      </c>
      <c r="AC2673" t="str">
        <f>IF(AA2673="",M2673,AA2673)</f>
        <v>sim</v>
      </c>
      <c r="AD2673" t="str">
        <f>IF(AB2673="",X2673,AB2673)</f>
        <v>sim</v>
      </c>
      <c r="AE2673" t="str">
        <f>IF(OR(Configuracao!B9="",Configuracao!B10=""),"aguardando limiar",IF(AND(K2673&gt;=Configuracao!B9,K2673/MAX(Reconciliacao!C2,1)&gt;=Configuracao!B10/100),"sim","não"))</f>
        <v>aguardando limiar</v>
      </c>
    </row>
    <row r="2674" spans="1:31" x14ac:dyDescent="0.25">
      <c r="A2674">
        <v>17684</v>
      </c>
      <c r="C2674" t="s">
        <v>1556</v>
      </c>
      <c r="D2674" t="s">
        <v>669</v>
      </c>
      <c r="E2674" t="s">
        <v>451</v>
      </c>
      <c r="F2674" t="s">
        <v>227</v>
      </c>
      <c r="G2674" t="s">
        <v>226</v>
      </c>
      <c r="H2674" t="s">
        <v>225</v>
      </c>
      <c r="I2674" t="s">
        <v>442</v>
      </c>
      <c r="J2674" t="s">
        <v>439</v>
      </c>
      <c r="K2674" s="4">
        <v>11.4</v>
      </c>
      <c r="L2674" s="4">
        <v>11.4</v>
      </c>
      <c r="M2674" t="s">
        <v>44</v>
      </c>
      <c r="N2674" t="s">
        <v>77</v>
      </c>
      <c r="O2674" t="s">
        <v>99</v>
      </c>
      <c r="P2674" t="s">
        <v>99</v>
      </c>
      <c r="Q2674" t="s">
        <v>159</v>
      </c>
      <c r="R2674" t="s">
        <v>228</v>
      </c>
      <c r="S2674" t="s">
        <v>197</v>
      </c>
      <c r="T2674" t="s">
        <v>198</v>
      </c>
      <c r="U2674" t="s">
        <v>163</v>
      </c>
      <c r="V2674" t="s">
        <v>186</v>
      </c>
      <c r="W2674" t="s">
        <v>116</v>
      </c>
      <c r="X2674" t="s">
        <v>44</v>
      </c>
      <c r="Y2674" t="s">
        <v>99</v>
      </c>
      <c r="Z2674" t="s">
        <v>421</v>
      </c>
      <c r="AC2674" t="str">
        <f>IF(AA2674="",M2674,AA2674)</f>
        <v>sim</v>
      </c>
      <c r="AD2674" t="str">
        <f>IF(AB2674="",X2674,AB2674)</f>
        <v>sim</v>
      </c>
      <c r="AE2674" t="str">
        <f>IF(OR(Configuracao!B9="",Configuracao!B10=""),"aguardando limiar",IF(AND(K2674&gt;=Configuracao!B9,K2674/MAX(Reconciliacao!C2,1)&gt;=Configuracao!B10/100),"sim","não"))</f>
        <v>aguardando limiar</v>
      </c>
    </row>
    <row r="2675" spans="1:31" x14ac:dyDescent="0.25">
      <c r="A2675">
        <v>17372</v>
      </c>
      <c r="C2675" t="s">
        <v>1558</v>
      </c>
      <c r="D2675" t="s">
        <v>1488</v>
      </c>
      <c r="E2675" t="s">
        <v>451</v>
      </c>
      <c r="F2675" t="s">
        <v>227</v>
      </c>
      <c r="G2675" t="s">
        <v>226</v>
      </c>
      <c r="H2675" t="s">
        <v>225</v>
      </c>
      <c r="I2675" t="s">
        <v>442</v>
      </c>
      <c r="J2675" t="s">
        <v>442</v>
      </c>
      <c r="K2675" s="4">
        <v>12.98</v>
      </c>
      <c r="L2675" s="4">
        <v>12.98</v>
      </c>
      <c r="M2675" t="s">
        <v>44</v>
      </c>
      <c r="N2675" t="s">
        <v>77</v>
      </c>
      <c r="O2675" t="s">
        <v>99</v>
      </c>
      <c r="P2675" t="s">
        <v>99</v>
      </c>
      <c r="Q2675" t="s">
        <v>159</v>
      </c>
      <c r="R2675" t="s">
        <v>228</v>
      </c>
      <c r="S2675" t="s">
        <v>197</v>
      </c>
      <c r="T2675" t="s">
        <v>198</v>
      </c>
      <c r="U2675" t="s">
        <v>163</v>
      </c>
      <c r="V2675" t="s">
        <v>186</v>
      </c>
      <c r="W2675" t="s">
        <v>116</v>
      </c>
      <c r="X2675" t="s">
        <v>44</v>
      </c>
      <c r="Y2675" t="s">
        <v>99</v>
      </c>
      <c r="Z2675" t="s">
        <v>421</v>
      </c>
      <c r="AC2675" t="str">
        <f>IF(AA2675="",M2675,AA2675)</f>
        <v>sim</v>
      </c>
      <c r="AD2675" t="str">
        <f>IF(AB2675="",X2675,AB2675)</f>
        <v>sim</v>
      </c>
      <c r="AE2675" t="str">
        <f>IF(OR(Configuracao!B9="",Configuracao!B10=""),"aguardando limiar",IF(AND(K2675&gt;=Configuracao!B9,K2675/MAX(Reconciliacao!C2,1)&gt;=Configuracao!B10/100),"sim","não"))</f>
        <v>aguardando limiar</v>
      </c>
    </row>
    <row r="2676" spans="1:31" x14ac:dyDescent="0.25">
      <c r="A2676">
        <v>13841</v>
      </c>
      <c r="C2676" t="s">
        <v>1559</v>
      </c>
      <c r="D2676" t="s">
        <v>657</v>
      </c>
      <c r="E2676" t="s">
        <v>451</v>
      </c>
      <c r="F2676" t="s">
        <v>227</v>
      </c>
      <c r="G2676" t="s">
        <v>226</v>
      </c>
      <c r="H2676" t="s">
        <v>225</v>
      </c>
      <c r="I2676" t="s">
        <v>454</v>
      </c>
      <c r="J2676" t="s">
        <v>454</v>
      </c>
      <c r="K2676" s="4">
        <v>14.44</v>
      </c>
      <c r="L2676" s="4">
        <v>14.44</v>
      </c>
      <c r="M2676" t="s">
        <v>44</v>
      </c>
      <c r="N2676" t="s">
        <v>77</v>
      </c>
      <c r="O2676" t="s">
        <v>99</v>
      </c>
      <c r="P2676" t="s">
        <v>99</v>
      </c>
      <c r="Q2676" t="s">
        <v>159</v>
      </c>
      <c r="R2676" t="s">
        <v>228</v>
      </c>
      <c r="S2676" t="s">
        <v>197</v>
      </c>
      <c r="T2676" t="s">
        <v>198</v>
      </c>
      <c r="U2676" t="s">
        <v>163</v>
      </c>
      <c r="V2676" t="s">
        <v>186</v>
      </c>
      <c r="W2676" t="s">
        <v>116</v>
      </c>
      <c r="X2676" t="s">
        <v>44</v>
      </c>
      <c r="Y2676" t="s">
        <v>99</v>
      </c>
      <c r="Z2676" t="s">
        <v>421</v>
      </c>
      <c r="AC2676" t="str">
        <f>IF(AA2676="",M2676,AA2676)</f>
        <v>sim</v>
      </c>
      <c r="AD2676" t="str">
        <f>IF(AB2676="",X2676,AB2676)</f>
        <v>sim</v>
      </c>
      <c r="AE2676" t="str">
        <f>IF(OR(Configuracao!B9="",Configuracao!B10=""),"aguardando limiar",IF(AND(K2676&gt;=Configuracao!B9,K2676/MAX(Reconciliacao!C2,1)&gt;=Configuracao!B10/100),"sim","não"))</f>
        <v>aguardando limiar</v>
      </c>
    </row>
    <row r="2677" spans="1:31" x14ac:dyDescent="0.25">
      <c r="A2677">
        <v>17535</v>
      </c>
      <c r="C2677" t="s">
        <v>1560</v>
      </c>
      <c r="D2677" t="s">
        <v>1488</v>
      </c>
      <c r="E2677" t="s">
        <v>451</v>
      </c>
      <c r="F2677" t="s">
        <v>227</v>
      </c>
      <c r="G2677" t="s">
        <v>226</v>
      </c>
      <c r="H2677" t="s">
        <v>225</v>
      </c>
      <c r="I2677" t="s">
        <v>442</v>
      </c>
      <c r="J2677" t="s">
        <v>442</v>
      </c>
      <c r="K2677" s="4">
        <v>18.2</v>
      </c>
      <c r="L2677" s="4">
        <v>18.2</v>
      </c>
      <c r="M2677" t="s">
        <v>44</v>
      </c>
      <c r="N2677" t="s">
        <v>77</v>
      </c>
      <c r="O2677" t="s">
        <v>99</v>
      </c>
      <c r="P2677" t="s">
        <v>99</v>
      </c>
      <c r="Q2677" t="s">
        <v>159</v>
      </c>
      <c r="R2677" t="s">
        <v>228</v>
      </c>
      <c r="S2677" t="s">
        <v>197</v>
      </c>
      <c r="T2677" t="s">
        <v>198</v>
      </c>
      <c r="U2677" t="s">
        <v>163</v>
      </c>
      <c r="V2677" t="s">
        <v>186</v>
      </c>
      <c r="W2677" t="s">
        <v>116</v>
      </c>
      <c r="X2677" t="s">
        <v>44</v>
      </c>
      <c r="Y2677" t="s">
        <v>99</v>
      </c>
      <c r="Z2677" t="s">
        <v>421</v>
      </c>
      <c r="AC2677" t="str">
        <f>IF(AA2677="",M2677,AA2677)</f>
        <v>sim</v>
      </c>
      <c r="AD2677" t="str">
        <f>IF(AB2677="",X2677,AB2677)</f>
        <v>sim</v>
      </c>
      <c r="AE2677" t="str">
        <f>IF(OR(Configuracao!B9="",Configuracao!B10=""),"aguardando limiar",IF(AND(K2677&gt;=Configuracao!B9,K2677/MAX(Reconciliacao!C2,1)&gt;=Configuracao!B10/100),"sim","não"))</f>
        <v>aguardando limiar</v>
      </c>
    </row>
    <row r="2678" spans="1:31" x14ac:dyDescent="0.25">
      <c r="A2678">
        <v>18085</v>
      </c>
      <c r="C2678" t="s">
        <v>1561</v>
      </c>
      <c r="D2678" t="s">
        <v>450</v>
      </c>
      <c r="E2678" t="s">
        <v>451</v>
      </c>
      <c r="F2678" t="s">
        <v>227</v>
      </c>
      <c r="G2678" t="s">
        <v>226</v>
      </c>
      <c r="H2678" t="s">
        <v>225</v>
      </c>
      <c r="I2678" t="s">
        <v>461</v>
      </c>
      <c r="J2678" t="s">
        <v>461</v>
      </c>
      <c r="K2678" s="4">
        <v>19.99</v>
      </c>
      <c r="L2678" s="4">
        <v>19.99</v>
      </c>
      <c r="M2678" t="s">
        <v>44</v>
      </c>
      <c r="N2678" t="s">
        <v>77</v>
      </c>
      <c r="O2678" t="s">
        <v>99</v>
      </c>
      <c r="P2678" t="s">
        <v>99</v>
      </c>
      <c r="Q2678" t="s">
        <v>159</v>
      </c>
      <c r="R2678" t="s">
        <v>228</v>
      </c>
      <c r="S2678" t="s">
        <v>197</v>
      </c>
      <c r="T2678" t="s">
        <v>198</v>
      </c>
      <c r="U2678" t="s">
        <v>163</v>
      </c>
      <c r="V2678" t="s">
        <v>186</v>
      </c>
      <c r="W2678" t="s">
        <v>116</v>
      </c>
      <c r="X2678" t="s">
        <v>44</v>
      </c>
      <c r="Y2678" t="s">
        <v>99</v>
      </c>
      <c r="Z2678" t="s">
        <v>421</v>
      </c>
      <c r="AC2678" t="str">
        <f>IF(AA2678="",M2678,AA2678)</f>
        <v>sim</v>
      </c>
      <c r="AD2678" t="str">
        <f>IF(AB2678="",X2678,AB2678)</f>
        <v>sim</v>
      </c>
      <c r="AE2678" t="str">
        <f>IF(OR(Configuracao!B9="",Configuracao!B10=""),"aguardando limiar",IF(AND(K2678&gt;=Configuracao!B9,K2678/MAX(Reconciliacao!C2,1)&gt;=Configuracao!B10/100),"sim","não"))</f>
        <v>aguardando limiar</v>
      </c>
    </row>
    <row r="2679" spans="1:31" x14ac:dyDescent="0.25">
      <c r="A2679">
        <v>19114</v>
      </c>
      <c r="C2679" t="s">
        <v>1562</v>
      </c>
      <c r="D2679" t="s">
        <v>830</v>
      </c>
      <c r="E2679" t="s">
        <v>451</v>
      </c>
      <c r="F2679" t="s">
        <v>227</v>
      </c>
      <c r="G2679" t="s">
        <v>226</v>
      </c>
      <c r="H2679" t="s">
        <v>225</v>
      </c>
      <c r="I2679" t="s">
        <v>35</v>
      </c>
      <c r="J2679" t="s">
        <v>35</v>
      </c>
      <c r="K2679" s="4">
        <v>22</v>
      </c>
      <c r="L2679" s="4">
        <v>22</v>
      </c>
      <c r="M2679" t="s">
        <v>44</v>
      </c>
      <c r="N2679" t="s">
        <v>77</v>
      </c>
      <c r="O2679" t="s">
        <v>99</v>
      </c>
      <c r="P2679" t="s">
        <v>99</v>
      </c>
      <c r="Q2679" t="s">
        <v>159</v>
      </c>
      <c r="R2679" t="s">
        <v>228</v>
      </c>
      <c r="S2679" t="s">
        <v>197</v>
      </c>
      <c r="T2679" t="s">
        <v>198</v>
      </c>
      <c r="U2679" t="s">
        <v>163</v>
      </c>
      <c r="V2679" t="s">
        <v>186</v>
      </c>
      <c r="W2679" t="s">
        <v>116</v>
      </c>
      <c r="X2679" t="s">
        <v>44</v>
      </c>
      <c r="Y2679" t="s">
        <v>99</v>
      </c>
      <c r="Z2679" t="s">
        <v>421</v>
      </c>
      <c r="AC2679" t="str">
        <f>IF(AA2679="",M2679,AA2679)</f>
        <v>sim</v>
      </c>
      <c r="AD2679" t="str">
        <f>IF(AB2679="",X2679,AB2679)</f>
        <v>sim</v>
      </c>
      <c r="AE2679" t="str">
        <f>IF(OR(Configuracao!B9="",Configuracao!B10=""),"aguardando limiar",IF(AND(K2679&gt;=Configuracao!B9,K2679/MAX(Reconciliacao!C2,1)&gt;=Configuracao!B10/100),"sim","não"))</f>
        <v>aguardando limiar</v>
      </c>
    </row>
    <row r="2680" spans="1:31" x14ac:dyDescent="0.25">
      <c r="A2680">
        <v>13367</v>
      </c>
      <c r="C2680" t="s">
        <v>1563</v>
      </c>
      <c r="D2680" t="s">
        <v>830</v>
      </c>
      <c r="E2680" t="s">
        <v>451</v>
      </c>
      <c r="F2680" t="s">
        <v>227</v>
      </c>
      <c r="G2680" t="s">
        <v>226</v>
      </c>
      <c r="H2680" t="s">
        <v>225</v>
      </c>
      <c r="I2680" t="s">
        <v>420</v>
      </c>
      <c r="J2680" t="s">
        <v>420</v>
      </c>
      <c r="K2680" s="4">
        <v>25</v>
      </c>
      <c r="L2680" s="4">
        <v>25</v>
      </c>
      <c r="M2680" t="s">
        <v>44</v>
      </c>
      <c r="N2680" t="s">
        <v>77</v>
      </c>
      <c r="O2680" t="s">
        <v>99</v>
      </c>
      <c r="P2680" t="s">
        <v>99</v>
      </c>
      <c r="Q2680" t="s">
        <v>159</v>
      </c>
      <c r="R2680" t="s">
        <v>228</v>
      </c>
      <c r="S2680" t="s">
        <v>197</v>
      </c>
      <c r="T2680" t="s">
        <v>198</v>
      </c>
      <c r="U2680" t="s">
        <v>163</v>
      </c>
      <c r="V2680" t="s">
        <v>186</v>
      </c>
      <c r="W2680" t="s">
        <v>116</v>
      </c>
      <c r="X2680" t="s">
        <v>44</v>
      </c>
      <c r="Y2680" t="s">
        <v>99</v>
      </c>
      <c r="Z2680" t="s">
        <v>421</v>
      </c>
      <c r="AC2680" t="str">
        <f>IF(AA2680="",M2680,AA2680)</f>
        <v>sim</v>
      </c>
      <c r="AD2680" t="str">
        <f>IF(AB2680="",X2680,AB2680)</f>
        <v>sim</v>
      </c>
      <c r="AE2680" t="str">
        <f>IF(OR(Configuracao!B9="",Configuracao!B10=""),"aguardando limiar",IF(AND(K2680&gt;=Configuracao!B9,K2680/MAX(Reconciliacao!C2,1)&gt;=Configuracao!B10/100),"sim","não"))</f>
        <v>aguardando limiar</v>
      </c>
    </row>
    <row r="2681" spans="1:31" x14ac:dyDescent="0.25">
      <c r="A2681">
        <v>18971</v>
      </c>
      <c r="C2681" t="s">
        <v>1564</v>
      </c>
      <c r="D2681" t="s">
        <v>830</v>
      </c>
      <c r="E2681" t="s">
        <v>451</v>
      </c>
      <c r="F2681" t="s">
        <v>227</v>
      </c>
      <c r="G2681" t="s">
        <v>226</v>
      </c>
      <c r="H2681" t="s">
        <v>225</v>
      </c>
      <c r="I2681" t="s">
        <v>35</v>
      </c>
      <c r="J2681" t="s">
        <v>35</v>
      </c>
      <c r="K2681" s="4">
        <v>27</v>
      </c>
      <c r="L2681" s="4">
        <v>27</v>
      </c>
      <c r="M2681" t="s">
        <v>44</v>
      </c>
      <c r="N2681" t="s">
        <v>77</v>
      </c>
      <c r="O2681" t="s">
        <v>99</v>
      </c>
      <c r="P2681" t="s">
        <v>99</v>
      </c>
      <c r="Q2681" t="s">
        <v>159</v>
      </c>
      <c r="R2681" t="s">
        <v>228</v>
      </c>
      <c r="S2681" t="s">
        <v>197</v>
      </c>
      <c r="T2681" t="s">
        <v>198</v>
      </c>
      <c r="U2681" t="s">
        <v>163</v>
      </c>
      <c r="V2681" t="s">
        <v>186</v>
      </c>
      <c r="W2681" t="s">
        <v>116</v>
      </c>
      <c r="X2681" t="s">
        <v>44</v>
      </c>
      <c r="Y2681" t="s">
        <v>99</v>
      </c>
      <c r="Z2681" t="s">
        <v>421</v>
      </c>
      <c r="AC2681" t="str">
        <f>IF(AA2681="",M2681,AA2681)</f>
        <v>sim</v>
      </c>
      <c r="AD2681" t="str">
        <f>IF(AB2681="",X2681,AB2681)</f>
        <v>sim</v>
      </c>
      <c r="AE2681" t="str">
        <f>IF(OR(Configuracao!B9="",Configuracao!B10=""),"aguardando limiar",IF(AND(K2681&gt;=Configuracao!B9,K2681/MAX(Reconciliacao!C2,1)&gt;=Configuracao!B10/100),"sim","não"))</f>
        <v>aguardando limiar</v>
      </c>
    </row>
    <row r="2682" spans="1:31" x14ac:dyDescent="0.25">
      <c r="A2682">
        <v>12138</v>
      </c>
      <c r="C2682" t="s">
        <v>1565</v>
      </c>
      <c r="D2682" t="s">
        <v>830</v>
      </c>
      <c r="E2682" t="s">
        <v>451</v>
      </c>
      <c r="F2682" t="s">
        <v>227</v>
      </c>
      <c r="G2682" t="s">
        <v>226</v>
      </c>
      <c r="H2682" t="s">
        <v>225</v>
      </c>
      <c r="I2682" t="s">
        <v>424</v>
      </c>
      <c r="J2682" t="s">
        <v>424</v>
      </c>
      <c r="K2682" s="4">
        <v>36</v>
      </c>
      <c r="L2682" s="4">
        <v>36</v>
      </c>
      <c r="M2682" t="s">
        <v>44</v>
      </c>
      <c r="N2682" t="s">
        <v>77</v>
      </c>
      <c r="O2682" t="s">
        <v>99</v>
      </c>
      <c r="P2682" t="s">
        <v>99</v>
      </c>
      <c r="Q2682" t="s">
        <v>159</v>
      </c>
      <c r="R2682" t="s">
        <v>228</v>
      </c>
      <c r="S2682" t="s">
        <v>197</v>
      </c>
      <c r="T2682" t="s">
        <v>198</v>
      </c>
      <c r="U2682" t="s">
        <v>163</v>
      </c>
      <c r="V2682" t="s">
        <v>186</v>
      </c>
      <c r="W2682" t="s">
        <v>116</v>
      </c>
      <c r="X2682" t="s">
        <v>44</v>
      </c>
      <c r="Y2682" t="s">
        <v>99</v>
      </c>
      <c r="Z2682" t="s">
        <v>421</v>
      </c>
      <c r="AC2682" t="str">
        <f>IF(AA2682="",M2682,AA2682)</f>
        <v>sim</v>
      </c>
      <c r="AD2682" t="str">
        <f>IF(AB2682="",X2682,AB2682)</f>
        <v>sim</v>
      </c>
      <c r="AE2682" t="str">
        <f>IF(OR(Configuracao!B9="",Configuracao!B10=""),"aguardando limiar",IF(AND(K2682&gt;=Configuracao!B9,K2682/MAX(Reconciliacao!C2,1)&gt;=Configuracao!B10/100),"sim","não"))</f>
        <v>aguardando limiar</v>
      </c>
    </row>
    <row r="2683" spans="1:31" x14ac:dyDescent="0.25">
      <c r="A2683">
        <v>17033</v>
      </c>
      <c r="C2683" t="s">
        <v>1566</v>
      </c>
      <c r="D2683" t="s">
        <v>450</v>
      </c>
      <c r="E2683" t="s">
        <v>451</v>
      </c>
      <c r="F2683" t="s">
        <v>227</v>
      </c>
      <c r="G2683" t="s">
        <v>226</v>
      </c>
      <c r="H2683" t="s">
        <v>225</v>
      </c>
      <c r="I2683" t="s">
        <v>442</v>
      </c>
      <c r="J2683" t="s">
        <v>442</v>
      </c>
      <c r="K2683" s="4">
        <v>36.68</v>
      </c>
      <c r="L2683" s="4">
        <v>36.68</v>
      </c>
      <c r="M2683" t="s">
        <v>44</v>
      </c>
      <c r="N2683" t="s">
        <v>77</v>
      </c>
      <c r="O2683" t="s">
        <v>99</v>
      </c>
      <c r="P2683" t="s">
        <v>99</v>
      </c>
      <c r="Q2683" t="s">
        <v>159</v>
      </c>
      <c r="R2683" t="s">
        <v>228</v>
      </c>
      <c r="S2683" t="s">
        <v>197</v>
      </c>
      <c r="T2683" t="s">
        <v>198</v>
      </c>
      <c r="U2683" t="s">
        <v>163</v>
      </c>
      <c r="V2683" t="s">
        <v>186</v>
      </c>
      <c r="W2683" t="s">
        <v>116</v>
      </c>
      <c r="X2683" t="s">
        <v>44</v>
      </c>
      <c r="Y2683" t="s">
        <v>99</v>
      </c>
      <c r="Z2683" t="s">
        <v>421</v>
      </c>
      <c r="AC2683" t="str">
        <f>IF(AA2683="",M2683,AA2683)</f>
        <v>sim</v>
      </c>
      <c r="AD2683" t="str">
        <f>IF(AB2683="",X2683,AB2683)</f>
        <v>sim</v>
      </c>
      <c r="AE2683" t="str">
        <f>IF(OR(Configuracao!B9="",Configuracao!B10=""),"aguardando limiar",IF(AND(K2683&gt;=Configuracao!B9,K2683/MAX(Reconciliacao!C2,1)&gt;=Configuracao!B10/100),"sim","não"))</f>
        <v>aguardando limiar</v>
      </c>
    </row>
    <row r="2684" spans="1:31" x14ac:dyDescent="0.25">
      <c r="A2684">
        <v>17353</v>
      </c>
      <c r="C2684" t="s">
        <v>1567</v>
      </c>
      <c r="D2684" t="s">
        <v>1568</v>
      </c>
      <c r="E2684" t="s">
        <v>451</v>
      </c>
      <c r="F2684" t="s">
        <v>227</v>
      </c>
      <c r="G2684" t="s">
        <v>226</v>
      </c>
      <c r="H2684" t="s">
        <v>225</v>
      </c>
      <c r="I2684" t="s">
        <v>442</v>
      </c>
      <c r="J2684" t="s">
        <v>442</v>
      </c>
      <c r="K2684" s="4">
        <v>56</v>
      </c>
      <c r="L2684" s="4">
        <v>56</v>
      </c>
      <c r="M2684" t="s">
        <v>44</v>
      </c>
      <c r="N2684" t="s">
        <v>77</v>
      </c>
      <c r="O2684" t="s">
        <v>99</v>
      </c>
      <c r="P2684" t="s">
        <v>99</v>
      </c>
      <c r="Q2684" t="s">
        <v>159</v>
      </c>
      <c r="R2684" t="s">
        <v>228</v>
      </c>
      <c r="S2684" t="s">
        <v>197</v>
      </c>
      <c r="T2684" t="s">
        <v>198</v>
      </c>
      <c r="U2684" t="s">
        <v>163</v>
      </c>
      <c r="V2684" t="s">
        <v>186</v>
      </c>
      <c r="W2684" t="s">
        <v>116</v>
      </c>
      <c r="X2684" t="s">
        <v>44</v>
      </c>
      <c r="Y2684" t="s">
        <v>99</v>
      </c>
      <c r="Z2684" t="s">
        <v>421</v>
      </c>
      <c r="AC2684" t="str">
        <f>IF(AA2684="",M2684,AA2684)</f>
        <v>sim</v>
      </c>
      <c r="AD2684" t="str">
        <f>IF(AB2684="",X2684,AB2684)</f>
        <v>sim</v>
      </c>
      <c r="AE2684" t="str">
        <f>IF(OR(Configuracao!B9="",Configuracao!B10=""),"aguardando limiar",IF(AND(K2684&gt;=Configuracao!B9,K2684/MAX(Reconciliacao!C2,1)&gt;=Configuracao!B10/100),"sim","não"))</f>
        <v>aguardando limiar</v>
      </c>
    </row>
    <row r="2685" spans="1:31" x14ac:dyDescent="0.25">
      <c r="A2685">
        <v>12907</v>
      </c>
      <c r="C2685" t="s">
        <v>1569</v>
      </c>
      <c r="D2685" t="s">
        <v>830</v>
      </c>
      <c r="E2685" t="s">
        <v>451</v>
      </c>
      <c r="F2685" t="s">
        <v>227</v>
      </c>
      <c r="G2685" t="s">
        <v>226</v>
      </c>
      <c r="H2685" t="s">
        <v>225</v>
      </c>
      <c r="I2685" t="s">
        <v>420</v>
      </c>
      <c r="J2685" t="s">
        <v>420</v>
      </c>
      <c r="K2685" s="4">
        <v>59</v>
      </c>
      <c r="L2685" s="4">
        <v>59</v>
      </c>
      <c r="M2685" t="s">
        <v>44</v>
      </c>
      <c r="N2685" t="s">
        <v>77</v>
      </c>
      <c r="O2685" t="s">
        <v>99</v>
      </c>
      <c r="P2685" t="s">
        <v>99</v>
      </c>
      <c r="Q2685" t="s">
        <v>159</v>
      </c>
      <c r="R2685" t="s">
        <v>228</v>
      </c>
      <c r="S2685" t="s">
        <v>197</v>
      </c>
      <c r="T2685" t="s">
        <v>198</v>
      </c>
      <c r="U2685" t="s">
        <v>163</v>
      </c>
      <c r="V2685" t="s">
        <v>186</v>
      </c>
      <c r="W2685" t="s">
        <v>116</v>
      </c>
      <c r="X2685" t="s">
        <v>44</v>
      </c>
      <c r="Y2685" t="s">
        <v>99</v>
      </c>
      <c r="Z2685" t="s">
        <v>421</v>
      </c>
      <c r="AC2685" t="str">
        <f>IF(AA2685="",M2685,AA2685)</f>
        <v>sim</v>
      </c>
      <c r="AD2685" t="str">
        <f>IF(AB2685="",X2685,AB2685)</f>
        <v>sim</v>
      </c>
      <c r="AE2685" t="str">
        <f>IF(OR(Configuracao!B9="",Configuracao!B10=""),"aguardando limiar",IF(AND(K2685&gt;=Configuracao!B9,K2685/MAX(Reconciliacao!C2,1)&gt;=Configuracao!B10/100),"sim","não"))</f>
        <v>aguardando limiar</v>
      </c>
    </row>
    <row r="2686" spans="1:31" x14ac:dyDescent="0.25">
      <c r="A2686">
        <v>15843</v>
      </c>
      <c r="C2686" t="s">
        <v>1570</v>
      </c>
      <c r="D2686" t="s">
        <v>659</v>
      </c>
      <c r="E2686" t="s">
        <v>451</v>
      </c>
      <c r="F2686" t="s">
        <v>227</v>
      </c>
      <c r="G2686" t="s">
        <v>226</v>
      </c>
      <c r="H2686" t="s">
        <v>225</v>
      </c>
      <c r="I2686" t="s">
        <v>454</v>
      </c>
      <c r="J2686" t="s">
        <v>454</v>
      </c>
      <c r="K2686" s="4">
        <v>69.61</v>
      </c>
      <c r="L2686" s="4">
        <v>69.61</v>
      </c>
      <c r="M2686" t="s">
        <v>44</v>
      </c>
      <c r="N2686" t="s">
        <v>77</v>
      </c>
      <c r="O2686" t="s">
        <v>99</v>
      </c>
      <c r="P2686" t="s">
        <v>99</v>
      </c>
      <c r="Q2686" t="s">
        <v>159</v>
      </c>
      <c r="R2686" t="s">
        <v>228</v>
      </c>
      <c r="S2686" t="s">
        <v>197</v>
      </c>
      <c r="T2686" t="s">
        <v>198</v>
      </c>
      <c r="U2686" t="s">
        <v>163</v>
      </c>
      <c r="V2686" t="s">
        <v>186</v>
      </c>
      <c r="W2686" t="s">
        <v>116</v>
      </c>
      <c r="X2686" t="s">
        <v>44</v>
      </c>
      <c r="Y2686" t="s">
        <v>99</v>
      </c>
      <c r="Z2686" t="s">
        <v>421</v>
      </c>
      <c r="AC2686" t="str">
        <f>IF(AA2686="",M2686,AA2686)</f>
        <v>sim</v>
      </c>
      <c r="AD2686" t="str">
        <f>IF(AB2686="",X2686,AB2686)</f>
        <v>sim</v>
      </c>
      <c r="AE2686" t="str">
        <f>IF(OR(Configuracao!B9="",Configuracao!B10=""),"aguardando limiar",IF(AND(K2686&gt;=Configuracao!B9,K2686/MAX(Reconciliacao!C2,1)&gt;=Configuracao!B10/100),"sim","não"))</f>
        <v>aguardando limiar</v>
      </c>
    </row>
    <row r="2687" spans="1:31" x14ac:dyDescent="0.25">
      <c r="A2687">
        <v>16880</v>
      </c>
      <c r="C2687" t="s">
        <v>1571</v>
      </c>
      <c r="D2687" t="s">
        <v>657</v>
      </c>
      <c r="E2687" t="s">
        <v>451</v>
      </c>
      <c r="F2687" t="s">
        <v>227</v>
      </c>
      <c r="G2687" t="s">
        <v>226</v>
      </c>
      <c r="H2687" t="s">
        <v>225</v>
      </c>
      <c r="I2687" t="s">
        <v>442</v>
      </c>
      <c r="J2687" t="s">
        <v>442</v>
      </c>
      <c r="K2687" s="4">
        <v>81.03</v>
      </c>
      <c r="L2687" s="4">
        <v>81.03</v>
      </c>
      <c r="M2687" t="s">
        <v>44</v>
      </c>
      <c r="N2687" t="s">
        <v>77</v>
      </c>
      <c r="O2687" t="s">
        <v>99</v>
      </c>
      <c r="P2687" t="s">
        <v>99</v>
      </c>
      <c r="Q2687" t="s">
        <v>159</v>
      </c>
      <c r="R2687" t="s">
        <v>228</v>
      </c>
      <c r="S2687" t="s">
        <v>197</v>
      </c>
      <c r="T2687" t="s">
        <v>198</v>
      </c>
      <c r="U2687" t="s">
        <v>163</v>
      </c>
      <c r="V2687" t="s">
        <v>186</v>
      </c>
      <c r="W2687" t="s">
        <v>116</v>
      </c>
      <c r="X2687" t="s">
        <v>44</v>
      </c>
      <c r="Y2687" t="s">
        <v>99</v>
      </c>
      <c r="Z2687" t="s">
        <v>421</v>
      </c>
      <c r="AC2687" t="str">
        <f>IF(AA2687="",M2687,AA2687)</f>
        <v>sim</v>
      </c>
      <c r="AD2687" t="str">
        <f>IF(AB2687="",X2687,AB2687)</f>
        <v>sim</v>
      </c>
      <c r="AE2687" t="str">
        <f>IF(OR(Configuracao!B9="",Configuracao!B10=""),"aguardando limiar",IF(AND(K2687&gt;=Configuracao!B9,K2687/MAX(Reconciliacao!C2,1)&gt;=Configuracao!B10/100),"sim","não"))</f>
        <v>aguardando limiar</v>
      </c>
    </row>
    <row r="2688" spans="1:31" x14ac:dyDescent="0.25">
      <c r="A2688">
        <v>12933</v>
      </c>
      <c r="C2688" t="s">
        <v>1572</v>
      </c>
      <c r="D2688" t="s">
        <v>450</v>
      </c>
      <c r="E2688" t="s">
        <v>451</v>
      </c>
      <c r="F2688" t="s">
        <v>227</v>
      </c>
      <c r="G2688" t="s">
        <v>226</v>
      </c>
      <c r="H2688" t="s">
        <v>225</v>
      </c>
      <c r="I2688" t="s">
        <v>424</v>
      </c>
      <c r="J2688" t="s">
        <v>424</v>
      </c>
      <c r="K2688" s="4">
        <v>92.11</v>
      </c>
      <c r="L2688" s="4">
        <v>92.11</v>
      </c>
      <c r="M2688" t="s">
        <v>44</v>
      </c>
      <c r="N2688" t="s">
        <v>77</v>
      </c>
      <c r="O2688" t="s">
        <v>99</v>
      </c>
      <c r="P2688" t="s">
        <v>99</v>
      </c>
      <c r="Q2688" t="s">
        <v>159</v>
      </c>
      <c r="R2688" t="s">
        <v>228</v>
      </c>
      <c r="S2688" t="s">
        <v>197</v>
      </c>
      <c r="T2688" t="s">
        <v>198</v>
      </c>
      <c r="U2688" t="s">
        <v>163</v>
      </c>
      <c r="V2688" t="s">
        <v>186</v>
      </c>
      <c r="W2688" t="s">
        <v>116</v>
      </c>
      <c r="X2688" t="s">
        <v>44</v>
      </c>
      <c r="Y2688" t="s">
        <v>99</v>
      </c>
      <c r="Z2688" t="s">
        <v>421</v>
      </c>
      <c r="AC2688" t="str">
        <f>IF(AA2688="",M2688,AA2688)</f>
        <v>sim</v>
      </c>
      <c r="AD2688" t="str">
        <f>IF(AB2688="",X2688,AB2688)</f>
        <v>sim</v>
      </c>
      <c r="AE2688" t="str">
        <f>IF(OR(Configuracao!B9="",Configuracao!B10=""),"aguardando limiar",IF(AND(K2688&gt;=Configuracao!B9,K2688/MAX(Reconciliacao!C2,1)&gt;=Configuracao!B10/100),"sim","não"))</f>
        <v>aguardando limiar</v>
      </c>
    </row>
    <row r="2689" spans="1:31" x14ac:dyDescent="0.25">
      <c r="A2689">
        <v>17541</v>
      </c>
      <c r="C2689" t="s">
        <v>1573</v>
      </c>
      <c r="D2689" t="s">
        <v>1574</v>
      </c>
      <c r="E2689" t="s">
        <v>451</v>
      </c>
      <c r="F2689" t="s">
        <v>227</v>
      </c>
      <c r="G2689" t="s">
        <v>226</v>
      </c>
      <c r="H2689" t="s">
        <v>225</v>
      </c>
      <c r="I2689" t="s">
        <v>442</v>
      </c>
      <c r="J2689" t="s">
        <v>442</v>
      </c>
      <c r="K2689" s="4">
        <v>114</v>
      </c>
      <c r="L2689" s="4">
        <v>114</v>
      </c>
      <c r="M2689" t="s">
        <v>44</v>
      </c>
      <c r="N2689" t="s">
        <v>77</v>
      </c>
      <c r="O2689" t="s">
        <v>99</v>
      </c>
      <c r="P2689" t="s">
        <v>99</v>
      </c>
      <c r="Q2689" t="s">
        <v>159</v>
      </c>
      <c r="R2689" t="s">
        <v>228</v>
      </c>
      <c r="S2689" t="s">
        <v>197</v>
      </c>
      <c r="T2689" t="s">
        <v>198</v>
      </c>
      <c r="U2689" t="s">
        <v>163</v>
      </c>
      <c r="V2689" t="s">
        <v>186</v>
      </c>
      <c r="W2689" t="s">
        <v>116</v>
      </c>
      <c r="X2689" t="s">
        <v>44</v>
      </c>
      <c r="Y2689" t="s">
        <v>99</v>
      </c>
      <c r="Z2689" t="s">
        <v>421</v>
      </c>
      <c r="AC2689" t="str">
        <f>IF(AA2689="",M2689,AA2689)</f>
        <v>sim</v>
      </c>
      <c r="AD2689" t="str">
        <f>IF(AB2689="",X2689,AB2689)</f>
        <v>sim</v>
      </c>
      <c r="AE2689" t="str">
        <f>IF(OR(Configuracao!B9="",Configuracao!B10=""),"aguardando limiar",IF(AND(K2689&gt;=Configuracao!B9,K2689/MAX(Reconciliacao!C2,1)&gt;=Configuracao!B10/100),"sim","não"))</f>
        <v>aguardando limiar</v>
      </c>
    </row>
    <row r="2690" spans="1:31" x14ac:dyDescent="0.25">
      <c r="A2690">
        <v>13840</v>
      </c>
      <c r="C2690" t="s">
        <v>1575</v>
      </c>
      <c r="D2690" t="s">
        <v>914</v>
      </c>
      <c r="E2690" t="s">
        <v>451</v>
      </c>
      <c r="F2690" t="s">
        <v>227</v>
      </c>
      <c r="G2690" t="s">
        <v>226</v>
      </c>
      <c r="H2690" t="s">
        <v>225</v>
      </c>
      <c r="I2690" t="s">
        <v>454</v>
      </c>
      <c r="J2690" t="s">
        <v>454</v>
      </c>
      <c r="K2690" s="4">
        <v>126.94</v>
      </c>
      <c r="L2690" s="4">
        <v>126.94</v>
      </c>
      <c r="M2690" t="s">
        <v>44</v>
      </c>
      <c r="N2690" t="s">
        <v>77</v>
      </c>
      <c r="O2690" t="s">
        <v>99</v>
      </c>
      <c r="P2690" t="s">
        <v>99</v>
      </c>
      <c r="Q2690" t="s">
        <v>159</v>
      </c>
      <c r="R2690" t="s">
        <v>228</v>
      </c>
      <c r="S2690" t="s">
        <v>197</v>
      </c>
      <c r="T2690" t="s">
        <v>198</v>
      </c>
      <c r="U2690" t="s">
        <v>163</v>
      </c>
      <c r="V2690" t="s">
        <v>186</v>
      </c>
      <c r="W2690" t="s">
        <v>116</v>
      </c>
      <c r="X2690" t="s">
        <v>44</v>
      </c>
      <c r="Y2690" t="s">
        <v>99</v>
      </c>
      <c r="Z2690" t="s">
        <v>421</v>
      </c>
      <c r="AC2690" t="str">
        <f>IF(AA2690="",M2690,AA2690)</f>
        <v>sim</v>
      </c>
      <c r="AD2690" t="str">
        <f>IF(AB2690="",X2690,AB2690)</f>
        <v>sim</v>
      </c>
      <c r="AE2690" t="str">
        <f>IF(OR(Configuracao!B9="",Configuracao!B10=""),"aguardando limiar",IF(AND(K2690&gt;=Configuracao!B9,K2690/MAX(Reconciliacao!C2,1)&gt;=Configuracao!B10/100),"sim","não"))</f>
        <v>aguardando limiar</v>
      </c>
    </row>
    <row r="2691" spans="1:31" x14ac:dyDescent="0.25">
      <c r="A2691">
        <v>17031</v>
      </c>
      <c r="C2691" t="s">
        <v>1576</v>
      </c>
      <c r="D2691" t="s">
        <v>1115</v>
      </c>
      <c r="E2691" t="s">
        <v>451</v>
      </c>
      <c r="F2691" t="s">
        <v>227</v>
      </c>
      <c r="G2691" t="s">
        <v>226</v>
      </c>
      <c r="H2691" t="s">
        <v>225</v>
      </c>
      <c r="I2691" t="s">
        <v>442</v>
      </c>
      <c r="J2691" t="s">
        <v>442</v>
      </c>
      <c r="K2691" s="4">
        <v>175</v>
      </c>
      <c r="L2691" s="4">
        <v>175</v>
      </c>
      <c r="M2691" t="s">
        <v>44</v>
      </c>
      <c r="N2691" t="s">
        <v>77</v>
      </c>
      <c r="O2691" t="s">
        <v>99</v>
      </c>
      <c r="P2691" t="s">
        <v>99</v>
      </c>
      <c r="Q2691" t="s">
        <v>159</v>
      </c>
      <c r="R2691" t="s">
        <v>228</v>
      </c>
      <c r="S2691" t="s">
        <v>197</v>
      </c>
      <c r="T2691" t="s">
        <v>198</v>
      </c>
      <c r="U2691" t="s">
        <v>163</v>
      </c>
      <c r="V2691" t="s">
        <v>186</v>
      </c>
      <c r="W2691" t="s">
        <v>116</v>
      </c>
      <c r="X2691" t="s">
        <v>44</v>
      </c>
      <c r="Y2691" t="s">
        <v>99</v>
      </c>
      <c r="Z2691" t="s">
        <v>421</v>
      </c>
      <c r="AC2691" t="str">
        <f>IF(AA2691="",M2691,AA2691)</f>
        <v>sim</v>
      </c>
      <c r="AD2691" t="str">
        <f>IF(AB2691="",X2691,AB2691)</f>
        <v>sim</v>
      </c>
      <c r="AE2691" t="str">
        <f>IF(OR(Configuracao!B9="",Configuracao!B10=""),"aguardando limiar",IF(AND(K2691&gt;=Configuracao!B9,K2691/MAX(Reconciliacao!C2,1)&gt;=Configuracao!B10/100),"sim","não"))</f>
        <v>aguardando limiar</v>
      </c>
    </row>
    <row r="2692" spans="1:31" x14ac:dyDescent="0.25">
      <c r="A2692">
        <v>17023</v>
      </c>
      <c r="C2692" t="s">
        <v>1577</v>
      </c>
      <c r="D2692" t="s">
        <v>450</v>
      </c>
      <c r="E2692" t="s">
        <v>451</v>
      </c>
      <c r="F2692" t="s">
        <v>227</v>
      </c>
      <c r="G2692" t="s">
        <v>226</v>
      </c>
      <c r="H2692" t="s">
        <v>225</v>
      </c>
      <c r="I2692" t="s">
        <v>442</v>
      </c>
      <c r="J2692" t="s">
        <v>442</v>
      </c>
      <c r="K2692" s="4">
        <v>176.38</v>
      </c>
      <c r="L2692" s="4">
        <v>176.38</v>
      </c>
      <c r="M2692" t="s">
        <v>44</v>
      </c>
      <c r="N2692" t="s">
        <v>77</v>
      </c>
      <c r="O2692" t="s">
        <v>99</v>
      </c>
      <c r="P2692" t="s">
        <v>99</v>
      </c>
      <c r="Q2692" t="s">
        <v>159</v>
      </c>
      <c r="R2692" t="s">
        <v>228</v>
      </c>
      <c r="S2692" t="s">
        <v>197</v>
      </c>
      <c r="T2692" t="s">
        <v>198</v>
      </c>
      <c r="U2692" t="s">
        <v>163</v>
      </c>
      <c r="V2692" t="s">
        <v>186</v>
      </c>
      <c r="W2692" t="s">
        <v>116</v>
      </c>
      <c r="X2692" t="s">
        <v>44</v>
      </c>
      <c r="Y2692" t="s">
        <v>99</v>
      </c>
      <c r="Z2692" t="s">
        <v>421</v>
      </c>
      <c r="AC2692" t="str">
        <f>IF(AA2692="",M2692,AA2692)</f>
        <v>sim</v>
      </c>
      <c r="AD2692" t="str">
        <f>IF(AB2692="",X2692,AB2692)</f>
        <v>sim</v>
      </c>
      <c r="AE2692" t="str">
        <f>IF(OR(Configuracao!B9="",Configuracao!B10=""),"aguardando limiar",IF(AND(K2692&gt;=Configuracao!B9,K2692/MAX(Reconciliacao!C2,1)&gt;=Configuracao!B10/100),"sim","não"))</f>
        <v>aguardando limiar</v>
      </c>
    </row>
    <row r="2693" spans="1:31" x14ac:dyDescent="0.25">
      <c r="A2693">
        <v>17728</v>
      </c>
      <c r="C2693" t="s">
        <v>1578</v>
      </c>
      <c r="D2693" t="s">
        <v>851</v>
      </c>
      <c r="E2693" t="s">
        <v>451</v>
      </c>
      <c r="F2693" t="s">
        <v>227</v>
      </c>
      <c r="G2693" t="s">
        <v>226</v>
      </c>
      <c r="H2693" t="s">
        <v>225</v>
      </c>
      <c r="I2693" t="s">
        <v>439</v>
      </c>
      <c r="J2693" t="s">
        <v>439</v>
      </c>
      <c r="K2693" s="4">
        <v>200</v>
      </c>
      <c r="L2693" s="4">
        <v>200</v>
      </c>
      <c r="M2693" t="s">
        <v>44</v>
      </c>
      <c r="N2693" t="s">
        <v>77</v>
      </c>
      <c r="O2693" t="s">
        <v>99</v>
      </c>
      <c r="P2693" t="s">
        <v>99</v>
      </c>
      <c r="Q2693" t="s">
        <v>159</v>
      </c>
      <c r="R2693" t="s">
        <v>228</v>
      </c>
      <c r="S2693" t="s">
        <v>197</v>
      </c>
      <c r="T2693" t="s">
        <v>198</v>
      </c>
      <c r="U2693" t="s">
        <v>163</v>
      </c>
      <c r="V2693" t="s">
        <v>186</v>
      </c>
      <c r="W2693" t="s">
        <v>116</v>
      </c>
      <c r="X2693" t="s">
        <v>44</v>
      </c>
      <c r="Y2693" t="s">
        <v>99</v>
      </c>
      <c r="Z2693" t="s">
        <v>421</v>
      </c>
      <c r="AC2693" t="str">
        <f>IF(AA2693="",M2693,AA2693)</f>
        <v>sim</v>
      </c>
      <c r="AD2693" t="str">
        <f>IF(AB2693="",X2693,AB2693)</f>
        <v>sim</v>
      </c>
      <c r="AE2693" t="str">
        <f>IF(OR(Configuracao!B9="",Configuracao!B10=""),"aguardando limiar",IF(AND(K2693&gt;=Configuracao!B9,K2693/MAX(Reconciliacao!C2,1)&gt;=Configuracao!B10/100),"sim","não"))</f>
        <v>aguardando limiar</v>
      </c>
    </row>
    <row r="2694" spans="1:31" x14ac:dyDescent="0.25">
      <c r="A2694">
        <v>17736</v>
      </c>
      <c r="C2694" t="s">
        <v>1579</v>
      </c>
      <c r="D2694" t="s">
        <v>1440</v>
      </c>
      <c r="E2694" t="s">
        <v>451</v>
      </c>
      <c r="F2694" t="s">
        <v>227</v>
      </c>
      <c r="G2694" t="s">
        <v>226</v>
      </c>
      <c r="H2694" t="s">
        <v>225</v>
      </c>
      <c r="I2694" t="s">
        <v>439</v>
      </c>
      <c r="J2694" t="s">
        <v>439</v>
      </c>
      <c r="K2694" s="4">
        <v>200</v>
      </c>
      <c r="L2694" s="4">
        <v>200</v>
      </c>
      <c r="M2694" t="s">
        <v>44</v>
      </c>
      <c r="N2694" t="s">
        <v>77</v>
      </c>
      <c r="O2694" t="s">
        <v>99</v>
      </c>
      <c r="P2694" t="s">
        <v>99</v>
      </c>
      <c r="Q2694" t="s">
        <v>159</v>
      </c>
      <c r="R2694" t="s">
        <v>228</v>
      </c>
      <c r="S2694" t="s">
        <v>197</v>
      </c>
      <c r="T2694" t="s">
        <v>198</v>
      </c>
      <c r="U2694" t="s">
        <v>163</v>
      </c>
      <c r="V2694" t="s">
        <v>186</v>
      </c>
      <c r="W2694" t="s">
        <v>116</v>
      </c>
      <c r="X2694" t="s">
        <v>44</v>
      </c>
      <c r="Y2694" t="s">
        <v>99</v>
      </c>
      <c r="Z2694" t="s">
        <v>421</v>
      </c>
      <c r="AC2694" t="str">
        <f>IF(AA2694="",M2694,AA2694)</f>
        <v>sim</v>
      </c>
      <c r="AD2694" t="str">
        <f>IF(AB2694="",X2694,AB2694)</f>
        <v>sim</v>
      </c>
      <c r="AE2694" t="str">
        <f>IF(OR(Configuracao!B9="",Configuracao!B10=""),"aguardando limiar",IF(AND(K2694&gt;=Configuracao!B9,K2694/MAX(Reconciliacao!C2,1)&gt;=Configuracao!B10/100),"sim","não"))</f>
        <v>aguardando limiar</v>
      </c>
    </row>
    <row r="2695" spans="1:31" x14ac:dyDescent="0.25">
      <c r="A2695">
        <v>16744</v>
      </c>
      <c r="C2695" t="s">
        <v>1580</v>
      </c>
      <c r="D2695" t="s">
        <v>1581</v>
      </c>
      <c r="E2695" t="s">
        <v>451</v>
      </c>
      <c r="F2695" t="s">
        <v>227</v>
      </c>
      <c r="G2695" t="s">
        <v>226</v>
      </c>
      <c r="H2695" t="s">
        <v>225</v>
      </c>
      <c r="I2695" t="s">
        <v>442</v>
      </c>
      <c r="J2695" t="s">
        <v>442</v>
      </c>
      <c r="K2695" s="4">
        <v>239</v>
      </c>
      <c r="L2695" s="4">
        <v>239</v>
      </c>
      <c r="M2695" t="s">
        <v>44</v>
      </c>
      <c r="N2695" t="s">
        <v>77</v>
      </c>
      <c r="O2695" t="s">
        <v>99</v>
      </c>
      <c r="P2695" t="s">
        <v>99</v>
      </c>
      <c r="Q2695" t="s">
        <v>159</v>
      </c>
      <c r="R2695" t="s">
        <v>228</v>
      </c>
      <c r="S2695" t="s">
        <v>197</v>
      </c>
      <c r="T2695" t="s">
        <v>198</v>
      </c>
      <c r="U2695" t="s">
        <v>163</v>
      </c>
      <c r="V2695" t="s">
        <v>186</v>
      </c>
      <c r="W2695" t="s">
        <v>116</v>
      </c>
      <c r="X2695" t="s">
        <v>44</v>
      </c>
      <c r="Y2695" t="s">
        <v>99</v>
      </c>
      <c r="Z2695" t="s">
        <v>421</v>
      </c>
      <c r="AC2695" t="str">
        <f>IF(AA2695="",M2695,AA2695)</f>
        <v>sim</v>
      </c>
      <c r="AD2695" t="str">
        <f>IF(AB2695="",X2695,AB2695)</f>
        <v>sim</v>
      </c>
      <c r="AE2695" t="str">
        <f>IF(OR(Configuracao!B9="",Configuracao!B10=""),"aguardando limiar",IF(AND(K2695&gt;=Configuracao!B9,K2695/MAX(Reconciliacao!C2,1)&gt;=Configuracao!B10/100),"sim","não"))</f>
        <v>aguardando limiar</v>
      </c>
    </row>
    <row r="2696" spans="1:31" x14ac:dyDescent="0.25">
      <c r="A2696">
        <v>15041</v>
      </c>
      <c r="C2696" t="s">
        <v>1582</v>
      </c>
      <c r="D2696" t="s">
        <v>1583</v>
      </c>
      <c r="E2696" t="s">
        <v>451</v>
      </c>
      <c r="F2696" t="s">
        <v>227</v>
      </c>
      <c r="G2696" t="s">
        <v>226</v>
      </c>
      <c r="H2696" t="s">
        <v>225</v>
      </c>
      <c r="I2696" t="s">
        <v>454</v>
      </c>
      <c r="J2696" t="s">
        <v>454</v>
      </c>
      <c r="K2696" s="4">
        <v>318</v>
      </c>
      <c r="L2696" s="4">
        <v>318</v>
      </c>
      <c r="M2696" t="s">
        <v>44</v>
      </c>
      <c r="N2696" t="s">
        <v>77</v>
      </c>
      <c r="O2696" t="s">
        <v>99</v>
      </c>
      <c r="P2696" t="s">
        <v>99</v>
      </c>
      <c r="Q2696" t="s">
        <v>159</v>
      </c>
      <c r="R2696" t="s">
        <v>228</v>
      </c>
      <c r="S2696" t="s">
        <v>197</v>
      </c>
      <c r="T2696" t="s">
        <v>198</v>
      </c>
      <c r="U2696" t="s">
        <v>163</v>
      </c>
      <c r="V2696" t="s">
        <v>186</v>
      </c>
      <c r="W2696" t="s">
        <v>116</v>
      </c>
      <c r="X2696" t="s">
        <v>44</v>
      </c>
      <c r="Y2696" t="s">
        <v>99</v>
      </c>
      <c r="Z2696" t="s">
        <v>421</v>
      </c>
      <c r="AC2696" t="str">
        <f>IF(AA2696="",M2696,AA2696)</f>
        <v>sim</v>
      </c>
      <c r="AD2696" t="str">
        <f>IF(AB2696="",X2696,AB2696)</f>
        <v>sim</v>
      </c>
      <c r="AE2696" t="str">
        <f>IF(OR(Configuracao!B9="",Configuracao!B10=""),"aguardando limiar",IF(AND(K2696&gt;=Configuracao!B9,K2696/MAX(Reconciliacao!C2,1)&gt;=Configuracao!B10/100),"sim","não"))</f>
        <v>aguardando limiar</v>
      </c>
    </row>
    <row r="2697" spans="1:31" x14ac:dyDescent="0.25">
      <c r="A2697">
        <v>16753</v>
      </c>
      <c r="C2697" t="s">
        <v>1584</v>
      </c>
      <c r="D2697" t="s">
        <v>1585</v>
      </c>
      <c r="E2697" t="s">
        <v>451</v>
      </c>
      <c r="F2697" t="s">
        <v>227</v>
      </c>
      <c r="G2697" t="s">
        <v>226</v>
      </c>
      <c r="H2697" t="s">
        <v>225</v>
      </c>
      <c r="I2697" t="s">
        <v>442</v>
      </c>
      <c r="J2697" t="s">
        <v>442</v>
      </c>
      <c r="K2697" s="4">
        <v>400</v>
      </c>
      <c r="L2697" s="4">
        <v>400</v>
      </c>
      <c r="M2697" t="s">
        <v>44</v>
      </c>
      <c r="N2697" t="s">
        <v>77</v>
      </c>
      <c r="O2697" t="s">
        <v>99</v>
      </c>
      <c r="P2697" t="s">
        <v>99</v>
      </c>
      <c r="Q2697" t="s">
        <v>159</v>
      </c>
      <c r="R2697" t="s">
        <v>228</v>
      </c>
      <c r="S2697" t="s">
        <v>197</v>
      </c>
      <c r="T2697" t="s">
        <v>198</v>
      </c>
      <c r="U2697" t="s">
        <v>163</v>
      </c>
      <c r="V2697" t="s">
        <v>186</v>
      </c>
      <c r="W2697" t="s">
        <v>116</v>
      </c>
      <c r="X2697" t="s">
        <v>44</v>
      </c>
      <c r="Y2697" t="s">
        <v>99</v>
      </c>
      <c r="Z2697" t="s">
        <v>421</v>
      </c>
      <c r="AC2697" t="str">
        <f>IF(AA2697="",M2697,AA2697)</f>
        <v>sim</v>
      </c>
      <c r="AD2697" t="str">
        <f>IF(AB2697="",X2697,AB2697)</f>
        <v>sim</v>
      </c>
      <c r="AE2697" t="str">
        <f>IF(OR(Configuracao!B9="",Configuracao!B10=""),"aguardando limiar",IF(AND(K2697&gt;=Configuracao!B9,K2697/MAX(Reconciliacao!C2,1)&gt;=Configuracao!B10/100),"sim","não"))</f>
        <v>aguardando limiar</v>
      </c>
    </row>
    <row r="2698" spans="1:31" x14ac:dyDescent="0.25">
      <c r="A2698">
        <v>16754</v>
      </c>
      <c r="C2698" t="s">
        <v>1584</v>
      </c>
      <c r="D2698" t="s">
        <v>1585</v>
      </c>
      <c r="E2698" t="s">
        <v>451</v>
      </c>
      <c r="F2698" t="s">
        <v>227</v>
      </c>
      <c r="G2698" t="s">
        <v>226</v>
      </c>
      <c r="H2698" t="s">
        <v>225</v>
      </c>
      <c r="I2698" t="s">
        <v>442</v>
      </c>
      <c r="J2698" t="s">
        <v>442</v>
      </c>
      <c r="K2698" s="4">
        <v>400</v>
      </c>
      <c r="L2698" s="4">
        <v>400</v>
      </c>
      <c r="M2698" t="s">
        <v>44</v>
      </c>
      <c r="N2698" t="s">
        <v>77</v>
      </c>
      <c r="O2698" t="s">
        <v>99</v>
      </c>
      <c r="P2698" t="s">
        <v>99</v>
      </c>
      <c r="Q2698" t="s">
        <v>159</v>
      </c>
      <c r="R2698" t="s">
        <v>228</v>
      </c>
      <c r="S2698" t="s">
        <v>197</v>
      </c>
      <c r="T2698" t="s">
        <v>198</v>
      </c>
      <c r="U2698" t="s">
        <v>163</v>
      </c>
      <c r="V2698" t="s">
        <v>186</v>
      </c>
      <c r="W2698" t="s">
        <v>116</v>
      </c>
      <c r="X2698" t="s">
        <v>44</v>
      </c>
      <c r="Y2698" t="s">
        <v>99</v>
      </c>
      <c r="Z2698" t="s">
        <v>421</v>
      </c>
      <c r="AC2698" t="str">
        <f>IF(AA2698="",M2698,AA2698)</f>
        <v>sim</v>
      </c>
      <c r="AD2698" t="str">
        <f>IF(AB2698="",X2698,AB2698)</f>
        <v>sim</v>
      </c>
      <c r="AE2698" t="str">
        <f>IF(OR(Configuracao!B9="",Configuracao!B10=""),"aguardando limiar",IF(AND(K2698&gt;=Configuracao!B9,K2698/MAX(Reconciliacao!C2,1)&gt;=Configuracao!B10/100),"sim","não"))</f>
        <v>aguardando limiar</v>
      </c>
    </row>
    <row r="2699" spans="1:31" x14ac:dyDescent="0.25">
      <c r="A2699">
        <v>17542</v>
      </c>
      <c r="C2699" t="s">
        <v>1586</v>
      </c>
      <c r="D2699" t="s">
        <v>597</v>
      </c>
      <c r="E2699" t="s">
        <v>451</v>
      </c>
      <c r="F2699" t="s">
        <v>227</v>
      </c>
      <c r="G2699" t="s">
        <v>226</v>
      </c>
      <c r="H2699" t="s">
        <v>225</v>
      </c>
      <c r="I2699" t="s">
        <v>442</v>
      </c>
      <c r="J2699" t="s">
        <v>442</v>
      </c>
      <c r="K2699" s="4">
        <v>440</v>
      </c>
      <c r="L2699" s="4">
        <v>440</v>
      </c>
      <c r="M2699" t="s">
        <v>44</v>
      </c>
      <c r="N2699" t="s">
        <v>77</v>
      </c>
      <c r="O2699" t="s">
        <v>99</v>
      </c>
      <c r="P2699" t="s">
        <v>99</v>
      </c>
      <c r="Q2699" t="s">
        <v>159</v>
      </c>
      <c r="R2699" t="s">
        <v>228</v>
      </c>
      <c r="S2699" t="s">
        <v>197</v>
      </c>
      <c r="T2699" t="s">
        <v>198</v>
      </c>
      <c r="U2699" t="s">
        <v>163</v>
      </c>
      <c r="V2699" t="s">
        <v>186</v>
      </c>
      <c r="W2699" t="s">
        <v>116</v>
      </c>
      <c r="X2699" t="s">
        <v>44</v>
      </c>
      <c r="Y2699" t="s">
        <v>99</v>
      </c>
      <c r="Z2699" t="s">
        <v>421</v>
      </c>
      <c r="AC2699" t="str">
        <f>IF(AA2699="",M2699,AA2699)</f>
        <v>sim</v>
      </c>
      <c r="AD2699" t="str">
        <f>IF(AB2699="",X2699,AB2699)</f>
        <v>sim</v>
      </c>
      <c r="AE2699" t="str">
        <f>IF(OR(Configuracao!B9="",Configuracao!B10=""),"aguardando limiar",IF(AND(K2699&gt;=Configuracao!B9,K2699/MAX(Reconciliacao!C2,1)&gt;=Configuracao!B10/100),"sim","não"))</f>
        <v>aguardando limiar</v>
      </c>
    </row>
    <row r="2700" spans="1:31" x14ac:dyDescent="0.25">
      <c r="A2700">
        <v>16752</v>
      </c>
      <c r="C2700" t="s">
        <v>1587</v>
      </c>
      <c r="D2700" t="s">
        <v>1588</v>
      </c>
      <c r="E2700" t="s">
        <v>451</v>
      </c>
      <c r="F2700" t="s">
        <v>227</v>
      </c>
      <c r="G2700" t="s">
        <v>226</v>
      </c>
      <c r="H2700" t="s">
        <v>225</v>
      </c>
      <c r="I2700" t="s">
        <v>461</v>
      </c>
      <c r="J2700" t="s">
        <v>461</v>
      </c>
      <c r="K2700" s="4">
        <v>450</v>
      </c>
      <c r="L2700" s="4">
        <v>450</v>
      </c>
      <c r="M2700" t="s">
        <v>44</v>
      </c>
      <c r="N2700" t="s">
        <v>77</v>
      </c>
      <c r="O2700" t="s">
        <v>99</v>
      </c>
      <c r="P2700" t="s">
        <v>99</v>
      </c>
      <c r="Q2700" t="s">
        <v>159</v>
      </c>
      <c r="R2700" t="s">
        <v>228</v>
      </c>
      <c r="S2700" t="s">
        <v>197</v>
      </c>
      <c r="T2700" t="s">
        <v>198</v>
      </c>
      <c r="U2700" t="s">
        <v>163</v>
      </c>
      <c r="V2700" t="s">
        <v>186</v>
      </c>
      <c r="W2700" t="s">
        <v>116</v>
      </c>
      <c r="X2700" t="s">
        <v>44</v>
      </c>
      <c r="Y2700" t="s">
        <v>99</v>
      </c>
      <c r="Z2700" t="s">
        <v>421</v>
      </c>
      <c r="AC2700" t="str">
        <f>IF(AA2700="",M2700,AA2700)</f>
        <v>sim</v>
      </c>
      <c r="AD2700" t="str">
        <f>IF(AB2700="",X2700,AB2700)</f>
        <v>sim</v>
      </c>
      <c r="AE2700" t="str">
        <f>IF(OR(Configuracao!B9="",Configuracao!B10=""),"aguardando limiar",IF(AND(K2700&gt;=Configuracao!B9,K2700/MAX(Reconciliacao!C2,1)&gt;=Configuracao!B10/100),"sim","não"))</f>
        <v>aguardando limiar</v>
      </c>
    </row>
    <row r="2701" spans="1:31" x14ac:dyDescent="0.25">
      <c r="A2701">
        <v>16651</v>
      </c>
      <c r="C2701" t="s">
        <v>1589</v>
      </c>
      <c r="D2701" t="s">
        <v>1590</v>
      </c>
      <c r="E2701" t="s">
        <v>451</v>
      </c>
      <c r="F2701" t="s">
        <v>227</v>
      </c>
      <c r="G2701" t="s">
        <v>226</v>
      </c>
      <c r="H2701" t="s">
        <v>225</v>
      </c>
      <c r="I2701" t="s">
        <v>461</v>
      </c>
      <c r="J2701" t="s">
        <v>461</v>
      </c>
      <c r="K2701" s="4">
        <v>479.4</v>
      </c>
      <c r="L2701" s="4">
        <v>479.4</v>
      </c>
      <c r="M2701" t="s">
        <v>44</v>
      </c>
      <c r="N2701" t="s">
        <v>77</v>
      </c>
      <c r="O2701" t="s">
        <v>99</v>
      </c>
      <c r="P2701" t="s">
        <v>99</v>
      </c>
      <c r="Q2701" t="s">
        <v>159</v>
      </c>
      <c r="R2701" t="s">
        <v>228</v>
      </c>
      <c r="S2701" t="s">
        <v>197</v>
      </c>
      <c r="T2701" t="s">
        <v>198</v>
      </c>
      <c r="U2701" t="s">
        <v>163</v>
      </c>
      <c r="V2701" t="s">
        <v>186</v>
      </c>
      <c r="W2701" t="s">
        <v>116</v>
      </c>
      <c r="X2701" t="s">
        <v>44</v>
      </c>
      <c r="Y2701" t="s">
        <v>99</v>
      </c>
      <c r="Z2701" t="s">
        <v>421</v>
      </c>
      <c r="AC2701" t="str">
        <f>IF(AA2701="",M2701,AA2701)</f>
        <v>sim</v>
      </c>
      <c r="AD2701" t="str">
        <f>IF(AB2701="",X2701,AB2701)</f>
        <v>sim</v>
      </c>
      <c r="AE2701" t="str">
        <f>IF(OR(Configuracao!B9="",Configuracao!B10=""),"aguardando limiar",IF(AND(K2701&gt;=Configuracao!B9,K2701/MAX(Reconciliacao!C2,1)&gt;=Configuracao!B10/100),"sim","não"))</f>
        <v>aguardando limiar</v>
      </c>
    </row>
    <row r="2702" spans="1:31" x14ac:dyDescent="0.25">
      <c r="A2702">
        <v>11988</v>
      </c>
      <c r="C2702" t="s">
        <v>1591</v>
      </c>
      <c r="D2702" t="s">
        <v>1592</v>
      </c>
      <c r="E2702" t="s">
        <v>451</v>
      </c>
      <c r="F2702" t="s">
        <v>227</v>
      </c>
      <c r="G2702" t="s">
        <v>226</v>
      </c>
      <c r="H2702" t="s">
        <v>225</v>
      </c>
      <c r="I2702" t="s">
        <v>32</v>
      </c>
      <c r="J2702" t="s">
        <v>32</v>
      </c>
      <c r="K2702" s="4">
        <v>480.8</v>
      </c>
      <c r="L2702" s="4">
        <v>480.8</v>
      </c>
      <c r="M2702" t="s">
        <v>44</v>
      </c>
      <c r="N2702" t="s">
        <v>77</v>
      </c>
      <c r="O2702" t="s">
        <v>99</v>
      </c>
      <c r="P2702" t="s">
        <v>99</v>
      </c>
      <c r="Q2702" t="s">
        <v>159</v>
      </c>
      <c r="R2702" t="s">
        <v>228</v>
      </c>
      <c r="S2702" t="s">
        <v>197</v>
      </c>
      <c r="T2702" t="s">
        <v>198</v>
      </c>
      <c r="U2702" t="s">
        <v>163</v>
      </c>
      <c r="V2702" t="s">
        <v>186</v>
      </c>
      <c r="W2702" t="s">
        <v>116</v>
      </c>
      <c r="X2702" t="s">
        <v>44</v>
      </c>
      <c r="Y2702" t="s">
        <v>99</v>
      </c>
      <c r="Z2702" t="s">
        <v>421</v>
      </c>
      <c r="AC2702" t="str">
        <f>IF(AA2702="",M2702,AA2702)</f>
        <v>sim</v>
      </c>
      <c r="AD2702" t="str">
        <f>IF(AB2702="",X2702,AB2702)</f>
        <v>sim</v>
      </c>
      <c r="AE2702" t="str">
        <f>IF(OR(Configuracao!B9="",Configuracao!B10=""),"aguardando limiar",IF(AND(K2702&gt;=Configuracao!B9,K2702/MAX(Reconciliacao!C2,1)&gt;=Configuracao!B10/100),"sim","não"))</f>
        <v>aguardando limiar</v>
      </c>
    </row>
    <row r="2703" spans="1:31" x14ac:dyDescent="0.25">
      <c r="A2703">
        <v>12680</v>
      </c>
      <c r="C2703" t="s">
        <v>1593</v>
      </c>
      <c r="D2703" t="s">
        <v>1594</v>
      </c>
      <c r="E2703" t="s">
        <v>451</v>
      </c>
      <c r="F2703" t="s">
        <v>227</v>
      </c>
      <c r="G2703" t="s">
        <v>226</v>
      </c>
      <c r="H2703" t="s">
        <v>225</v>
      </c>
      <c r="I2703" t="s">
        <v>420</v>
      </c>
      <c r="J2703" t="s">
        <v>420</v>
      </c>
      <c r="K2703" s="4">
        <v>548.87</v>
      </c>
      <c r="L2703" s="4">
        <v>548.87</v>
      </c>
      <c r="M2703" t="s">
        <v>44</v>
      </c>
      <c r="N2703" t="s">
        <v>77</v>
      </c>
      <c r="O2703" t="s">
        <v>99</v>
      </c>
      <c r="P2703" t="s">
        <v>99</v>
      </c>
      <c r="Q2703" t="s">
        <v>159</v>
      </c>
      <c r="R2703" t="s">
        <v>228</v>
      </c>
      <c r="S2703" t="s">
        <v>197</v>
      </c>
      <c r="T2703" t="s">
        <v>198</v>
      </c>
      <c r="U2703" t="s">
        <v>163</v>
      </c>
      <c r="V2703" t="s">
        <v>186</v>
      </c>
      <c r="W2703" t="s">
        <v>116</v>
      </c>
      <c r="X2703" t="s">
        <v>44</v>
      </c>
      <c r="Y2703" t="s">
        <v>99</v>
      </c>
      <c r="Z2703" t="s">
        <v>421</v>
      </c>
      <c r="AC2703" t="str">
        <f>IF(AA2703="",M2703,AA2703)</f>
        <v>sim</v>
      </c>
      <c r="AD2703" t="str">
        <f>IF(AB2703="",X2703,AB2703)</f>
        <v>sim</v>
      </c>
      <c r="AE2703" t="str">
        <f>IF(OR(Configuracao!B9="",Configuracao!B10=""),"aguardando limiar",IF(AND(K2703&gt;=Configuracao!B9,K2703/MAX(Reconciliacao!C2,1)&gt;=Configuracao!B10/100),"sim","não"))</f>
        <v>aguardando limiar</v>
      </c>
    </row>
    <row r="2704" spans="1:31" x14ac:dyDescent="0.25">
      <c r="A2704">
        <v>11753</v>
      </c>
      <c r="C2704" t="s">
        <v>1595</v>
      </c>
      <c r="D2704" t="s">
        <v>450</v>
      </c>
      <c r="E2704" t="s">
        <v>451</v>
      </c>
      <c r="F2704" t="s">
        <v>227</v>
      </c>
      <c r="G2704" t="s">
        <v>226</v>
      </c>
      <c r="H2704" t="s">
        <v>225</v>
      </c>
      <c r="I2704" t="s">
        <v>32</v>
      </c>
      <c r="J2704" t="s">
        <v>32</v>
      </c>
      <c r="K2704" s="4">
        <v>556.16</v>
      </c>
      <c r="L2704" s="4">
        <v>556.16</v>
      </c>
      <c r="M2704" t="s">
        <v>44</v>
      </c>
      <c r="N2704" t="s">
        <v>77</v>
      </c>
      <c r="O2704" t="s">
        <v>99</v>
      </c>
      <c r="P2704" t="s">
        <v>99</v>
      </c>
      <c r="Q2704" t="s">
        <v>159</v>
      </c>
      <c r="R2704" t="s">
        <v>228</v>
      </c>
      <c r="S2704" t="s">
        <v>197</v>
      </c>
      <c r="T2704" t="s">
        <v>198</v>
      </c>
      <c r="U2704" t="s">
        <v>163</v>
      </c>
      <c r="V2704" t="s">
        <v>186</v>
      </c>
      <c r="W2704" t="s">
        <v>116</v>
      </c>
      <c r="X2704" t="s">
        <v>44</v>
      </c>
      <c r="Y2704" t="s">
        <v>99</v>
      </c>
      <c r="Z2704" t="s">
        <v>421</v>
      </c>
      <c r="AC2704" t="str">
        <f>IF(AA2704="",M2704,AA2704)</f>
        <v>sim</v>
      </c>
      <c r="AD2704" t="str">
        <f>IF(AB2704="",X2704,AB2704)</f>
        <v>sim</v>
      </c>
      <c r="AE2704" t="str">
        <f>IF(OR(Configuracao!B9="",Configuracao!B10=""),"aguardando limiar",IF(AND(K2704&gt;=Configuracao!B9,K2704/MAX(Reconciliacao!C2,1)&gt;=Configuracao!B10/100),"sim","não"))</f>
        <v>aguardando limiar</v>
      </c>
    </row>
    <row r="2705" spans="1:31" x14ac:dyDescent="0.25">
      <c r="A2705">
        <v>16737</v>
      </c>
      <c r="C2705" t="s">
        <v>1596</v>
      </c>
      <c r="D2705" t="s">
        <v>1597</v>
      </c>
      <c r="E2705" t="s">
        <v>451</v>
      </c>
      <c r="F2705" t="s">
        <v>227</v>
      </c>
      <c r="G2705" t="s">
        <v>226</v>
      </c>
      <c r="H2705" t="s">
        <v>225</v>
      </c>
      <c r="I2705" t="s">
        <v>442</v>
      </c>
      <c r="J2705" t="s">
        <v>442</v>
      </c>
      <c r="K2705" s="4">
        <v>600</v>
      </c>
      <c r="L2705" s="4">
        <v>600</v>
      </c>
      <c r="M2705" t="s">
        <v>44</v>
      </c>
      <c r="N2705" t="s">
        <v>77</v>
      </c>
      <c r="O2705" t="s">
        <v>99</v>
      </c>
      <c r="P2705" t="s">
        <v>99</v>
      </c>
      <c r="Q2705" t="s">
        <v>159</v>
      </c>
      <c r="R2705" t="s">
        <v>228</v>
      </c>
      <c r="S2705" t="s">
        <v>197</v>
      </c>
      <c r="T2705" t="s">
        <v>198</v>
      </c>
      <c r="U2705" t="s">
        <v>163</v>
      </c>
      <c r="V2705" t="s">
        <v>186</v>
      </c>
      <c r="W2705" t="s">
        <v>116</v>
      </c>
      <c r="X2705" t="s">
        <v>44</v>
      </c>
      <c r="Y2705" t="s">
        <v>99</v>
      </c>
      <c r="Z2705" t="s">
        <v>421</v>
      </c>
      <c r="AC2705" t="str">
        <f>IF(AA2705="",M2705,AA2705)</f>
        <v>sim</v>
      </c>
      <c r="AD2705" t="str">
        <f>IF(AB2705="",X2705,AB2705)</f>
        <v>sim</v>
      </c>
      <c r="AE2705" t="str">
        <f>IF(OR(Configuracao!B9="",Configuracao!B10=""),"aguardando limiar",IF(AND(K2705&gt;=Configuracao!B9,K2705/MAX(Reconciliacao!C2,1)&gt;=Configuracao!B10/100),"sim","não"))</f>
        <v>aguardando limiar</v>
      </c>
    </row>
    <row r="2706" spans="1:31" x14ac:dyDescent="0.25">
      <c r="A2706">
        <v>16738</v>
      </c>
      <c r="C2706" t="s">
        <v>1596</v>
      </c>
      <c r="D2706" t="s">
        <v>1597</v>
      </c>
      <c r="E2706" t="s">
        <v>451</v>
      </c>
      <c r="F2706" t="s">
        <v>227</v>
      </c>
      <c r="G2706" t="s">
        <v>226</v>
      </c>
      <c r="H2706" t="s">
        <v>225</v>
      </c>
      <c r="I2706" t="s">
        <v>442</v>
      </c>
      <c r="J2706" t="s">
        <v>442</v>
      </c>
      <c r="K2706" s="4">
        <v>600</v>
      </c>
      <c r="L2706" s="4">
        <v>600</v>
      </c>
      <c r="M2706" t="s">
        <v>44</v>
      </c>
      <c r="N2706" t="s">
        <v>77</v>
      </c>
      <c r="O2706" t="s">
        <v>99</v>
      </c>
      <c r="P2706" t="s">
        <v>99</v>
      </c>
      <c r="Q2706" t="s">
        <v>159</v>
      </c>
      <c r="R2706" t="s">
        <v>228</v>
      </c>
      <c r="S2706" t="s">
        <v>197</v>
      </c>
      <c r="T2706" t="s">
        <v>198</v>
      </c>
      <c r="U2706" t="s">
        <v>163</v>
      </c>
      <c r="V2706" t="s">
        <v>186</v>
      </c>
      <c r="W2706" t="s">
        <v>116</v>
      </c>
      <c r="X2706" t="s">
        <v>44</v>
      </c>
      <c r="Y2706" t="s">
        <v>99</v>
      </c>
      <c r="Z2706" t="s">
        <v>421</v>
      </c>
      <c r="AC2706" t="str">
        <f>IF(AA2706="",M2706,AA2706)</f>
        <v>sim</v>
      </c>
      <c r="AD2706" t="str">
        <f>IF(AB2706="",X2706,AB2706)</f>
        <v>sim</v>
      </c>
      <c r="AE2706" t="str">
        <f>IF(OR(Configuracao!B9="",Configuracao!B10=""),"aguardando limiar",IF(AND(K2706&gt;=Configuracao!B9,K2706/MAX(Reconciliacao!C2,1)&gt;=Configuracao!B10/100),"sim","não"))</f>
        <v>aguardando limiar</v>
      </c>
    </row>
    <row r="2707" spans="1:31" x14ac:dyDescent="0.25">
      <c r="A2707">
        <v>16020</v>
      </c>
      <c r="C2707" t="s">
        <v>1598</v>
      </c>
      <c r="D2707" t="s">
        <v>1599</v>
      </c>
      <c r="E2707" t="s">
        <v>451</v>
      </c>
      <c r="F2707" t="s">
        <v>227</v>
      </c>
      <c r="G2707" t="s">
        <v>226</v>
      </c>
      <c r="H2707" t="s">
        <v>225</v>
      </c>
      <c r="I2707" t="s">
        <v>420</v>
      </c>
      <c r="J2707" t="s">
        <v>420</v>
      </c>
      <c r="K2707" s="4">
        <v>748.87</v>
      </c>
      <c r="L2707" s="4">
        <v>748.87</v>
      </c>
      <c r="M2707" t="s">
        <v>44</v>
      </c>
      <c r="N2707" t="s">
        <v>77</v>
      </c>
      <c r="O2707" t="s">
        <v>99</v>
      </c>
      <c r="P2707" t="s">
        <v>99</v>
      </c>
      <c r="Q2707" t="s">
        <v>159</v>
      </c>
      <c r="R2707" t="s">
        <v>228</v>
      </c>
      <c r="S2707" t="s">
        <v>197</v>
      </c>
      <c r="T2707" t="s">
        <v>198</v>
      </c>
      <c r="U2707" t="s">
        <v>163</v>
      </c>
      <c r="V2707" t="s">
        <v>186</v>
      </c>
      <c r="W2707" t="s">
        <v>116</v>
      </c>
      <c r="X2707" t="s">
        <v>44</v>
      </c>
      <c r="Y2707" t="s">
        <v>99</v>
      </c>
      <c r="Z2707" t="s">
        <v>421</v>
      </c>
      <c r="AC2707" t="str">
        <f>IF(AA2707="",M2707,AA2707)</f>
        <v>sim</v>
      </c>
      <c r="AD2707" t="str">
        <f>IF(AB2707="",X2707,AB2707)</f>
        <v>sim</v>
      </c>
      <c r="AE2707" t="str">
        <f>IF(OR(Configuracao!B9="",Configuracao!B10=""),"aguardando limiar",IF(AND(K2707&gt;=Configuracao!B9,K2707/MAX(Reconciliacao!C2,1)&gt;=Configuracao!B10/100),"sim","não"))</f>
        <v>aguardando limiar</v>
      </c>
    </row>
    <row r="2708" spans="1:31" x14ac:dyDescent="0.25">
      <c r="A2708">
        <v>16756</v>
      </c>
      <c r="C2708" t="s">
        <v>1600</v>
      </c>
      <c r="D2708" t="s">
        <v>1601</v>
      </c>
      <c r="E2708" t="s">
        <v>451</v>
      </c>
      <c r="F2708" t="s">
        <v>227</v>
      </c>
      <c r="G2708" t="s">
        <v>226</v>
      </c>
      <c r="H2708" t="s">
        <v>225</v>
      </c>
      <c r="I2708" t="s">
        <v>442</v>
      </c>
      <c r="J2708" t="s">
        <v>442</v>
      </c>
      <c r="K2708" s="4">
        <v>750</v>
      </c>
      <c r="L2708" s="4">
        <v>750</v>
      </c>
      <c r="M2708" t="s">
        <v>44</v>
      </c>
      <c r="N2708" t="s">
        <v>77</v>
      </c>
      <c r="O2708" t="s">
        <v>99</v>
      </c>
      <c r="P2708" t="s">
        <v>99</v>
      </c>
      <c r="Q2708" t="s">
        <v>159</v>
      </c>
      <c r="R2708" t="s">
        <v>228</v>
      </c>
      <c r="S2708" t="s">
        <v>197</v>
      </c>
      <c r="T2708" t="s">
        <v>198</v>
      </c>
      <c r="U2708" t="s">
        <v>163</v>
      </c>
      <c r="V2708" t="s">
        <v>186</v>
      </c>
      <c r="W2708" t="s">
        <v>116</v>
      </c>
      <c r="X2708" t="s">
        <v>44</v>
      </c>
      <c r="Y2708" t="s">
        <v>99</v>
      </c>
      <c r="Z2708" t="s">
        <v>421</v>
      </c>
      <c r="AC2708" t="str">
        <f>IF(AA2708="",M2708,AA2708)</f>
        <v>sim</v>
      </c>
      <c r="AD2708" t="str">
        <f>IF(AB2708="",X2708,AB2708)</f>
        <v>sim</v>
      </c>
      <c r="AE2708" t="str">
        <f>IF(OR(Configuracao!B9="",Configuracao!B10=""),"aguardando limiar",IF(AND(K2708&gt;=Configuracao!B9,K2708/MAX(Reconciliacao!C2,1)&gt;=Configuracao!B10/100),"sim","não"))</f>
        <v>aguardando limiar</v>
      </c>
    </row>
    <row r="2709" spans="1:31" x14ac:dyDescent="0.25">
      <c r="A2709">
        <v>16650</v>
      </c>
      <c r="C2709" t="s">
        <v>1602</v>
      </c>
      <c r="D2709" t="s">
        <v>1603</v>
      </c>
      <c r="E2709" t="s">
        <v>451</v>
      </c>
      <c r="F2709" t="s">
        <v>227</v>
      </c>
      <c r="G2709" t="s">
        <v>226</v>
      </c>
      <c r="H2709" t="s">
        <v>225</v>
      </c>
      <c r="I2709" t="s">
        <v>461</v>
      </c>
      <c r="J2709" t="s">
        <v>442</v>
      </c>
      <c r="K2709" s="4">
        <v>1055.1</v>
      </c>
      <c r="L2709" s="4">
        <v>1055.1</v>
      </c>
      <c r="M2709" t="s">
        <v>44</v>
      </c>
      <c r="N2709" t="s">
        <v>77</v>
      </c>
      <c r="O2709" t="s">
        <v>99</v>
      </c>
      <c r="P2709" t="s">
        <v>99</v>
      </c>
      <c r="Q2709" t="s">
        <v>159</v>
      </c>
      <c r="R2709" t="s">
        <v>228</v>
      </c>
      <c r="S2709" t="s">
        <v>197</v>
      </c>
      <c r="T2709" t="s">
        <v>198</v>
      </c>
      <c r="U2709" t="s">
        <v>163</v>
      </c>
      <c r="V2709" t="s">
        <v>186</v>
      </c>
      <c r="W2709" t="s">
        <v>116</v>
      </c>
      <c r="X2709" t="s">
        <v>166</v>
      </c>
      <c r="Y2709" t="s">
        <v>472</v>
      </c>
      <c r="Z2709" t="s">
        <v>434</v>
      </c>
      <c r="AC2709" t="str">
        <f>IF(AA2709="",M2709,AA2709)</f>
        <v>sim</v>
      </c>
      <c r="AD2709" t="str">
        <f>IF(AB2709="",X2709,AB2709)</f>
        <v>não</v>
      </c>
      <c r="AE2709" t="str">
        <f>IF(OR(Configuracao!B9="",Configuracao!B10=""),"aguardando limiar",IF(AND(K2709&gt;=Configuracao!B9,K2709/MAX(Reconciliacao!C2,1)&gt;=Configuracao!B10/100),"sim","não"))</f>
        <v>aguardando limiar</v>
      </c>
    </row>
    <row r="2710" spans="1:31" x14ac:dyDescent="0.25">
      <c r="A2710">
        <v>18067</v>
      </c>
      <c r="C2710" t="s">
        <v>1604</v>
      </c>
      <c r="D2710" t="s">
        <v>1605</v>
      </c>
      <c r="E2710" t="s">
        <v>451</v>
      </c>
      <c r="F2710" t="s">
        <v>227</v>
      </c>
      <c r="G2710" t="s">
        <v>226</v>
      </c>
      <c r="H2710" t="s">
        <v>225</v>
      </c>
      <c r="I2710" t="s">
        <v>439</v>
      </c>
      <c r="J2710" t="s">
        <v>35</v>
      </c>
      <c r="K2710" s="4">
        <v>1200</v>
      </c>
      <c r="L2710" s="4">
        <v>1200</v>
      </c>
      <c r="M2710" t="s">
        <v>44</v>
      </c>
      <c r="N2710" t="s">
        <v>77</v>
      </c>
      <c r="O2710" t="s">
        <v>99</v>
      </c>
      <c r="P2710" t="s">
        <v>99</v>
      </c>
      <c r="Q2710" t="s">
        <v>159</v>
      </c>
      <c r="R2710" t="s">
        <v>228</v>
      </c>
      <c r="S2710" t="s">
        <v>197</v>
      </c>
      <c r="T2710" t="s">
        <v>198</v>
      </c>
      <c r="U2710" t="s">
        <v>163</v>
      </c>
      <c r="V2710" t="s">
        <v>186</v>
      </c>
      <c r="W2710" t="s">
        <v>116</v>
      </c>
      <c r="X2710" t="s">
        <v>166</v>
      </c>
      <c r="Y2710" t="s">
        <v>472</v>
      </c>
      <c r="Z2710" t="s">
        <v>434</v>
      </c>
      <c r="AC2710" t="str">
        <f>IF(AA2710="",M2710,AA2710)</f>
        <v>sim</v>
      </c>
      <c r="AD2710" t="str">
        <f>IF(AB2710="",X2710,AB2710)</f>
        <v>não</v>
      </c>
      <c r="AE2710" t="str">
        <f>IF(OR(Configuracao!B9="",Configuracao!B10=""),"aguardando limiar",IF(AND(K2710&gt;=Configuracao!B9,K2710/MAX(Reconciliacao!C2,1)&gt;=Configuracao!B10/100),"sim","não"))</f>
        <v>aguardando limiar</v>
      </c>
    </row>
    <row r="2711" spans="1:31" x14ac:dyDescent="0.25">
      <c r="A2711">
        <v>16745</v>
      </c>
      <c r="C2711" t="s">
        <v>1580</v>
      </c>
      <c r="D2711" t="s">
        <v>1581</v>
      </c>
      <c r="E2711" t="s">
        <v>451</v>
      </c>
      <c r="F2711" t="s">
        <v>227</v>
      </c>
      <c r="G2711" t="s">
        <v>226</v>
      </c>
      <c r="H2711" t="s">
        <v>225</v>
      </c>
      <c r="I2711" t="s">
        <v>442</v>
      </c>
      <c r="J2711" t="s">
        <v>442</v>
      </c>
      <c r="K2711" s="4">
        <v>2151</v>
      </c>
      <c r="L2711" s="4">
        <v>2151</v>
      </c>
      <c r="M2711" t="s">
        <v>44</v>
      </c>
      <c r="N2711" t="s">
        <v>77</v>
      </c>
      <c r="O2711" t="s">
        <v>99</v>
      </c>
      <c r="P2711" t="s">
        <v>99</v>
      </c>
      <c r="Q2711" t="s">
        <v>159</v>
      </c>
      <c r="R2711" t="s">
        <v>228</v>
      </c>
      <c r="S2711" t="s">
        <v>197</v>
      </c>
      <c r="T2711" t="s">
        <v>198</v>
      </c>
      <c r="U2711" t="s">
        <v>163</v>
      </c>
      <c r="V2711" t="s">
        <v>186</v>
      </c>
      <c r="W2711" t="s">
        <v>116</v>
      </c>
      <c r="X2711" t="s">
        <v>166</v>
      </c>
      <c r="Y2711" t="s">
        <v>1606</v>
      </c>
      <c r="Z2711" t="s">
        <v>434</v>
      </c>
      <c r="AC2711" t="str">
        <f>IF(AA2711="",M2711,AA2711)</f>
        <v>sim</v>
      </c>
      <c r="AD2711" t="str">
        <f>IF(AB2711="",X2711,AB2711)</f>
        <v>não</v>
      </c>
      <c r="AE2711" t="str">
        <f>IF(OR(Configuracao!B9="",Configuracao!B10=""),"aguardando limiar",IF(AND(K2711&gt;=Configuracao!B9,K2711/MAX(Reconciliacao!C2,1)&gt;=Configuracao!B10/100),"sim","não"))</f>
        <v>aguardando limiar</v>
      </c>
    </row>
    <row r="2712" spans="1:31" x14ac:dyDescent="0.25">
      <c r="A2712">
        <v>12640</v>
      </c>
      <c r="C2712" t="s">
        <v>1607</v>
      </c>
      <c r="D2712" t="s">
        <v>1608</v>
      </c>
      <c r="E2712" t="s">
        <v>451</v>
      </c>
      <c r="F2712" t="s">
        <v>227</v>
      </c>
      <c r="G2712" t="s">
        <v>226</v>
      </c>
      <c r="H2712" t="s">
        <v>225</v>
      </c>
      <c r="I2712" t="s">
        <v>420</v>
      </c>
      <c r="J2712" t="s">
        <v>420</v>
      </c>
      <c r="K2712" s="4">
        <v>2285.8</v>
      </c>
      <c r="L2712" s="4">
        <v>2285.8</v>
      </c>
      <c r="M2712" t="s">
        <v>44</v>
      </c>
      <c r="N2712" t="s">
        <v>77</v>
      </c>
      <c r="O2712" t="s">
        <v>99</v>
      </c>
      <c r="P2712" t="s">
        <v>99</v>
      </c>
      <c r="Q2712" t="s">
        <v>159</v>
      </c>
      <c r="R2712" t="s">
        <v>228</v>
      </c>
      <c r="S2712" t="s">
        <v>197</v>
      </c>
      <c r="T2712" t="s">
        <v>198</v>
      </c>
      <c r="U2712" t="s">
        <v>163</v>
      </c>
      <c r="V2712" t="s">
        <v>186</v>
      </c>
      <c r="W2712" t="s">
        <v>116</v>
      </c>
      <c r="X2712" t="s">
        <v>166</v>
      </c>
      <c r="Y2712" t="s">
        <v>1609</v>
      </c>
      <c r="Z2712" t="s">
        <v>434</v>
      </c>
      <c r="AC2712" t="str">
        <f>IF(AA2712="",M2712,AA2712)</f>
        <v>sim</v>
      </c>
      <c r="AD2712" t="str">
        <f>IF(AB2712="",X2712,AB2712)</f>
        <v>não</v>
      </c>
      <c r="AE2712" t="str">
        <f>IF(OR(Configuracao!B9="",Configuracao!B10=""),"aguardando limiar",IF(AND(K2712&gt;=Configuracao!B9,K2712/MAX(Reconciliacao!C2,1)&gt;=Configuracao!B10/100),"sim","não"))</f>
        <v>aguardando limiar</v>
      </c>
    </row>
    <row r="2713" spans="1:31" x14ac:dyDescent="0.25">
      <c r="A2713">
        <v>7129</v>
      </c>
      <c r="C2713" t="s">
        <v>1610</v>
      </c>
      <c r="D2713" t="s">
        <v>1599</v>
      </c>
      <c r="E2713" t="s">
        <v>451</v>
      </c>
      <c r="F2713" t="s">
        <v>227</v>
      </c>
      <c r="G2713" t="s">
        <v>226</v>
      </c>
      <c r="H2713" t="s">
        <v>225</v>
      </c>
      <c r="I2713" t="s">
        <v>420</v>
      </c>
      <c r="J2713" t="s">
        <v>420</v>
      </c>
      <c r="K2713" s="4">
        <v>3520</v>
      </c>
      <c r="L2713" s="4">
        <v>3520</v>
      </c>
      <c r="M2713" t="s">
        <v>44</v>
      </c>
      <c r="N2713" t="s">
        <v>77</v>
      </c>
      <c r="O2713" t="s">
        <v>99</v>
      </c>
      <c r="P2713" t="s">
        <v>99</v>
      </c>
      <c r="Q2713" t="s">
        <v>159</v>
      </c>
      <c r="R2713" t="s">
        <v>228</v>
      </c>
      <c r="S2713" t="s">
        <v>197</v>
      </c>
      <c r="T2713" t="s">
        <v>198</v>
      </c>
      <c r="U2713" t="s">
        <v>163</v>
      </c>
      <c r="V2713" t="s">
        <v>186</v>
      </c>
      <c r="W2713" t="s">
        <v>116</v>
      </c>
      <c r="X2713" t="s">
        <v>166</v>
      </c>
      <c r="Y2713" t="s">
        <v>1606</v>
      </c>
      <c r="Z2713" t="s">
        <v>434</v>
      </c>
      <c r="AC2713" t="str">
        <f>IF(AA2713="",M2713,AA2713)</f>
        <v>sim</v>
      </c>
      <c r="AD2713" t="str">
        <f>IF(AB2713="",X2713,AB2713)</f>
        <v>não</v>
      </c>
      <c r="AE2713" t="str">
        <f>IF(OR(Configuracao!B9="",Configuracao!B10=""),"aguardando limiar",IF(AND(K2713&gt;=Configuracao!B9,K2713/MAX(Reconciliacao!C2,1)&gt;=Configuracao!B10/100),"sim","não"))</f>
        <v>aguardando limiar</v>
      </c>
    </row>
    <row r="2714" spans="1:31" x14ac:dyDescent="0.25">
      <c r="A2714">
        <v>7132</v>
      </c>
      <c r="C2714" t="s">
        <v>1610</v>
      </c>
      <c r="D2714" t="s">
        <v>1599</v>
      </c>
      <c r="E2714" t="s">
        <v>451</v>
      </c>
      <c r="F2714" t="s">
        <v>227</v>
      </c>
      <c r="G2714" t="s">
        <v>226</v>
      </c>
      <c r="H2714" t="s">
        <v>225</v>
      </c>
      <c r="I2714" t="s">
        <v>442</v>
      </c>
      <c r="J2714" t="s">
        <v>442</v>
      </c>
      <c r="K2714" s="4">
        <v>4000</v>
      </c>
      <c r="L2714" s="4">
        <v>4000</v>
      </c>
      <c r="M2714" t="s">
        <v>44</v>
      </c>
      <c r="N2714" t="s">
        <v>77</v>
      </c>
      <c r="O2714" t="s">
        <v>99</v>
      </c>
      <c r="P2714" t="s">
        <v>99</v>
      </c>
      <c r="Q2714" t="s">
        <v>159</v>
      </c>
      <c r="R2714" t="s">
        <v>228</v>
      </c>
      <c r="S2714" t="s">
        <v>197</v>
      </c>
      <c r="T2714" t="s">
        <v>198</v>
      </c>
      <c r="U2714" t="s">
        <v>163</v>
      </c>
      <c r="V2714" t="s">
        <v>186</v>
      </c>
      <c r="W2714" t="s">
        <v>116</v>
      </c>
      <c r="X2714" t="s">
        <v>166</v>
      </c>
      <c r="Y2714" t="s">
        <v>1606</v>
      </c>
      <c r="Z2714" t="s">
        <v>434</v>
      </c>
      <c r="AC2714" t="str">
        <f>IF(AA2714="",M2714,AA2714)</f>
        <v>sim</v>
      </c>
      <c r="AD2714" t="str">
        <f>IF(AB2714="",X2714,AB2714)</f>
        <v>não</v>
      </c>
      <c r="AE2714" t="str">
        <f>IF(OR(Configuracao!B9="",Configuracao!B10=""),"aguardando limiar",IF(AND(K2714&gt;=Configuracao!B9,K2714/MAX(Reconciliacao!C2,1)&gt;=Configuracao!B10/100),"sim","não"))</f>
        <v>aguardando limiar</v>
      </c>
    </row>
    <row r="2715" spans="1:31" x14ac:dyDescent="0.25">
      <c r="A2715">
        <v>7133</v>
      </c>
      <c r="C2715" t="s">
        <v>1610</v>
      </c>
      <c r="D2715" t="s">
        <v>1599</v>
      </c>
      <c r="E2715" t="s">
        <v>451</v>
      </c>
      <c r="F2715" t="s">
        <v>227</v>
      </c>
      <c r="G2715" t="s">
        <v>226</v>
      </c>
      <c r="H2715" t="s">
        <v>225</v>
      </c>
      <c r="I2715" t="s">
        <v>439</v>
      </c>
      <c r="J2715" t="s">
        <v>439</v>
      </c>
      <c r="K2715" s="4">
        <v>4000</v>
      </c>
      <c r="L2715" s="4">
        <v>4000</v>
      </c>
      <c r="M2715" t="s">
        <v>44</v>
      </c>
      <c r="N2715" t="s">
        <v>77</v>
      </c>
      <c r="O2715" t="s">
        <v>99</v>
      </c>
      <c r="P2715" t="s">
        <v>99</v>
      </c>
      <c r="Q2715" t="s">
        <v>159</v>
      </c>
      <c r="R2715" t="s">
        <v>228</v>
      </c>
      <c r="S2715" t="s">
        <v>197</v>
      </c>
      <c r="T2715" t="s">
        <v>198</v>
      </c>
      <c r="U2715" t="s">
        <v>163</v>
      </c>
      <c r="V2715" t="s">
        <v>186</v>
      </c>
      <c r="W2715" t="s">
        <v>116</v>
      </c>
      <c r="X2715" t="s">
        <v>166</v>
      </c>
      <c r="Y2715" t="s">
        <v>1606</v>
      </c>
      <c r="Z2715" t="s">
        <v>434</v>
      </c>
      <c r="AC2715" t="str">
        <f>IF(AA2715="",M2715,AA2715)</f>
        <v>sim</v>
      </c>
      <c r="AD2715" t="str">
        <f>IF(AB2715="",X2715,AB2715)</f>
        <v>não</v>
      </c>
      <c r="AE2715" t="str">
        <f>IF(OR(Configuracao!B9="",Configuracao!B10=""),"aguardando limiar",IF(AND(K2715&gt;=Configuracao!B9,K2715/MAX(Reconciliacao!C2,1)&gt;=Configuracao!B10/100),"sim","não"))</f>
        <v>aguardando limiar</v>
      </c>
    </row>
    <row r="2716" spans="1:31" x14ac:dyDescent="0.25">
      <c r="A2716">
        <v>7134</v>
      </c>
      <c r="C2716" t="s">
        <v>1610</v>
      </c>
      <c r="D2716" t="s">
        <v>1599</v>
      </c>
      <c r="E2716" t="s">
        <v>451</v>
      </c>
      <c r="F2716" t="s">
        <v>227</v>
      </c>
      <c r="G2716" t="s">
        <v>226</v>
      </c>
      <c r="H2716" t="s">
        <v>225</v>
      </c>
      <c r="I2716" t="s">
        <v>35</v>
      </c>
      <c r="J2716" t="s">
        <v>35</v>
      </c>
      <c r="K2716" s="4">
        <v>4000</v>
      </c>
      <c r="L2716" s="4">
        <v>4000</v>
      </c>
      <c r="M2716" t="s">
        <v>44</v>
      </c>
      <c r="N2716" t="s">
        <v>77</v>
      </c>
      <c r="O2716" t="s">
        <v>99</v>
      </c>
      <c r="P2716" t="s">
        <v>99</v>
      </c>
      <c r="Q2716" t="s">
        <v>159</v>
      </c>
      <c r="R2716" t="s">
        <v>228</v>
      </c>
      <c r="S2716" t="s">
        <v>197</v>
      </c>
      <c r="T2716" t="s">
        <v>198</v>
      </c>
      <c r="U2716" t="s">
        <v>163</v>
      </c>
      <c r="V2716" t="s">
        <v>186</v>
      </c>
      <c r="W2716" t="s">
        <v>116</v>
      </c>
      <c r="X2716" t="s">
        <v>166</v>
      </c>
      <c r="Y2716" t="s">
        <v>1606</v>
      </c>
      <c r="Z2716" t="s">
        <v>434</v>
      </c>
      <c r="AC2716" t="str">
        <f>IF(AA2716="",M2716,AA2716)</f>
        <v>sim</v>
      </c>
      <c r="AD2716" t="str">
        <f>IF(AB2716="",X2716,AB2716)</f>
        <v>não</v>
      </c>
      <c r="AE2716" t="str">
        <f>IF(OR(Configuracao!B9="",Configuracao!B10=""),"aguardando limiar",IF(AND(K2716&gt;=Configuracao!B9,K2716/MAX(Reconciliacao!C2,1)&gt;=Configuracao!B10/100),"sim","não"))</f>
        <v>aguardando limiar</v>
      </c>
    </row>
    <row r="2717" spans="1:31" x14ac:dyDescent="0.25">
      <c r="A2717">
        <v>7130</v>
      </c>
      <c r="C2717" t="s">
        <v>1610</v>
      </c>
      <c r="D2717" t="s">
        <v>1599</v>
      </c>
      <c r="E2717" t="s">
        <v>451</v>
      </c>
      <c r="F2717" t="s">
        <v>227</v>
      </c>
      <c r="G2717" t="s">
        <v>226</v>
      </c>
      <c r="H2717" t="s">
        <v>225</v>
      </c>
      <c r="I2717" t="s">
        <v>454</v>
      </c>
      <c r="J2717" t="s">
        <v>454</v>
      </c>
      <c r="K2717" s="4">
        <v>4080</v>
      </c>
      <c r="L2717" s="4">
        <v>4080</v>
      </c>
      <c r="M2717" t="s">
        <v>44</v>
      </c>
      <c r="N2717" t="s">
        <v>77</v>
      </c>
      <c r="O2717" t="s">
        <v>99</v>
      </c>
      <c r="P2717" t="s">
        <v>99</v>
      </c>
      <c r="Q2717" t="s">
        <v>159</v>
      </c>
      <c r="R2717" t="s">
        <v>228</v>
      </c>
      <c r="S2717" t="s">
        <v>197</v>
      </c>
      <c r="T2717" t="s">
        <v>198</v>
      </c>
      <c r="U2717" t="s">
        <v>163</v>
      </c>
      <c r="V2717" t="s">
        <v>186</v>
      </c>
      <c r="W2717" t="s">
        <v>116</v>
      </c>
      <c r="X2717" t="s">
        <v>166</v>
      </c>
      <c r="Y2717" t="s">
        <v>1606</v>
      </c>
      <c r="Z2717" t="s">
        <v>434</v>
      </c>
      <c r="AC2717" t="str">
        <f>IF(AA2717="",M2717,AA2717)</f>
        <v>sim</v>
      </c>
      <c r="AD2717" t="str">
        <f>IF(AB2717="",X2717,AB2717)</f>
        <v>não</v>
      </c>
      <c r="AE2717" t="str">
        <f>IF(OR(Configuracao!B9="",Configuracao!B10=""),"aguardando limiar",IF(AND(K2717&gt;=Configuracao!B9,K2717/MAX(Reconciliacao!C2,1)&gt;=Configuracao!B10/100),"sim","não"))</f>
        <v>aguardando limiar</v>
      </c>
    </row>
    <row r="2718" spans="1:31" x14ac:dyDescent="0.25">
      <c r="A2718">
        <v>7131</v>
      </c>
      <c r="C2718" t="s">
        <v>1610</v>
      </c>
      <c r="D2718" t="s">
        <v>1599</v>
      </c>
      <c r="E2718" t="s">
        <v>451</v>
      </c>
      <c r="F2718" t="s">
        <v>227</v>
      </c>
      <c r="G2718" t="s">
        <v>226</v>
      </c>
      <c r="H2718" t="s">
        <v>225</v>
      </c>
      <c r="I2718" t="s">
        <v>461</v>
      </c>
      <c r="J2718" t="s">
        <v>461</v>
      </c>
      <c r="K2718" s="4">
        <v>4080</v>
      </c>
      <c r="L2718" s="4">
        <v>4080</v>
      </c>
      <c r="M2718" t="s">
        <v>44</v>
      </c>
      <c r="N2718" t="s">
        <v>77</v>
      </c>
      <c r="O2718" t="s">
        <v>99</v>
      </c>
      <c r="P2718" t="s">
        <v>99</v>
      </c>
      <c r="Q2718" t="s">
        <v>159</v>
      </c>
      <c r="R2718" t="s">
        <v>228</v>
      </c>
      <c r="S2718" t="s">
        <v>197</v>
      </c>
      <c r="T2718" t="s">
        <v>198</v>
      </c>
      <c r="U2718" t="s">
        <v>163</v>
      </c>
      <c r="V2718" t="s">
        <v>186</v>
      </c>
      <c r="W2718" t="s">
        <v>116</v>
      </c>
      <c r="X2718" t="s">
        <v>166</v>
      </c>
      <c r="Y2718" t="s">
        <v>1606</v>
      </c>
      <c r="Z2718" t="s">
        <v>434</v>
      </c>
      <c r="AC2718" t="str">
        <f>IF(AA2718="",M2718,AA2718)</f>
        <v>sim</v>
      </c>
      <c r="AD2718" t="str">
        <f>IF(AB2718="",X2718,AB2718)</f>
        <v>não</v>
      </c>
      <c r="AE2718" t="str">
        <f>IF(OR(Configuracao!B9="",Configuracao!B10=""),"aguardando limiar",IF(AND(K2718&gt;=Configuracao!B9,K2718/MAX(Reconciliacao!C2,1)&gt;=Configuracao!B10/100),"sim","não"))</f>
        <v>aguardando limiar</v>
      </c>
    </row>
    <row r="2719" spans="1:31" x14ac:dyDescent="0.25">
      <c r="A2719">
        <v>7128</v>
      </c>
      <c r="C2719" t="s">
        <v>1610</v>
      </c>
      <c r="D2719" t="s">
        <v>1599</v>
      </c>
      <c r="E2719" t="s">
        <v>451</v>
      </c>
      <c r="F2719" t="s">
        <v>227</v>
      </c>
      <c r="G2719" t="s">
        <v>226</v>
      </c>
      <c r="H2719" t="s">
        <v>225</v>
      </c>
      <c r="I2719" t="s">
        <v>424</v>
      </c>
      <c r="J2719" t="s">
        <v>424</v>
      </c>
      <c r="K2719" s="4">
        <v>4560</v>
      </c>
      <c r="L2719" s="4">
        <v>4560</v>
      </c>
      <c r="M2719" t="s">
        <v>44</v>
      </c>
      <c r="N2719" t="s">
        <v>77</v>
      </c>
      <c r="O2719" t="s">
        <v>99</v>
      </c>
      <c r="P2719" t="s">
        <v>99</v>
      </c>
      <c r="Q2719" t="s">
        <v>159</v>
      </c>
      <c r="R2719" t="s">
        <v>228</v>
      </c>
      <c r="S2719" t="s">
        <v>197</v>
      </c>
      <c r="T2719" t="s">
        <v>198</v>
      </c>
      <c r="U2719" t="s">
        <v>163</v>
      </c>
      <c r="V2719" t="s">
        <v>186</v>
      </c>
      <c r="W2719" t="s">
        <v>116</v>
      </c>
      <c r="X2719" t="s">
        <v>166</v>
      </c>
      <c r="Y2719" t="s">
        <v>1606</v>
      </c>
      <c r="Z2719" t="s">
        <v>434</v>
      </c>
      <c r="AC2719" t="str">
        <f>IF(AA2719="",M2719,AA2719)</f>
        <v>sim</v>
      </c>
      <c r="AD2719" t="str">
        <f>IF(AB2719="",X2719,AB2719)</f>
        <v>não</v>
      </c>
      <c r="AE2719" t="str">
        <f>IF(OR(Configuracao!B9="",Configuracao!B10=""),"aguardando limiar",IF(AND(K2719&gt;=Configuracao!B9,K2719/MAX(Reconciliacao!C2,1)&gt;=Configuracao!B10/100),"sim","não"))</f>
        <v>aguardando limiar</v>
      </c>
    </row>
    <row r="2720" spans="1:31" x14ac:dyDescent="0.25">
      <c r="A2720">
        <v>12885</v>
      </c>
      <c r="C2720" t="s">
        <v>1611</v>
      </c>
      <c r="D2720" t="s">
        <v>1612</v>
      </c>
      <c r="E2720" t="s">
        <v>451</v>
      </c>
      <c r="F2720" t="s">
        <v>227</v>
      </c>
      <c r="G2720" t="s">
        <v>226</v>
      </c>
      <c r="H2720" t="s">
        <v>225</v>
      </c>
      <c r="I2720" t="s">
        <v>420</v>
      </c>
      <c r="J2720" t="s">
        <v>420</v>
      </c>
      <c r="K2720" s="4">
        <v>10000</v>
      </c>
      <c r="L2720" s="4">
        <v>10000</v>
      </c>
      <c r="M2720" t="s">
        <v>44</v>
      </c>
      <c r="N2720" t="s">
        <v>77</v>
      </c>
      <c r="O2720" t="s">
        <v>99</v>
      </c>
      <c r="P2720" t="s">
        <v>99</v>
      </c>
      <c r="Q2720" t="s">
        <v>159</v>
      </c>
      <c r="R2720" t="s">
        <v>228</v>
      </c>
      <c r="S2720" t="s">
        <v>197</v>
      </c>
      <c r="T2720" t="s">
        <v>198</v>
      </c>
      <c r="U2720" t="s">
        <v>163</v>
      </c>
      <c r="V2720" t="s">
        <v>186</v>
      </c>
      <c r="W2720" t="s">
        <v>116</v>
      </c>
      <c r="X2720" t="s">
        <v>166</v>
      </c>
      <c r="Y2720" t="s">
        <v>1606</v>
      </c>
      <c r="Z2720" t="s">
        <v>434</v>
      </c>
      <c r="AC2720" t="str">
        <f>IF(AA2720="",M2720,AA2720)</f>
        <v>sim</v>
      </c>
      <c r="AD2720" t="str">
        <f>IF(AB2720="",X2720,AB2720)</f>
        <v>não</v>
      </c>
      <c r="AE2720" t="str">
        <f>IF(OR(Configuracao!B9="",Configuracao!B10=""),"aguardando limiar",IF(AND(K2720&gt;=Configuracao!B9,K2720/MAX(Reconciliacao!C2,1)&gt;=Configuracao!B10/100),"sim","não"))</f>
        <v>aguardando limiar</v>
      </c>
    </row>
    <row r="2721" spans="1:31" x14ac:dyDescent="0.25">
      <c r="A2721">
        <v>12886</v>
      </c>
      <c r="C2721" t="s">
        <v>1611</v>
      </c>
      <c r="D2721" t="s">
        <v>1612</v>
      </c>
      <c r="E2721" t="s">
        <v>451</v>
      </c>
      <c r="F2721" t="s">
        <v>227</v>
      </c>
      <c r="G2721" t="s">
        <v>226</v>
      </c>
      <c r="H2721" t="s">
        <v>225</v>
      </c>
      <c r="I2721" t="s">
        <v>420</v>
      </c>
      <c r="J2721" t="s">
        <v>459</v>
      </c>
      <c r="K2721" s="4">
        <v>10000</v>
      </c>
      <c r="L2721" s="4">
        <v>0</v>
      </c>
      <c r="M2721" t="s">
        <v>44</v>
      </c>
      <c r="N2721" t="s">
        <v>77</v>
      </c>
      <c r="O2721" t="s">
        <v>99</v>
      </c>
      <c r="P2721" t="s">
        <v>99</v>
      </c>
      <c r="Q2721" t="s">
        <v>159</v>
      </c>
      <c r="R2721" t="s">
        <v>228</v>
      </c>
      <c r="S2721" t="s">
        <v>197</v>
      </c>
      <c r="T2721" t="s">
        <v>198</v>
      </c>
      <c r="U2721" t="s">
        <v>163</v>
      </c>
      <c r="V2721" t="s">
        <v>186</v>
      </c>
      <c r="W2721" t="s">
        <v>116</v>
      </c>
      <c r="X2721" t="s">
        <v>166</v>
      </c>
      <c r="Y2721" t="s">
        <v>1606</v>
      </c>
      <c r="Z2721" t="s">
        <v>434</v>
      </c>
      <c r="AC2721" t="str">
        <f>IF(AA2721="",M2721,AA2721)</f>
        <v>sim</v>
      </c>
      <c r="AD2721" t="str">
        <f>IF(AB2721="",X2721,AB2721)</f>
        <v>não</v>
      </c>
      <c r="AE2721" t="str">
        <f>IF(OR(Configuracao!B9="",Configuracao!B10=""),"aguardando limiar",IF(AND(K2721&gt;=Configuracao!B9,K2721/MAX(Reconciliacao!C2,1)&gt;=Configuracao!B10/100),"sim","não"))</f>
        <v>aguardando limiar</v>
      </c>
    </row>
    <row r="2722" spans="1:31" x14ac:dyDescent="0.25">
      <c r="A2722">
        <v>13425</v>
      </c>
      <c r="C2722" t="s">
        <v>1613</v>
      </c>
      <c r="D2722" t="s">
        <v>830</v>
      </c>
      <c r="E2722" t="s">
        <v>451</v>
      </c>
      <c r="F2722" t="s">
        <v>227</v>
      </c>
      <c r="G2722" t="s">
        <v>265</v>
      </c>
      <c r="H2722" t="s">
        <v>264</v>
      </c>
      <c r="I2722" t="s">
        <v>454</v>
      </c>
      <c r="J2722" t="s">
        <v>454</v>
      </c>
      <c r="K2722" s="4">
        <v>39</v>
      </c>
      <c r="L2722" s="4">
        <v>39</v>
      </c>
      <c r="M2722" t="s">
        <v>44</v>
      </c>
      <c r="N2722" t="s">
        <v>77</v>
      </c>
      <c r="O2722" t="s">
        <v>99</v>
      </c>
      <c r="P2722" t="s">
        <v>99</v>
      </c>
      <c r="Q2722" t="s">
        <v>159</v>
      </c>
      <c r="R2722" t="s">
        <v>228</v>
      </c>
      <c r="S2722" t="s">
        <v>197</v>
      </c>
      <c r="T2722" t="s">
        <v>198</v>
      </c>
      <c r="U2722" t="s">
        <v>163</v>
      </c>
      <c r="V2722" t="s">
        <v>186</v>
      </c>
      <c r="W2722" t="s">
        <v>116</v>
      </c>
      <c r="X2722" t="s">
        <v>44</v>
      </c>
      <c r="Y2722" t="s">
        <v>99</v>
      </c>
      <c r="Z2722" t="s">
        <v>421</v>
      </c>
      <c r="AC2722" t="str">
        <f>IF(AA2722="",M2722,AA2722)</f>
        <v>sim</v>
      </c>
      <c r="AD2722" t="str">
        <f>IF(AB2722="",X2722,AB2722)</f>
        <v>sim</v>
      </c>
      <c r="AE2722" t="str">
        <f>IF(OR(Configuracao!B9="",Configuracao!B10=""),"aguardando limiar",IF(AND(K2722&gt;=Configuracao!B9,K2722/MAX(Reconciliacao!C2,1)&gt;=Configuracao!B10/100),"sim","não"))</f>
        <v>aguardando limiar</v>
      </c>
    </row>
    <row r="2723" spans="1:31" x14ac:dyDescent="0.25">
      <c r="A2723">
        <v>15927</v>
      </c>
      <c r="C2723" t="s">
        <v>1614</v>
      </c>
      <c r="D2723" t="s">
        <v>830</v>
      </c>
      <c r="E2723" t="s">
        <v>451</v>
      </c>
      <c r="F2723" t="s">
        <v>227</v>
      </c>
      <c r="G2723" t="s">
        <v>265</v>
      </c>
      <c r="H2723" t="s">
        <v>264</v>
      </c>
      <c r="I2723" t="s">
        <v>461</v>
      </c>
      <c r="J2723" t="s">
        <v>461</v>
      </c>
      <c r="K2723" s="4">
        <v>40</v>
      </c>
      <c r="L2723" s="4">
        <v>40</v>
      </c>
      <c r="M2723" t="s">
        <v>44</v>
      </c>
      <c r="N2723" t="s">
        <v>77</v>
      </c>
      <c r="O2723" t="s">
        <v>99</v>
      </c>
      <c r="P2723" t="s">
        <v>99</v>
      </c>
      <c r="Q2723" t="s">
        <v>159</v>
      </c>
      <c r="R2723" t="s">
        <v>228</v>
      </c>
      <c r="S2723" t="s">
        <v>197</v>
      </c>
      <c r="T2723" t="s">
        <v>198</v>
      </c>
      <c r="U2723" t="s">
        <v>163</v>
      </c>
      <c r="V2723" t="s">
        <v>186</v>
      </c>
      <c r="W2723" t="s">
        <v>116</v>
      </c>
      <c r="X2723" t="s">
        <v>44</v>
      </c>
      <c r="Y2723" t="s">
        <v>99</v>
      </c>
      <c r="Z2723" t="s">
        <v>421</v>
      </c>
      <c r="AC2723" t="str">
        <f>IF(AA2723="",M2723,AA2723)</f>
        <v>sim</v>
      </c>
      <c r="AD2723" t="str">
        <f>IF(AB2723="",X2723,AB2723)</f>
        <v>sim</v>
      </c>
      <c r="AE2723" t="str">
        <f>IF(OR(Configuracao!B9="",Configuracao!B10=""),"aguardando limiar",IF(AND(K2723&gt;=Configuracao!B9,K2723/MAX(Reconciliacao!C2,1)&gt;=Configuracao!B10/100),"sim","não"))</f>
        <v>aguardando limiar</v>
      </c>
    </row>
    <row r="2724" spans="1:31" x14ac:dyDescent="0.25">
      <c r="A2724">
        <v>19132</v>
      </c>
      <c r="C2724" t="s">
        <v>1615</v>
      </c>
      <c r="D2724" t="s">
        <v>1440</v>
      </c>
      <c r="E2724" t="s">
        <v>451</v>
      </c>
      <c r="F2724" t="s">
        <v>227</v>
      </c>
      <c r="G2724" t="s">
        <v>265</v>
      </c>
      <c r="H2724" t="s">
        <v>264</v>
      </c>
      <c r="I2724" t="s">
        <v>35</v>
      </c>
      <c r="J2724" t="s">
        <v>35</v>
      </c>
      <c r="K2724" s="4">
        <v>75.34</v>
      </c>
      <c r="L2724" s="4">
        <v>75.34</v>
      </c>
      <c r="M2724" t="s">
        <v>44</v>
      </c>
      <c r="N2724" t="s">
        <v>77</v>
      </c>
      <c r="O2724" t="s">
        <v>99</v>
      </c>
      <c r="P2724" t="s">
        <v>99</v>
      </c>
      <c r="Q2724" t="s">
        <v>159</v>
      </c>
      <c r="R2724" t="s">
        <v>228</v>
      </c>
      <c r="S2724" t="s">
        <v>197</v>
      </c>
      <c r="T2724" t="s">
        <v>198</v>
      </c>
      <c r="U2724" t="s">
        <v>163</v>
      </c>
      <c r="V2724" t="s">
        <v>186</v>
      </c>
      <c r="W2724" t="s">
        <v>116</v>
      </c>
      <c r="X2724" t="s">
        <v>44</v>
      </c>
      <c r="Y2724" t="s">
        <v>99</v>
      </c>
      <c r="Z2724" t="s">
        <v>421</v>
      </c>
      <c r="AC2724" t="str">
        <f>IF(AA2724="",M2724,AA2724)</f>
        <v>sim</v>
      </c>
      <c r="AD2724" t="str">
        <f>IF(AB2724="",X2724,AB2724)</f>
        <v>sim</v>
      </c>
      <c r="AE2724" t="str">
        <f>IF(OR(Configuracao!B9="",Configuracao!B10=""),"aguardando limiar",IF(AND(K2724&gt;=Configuracao!B9,K2724/MAX(Reconciliacao!C2,1)&gt;=Configuracao!B10/100),"sim","não"))</f>
        <v>aguardando limiar</v>
      </c>
    </row>
    <row r="2725" spans="1:31" x14ac:dyDescent="0.25">
      <c r="A2725">
        <v>12409</v>
      </c>
      <c r="C2725" t="s">
        <v>1616</v>
      </c>
      <c r="D2725" t="s">
        <v>830</v>
      </c>
      <c r="E2725" t="s">
        <v>451</v>
      </c>
      <c r="F2725" t="s">
        <v>227</v>
      </c>
      <c r="G2725" t="s">
        <v>265</v>
      </c>
      <c r="H2725" t="s">
        <v>264</v>
      </c>
      <c r="I2725" t="s">
        <v>420</v>
      </c>
      <c r="J2725" t="s">
        <v>420</v>
      </c>
      <c r="K2725" s="4">
        <v>98</v>
      </c>
      <c r="L2725" s="4">
        <v>98</v>
      </c>
      <c r="M2725" t="s">
        <v>44</v>
      </c>
      <c r="N2725" t="s">
        <v>77</v>
      </c>
      <c r="O2725" t="s">
        <v>99</v>
      </c>
      <c r="P2725" t="s">
        <v>99</v>
      </c>
      <c r="Q2725" t="s">
        <v>159</v>
      </c>
      <c r="R2725" t="s">
        <v>228</v>
      </c>
      <c r="S2725" t="s">
        <v>197</v>
      </c>
      <c r="T2725" t="s">
        <v>198</v>
      </c>
      <c r="U2725" t="s">
        <v>163</v>
      </c>
      <c r="V2725" t="s">
        <v>186</v>
      </c>
      <c r="W2725" t="s">
        <v>116</v>
      </c>
      <c r="X2725" t="s">
        <v>44</v>
      </c>
      <c r="Y2725" t="s">
        <v>99</v>
      </c>
      <c r="Z2725" t="s">
        <v>421</v>
      </c>
      <c r="AC2725" t="str">
        <f>IF(AA2725="",M2725,AA2725)</f>
        <v>sim</v>
      </c>
      <c r="AD2725" t="str">
        <f>IF(AB2725="",X2725,AB2725)</f>
        <v>sim</v>
      </c>
      <c r="AE2725" t="str">
        <f>IF(OR(Configuracao!B9="",Configuracao!B10=""),"aguardando limiar",IF(AND(K2725&gt;=Configuracao!B9,K2725/MAX(Reconciliacao!C2,1)&gt;=Configuracao!B10/100),"sim","não"))</f>
        <v>aguardando limiar</v>
      </c>
    </row>
    <row r="2726" spans="1:31" x14ac:dyDescent="0.25">
      <c r="A2726">
        <v>18473</v>
      </c>
      <c r="C2726" t="s">
        <v>1617</v>
      </c>
      <c r="D2726" t="s">
        <v>1618</v>
      </c>
      <c r="E2726" t="s">
        <v>451</v>
      </c>
      <c r="F2726" t="s">
        <v>227</v>
      </c>
      <c r="G2726" t="s">
        <v>265</v>
      </c>
      <c r="H2726" t="s">
        <v>264</v>
      </c>
      <c r="I2726" t="s">
        <v>439</v>
      </c>
      <c r="J2726" t="s">
        <v>439</v>
      </c>
      <c r="K2726" s="4">
        <v>107</v>
      </c>
      <c r="L2726" s="4">
        <v>107</v>
      </c>
      <c r="M2726" t="s">
        <v>44</v>
      </c>
      <c r="N2726" t="s">
        <v>77</v>
      </c>
      <c r="O2726" t="s">
        <v>99</v>
      </c>
      <c r="P2726" t="s">
        <v>99</v>
      </c>
      <c r="Q2726" t="s">
        <v>159</v>
      </c>
      <c r="R2726" t="s">
        <v>228</v>
      </c>
      <c r="S2726" t="s">
        <v>197</v>
      </c>
      <c r="T2726" t="s">
        <v>198</v>
      </c>
      <c r="U2726" t="s">
        <v>163</v>
      </c>
      <c r="V2726" t="s">
        <v>186</v>
      </c>
      <c r="W2726" t="s">
        <v>116</v>
      </c>
      <c r="X2726" t="s">
        <v>44</v>
      </c>
      <c r="Y2726" t="s">
        <v>99</v>
      </c>
      <c r="Z2726" t="s">
        <v>421</v>
      </c>
      <c r="AC2726" t="str">
        <f>IF(AA2726="",M2726,AA2726)</f>
        <v>sim</v>
      </c>
      <c r="AD2726" t="str">
        <f>IF(AB2726="",X2726,AB2726)</f>
        <v>sim</v>
      </c>
      <c r="AE2726" t="str">
        <f>IF(OR(Configuracao!B9="",Configuracao!B10=""),"aguardando limiar",IF(AND(K2726&gt;=Configuracao!B9,K2726/MAX(Reconciliacao!C2,1)&gt;=Configuracao!B10/100),"sim","não"))</f>
        <v>aguardando limiar</v>
      </c>
    </row>
    <row r="2727" spans="1:31" x14ac:dyDescent="0.25">
      <c r="A2727">
        <v>15850</v>
      </c>
      <c r="C2727" t="s">
        <v>1619</v>
      </c>
      <c r="D2727" t="s">
        <v>830</v>
      </c>
      <c r="E2727" t="s">
        <v>451</v>
      </c>
      <c r="F2727" t="s">
        <v>227</v>
      </c>
      <c r="G2727" t="s">
        <v>265</v>
      </c>
      <c r="H2727" t="s">
        <v>264</v>
      </c>
      <c r="I2727" t="s">
        <v>461</v>
      </c>
      <c r="J2727" t="s">
        <v>461</v>
      </c>
      <c r="K2727" s="4">
        <v>118</v>
      </c>
      <c r="L2727" s="4">
        <v>118</v>
      </c>
      <c r="M2727" t="s">
        <v>44</v>
      </c>
      <c r="N2727" t="s">
        <v>77</v>
      </c>
      <c r="O2727" t="s">
        <v>99</v>
      </c>
      <c r="P2727" t="s">
        <v>99</v>
      </c>
      <c r="Q2727" t="s">
        <v>159</v>
      </c>
      <c r="R2727" t="s">
        <v>228</v>
      </c>
      <c r="S2727" t="s">
        <v>197</v>
      </c>
      <c r="T2727" t="s">
        <v>198</v>
      </c>
      <c r="U2727" t="s">
        <v>163</v>
      </c>
      <c r="V2727" t="s">
        <v>186</v>
      </c>
      <c r="W2727" t="s">
        <v>116</v>
      </c>
      <c r="X2727" t="s">
        <v>44</v>
      </c>
      <c r="Y2727" t="s">
        <v>99</v>
      </c>
      <c r="Z2727" t="s">
        <v>421</v>
      </c>
      <c r="AC2727" t="str">
        <f>IF(AA2727="",M2727,AA2727)</f>
        <v>sim</v>
      </c>
      <c r="AD2727" t="str">
        <f>IF(AB2727="",X2727,AB2727)</f>
        <v>sim</v>
      </c>
      <c r="AE2727" t="str">
        <f>IF(OR(Configuracao!B9="",Configuracao!B10=""),"aguardando limiar",IF(AND(K2727&gt;=Configuracao!B9,K2727/MAX(Reconciliacao!C2,1)&gt;=Configuracao!B10/100),"sim","não"))</f>
        <v>aguardando limiar</v>
      </c>
    </row>
    <row r="2728" spans="1:31" x14ac:dyDescent="0.25">
      <c r="A2728">
        <v>18632</v>
      </c>
      <c r="C2728" t="s">
        <v>1620</v>
      </c>
      <c r="D2728" t="s">
        <v>1621</v>
      </c>
      <c r="E2728" t="s">
        <v>451</v>
      </c>
      <c r="F2728" t="s">
        <v>227</v>
      </c>
      <c r="G2728" t="s">
        <v>265</v>
      </c>
      <c r="H2728" t="s">
        <v>264</v>
      </c>
      <c r="I2728" t="s">
        <v>35</v>
      </c>
      <c r="J2728" t="s">
        <v>35</v>
      </c>
      <c r="K2728" s="4">
        <v>126</v>
      </c>
      <c r="L2728" s="4">
        <v>126</v>
      </c>
      <c r="M2728" t="s">
        <v>44</v>
      </c>
      <c r="N2728" t="s">
        <v>77</v>
      </c>
      <c r="O2728" t="s">
        <v>99</v>
      </c>
      <c r="P2728" t="s">
        <v>99</v>
      </c>
      <c r="Q2728" t="s">
        <v>159</v>
      </c>
      <c r="R2728" t="s">
        <v>228</v>
      </c>
      <c r="S2728" t="s">
        <v>197</v>
      </c>
      <c r="T2728" t="s">
        <v>198</v>
      </c>
      <c r="U2728" t="s">
        <v>163</v>
      </c>
      <c r="V2728" t="s">
        <v>186</v>
      </c>
      <c r="W2728" t="s">
        <v>116</v>
      </c>
      <c r="X2728" t="s">
        <v>44</v>
      </c>
      <c r="Y2728" t="s">
        <v>99</v>
      </c>
      <c r="Z2728" t="s">
        <v>421</v>
      </c>
      <c r="AC2728" t="str">
        <f>IF(AA2728="",M2728,AA2728)</f>
        <v>sim</v>
      </c>
      <c r="AD2728" t="str">
        <f>IF(AB2728="",X2728,AB2728)</f>
        <v>sim</v>
      </c>
      <c r="AE2728" t="str">
        <f>IF(OR(Configuracao!B9="",Configuracao!B10=""),"aguardando limiar",IF(AND(K2728&gt;=Configuracao!B9,K2728/MAX(Reconciliacao!C2,1)&gt;=Configuracao!B10/100),"sim","não"))</f>
        <v>aguardando limiar</v>
      </c>
    </row>
    <row r="2729" spans="1:31" x14ac:dyDescent="0.25">
      <c r="A2729">
        <v>13357</v>
      </c>
      <c r="C2729" t="s">
        <v>1622</v>
      </c>
      <c r="D2729" t="s">
        <v>830</v>
      </c>
      <c r="E2729" t="s">
        <v>451</v>
      </c>
      <c r="F2729" t="s">
        <v>227</v>
      </c>
      <c r="G2729" t="s">
        <v>265</v>
      </c>
      <c r="H2729" t="s">
        <v>264</v>
      </c>
      <c r="I2729" t="s">
        <v>420</v>
      </c>
      <c r="J2729" t="s">
        <v>420</v>
      </c>
      <c r="K2729" s="4">
        <v>198</v>
      </c>
      <c r="L2729" s="4">
        <v>198</v>
      </c>
      <c r="M2729" t="s">
        <v>44</v>
      </c>
      <c r="N2729" t="s">
        <v>77</v>
      </c>
      <c r="O2729" t="s">
        <v>99</v>
      </c>
      <c r="P2729" t="s">
        <v>99</v>
      </c>
      <c r="Q2729" t="s">
        <v>159</v>
      </c>
      <c r="R2729" t="s">
        <v>228</v>
      </c>
      <c r="S2729" t="s">
        <v>197</v>
      </c>
      <c r="T2729" t="s">
        <v>198</v>
      </c>
      <c r="U2729" t="s">
        <v>163</v>
      </c>
      <c r="V2729" t="s">
        <v>186</v>
      </c>
      <c r="W2729" t="s">
        <v>116</v>
      </c>
      <c r="X2729" t="s">
        <v>44</v>
      </c>
      <c r="Y2729" t="s">
        <v>99</v>
      </c>
      <c r="Z2729" t="s">
        <v>421</v>
      </c>
      <c r="AC2729" t="str">
        <f>IF(AA2729="",M2729,AA2729)</f>
        <v>sim</v>
      </c>
      <c r="AD2729" t="str">
        <f>IF(AB2729="",X2729,AB2729)</f>
        <v>sim</v>
      </c>
      <c r="AE2729" t="str">
        <f>IF(OR(Configuracao!B9="",Configuracao!B10=""),"aguardando limiar",IF(AND(K2729&gt;=Configuracao!B9,K2729/MAX(Reconciliacao!C2,1)&gt;=Configuracao!B10/100),"sim","não"))</f>
        <v>aguardando limiar</v>
      </c>
    </row>
    <row r="2730" spans="1:31" x14ac:dyDescent="0.25">
      <c r="A2730">
        <v>18601</v>
      </c>
      <c r="C2730" t="s">
        <v>1623</v>
      </c>
      <c r="D2730" t="s">
        <v>450</v>
      </c>
      <c r="E2730" t="s">
        <v>451</v>
      </c>
      <c r="F2730" t="s">
        <v>227</v>
      </c>
      <c r="G2730" t="s">
        <v>265</v>
      </c>
      <c r="H2730" t="s">
        <v>264</v>
      </c>
      <c r="I2730" t="s">
        <v>35</v>
      </c>
      <c r="J2730" t="s">
        <v>35</v>
      </c>
      <c r="K2730" s="4">
        <v>223.99</v>
      </c>
      <c r="L2730" s="4">
        <v>223.99</v>
      </c>
      <c r="M2730" t="s">
        <v>44</v>
      </c>
      <c r="N2730" t="s">
        <v>77</v>
      </c>
      <c r="O2730" t="s">
        <v>99</v>
      </c>
      <c r="P2730" t="s">
        <v>99</v>
      </c>
      <c r="Q2730" t="s">
        <v>159</v>
      </c>
      <c r="R2730" t="s">
        <v>228</v>
      </c>
      <c r="S2730" t="s">
        <v>197</v>
      </c>
      <c r="T2730" t="s">
        <v>198</v>
      </c>
      <c r="U2730" t="s">
        <v>163</v>
      </c>
      <c r="V2730" t="s">
        <v>186</v>
      </c>
      <c r="W2730" t="s">
        <v>116</v>
      </c>
      <c r="X2730" t="s">
        <v>44</v>
      </c>
      <c r="Y2730" t="s">
        <v>99</v>
      </c>
      <c r="Z2730" t="s">
        <v>421</v>
      </c>
      <c r="AC2730" t="str">
        <f>IF(AA2730="",M2730,AA2730)</f>
        <v>sim</v>
      </c>
      <c r="AD2730" t="str">
        <f>IF(AB2730="",X2730,AB2730)</f>
        <v>sim</v>
      </c>
      <c r="AE2730" t="str">
        <f>IF(OR(Configuracao!B9="",Configuracao!B10=""),"aguardando limiar",IF(AND(K2730&gt;=Configuracao!B9,K2730/MAX(Reconciliacao!C2,1)&gt;=Configuracao!B10/100),"sim","não"))</f>
        <v>aguardando limiar</v>
      </c>
    </row>
    <row r="2731" spans="1:31" x14ac:dyDescent="0.25">
      <c r="A2731">
        <v>14941</v>
      </c>
      <c r="C2731" t="s">
        <v>1624</v>
      </c>
      <c r="D2731" t="s">
        <v>1625</v>
      </c>
      <c r="E2731" t="s">
        <v>451</v>
      </c>
      <c r="F2731" t="s">
        <v>227</v>
      </c>
      <c r="G2731" t="s">
        <v>265</v>
      </c>
      <c r="H2731" t="s">
        <v>264</v>
      </c>
      <c r="I2731" t="s">
        <v>454</v>
      </c>
      <c r="J2731" t="s">
        <v>454</v>
      </c>
      <c r="K2731" s="4">
        <v>236.9</v>
      </c>
      <c r="L2731" s="4">
        <v>236.9</v>
      </c>
      <c r="M2731" t="s">
        <v>44</v>
      </c>
      <c r="N2731" t="s">
        <v>77</v>
      </c>
      <c r="O2731" t="s">
        <v>99</v>
      </c>
      <c r="P2731" t="s">
        <v>99</v>
      </c>
      <c r="Q2731" t="s">
        <v>159</v>
      </c>
      <c r="R2731" t="s">
        <v>228</v>
      </c>
      <c r="S2731" t="s">
        <v>197</v>
      </c>
      <c r="T2731" t="s">
        <v>198</v>
      </c>
      <c r="U2731" t="s">
        <v>163</v>
      </c>
      <c r="V2731" t="s">
        <v>186</v>
      </c>
      <c r="W2731" t="s">
        <v>116</v>
      </c>
      <c r="X2731" t="s">
        <v>44</v>
      </c>
      <c r="Y2731" t="s">
        <v>99</v>
      </c>
      <c r="Z2731" t="s">
        <v>421</v>
      </c>
      <c r="AC2731" t="str">
        <f>IF(AA2731="",M2731,AA2731)</f>
        <v>sim</v>
      </c>
      <c r="AD2731" t="str">
        <f>IF(AB2731="",X2731,AB2731)</f>
        <v>sim</v>
      </c>
      <c r="AE2731" t="str">
        <f>IF(OR(Configuracao!B9="",Configuracao!B10=""),"aguardando limiar",IF(AND(K2731&gt;=Configuracao!B9,K2731/MAX(Reconciliacao!C2,1)&gt;=Configuracao!B10/100),"sim","não"))</f>
        <v>aguardando limiar</v>
      </c>
    </row>
    <row r="2732" spans="1:31" x14ac:dyDescent="0.25">
      <c r="A2732">
        <v>13428</v>
      </c>
      <c r="C2732" t="s">
        <v>1626</v>
      </c>
      <c r="D2732" t="s">
        <v>597</v>
      </c>
      <c r="E2732" t="s">
        <v>451</v>
      </c>
      <c r="F2732" t="s">
        <v>227</v>
      </c>
      <c r="G2732" t="s">
        <v>265</v>
      </c>
      <c r="H2732" t="s">
        <v>264</v>
      </c>
      <c r="I2732" t="s">
        <v>454</v>
      </c>
      <c r="J2732" t="s">
        <v>454</v>
      </c>
      <c r="K2732" s="4">
        <v>287.6</v>
      </c>
      <c r="L2732" s="4">
        <v>287.6</v>
      </c>
      <c r="M2732" t="s">
        <v>44</v>
      </c>
      <c r="N2732" t="s">
        <v>77</v>
      </c>
      <c r="O2732" t="s">
        <v>99</v>
      </c>
      <c r="P2732" t="s">
        <v>99</v>
      </c>
      <c r="Q2732" t="s">
        <v>159</v>
      </c>
      <c r="R2732" t="s">
        <v>228</v>
      </c>
      <c r="S2732" t="s">
        <v>197</v>
      </c>
      <c r="T2732" t="s">
        <v>198</v>
      </c>
      <c r="U2732" t="s">
        <v>163</v>
      </c>
      <c r="V2732" t="s">
        <v>186</v>
      </c>
      <c r="W2732" t="s">
        <v>116</v>
      </c>
      <c r="X2732" t="s">
        <v>44</v>
      </c>
      <c r="Y2732" t="s">
        <v>99</v>
      </c>
      <c r="Z2732" t="s">
        <v>421</v>
      </c>
      <c r="AC2732" t="str">
        <f>IF(AA2732="",M2732,AA2732)</f>
        <v>sim</v>
      </c>
      <c r="AD2732" t="str">
        <f>IF(AB2732="",X2732,AB2732)</f>
        <v>sim</v>
      </c>
      <c r="AE2732" t="str">
        <f>IF(OR(Configuracao!B9="",Configuracao!B10=""),"aguardando limiar",IF(AND(K2732&gt;=Configuracao!B9,K2732/MAX(Reconciliacao!C2,1)&gt;=Configuracao!B10/100),"sim","não"))</f>
        <v>aguardando limiar</v>
      </c>
    </row>
    <row r="2733" spans="1:31" x14ac:dyDescent="0.25">
      <c r="A2733">
        <v>12200</v>
      </c>
      <c r="C2733" t="s">
        <v>1627</v>
      </c>
      <c r="D2733" t="s">
        <v>1628</v>
      </c>
      <c r="E2733" t="s">
        <v>451</v>
      </c>
      <c r="F2733" t="s">
        <v>227</v>
      </c>
      <c r="G2733" t="s">
        <v>265</v>
      </c>
      <c r="H2733" t="s">
        <v>264</v>
      </c>
      <c r="I2733" t="s">
        <v>424</v>
      </c>
      <c r="J2733" t="s">
        <v>424</v>
      </c>
      <c r="K2733" s="4">
        <v>505.33</v>
      </c>
      <c r="L2733" s="4">
        <v>505.33</v>
      </c>
      <c r="M2733" t="s">
        <v>44</v>
      </c>
      <c r="N2733" t="s">
        <v>77</v>
      </c>
      <c r="O2733" t="s">
        <v>99</v>
      </c>
      <c r="P2733" t="s">
        <v>99</v>
      </c>
      <c r="Q2733" t="s">
        <v>159</v>
      </c>
      <c r="R2733" t="s">
        <v>228</v>
      </c>
      <c r="S2733" t="s">
        <v>197</v>
      </c>
      <c r="T2733" t="s">
        <v>198</v>
      </c>
      <c r="U2733" t="s">
        <v>163</v>
      </c>
      <c r="V2733" t="s">
        <v>186</v>
      </c>
      <c r="W2733" t="s">
        <v>116</v>
      </c>
      <c r="X2733" t="s">
        <v>44</v>
      </c>
      <c r="Y2733" t="s">
        <v>99</v>
      </c>
      <c r="Z2733" t="s">
        <v>421</v>
      </c>
      <c r="AC2733" t="str">
        <f>IF(AA2733="",M2733,AA2733)</f>
        <v>sim</v>
      </c>
      <c r="AD2733" t="str">
        <f>IF(AB2733="",X2733,AB2733)</f>
        <v>sim</v>
      </c>
      <c r="AE2733" t="str">
        <f>IF(OR(Configuracao!B9="",Configuracao!B10=""),"aguardando limiar",IF(AND(K2733&gt;=Configuracao!B9,K2733/MAX(Reconciliacao!C2,1)&gt;=Configuracao!B10/100),"sim","não"))</f>
        <v>aguardando limiar</v>
      </c>
    </row>
    <row r="2734" spans="1:31" x14ac:dyDescent="0.25">
      <c r="A2734">
        <v>12201</v>
      </c>
      <c r="C2734" t="s">
        <v>1627</v>
      </c>
      <c r="D2734" t="s">
        <v>1628</v>
      </c>
      <c r="E2734" t="s">
        <v>451</v>
      </c>
      <c r="F2734" t="s">
        <v>227</v>
      </c>
      <c r="G2734" t="s">
        <v>265</v>
      </c>
      <c r="H2734" t="s">
        <v>264</v>
      </c>
      <c r="I2734" t="s">
        <v>424</v>
      </c>
      <c r="J2734" t="s">
        <v>420</v>
      </c>
      <c r="K2734" s="4">
        <v>505.33</v>
      </c>
      <c r="L2734" s="4">
        <v>505.33</v>
      </c>
      <c r="M2734" t="s">
        <v>44</v>
      </c>
      <c r="N2734" t="s">
        <v>77</v>
      </c>
      <c r="O2734" t="s">
        <v>99</v>
      </c>
      <c r="P2734" t="s">
        <v>99</v>
      </c>
      <c r="Q2734" t="s">
        <v>159</v>
      </c>
      <c r="R2734" t="s">
        <v>228</v>
      </c>
      <c r="S2734" t="s">
        <v>197</v>
      </c>
      <c r="T2734" t="s">
        <v>198</v>
      </c>
      <c r="U2734" t="s">
        <v>163</v>
      </c>
      <c r="V2734" t="s">
        <v>186</v>
      </c>
      <c r="W2734" t="s">
        <v>116</v>
      </c>
      <c r="X2734" t="s">
        <v>44</v>
      </c>
      <c r="Y2734" t="s">
        <v>99</v>
      </c>
      <c r="Z2734" t="s">
        <v>421</v>
      </c>
      <c r="AC2734" t="str">
        <f>IF(AA2734="",M2734,AA2734)</f>
        <v>sim</v>
      </c>
      <c r="AD2734" t="str">
        <f>IF(AB2734="",X2734,AB2734)</f>
        <v>sim</v>
      </c>
      <c r="AE2734" t="str">
        <f>IF(OR(Configuracao!B9="",Configuracao!B10=""),"aguardando limiar",IF(AND(K2734&gt;=Configuracao!B9,K2734/MAX(Reconciliacao!C2,1)&gt;=Configuracao!B10/100),"sim","não"))</f>
        <v>aguardando limiar</v>
      </c>
    </row>
    <row r="2735" spans="1:31" x14ac:dyDescent="0.25">
      <c r="A2735">
        <v>12202</v>
      </c>
      <c r="C2735" t="s">
        <v>1627</v>
      </c>
      <c r="D2735" t="s">
        <v>1628</v>
      </c>
      <c r="E2735" t="s">
        <v>451</v>
      </c>
      <c r="F2735" t="s">
        <v>227</v>
      </c>
      <c r="G2735" t="s">
        <v>265</v>
      </c>
      <c r="H2735" t="s">
        <v>264</v>
      </c>
      <c r="I2735" t="s">
        <v>420</v>
      </c>
      <c r="J2735" t="s">
        <v>454</v>
      </c>
      <c r="K2735" s="4">
        <v>505.33</v>
      </c>
      <c r="L2735" s="4">
        <v>505.33</v>
      </c>
      <c r="M2735" t="s">
        <v>44</v>
      </c>
      <c r="N2735" t="s">
        <v>77</v>
      </c>
      <c r="O2735" t="s">
        <v>99</v>
      </c>
      <c r="P2735" t="s">
        <v>99</v>
      </c>
      <c r="Q2735" t="s">
        <v>159</v>
      </c>
      <c r="R2735" t="s">
        <v>228</v>
      </c>
      <c r="S2735" t="s">
        <v>197</v>
      </c>
      <c r="T2735" t="s">
        <v>198</v>
      </c>
      <c r="U2735" t="s">
        <v>163</v>
      </c>
      <c r="V2735" t="s">
        <v>186</v>
      </c>
      <c r="W2735" t="s">
        <v>116</v>
      </c>
      <c r="X2735" t="s">
        <v>44</v>
      </c>
      <c r="Y2735" t="s">
        <v>99</v>
      </c>
      <c r="Z2735" t="s">
        <v>421</v>
      </c>
      <c r="AC2735" t="str">
        <f>IF(AA2735="",M2735,AA2735)</f>
        <v>sim</v>
      </c>
      <c r="AD2735" t="str">
        <f>IF(AB2735="",X2735,AB2735)</f>
        <v>sim</v>
      </c>
      <c r="AE2735" t="str">
        <f>IF(OR(Configuracao!B9="",Configuracao!B10=""),"aguardando limiar",IF(AND(K2735&gt;=Configuracao!B9,K2735/MAX(Reconciliacao!C2,1)&gt;=Configuracao!B10/100),"sim","não"))</f>
        <v>aguardando limiar</v>
      </c>
    </row>
    <row r="2736" spans="1:31" x14ac:dyDescent="0.25">
      <c r="A2736">
        <v>18065</v>
      </c>
      <c r="C2736" t="s">
        <v>1629</v>
      </c>
      <c r="D2736" t="s">
        <v>844</v>
      </c>
      <c r="E2736" t="s">
        <v>451</v>
      </c>
      <c r="F2736" t="s">
        <v>227</v>
      </c>
      <c r="G2736" t="s">
        <v>265</v>
      </c>
      <c r="H2736" t="s">
        <v>264</v>
      </c>
      <c r="I2736" t="s">
        <v>35</v>
      </c>
      <c r="J2736" t="s">
        <v>35</v>
      </c>
      <c r="K2736" s="4">
        <v>569.85</v>
      </c>
      <c r="L2736" s="4">
        <v>569.85</v>
      </c>
      <c r="M2736" t="s">
        <v>44</v>
      </c>
      <c r="N2736" t="s">
        <v>77</v>
      </c>
      <c r="O2736" t="s">
        <v>99</v>
      </c>
      <c r="P2736" t="s">
        <v>99</v>
      </c>
      <c r="Q2736" t="s">
        <v>159</v>
      </c>
      <c r="R2736" t="s">
        <v>228</v>
      </c>
      <c r="S2736" t="s">
        <v>197</v>
      </c>
      <c r="T2736" t="s">
        <v>198</v>
      </c>
      <c r="U2736" t="s">
        <v>163</v>
      </c>
      <c r="V2736" t="s">
        <v>186</v>
      </c>
      <c r="W2736" t="s">
        <v>116</v>
      </c>
      <c r="X2736" t="s">
        <v>44</v>
      </c>
      <c r="Y2736" t="s">
        <v>99</v>
      </c>
      <c r="Z2736" t="s">
        <v>421</v>
      </c>
      <c r="AC2736" t="str">
        <f>IF(AA2736="",M2736,AA2736)</f>
        <v>sim</v>
      </c>
      <c r="AD2736" t="str">
        <f>IF(AB2736="",X2736,AB2736)</f>
        <v>sim</v>
      </c>
      <c r="AE2736" t="str">
        <f>IF(OR(Configuracao!B9="",Configuracao!B10=""),"aguardando limiar",IF(AND(K2736&gt;=Configuracao!B9,K2736/MAX(Reconciliacao!C2,1)&gt;=Configuracao!B10/100),"sim","não"))</f>
        <v>aguardando limiar</v>
      </c>
    </row>
    <row r="2737" spans="1:31" x14ac:dyDescent="0.25">
      <c r="A2737">
        <v>17713</v>
      </c>
      <c r="C2737" t="s">
        <v>1630</v>
      </c>
      <c r="D2737" t="s">
        <v>450</v>
      </c>
      <c r="E2737" t="s">
        <v>451</v>
      </c>
      <c r="F2737" t="s">
        <v>227</v>
      </c>
      <c r="G2737" t="s">
        <v>265</v>
      </c>
      <c r="H2737" t="s">
        <v>264</v>
      </c>
      <c r="I2737" t="s">
        <v>439</v>
      </c>
      <c r="J2737" t="s">
        <v>439</v>
      </c>
      <c r="K2737" s="4">
        <v>580</v>
      </c>
      <c r="L2737" s="4">
        <v>580</v>
      </c>
      <c r="M2737" t="s">
        <v>44</v>
      </c>
      <c r="N2737" t="s">
        <v>77</v>
      </c>
      <c r="O2737" t="s">
        <v>99</v>
      </c>
      <c r="P2737" t="s">
        <v>99</v>
      </c>
      <c r="Q2737" t="s">
        <v>159</v>
      </c>
      <c r="R2737" t="s">
        <v>228</v>
      </c>
      <c r="S2737" t="s">
        <v>197</v>
      </c>
      <c r="T2737" t="s">
        <v>198</v>
      </c>
      <c r="U2737" t="s">
        <v>163</v>
      </c>
      <c r="V2737" t="s">
        <v>186</v>
      </c>
      <c r="W2737" t="s">
        <v>116</v>
      </c>
      <c r="X2737" t="s">
        <v>44</v>
      </c>
      <c r="Y2737" t="s">
        <v>99</v>
      </c>
      <c r="Z2737" t="s">
        <v>421</v>
      </c>
      <c r="AC2737" t="str">
        <f>IF(AA2737="",M2737,AA2737)</f>
        <v>sim</v>
      </c>
      <c r="AD2737" t="str">
        <f>IF(AB2737="",X2737,AB2737)</f>
        <v>sim</v>
      </c>
      <c r="AE2737" t="str">
        <f>IF(OR(Configuracao!B9="",Configuracao!B10=""),"aguardando limiar",IF(AND(K2737&gt;=Configuracao!B9,K2737/MAX(Reconciliacao!C2,1)&gt;=Configuracao!B10/100),"sim","não"))</f>
        <v>aguardando limiar</v>
      </c>
    </row>
    <row r="2738" spans="1:31" x14ac:dyDescent="0.25">
      <c r="A2738">
        <v>12633</v>
      </c>
      <c r="C2738" t="s">
        <v>1631</v>
      </c>
      <c r="D2738" t="s">
        <v>1632</v>
      </c>
      <c r="E2738" t="s">
        <v>451</v>
      </c>
      <c r="F2738" t="s">
        <v>227</v>
      </c>
      <c r="G2738" t="s">
        <v>265</v>
      </c>
      <c r="H2738" t="s">
        <v>264</v>
      </c>
      <c r="I2738" t="s">
        <v>454</v>
      </c>
      <c r="J2738" t="s">
        <v>454</v>
      </c>
      <c r="K2738" s="4">
        <v>634.6</v>
      </c>
      <c r="L2738" s="4">
        <v>634.6</v>
      </c>
      <c r="M2738" t="s">
        <v>44</v>
      </c>
      <c r="N2738" t="s">
        <v>77</v>
      </c>
      <c r="O2738" t="s">
        <v>99</v>
      </c>
      <c r="P2738" t="s">
        <v>99</v>
      </c>
      <c r="Q2738" t="s">
        <v>159</v>
      </c>
      <c r="R2738" t="s">
        <v>228</v>
      </c>
      <c r="S2738" t="s">
        <v>197</v>
      </c>
      <c r="T2738" t="s">
        <v>198</v>
      </c>
      <c r="U2738" t="s">
        <v>163</v>
      </c>
      <c r="V2738" t="s">
        <v>186</v>
      </c>
      <c r="W2738" t="s">
        <v>116</v>
      </c>
      <c r="X2738" t="s">
        <v>44</v>
      </c>
      <c r="Y2738" t="s">
        <v>99</v>
      </c>
      <c r="Z2738" t="s">
        <v>421</v>
      </c>
      <c r="AC2738" t="str">
        <f>IF(AA2738="",M2738,AA2738)</f>
        <v>sim</v>
      </c>
      <c r="AD2738" t="str">
        <f>IF(AB2738="",X2738,AB2738)</f>
        <v>sim</v>
      </c>
      <c r="AE2738" t="str">
        <f>IF(OR(Configuracao!B9="",Configuracao!B10=""),"aguardando limiar",IF(AND(K2738&gt;=Configuracao!B9,K2738/MAX(Reconciliacao!C2,1)&gt;=Configuracao!B10/100),"sim","não"))</f>
        <v>aguardando limiar</v>
      </c>
    </row>
    <row r="2739" spans="1:31" x14ac:dyDescent="0.25">
      <c r="A2739">
        <v>12634</v>
      </c>
      <c r="C2739" t="s">
        <v>1631</v>
      </c>
      <c r="D2739" t="s">
        <v>1632</v>
      </c>
      <c r="E2739" t="s">
        <v>451</v>
      </c>
      <c r="F2739" t="s">
        <v>227</v>
      </c>
      <c r="G2739" t="s">
        <v>265</v>
      </c>
      <c r="H2739" t="s">
        <v>264</v>
      </c>
      <c r="I2739" t="s">
        <v>461</v>
      </c>
      <c r="J2739" t="s">
        <v>461</v>
      </c>
      <c r="K2739" s="4">
        <v>634.6</v>
      </c>
      <c r="L2739" s="4">
        <v>634.6</v>
      </c>
      <c r="M2739" t="s">
        <v>44</v>
      </c>
      <c r="N2739" t="s">
        <v>77</v>
      </c>
      <c r="O2739" t="s">
        <v>99</v>
      </c>
      <c r="P2739" t="s">
        <v>99</v>
      </c>
      <c r="Q2739" t="s">
        <v>159</v>
      </c>
      <c r="R2739" t="s">
        <v>228</v>
      </c>
      <c r="S2739" t="s">
        <v>197</v>
      </c>
      <c r="T2739" t="s">
        <v>198</v>
      </c>
      <c r="U2739" t="s">
        <v>163</v>
      </c>
      <c r="V2739" t="s">
        <v>186</v>
      </c>
      <c r="W2739" t="s">
        <v>116</v>
      </c>
      <c r="X2739" t="s">
        <v>44</v>
      </c>
      <c r="Y2739" t="s">
        <v>99</v>
      </c>
      <c r="Z2739" t="s">
        <v>421</v>
      </c>
      <c r="AC2739" t="str">
        <f>IF(AA2739="",M2739,AA2739)</f>
        <v>sim</v>
      </c>
      <c r="AD2739" t="str">
        <f>IF(AB2739="",X2739,AB2739)</f>
        <v>sim</v>
      </c>
      <c r="AE2739" t="str">
        <f>IF(OR(Configuracao!B9="",Configuracao!B10=""),"aguardando limiar",IF(AND(K2739&gt;=Configuracao!B9,K2739/MAX(Reconciliacao!C2,1)&gt;=Configuracao!B10/100),"sim","não"))</f>
        <v>aguardando limiar</v>
      </c>
    </row>
    <row r="2740" spans="1:31" x14ac:dyDescent="0.25">
      <c r="A2740">
        <v>12635</v>
      </c>
      <c r="C2740" t="s">
        <v>1631</v>
      </c>
      <c r="D2740" t="s">
        <v>1632</v>
      </c>
      <c r="E2740" t="s">
        <v>451</v>
      </c>
      <c r="F2740" t="s">
        <v>227</v>
      </c>
      <c r="G2740" t="s">
        <v>265</v>
      </c>
      <c r="H2740" t="s">
        <v>264</v>
      </c>
      <c r="I2740" t="s">
        <v>442</v>
      </c>
      <c r="J2740" t="s">
        <v>442</v>
      </c>
      <c r="K2740" s="4">
        <v>634.6</v>
      </c>
      <c r="L2740" s="4">
        <v>634.6</v>
      </c>
      <c r="M2740" t="s">
        <v>44</v>
      </c>
      <c r="N2740" t="s">
        <v>77</v>
      </c>
      <c r="O2740" t="s">
        <v>99</v>
      </c>
      <c r="P2740" t="s">
        <v>99</v>
      </c>
      <c r="Q2740" t="s">
        <v>159</v>
      </c>
      <c r="R2740" t="s">
        <v>228</v>
      </c>
      <c r="S2740" t="s">
        <v>197</v>
      </c>
      <c r="T2740" t="s">
        <v>198</v>
      </c>
      <c r="U2740" t="s">
        <v>163</v>
      </c>
      <c r="V2740" t="s">
        <v>186</v>
      </c>
      <c r="W2740" t="s">
        <v>116</v>
      </c>
      <c r="X2740" t="s">
        <v>44</v>
      </c>
      <c r="Y2740" t="s">
        <v>99</v>
      </c>
      <c r="Z2740" t="s">
        <v>421</v>
      </c>
      <c r="AC2740" t="str">
        <f>IF(AA2740="",M2740,AA2740)</f>
        <v>sim</v>
      </c>
      <c r="AD2740" t="str">
        <f>IF(AB2740="",X2740,AB2740)</f>
        <v>sim</v>
      </c>
      <c r="AE2740" t="str">
        <f>IF(OR(Configuracao!B9="",Configuracao!B10=""),"aguardando limiar",IF(AND(K2740&gt;=Configuracao!B9,K2740/MAX(Reconciliacao!C2,1)&gt;=Configuracao!B10/100),"sim","não"))</f>
        <v>aguardando limiar</v>
      </c>
    </row>
    <row r="2741" spans="1:31" x14ac:dyDescent="0.25">
      <c r="A2741">
        <v>14098</v>
      </c>
      <c r="C2741" t="s">
        <v>1633</v>
      </c>
      <c r="D2741" t="s">
        <v>1634</v>
      </c>
      <c r="E2741" t="s">
        <v>451</v>
      </c>
      <c r="F2741" t="s">
        <v>227</v>
      </c>
      <c r="G2741" t="s">
        <v>265</v>
      </c>
      <c r="H2741" t="s">
        <v>264</v>
      </c>
      <c r="I2741" t="s">
        <v>454</v>
      </c>
      <c r="J2741" t="s">
        <v>454</v>
      </c>
      <c r="K2741" s="4">
        <v>700</v>
      </c>
      <c r="L2741" s="4">
        <v>700</v>
      </c>
      <c r="M2741" t="s">
        <v>44</v>
      </c>
      <c r="N2741" t="s">
        <v>77</v>
      </c>
      <c r="O2741" t="s">
        <v>99</v>
      </c>
      <c r="P2741" t="s">
        <v>99</v>
      </c>
      <c r="Q2741" t="s">
        <v>159</v>
      </c>
      <c r="R2741" t="s">
        <v>228</v>
      </c>
      <c r="S2741" t="s">
        <v>197</v>
      </c>
      <c r="T2741" t="s">
        <v>198</v>
      </c>
      <c r="U2741" t="s">
        <v>163</v>
      </c>
      <c r="V2741" t="s">
        <v>186</v>
      </c>
      <c r="W2741" t="s">
        <v>116</v>
      </c>
      <c r="X2741" t="s">
        <v>44</v>
      </c>
      <c r="Y2741" t="s">
        <v>99</v>
      </c>
      <c r="Z2741" t="s">
        <v>421</v>
      </c>
      <c r="AC2741" t="str">
        <f>IF(AA2741="",M2741,AA2741)</f>
        <v>sim</v>
      </c>
      <c r="AD2741" t="str">
        <f>IF(AB2741="",X2741,AB2741)</f>
        <v>sim</v>
      </c>
      <c r="AE2741" t="str">
        <f>IF(OR(Configuracao!B9="",Configuracao!B10=""),"aguardando limiar",IF(AND(K2741&gt;=Configuracao!B9,K2741/MAX(Reconciliacao!C2,1)&gt;=Configuracao!B10/100),"sim","não"))</f>
        <v>aguardando limiar</v>
      </c>
    </row>
    <row r="2742" spans="1:31" x14ac:dyDescent="0.25">
      <c r="A2742">
        <v>14099</v>
      </c>
      <c r="C2742" t="s">
        <v>1633</v>
      </c>
      <c r="D2742" t="s">
        <v>1634</v>
      </c>
      <c r="E2742" t="s">
        <v>451</v>
      </c>
      <c r="F2742" t="s">
        <v>227</v>
      </c>
      <c r="G2742" t="s">
        <v>265</v>
      </c>
      <c r="H2742" t="s">
        <v>264</v>
      </c>
      <c r="I2742" t="s">
        <v>454</v>
      </c>
      <c r="J2742" t="s">
        <v>454</v>
      </c>
      <c r="K2742" s="4">
        <v>700</v>
      </c>
      <c r="L2742" s="4">
        <v>700</v>
      </c>
      <c r="M2742" t="s">
        <v>44</v>
      </c>
      <c r="N2742" t="s">
        <v>77</v>
      </c>
      <c r="O2742" t="s">
        <v>99</v>
      </c>
      <c r="P2742" t="s">
        <v>99</v>
      </c>
      <c r="Q2742" t="s">
        <v>159</v>
      </c>
      <c r="R2742" t="s">
        <v>228</v>
      </c>
      <c r="S2742" t="s">
        <v>197</v>
      </c>
      <c r="T2742" t="s">
        <v>198</v>
      </c>
      <c r="U2742" t="s">
        <v>163</v>
      </c>
      <c r="V2742" t="s">
        <v>186</v>
      </c>
      <c r="W2742" t="s">
        <v>116</v>
      </c>
      <c r="X2742" t="s">
        <v>44</v>
      </c>
      <c r="Y2742" t="s">
        <v>99</v>
      </c>
      <c r="Z2742" t="s">
        <v>421</v>
      </c>
      <c r="AC2742" t="str">
        <f>IF(AA2742="",M2742,AA2742)</f>
        <v>sim</v>
      </c>
      <c r="AD2742" t="str">
        <f>IF(AB2742="",X2742,AB2742)</f>
        <v>sim</v>
      </c>
      <c r="AE2742" t="str">
        <f>IF(OR(Configuracao!B9="",Configuracao!B10=""),"aguardando limiar",IF(AND(K2742&gt;=Configuracao!B9,K2742/MAX(Reconciliacao!C2,1)&gt;=Configuracao!B10/100),"sim","não"))</f>
        <v>aguardando limiar</v>
      </c>
    </row>
    <row r="2743" spans="1:31" x14ac:dyDescent="0.25">
      <c r="A2743">
        <v>18559</v>
      </c>
      <c r="C2743" t="s">
        <v>1635</v>
      </c>
      <c r="D2743" t="s">
        <v>1636</v>
      </c>
      <c r="E2743" t="s">
        <v>451</v>
      </c>
      <c r="F2743" t="s">
        <v>227</v>
      </c>
      <c r="G2743" t="s">
        <v>265</v>
      </c>
      <c r="H2743" t="s">
        <v>264</v>
      </c>
      <c r="I2743" t="s">
        <v>35</v>
      </c>
      <c r="J2743" t="s">
        <v>35</v>
      </c>
      <c r="K2743" s="4">
        <v>1161.6</v>
      </c>
      <c r="L2743" s="4">
        <v>1161.6</v>
      </c>
      <c r="M2743" t="s">
        <v>44</v>
      </c>
      <c r="N2743" t="s">
        <v>77</v>
      </c>
      <c r="O2743" t="s">
        <v>99</v>
      </c>
      <c r="P2743" t="s">
        <v>99</v>
      </c>
      <c r="Q2743" t="s">
        <v>159</v>
      </c>
      <c r="R2743" t="s">
        <v>228</v>
      </c>
      <c r="S2743" t="s">
        <v>197</v>
      </c>
      <c r="T2743" t="s">
        <v>198</v>
      </c>
      <c r="U2743" t="s">
        <v>163</v>
      </c>
      <c r="V2743" t="s">
        <v>186</v>
      </c>
      <c r="W2743" t="s">
        <v>116</v>
      </c>
      <c r="X2743" t="s">
        <v>166</v>
      </c>
      <c r="Y2743" t="s">
        <v>472</v>
      </c>
      <c r="Z2743" t="s">
        <v>434</v>
      </c>
      <c r="AC2743" t="str">
        <f>IF(AA2743="",M2743,AA2743)</f>
        <v>sim</v>
      </c>
      <c r="AD2743" t="str">
        <f>IF(AB2743="",X2743,AB2743)</f>
        <v>não</v>
      </c>
      <c r="AE2743" t="str">
        <f>IF(OR(Configuracao!B9="",Configuracao!B10=""),"aguardando limiar",IF(AND(K2743&gt;=Configuracao!B9,K2743/MAX(Reconciliacao!C2,1)&gt;=Configuracao!B10/100),"sim","não"))</f>
        <v>aguardando limiar</v>
      </c>
    </row>
    <row r="2744" spans="1:31" x14ac:dyDescent="0.25">
      <c r="A2744">
        <v>12224</v>
      </c>
      <c r="C2744" t="s">
        <v>1637</v>
      </c>
      <c r="D2744" t="s">
        <v>1638</v>
      </c>
      <c r="E2744" t="s">
        <v>451</v>
      </c>
      <c r="F2744" t="s">
        <v>227</v>
      </c>
      <c r="G2744" t="s">
        <v>265</v>
      </c>
      <c r="H2744" t="s">
        <v>264</v>
      </c>
      <c r="I2744" t="s">
        <v>424</v>
      </c>
      <c r="J2744" t="s">
        <v>424</v>
      </c>
      <c r="K2744" s="4">
        <v>3634.4</v>
      </c>
      <c r="L2744" s="4">
        <v>3634.4</v>
      </c>
      <c r="M2744" t="s">
        <v>44</v>
      </c>
      <c r="N2744" t="s">
        <v>77</v>
      </c>
      <c r="O2744" t="s">
        <v>99</v>
      </c>
      <c r="P2744" t="s">
        <v>99</v>
      </c>
      <c r="Q2744" t="s">
        <v>159</v>
      </c>
      <c r="R2744" t="s">
        <v>228</v>
      </c>
      <c r="S2744" t="s">
        <v>197</v>
      </c>
      <c r="T2744" t="s">
        <v>198</v>
      </c>
      <c r="U2744" t="s">
        <v>163</v>
      </c>
      <c r="V2744" t="s">
        <v>186</v>
      </c>
      <c r="W2744" t="s">
        <v>116</v>
      </c>
      <c r="X2744" t="s">
        <v>166</v>
      </c>
      <c r="Y2744" t="s">
        <v>1639</v>
      </c>
      <c r="Z2744" t="s">
        <v>434</v>
      </c>
      <c r="AC2744" t="str">
        <f>IF(AA2744="",M2744,AA2744)</f>
        <v>sim</v>
      </c>
      <c r="AD2744" t="str">
        <f>IF(AB2744="",X2744,AB2744)</f>
        <v>não</v>
      </c>
      <c r="AE2744" t="str">
        <f>IF(OR(Configuracao!B9="",Configuracao!B10=""),"aguardando limiar",IF(AND(K2744&gt;=Configuracao!B9,K2744/MAX(Reconciliacao!C2,1)&gt;=Configuracao!B10/100),"sim","não"))</f>
        <v>aguardando limiar</v>
      </c>
    </row>
    <row r="2745" spans="1:31" x14ac:dyDescent="0.25">
      <c r="A2745">
        <v>12225</v>
      </c>
      <c r="C2745" t="s">
        <v>1637</v>
      </c>
      <c r="D2745" t="s">
        <v>1638</v>
      </c>
      <c r="E2745" t="s">
        <v>451</v>
      </c>
      <c r="F2745" t="s">
        <v>227</v>
      </c>
      <c r="G2745" t="s">
        <v>265</v>
      </c>
      <c r="H2745" t="s">
        <v>264</v>
      </c>
      <c r="I2745" t="s">
        <v>420</v>
      </c>
      <c r="J2745" t="s">
        <v>420</v>
      </c>
      <c r="K2745" s="4">
        <v>3634.4</v>
      </c>
      <c r="L2745" s="4">
        <v>3634.4</v>
      </c>
      <c r="M2745" t="s">
        <v>44</v>
      </c>
      <c r="N2745" t="s">
        <v>77</v>
      </c>
      <c r="O2745" t="s">
        <v>99</v>
      </c>
      <c r="P2745" t="s">
        <v>99</v>
      </c>
      <c r="Q2745" t="s">
        <v>159</v>
      </c>
      <c r="R2745" t="s">
        <v>228</v>
      </c>
      <c r="S2745" t="s">
        <v>197</v>
      </c>
      <c r="T2745" t="s">
        <v>198</v>
      </c>
      <c r="U2745" t="s">
        <v>163</v>
      </c>
      <c r="V2745" t="s">
        <v>186</v>
      </c>
      <c r="W2745" t="s">
        <v>116</v>
      </c>
      <c r="X2745" t="s">
        <v>166</v>
      </c>
      <c r="Y2745" t="s">
        <v>1639</v>
      </c>
      <c r="Z2745" t="s">
        <v>434</v>
      </c>
      <c r="AC2745" t="str">
        <f>IF(AA2745="",M2745,AA2745)</f>
        <v>sim</v>
      </c>
      <c r="AD2745" t="str">
        <f>IF(AB2745="",X2745,AB2745)</f>
        <v>não</v>
      </c>
      <c r="AE2745" t="str">
        <f>IF(OR(Configuracao!B9="",Configuracao!B10=""),"aguardando limiar",IF(AND(K2745&gt;=Configuracao!B9,K2745/MAX(Reconciliacao!C2,1)&gt;=Configuracao!B10/100),"sim","não"))</f>
        <v>aguardando limiar</v>
      </c>
    </row>
    <row r="2746" spans="1:31" x14ac:dyDescent="0.25">
      <c r="A2746">
        <v>12226</v>
      </c>
      <c r="C2746" t="s">
        <v>1637</v>
      </c>
      <c r="D2746" t="s">
        <v>1638</v>
      </c>
      <c r="E2746" t="s">
        <v>451</v>
      </c>
      <c r="F2746" t="s">
        <v>227</v>
      </c>
      <c r="G2746" t="s">
        <v>265</v>
      </c>
      <c r="H2746" t="s">
        <v>264</v>
      </c>
      <c r="I2746" t="s">
        <v>454</v>
      </c>
      <c r="J2746" t="s">
        <v>454</v>
      </c>
      <c r="K2746" s="4">
        <v>3634.4</v>
      </c>
      <c r="L2746" s="4">
        <v>3634.4</v>
      </c>
      <c r="M2746" t="s">
        <v>44</v>
      </c>
      <c r="N2746" t="s">
        <v>77</v>
      </c>
      <c r="O2746" t="s">
        <v>99</v>
      </c>
      <c r="P2746" t="s">
        <v>99</v>
      </c>
      <c r="Q2746" t="s">
        <v>159</v>
      </c>
      <c r="R2746" t="s">
        <v>228</v>
      </c>
      <c r="S2746" t="s">
        <v>197</v>
      </c>
      <c r="T2746" t="s">
        <v>198</v>
      </c>
      <c r="U2746" t="s">
        <v>163</v>
      </c>
      <c r="V2746" t="s">
        <v>186</v>
      </c>
      <c r="W2746" t="s">
        <v>116</v>
      </c>
      <c r="X2746" t="s">
        <v>166</v>
      </c>
      <c r="Y2746" t="s">
        <v>1639</v>
      </c>
      <c r="Z2746" t="s">
        <v>434</v>
      </c>
      <c r="AC2746" t="str">
        <f>IF(AA2746="",M2746,AA2746)</f>
        <v>sim</v>
      </c>
      <c r="AD2746" t="str">
        <f>IF(AB2746="",X2746,AB2746)</f>
        <v>não</v>
      </c>
      <c r="AE2746" t="str">
        <f>IF(OR(Configuracao!B9="",Configuracao!B10=""),"aguardando limiar",IF(AND(K2746&gt;=Configuracao!B9,K2746/MAX(Reconciliacao!C2,1)&gt;=Configuracao!B10/100),"sim","não"))</f>
        <v>aguardando limiar</v>
      </c>
    </row>
    <row r="2747" spans="1:31" x14ac:dyDescent="0.25">
      <c r="A2747">
        <v>18954</v>
      </c>
      <c r="C2747" t="s">
        <v>1640</v>
      </c>
      <c r="D2747" t="s">
        <v>1641</v>
      </c>
      <c r="E2747" t="s">
        <v>458</v>
      </c>
      <c r="F2747" t="s">
        <v>402</v>
      </c>
      <c r="G2747" t="s">
        <v>401</v>
      </c>
      <c r="H2747" t="s">
        <v>400</v>
      </c>
      <c r="I2747" t="s">
        <v>35</v>
      </c>
      <c r="J2747" t="s">
        <v>35</v>
      </c>
      <c r="K2747" s="4">
        <v>55</v>
      </c>
      <c r="L2747" s="4">
        <v>55</v>
      </c>
      <c r="M2747" t="s">
        <v>44</v>
      </c>
      <c r="N2747" t="s">
        <v>77</v>
      </c>
      <c r="O2747" t="s">
        <v>99</v>
      </c>
      <c r="P2747" t="s">
        <v>99</v>
      </c>
      <c r="Q2747" t="s">
        <v>159</v>
      </c>
      <c r="R2747" t="s">
        <v>323</v>
      </c>
      <c r="S2747" t="s">
        <v>197</v>
      </c>
      <c r="T2747" t="s">
        <v>198</v>
      </c>
      <c r="U2747" t="s">
        <v>163</v>
      </c>
      <c r="V2747" t="s">
        <v>186</v>
      </c>
      <c r="W2747" t="s">
        <v>116</v>
      </c>
      <c r="X2747" t="s">
        <v>44</v>
      </c>
      <c r="Y2747" t="s">
        <v>99</v>
      </c>
      <c r="Z2747" t="s">
        <v>421</v>
      </c>
      <c r="AC2747" t="str">
        <f>IF(AA2747="",M2747,AA2747)</f>
        <v>sim</v>
      </c>
      <c r="AD2747" t="str">
        <f>IF(AB2747="",X2747,AB2747)</f>
        <v>sim</v>
      </c>
      <c r="AE2747" t="str">
        <f>IF(OR(Configuracao!B9="",Configuracao!B10=""),"aguardando limiar",IF(AND(K2747&gt;=Configuracao!B9,K2747/MAX(Reconciliacao!C2,1)&gt;=Configuracao!B10/100),"sim","não"))</f>
        <v>aguardando limiar</v>
      </c>
    </row>
    <row r="2748" spans="1:31" x14ac:dyDescent="0.25">
      <c r="A2748">
        <v>14194</v>
      </c>
      <c r="D2748" t="s">
        <v>1419</v>
      </c>
      <c r="E2748" t="s">
        <v>477</v>
      </c>
      <c r="F2748" t="s">
        <v>236</v>
      </c>
      <c r="G2748" t="s">
        <v>235</v>
      </c>
      <c r="H2748" t="s">
        <v>234</v>
      </c>
      <c r="I2748" t="s">
        <v>420</v>
      </c>
      <c r="J2748" t="s">
        <v>454</v>
      </c>
      <c r="K2748" s="4">
        <v>46.67</v>
      </c>
      <c r="L2748" s="4">
        <v>46.67</v>
      </c>
      <c r="M2748" t="s">
        <v>44</v>
      </c>
      <c r="N2748" t="s">
        <v>77</v>
      </c>
      <c r="O2748" t="s">
        <v>99</v>
      </c>
      <c r="P2748" t="s">
        <v>99</v>
      </c>
      <c r="Q2748" t="s">
        <v>159</v>
      </c>
      <c r="R2748" t="s">
        <v>237</v>
      </c>
      <c r="S2748" t="s">
        <v>197</v>
      </c>
      <c r="T2748" t="s">
        <v>211</v>
      </c>
      <c r="U2748" t="s">
        <v>163</v>
      </c>
      <c r="V2748" t="s">
        <v>193</v>
      </c>
      <c r="W2748" t="s">
        <v>116</v>
      </c>
      <c r="X2748" t="s">
        <v>44</v>
      </c>
      <c r="Y2748" t="s">
        <v>99</v>
      </c>
      <c r="Z2748" t="s">
        <v>421</v>
      </c>
      <c r="AC2748" t="str">
        <f>IF(AA2748="",M2748,AA2748)</f>
        <v>sim</v>
      </c>
      <c r="AD2748" t="str">
        <f>IF(AB2748="",X2748,AB2748)</f>
        <v>sim</v>
      </c>
      <c r="AE2748" t="str">
        <f>IF(OR(Configuracao!B9="",Configuracao!B10=""),"aguardando limiar",IF(AND(K2748&gt;=Configuracao!B9,K2748/MAX(Reconciliacao!C2,1)&gt;=Configuracao!B10/100),"sim","não"))</f>
        <v>aguardando limiar</v>
      </c>
    </row>
    <row r="2749" spans="1:31" x14ac:dyDescent="0.25">
      <c r="A2749">
        <v>15967</v>
      </c>
      <c r="D2749" t="s">
        <v>1397</v>
      </c>
      <c r="E2749" t="s">
        <v>477</v>
      </c>
      <c r="F2749" t="s">
        <v>236</v>
      </c>
      <c r="G2749" t="s">
        <v>235</v>
      </c>
      <c r="H2749" t="s">
        <v>234</v>
      </c>
      <c r="I2749" t="s">
        <v>420</v>
      </c>
      <c r="J2749" t="s">
        <v>420</v>
      </c>
      <c r="K2749" s="4">
        <v>233.33</v>
      </c>
      <c r="L2749" s="4">
        <v>233.33</v>
      </c>
      <c r="M2749" t="s">
        <v>44</v>
      </c>
      <c r="N2749" t="s">
        <v>77</v>
      </c>
      <c r="O2749" t="s">
        <v>99</v>
      </c>
      <c r="P2749" t="s">
        <v>99</v>
      </c>
      <c r="Q2749" t="s">
        <v>159</v>
      </c>
      <c r="R2749" t="s">
        <v>237</v>
      </c>
      <c r="S2749" t="s">
        <v>197</v>
      </c>
      <c r="T2749" t="s">
        <v>211</v>
      </c>
      <c r="U2749" t="s">
        <v>163</v>
      </c>
      <c r="V2749" t="s">
        <v>193</v>
      </c>
      <c r="W2749" t="s">
        <v>116</v>
      </c>
      <c r="X2749" t="s">
        <v>44</v>
      </c>
      <c r="Y2749" t="s">
        <v>99</v>
      </c>
      <c r="Z2749" t="s">
        <v>421</v>
      </c>
      <c r="AC2749" t="str">
        <f>IF(AA2749="",M2749,AA2749)</f>
        <v>sim</v>
      </c>
      <c r="AD2749" t="str">
        <f>IF(AB2749="",X2749,AB2749)</f>
        <v>sim</v>
      </c>
      <c r="AE2749" t="str">
        <f>IF(OR(Configuracao!B9="",Configuracao!B10=""),"aguardando limiar",IF(AND(K2749&gt;=Configuracao!B9,K2749/MAX(Reconciliacao!C2,1)&gt;=Configuracao!B10/100),"sim","não"))</f>
        <v>aguardando limiar</v>
      </c>
    </row>
    <row r="2750" spans="1:31" x14ac:dyDescent="0.25">
      <c r="A2750">
        <v>12944</v>
      </c>
      <c r="C2750" t="s">
        <v>1385</v>
      </c>
      <c r="D2750" t="s">
        <v>1386</v>
      </c>
      <c r="E2750" t="s">
        <v>465</v>
      </c>
      <c r="F2750" t="s">
        <v>236</v>
      </c>
      <c r="G2750" t="s">
        <v>235</v>
      </c>
      <c r="H2750" t="s">
        <v>234</v>
      </c>
      <c r="I2750" t="s">
        <v>424</v>
      </c>
      <c r="J2750" t="s">
        <v>424</v>
      </c>
      <c r="K2750" s="4">
        <v>293.33</v>
      </c>
      <c r="L2750" s="4">
        <v>293.33</v>
      </c>
      <c r="M2750" t="s">
        <v>44</v>
      </c>
      <c r="N2750" t="s">
        <v>77</v>
      </c>
      <c r="O2750" t="s">
        <v>99</v>
      </c>
      <c r="P2750" t="s">
        <v>99</v>
      </c>
      <c r="Q2750" t="s">
        <v>159</v>
      </c>
      <c r="R2750" t="s">
        <v>237</v>
      </c>
      <c r="S2750" t="s">
        <v>197</v>
      </c>
      <c r="T2750" t="s">
        <v>211</v>
      </c>
      <c r="U2750" t="s">
        <v>163</v>
      </c>
      <c r="V2750" t="s">
        <v>193</v>
      </c>
      <c r="W2750" t="s">
        <v>116</v>
      </c>
      <c r="X2750" t="s">
        <v>44</v>
      </c>
      <c r="Y2750" t="s">
        <v>99</v>
      </c>
      <c r="Z2750" t="s">
        <v>421</v>
      </c>
      <c r="AC2750" t="str">
        <f>IF(AA2750="",M2750,AA2750)</f>
        <v>sim</v>
      </c>
      <c r="AD2750" t="str">
        <f>IF(AB2750="",X2750,AB2750)</f>
        <v>sim</v>
      </c>
      <c r="AE2750" t="str">
        <f>IF(OR(Configuracao!B9="",Configuracao!B10=""),"aguardando limiar",IF(AND(K2750&gt;=Configuracao!B9,K2750/MAX(Reconciliacao!C2,1)&gt;=Configuracao!B10/100),"sim","não"))</f>
        <v>aguardando limiar</v>
      </c>
    </row>
    <row r="2751" spans="1:31" x14ac:dyDescent="0.25">
      <c r="A2751">
        <v>14191</v>
      </c>
      <c r="D2751" t="s">
        <v>1382</v>
      </c>
      <c r="E2751" t="s">
        <v>467</v>
      </c>
      <c r="F2751" t="s">
        <v>236</v>
      </c>
      <c r="G2751" t="s">
        <v>235</v>
      </c>
      <c r="H2751" t="s">
        <v>234</v>
      </c>
      <c r="I2751" t="s">
        <v>420</v>
      </c>
      <c r="J2751" t="s">
        <v>454</v>
      </c>
      <c r="K2751" s="4">
        <v>606.67</v>
      </c>
      <c r="L2751" s="4">
        <v>606.67</v>
      </c>
      <c r="M2751" t="s">
        <v>44</v>
      </c>
      <c r="N2751" t="s">
        <v>77</v>
      </c>
      <c r="O2751" t="s">
        <v>99</v>
      </c>
      <c r="P2751" t="s">
        <v>99</v>
      </c>
      <c r="Q2751" t="s">
        <v>159</v>
      </c>
      <c r="R2751" t="s">
        <v>237</v>
      </c>
      <c r="S2751" t="s">
        <v>197</v>
      </c>
      <c r="T2751" t="s">
        <v>211</v>
      </c>
      <c r="U2751" t="s">
        <v>163</v>
      </c>
      <c r="V2751" t="s">
        <v>193</v>
      </c>
      <c r="W2751" t="s">
        <v>116</v>
      </c>
      <c r="X2751" t="s">
        <v>44</v>
      </c>
      <c r="Y2751" t="s">
        <v>99</v>
      </c>
      <c r="Z2751" t="s">
        <v>421</v>
      </c>
      <c r="AC2751" t="str">
        <f>IF(AA2751="",M2751,AA2751)</f>
        <v>sim</v>
      </c>
      <c r="AD2751" t="str">
        <f>IF(AB2751="",X2751,AB2751)</f>
        <v>sim</v>
      </c>
      <c r="AE2751" t="str">
        <f>IF(OR(Configuracao!B9="",Configuracao!B10=""),"aguardando limiar",IF(AND(K2751&gt;=Configuracao!B9,K2751/MAX(Reconciliacao!C2,1)&gt;=Configuracao!B10/100),"sim","não"))</f>
        <v>aguardando limiar</v>
      </c>
    </row>
    <row r="2752" spans="1:31" x14ac:dyDescent="0.25">
      <c r="A2752">
        <v>14193</v>
      </c>
      <c r="D2752" t="s">
        <v>1402</v>
      </c>
      <c r="E2752" t="s">
        <v>467</v>
      </c>
      <c r="F2752" t="s">
        <v>236</v>
      </c>
      <c r="G2752" t="s">
        <v>235</v>
      </c>
      <c r="H2752" t="s">
        <v>234</v>
      </c>
      <c r="I2752" t="s">
        <v>420</v>
      </c>
      <c r="J2752" t="s">
        <v>454</v>
      </c>
      <c r="K2752" s="4">
        <v>933.33</v>
      </c>
      <c r="L2752" s="4">
        <v>933.33</v>
      </c>
      <c r="M2752" t="s">
        <v>44</v>
      </c>
      <c r="N2752" t="s">
        <v>77</v>
      </c>
      <c r="O2752" t="s">
        <v>99</v>
      </c>
      <c r="P2752" t="s">
        <v>99</v>
      </c>
      <c r="Q2752" t="s">
        <v>159</v>
      </c>
      <c r="R2752" t="s">
        <v>237</v>
      </c>
      <c r="S2752" t="s">
        <v>197</v>
      </c>
      <c r="T2752" t="s">
        <v>211</v>
      </c>
      <c r="U2752" t="s">
        <v>163</v>
      </c>
      <c r="V2752" t="s">
        <v>193</v>
      </c>
      <c r="W2752" t="s">
        <v>116</v>
      </c>
      <c r="X2752" t="s">
        <v>44</v>
      </c>
      <c r="Y2752" t="s">
        <v>99</v>
      </c>
      <c r="Z2752" t="s">
        <v>421</v>
      </c>
      <c r="AC2752" t="str">
        <f>IF(AA2752="",M2752,AA2752)</f>
        <v>sim</v>
      </c>
      <c r="AD2752" t="str">
        <f>IF(AB2752="",X2752,AB2752)</f>
        <v>sim</v>
      </c>
      <c r="AE2752" t="str">
        <f>IF(OR(Configuracao!B9="",Configuracao!B10=""),"aguardando limiar",IF(AND(K2752&gt;=Configuracao!B9,K2752/MAX(Reconciliacao!C2,1)&gt;=Configuracao!B10/100),"sim","não"))</f>
        <v>aguardando limiar</v>
      </c>
    </row>
    <row r="2753" spans="1:31" x14ac:dyDescent="0.25">
      <c r="A2753">
        <v>16151</v>
      </c>
      <c r="D2753" t="s">
        <v>1468</v>
      </c>
      <c r="E2753" t="s">
        <v>465</v>
      </c>
      <c r="F2753" t="s">
        <v>236</v>
      </c>
      <c r="G2753" t="s">
        <v>235</v>
      </c>
      <c r="H2753" t="s">
        <v>234</v>
      </c>
      <c r="I2753" t="s">
        <v>454</v>
      </c>
      <c r="J2753" t="s">
        <v>461</v>
      </c>
      <c r="K2753" s="4">
        <v>1020</v>
      </c>
      <c r="L2753" s="4">
        <v>1020</v>
      </c>
      <c r="M2753" t="s">
        <v>44</v>
      </c>
      <c r="N2753" t="s">
        <v>77</v>
      </c>
      <c r="O2753" t="s">
        <v>99</v>
      </c>
      <c r="P2753" t="s">
        <v>99</v>
      </c>
      <c r="Q2753" t="s">
        <v>159</v>
      </c>
      <c r="R2753" t="s">
        <v>237</v>
      </c>
      <c r="S2753" t="s">
        <v>197</v>
      </c>
      <c r="T2753" t="s">
        <v>211</v>
      </c>
      <c r="U2753" t="s">
        <v>163</v>
      </c>
      <c r="V2753" t="s">
        <v>193</v>
      </c>
      <c r="W2753" t="s">
        <v>116</v>
      </c>
      <c r="X2753" t="s">
        <v>166</v>
      </c>
      <c r="Y2753" t="s">
        <v>472</v>
      </c>
      <c r="Z2753" t="s">
        <v>434</v>
      </c>
      <c r="AC2753" t="str">
        <f>IF(AA2753="",M2753,AA2753)</f>
        <v>sim</v>
      </c>
      <c r="AD2753" t="str">
        <f>IF(AB2753="",X2753,AB2753)</f>
        <v>não</v>
      </c>
      <c r="AE2753" t="str">
        <f>IF(OR(Configuracao!B9="",Configuracao!B10=""),"aguardando limiar",IF(AND(K2753&gt;=Configuracao!B9,K2753/MAX(Reconciliacao!C2,1)&gt;=Configuracao!B10/100),"sim","não"))</f>
        <v>aguardando limiar</v>
      </c>
    </row>
    <row r="2754" spans="1:31" x14ac:dyDescent="0.25">
      <c r="A2754">
        <v>17576</v>
      </c>
      <c r="D2754" t="s">
        <v>1461</v>
      </c>
      <c r="E2754" t="s">
        <v>486</v>
      </c>
      <c r="F2754" t="s">
        <v>236</v>
      </c>
      <c r="G2754" t="s">
        <v>235</v>
      </c>
      <c r="H2754" t="s">
        <v>234</v>
      </c>
      <c r="I2754" t="s">
        <v>442</v>
      </c>
      <c r="J2754" t="s">
        <v>442</v>
      </c>
      <c r="K2754" s="4">
        <v>1875</v>
      </c>
      <c r="L2754" s="4">
        <v>1875</v>
      </c>
      <c r="M2754" t="s">
        <v>44</v>
      </c>
      <c r="N2754" t="s">
        <v>77</v>
      </c>
      <c r="O2754" t="s">
        <v>99</v>
      </c>
      <c r="P2754" t="s">
        <v>99</v>
      </c>
      <c r="Q2754" t="s">
        <v>159</v>
      </c>
      <c r="R2754" t="s">
        <v>237</v>
      </c>
      <c r="S2754" t="s">
        <v>197</v>
      </c>
      <c r="T2754" t="s">
        <v>211</v>
      </c>
      <c r="U2754" t="s">
        <v>163</v>
      </c>
      <c r="V2754" t="s">
        <v>193</v>
      </c>
      <c r="W2754" t="s">
        <v>116</v>
      </c>
      <c r="X2754" t="s">
        <v>166</v>
      </c>
      <c r="Y2754" t="s">
        <v>472</v>
      </c>
      <c r="Z2754" t="s">
        <v>434</v>
      </c>
      <c r="AC2754" t="str">
        <f>IF(AA2754="",M2754,AA2754)</f>
        <v>sim</v>
      </c>
      <c r="AD2754" t="str">
        <f>IF(AB2754="",X2754,AB2754)</f>
        <v>não</v>
      </c>
      <c r="AE2754" t="str">
        <f>IF(OR(Configuracao!B9="",Configuracao!B10=""),"aguardando limiar",IF(AND(K2754&gt;=Configuracao!B9,K2754/MAX(Reconciliacao!C2,1)&gt;=Configuracao!B10/100),"sim","não"))</f>
        <v>aguardando limiar</v>
      </c>
    </row>
    <row r="2755" spans="1:31" x14ac:dyDescent="0.25">
      <c r="A2755">
        <v>16152</v>
      </c>
      <c r="D2755" t="s">
        <v>1378</v>
      </c>
      <c r="E2755" t="s">
        <v>477</v>
      </c>
      <c r="F2755" t="s">
        <v>236</v>
      </c>
      <c r="G2755" t="s">
        <v>235</v>
      </c>
      <c r="H2755" t="s">
        <v>234</v>
      </c>
      <c r="I2755" t="s">
        <v>454</v>
      </c>
      <c r="J2755" t="s">
        <v>461</v>
      </c>
      <c r="K2755" s="4">
        <v>2500</v>
      </c>
      <c r="L2755" s="4">
        <v>2500</v>
      </c>
      <c r="M2755" t="s">
        <v>44</v>
      </c>
      <c r="N2755" t="s">
        <v>77</v>
      </c>
      <c r="O2755" t="s">
        <v>99</v>
      </c>
      <c r="P2755" t="s">
        <v>99</v>
      </c>
      <c r="Q2755" t="s">
        <v>159</v>
      </c>
      <c r="R2755" t="s">
        <v>237</v>
      </c>
      <c r="S2755" t="s">
        <v>197</v>
      </c>
      <c r="T2755" t="s">
        <v>211</v>
      </c>
      <c r="U2755" t="s">
        <v>163</v>
      </c>
      <c r="V2755" t="s">
        <v>193</v>
      </c>
      <c r="W2755" t="s">
        <v>116</v>
      </c>
      <c r="X2755" t="s">
        <v>166</v>
      </c>
      <c r="Y2755" t="s">
        <v>472</v>
      </c>
      <c r="Z2755" t="s">
        <v>434</v>
      </c>
      <c r="AC2755" t="str">
        <f>IF(AA2755="",M2755,AA2755)</f>
        <v>sim</v>
      </c>
      <c r="AD2755" t="str">
        <f>IF(AB2755="",X2755,AB2755)</f>
        <v>não</v>
      </c>
      <c r="AE2755" t="str">
        <f>IF(OR(Configuracao!B9="",Configuracao!B10=""),"aguardando limiar",IF(AND(K2755&gt;=Configuracao!B9,K2755/MAX(Reconciliacao!C2,1)&gt;=Configuracao!B10/100),"sim","não"))</f>
        <v>aguardando limiar</v>
      </c>
    </row>
    <row r="2756" spans="1:31" x14ac:dyDescent="0.25">
      <c r="A2756">
        <v>14188</v>
      </c>
      <c r="D2756" t="s">
        <v>1372</v>
      </c>
      <c r="E2756" t="s">
        <v>477</v>
      </c>
      <c r="F2756" t="s">
        <v>236</v>
      </c>
      <c r="G2756" t="s">
        <v>235</v>
      </c>
      <c r="H2756" t="s">
        <v>234</v>
      </c>
      <c r="I2756" t="s">
        <v>420</v>
      </c>
      <c r="J2756" t="s">
        <v>454</v>
      </c>
      <c r="K2756" s="4">
        <v>2933.33</v>
      </c>
      <c r="L2756" s="4">
        <v>2933.33</v>
      </c>
      <c r="M2756" t="s">
        <v>44</v>
      </c>
      <c r="N2756" t="s">
        <v>77</v>
      </c>
      <c r="O2756" t="s">
        <v>99</v>
      </c>
      <c r="P2756" t="s">
        <v>99</v>
      </c>
      <c r="Q2756" t="s">
        <v>159</v>
      </c>
      <c r="R2756" t="s">
        <v>237</v>
      </c>
      <c r="S2756" t="s">
        <v>197</v>
      </c>
      <c r="T2756" t="s">
        <v>211</v>
      </c>
      <c r="U2756" t="s">
        <v>163</v>
      </c>
      <c r="V2756" t="s">
        <v>193</v>
      </c>
      <c r="W2756" t="s">
        <v>116</v>
      </c>
      <c r="X2756" t="s">
        <v>166</v>
      </c>
      <c r="Y2756" t="s">
        <v>472</v>
      </c>
      <c r="Z2756" t="s">
        <v>434</v>
      </c>
      <c r="AC2756" t="str">
        <f>IF(AA2756="",M2756,AA2756)</f>
        <v>sim</v>
      </c>
      <c r="AD2756" t="str">
        <f>IF(AB2756="",X2756,AB2756)</f>
        <v>não</v>
      </c>
      <c r="AE2756" t="str">
        <f>IF(OR(Configuracao!B9="",Configuracao!B10=""),"aguardando limiar",IF(AND(K2756&gt;=Configuracao!B9,K2756/MAX(Reconciliacao!C2,1)&gt;=Configuracao!B10/100),"sim","não"))</f>
        <v>aguardando limiar</v>
      </c>
    </row>
    <row r="2757" spans="1:31" x14ac:dyDescent="0.25">
      <c r="A2757">
        <v>15966</v>
      </c>
      <c r="D2757" t="s">
        <v>578</v>
      </c>
      <c r="E2757" t="s">
        <v>525</v>
      </c>
      <c r="F2757" t="s">
        <v>236</v>
      </c>
      <c r="G2757" t="s">
        <v>235</v>
      </c>
      <c r="H2757" t="s">
        <v>234</v>
      </c>
      <c r="I2757" t="s">
        <v>420</v>
      </c>
      <c r="J2757" t="s">
        <v>420</v>
      </c>
      <c r="K2757" s="4">
        <v>3699.69</v>
      </c>
      <c r="L2757" s="4">
        <v>3699.69</v>
      </c>
      <c r="M2757" t="s">
        <v>44</v>
      </c>
      <c r="N2757" t="s">
        <v>77</v>
      </c>
      <c r="O2757" t="s">
        <v>99</v>
      </c>
      <c r="P2757" t="s">
        <v>99</v>
      </c>
      <c r="Q2757" t="s">
        <v>159</v>
      </c>
      <c r="R2757" t="s">
        <v>237</v>
      </c>
      <c r="S2757" t="s">
        <v>197</v>
      </c>
      <c r="T2757" t="s">
        <v>211</v>
      </c>
      <c r="U2757" t="s">
        <v>163</v>
      </c>
      <c r="V2757" t="s">
        <v>193</v>
      </c>
      <c r="W2757" t="s">
        <v>116</v>
      </c>
      <c r="X2757" t="s">
        <v>166</v>
      </c>
      <c r="Y2757" t="s">
        <v>472</v>
      </c>
      <c r="Z2757" t="s">
        <v>434</v>
      </c>
      <c r="AC2757" t="str">
        <f>IF(AA2757="",M2757,AA2757)</f>
        <v>sim</v>
      </c>
      <c r="AD2757" t="str">
        <f>IF(AB2757="",X2757,AB2757)</f>
        <v>não</v>
      </c>
      <c r="AE2757" t="str">
        <f>IF(OR(Configuracao!B9="",Configuracao!B10=""),"aguardando limiar",IF(AND(K2757&gt;=Configuracao!B9,K2757/MAX(Reconciliacao!C2,1)&gt;=Configuracao!B10/100),"sim","não"))</f>
        <v>aguardando limiar</v>
      </c>
    </row>
    <row r="2758" spans="1:31" x14ac:dyDescent="0.25">
      <c r="A2758">
        <v>15964</v>
      </c>
      <c r="D2758" t="s">
        <v>1384</v>
      </c>
      <c r="E2758" t="s">
        <v>477</v>
      </c>
      <c r="F2758" t="s">
        <v>236</v>
      </c>
      <c r="G2758" t="s">
        <v>235</v>
      </c>
      <c r="H2758" t="s">
        <v>234</v>
      </c>
      <c r="I2758" t="s">
        <v>420</v>
      </c>
      <c r="J2758" t="s">
        <v>420</v>
      </c>
      <c r="K2758" s="4">
        <v>5666.67</v>
      </c>
      <c r="L2758" s="4">
        <v>5666.67</v>
      </c>
      <c r="M2758" t="s">
        <v>44</v>
      </c>
      <c r="N2758" t="s">
        <v>77</v>
      </c>
      <c r="O2758" t="s">
        <v>99</v>
      </c>
      <c r="P2758" t="s">
        <v>99</v>
      </c>
      <c r="Q2758" t="s">
        <v>159</v>
      </c>
      <c r="R2758" t="s">
        <v>237</v>
      </c>
      <c r="S2758" t="s">
        <v>197</v>
      </c>
      <c r="T2758" t="s">
        <v>211</v>
      </c>
      <c r="U2758" t="s">
        <v>163</v>
      </c>
      <c r="V2758" t="s">
        <v>193</v>
      </c>
      <c r="W2758" t="s">
        <v>116</v>
      </c>
      <c r="X2758" t="s">
        <v>166</v>
      </c>
      <c r="Y2758" t="s">
        <v>472</v>
      </c>
      <c r="Z2758" t="s">
        <v>434</v>
      </c>
      <c r="AC2758" t="str">
        <f>IF(AA2758="",M2758,AA2758)</f>
        <v>sim</v>
      </c>
      <c r="AD2758" t="str">
        <f>IF(AB2758="",X2758,AB2758)</f>
        <v>não</v>
      </c>
      <c r="AE2758" t="str">
        <f>IF(OR(Configuracao!B9="",Configuracao!B10=""),"aguardando limiar",IF(AND(K2758&gt;=Configuracao!B9,K2758/MAX(Reconciliacao!C2,1)&gt;=Configuracao!B10/100),"sim","não"))</f>
        <v>aguardando limiar</v>
      </c>
    </row>
    <row r="2759" spans="1:31" x14ac:dyDescent="0.25">
      <c r="A2759">
        <v>18785</v>
      </c>
      <c r="C2759" t="s">
        <v>1642</v>
      </c>
      <c r="D2759" t="s">
        <v>630</v>
      </c>
      <c r="E2759" t="s">
        <v>511</v>
      </c>
      <c r="F2759" t="s">
        <v>236</v>
      </c>
      <c r="G2759" t="s">
        <v>235</v>
      </c>
      <c r="H2759" t="s">
        <v>234</v>
      </c>
      <c r="I2759" t="s">
        <v>439</v>
      </c>
      <c r="J2759" t="s">
        <v>35</v>
      </c>
      <c r="K2759" s="4">
        <v>10000</v>
      </c>
      <c r="L2759" s="4">
        <v>10000</v>
      </c>
      <c r="M2759" t="s">
        <v>44</v>
      </c>
      <c r="N2759" t="s">
        <v>77</v>
      </c>
      <c r="O2759" t="s">
        <v>99</v>
      </c>
      <c r="P2759" t="s">
        <v>99</v>
      </c>
      <c r="Q2759" t="s">
        <v>159</v>
      </c>
      <c r="R2759" t="s">
        <v>237</v>
      </c>
      <c r="S2759" t="s">
        <v>197</v>
      </c>
      <c r="T2759" t="s">
        <v>211</v>
      </c>
      <c r="U2759" t="s">
        <v>163</v>
      </c>
      <c r="V2759" t="s">
        <v>193</v>
      </c>
      <c r="W2759" t="s">
        <v>116</v>
      </c>
      <c r="X2759" t="s">
        <v>166</v>
      </c>
      <c r="Y2759" t="s">
        <v>1643</v>
      </c>
      <c r="Z2759" t="s">
        <v>434</v>
      </c>
      <c r="AC2759" t="str">
        <f>IF(AA2759="",M2759,AA2759)</f>
        <v>sim</v>
      </c>
      <c r="AD2759" t="str">
        <f>IF(AB2759="",X2759,AB2759)</f>
        <v>não</v>
      </c>
      <c r="AE2759" t="str">
        <f>IF(OR(Configuracao!B9="",Configuracao!B10=""),"aguardando limiar",IF(AND(K2759&gt;=Configuracao!B9,K2759/MAX(Reconciliacao!C2,1)&gt;=Configuracao!B10/100),"sim","não"))</f>
        <v>aguardando limiar</v>
      </c>
    </row>
    <row r="2760" spans="1:31" x14ac:dyDescent="0.25">
      <c r="A2760">
        <v>17577</v>
      </c>
      <c r="D2760" t="s">
        <v>1461</v>
      </c>
      <c r="E2760" t="s">
        <v>486</v>
      </c>
      <c r="F2760" t="s">
        <v>236</v>
      </c>
      <c r="G2760" t="s">
        <v>342</v>
      </c>
      <c r="H2760" t="s">
        <v>341</v>
      </c>
      <c r="I2760" t="s">
        <v>442</v>
      </c>
      <c r="J2760" t="s">
        <v>442</v>
      </c>
      <c r="K2760" s="4">
        <v>3750</v>
      </c>
      <c r="L2760" s="4">
        <v>3750</v>
      </c>
      <c r="M2760" t="s">
        <v>44</v>
      </c>
      <c r="N2760" t="s">
        <v>77</v>
      </c>
      <c r="O2760" t="s">
        <v>99</v>
      </c>
      <c r="P2760" t="s">
        <v>99</v>
      </c>
      <c r="Q2760" t="s">
        <v>159</v>
      </c>
      <c r="R2760" t="s">
        <v>237</v>
      </c>
      <c r="S2760" t="s">
        <v>197</v>
      </c>
      <c r="T2760" t="s">
        <v>211</v>
      </c>
      <c r="U2760" t="s">
        <v>163</v>
      </c>
      <c r="V2760" t="s">
        <v>193</v>
      </c>
      <c r="W2760" t="s">
        <v>116</v>
      </c>
      <c r="X2760" t="s">
        <v>166</v>
      </c>
      <c r="Y2760" t="s">
        <v>1644</v>
      </c>
      <c r="Z2760" t="s">
        <v>434</v>
      </c>
      <c r="AC2760" t="str">
        <f>IF(AA2760="",M2760,AA2760)</f>
        <v>sim</v>
      </c>
      <c r="AD2760" t="str">
        <f>IF(AB2760="",X2760,AB2760)</f>
        <v>não</v>
      </c>
      <c r="AE2760" t="str">
        <f>IF(OR(Configuracao!B9="",Configuracao!B10=""),"aguardando limiar",IF(AND(K2760&gt;=Configuracao!B9,K2760/MAX(Reconciliacao!C2,1)&gt;=Configuracao!B10/100),"sim","não"))</f>
        <v>aguardando limiar</v>
      </c>
    </row>
    <row r="2761" spans="1:31" x14ac:dyDescent="0.25">
      <c r="A2761">
        <v>17578</v>
      </c>
      <c r="D2761" t="s">
        <v>1461</v>
      </c>
      <c r="E2761" t="s">
        <v>486</v>
      </c>
      <c r="F2761" t="s">
        <v>236</v>
      </c>
      <c r="G2761" t="s">
        <v>257</v>
      </c>
      <c r="H2761" t="s">
        <v>256</v>
      </c>
      <c r="I2761" t="s">
        <v>442</v>
      </c>
      <c r="J2761" t="s">
        <v>442</v>
      </c>
      <c r="K2761" s="4">
        <v>565.07</v>
      </c>
      <c r="L2761" s="4">
        <v>565.07</v>
      </c>
      <c r="M2761" t="s">
        <v>44</v>
      </c>
      <c r="N2761" t="s">
        <v>77</v>
      </c>
      <c r="O2761" t="s">
        <v>99</v>
      </c>
      <c r="P2761" t="s">
        <v>99</v>
      </c>
      <c r="Q2761" t="s">
        <v>159</v>
      </c>
      <c r="R2761" t="s">
        <v>26</v>
      </c>
      <c r="S2761" t="s">
        <v>185</v>
      </c>
      <c r="T2761" t="s">
        <v>211</v>
      </c>
      <c r="U2761" t="s">
        <v>163</v>
      </c>
      <c r="V2761" t="s">
        <v>193</v>
      </c>
      <c r="W2761" t="s">
        <v>116</v>
      </c>
      <c r="X2761" t="s">
        <v>44</v>
      </c>
      <c r="Y2761" t="s">
        <v>99</v>
      </c>
      <c r="Z2761" t="s">
        <v>421</v>
      </c>
      <c r="AC2761" t="str">
        <f>IF(AA2761="",M2761,AA2761)</f>
        <v>sim</v>
      </c>
      <c r="AD2761" t="str">
        <f>IF(AB2761="",X2761,AB2761)</f>
        <v>sim</v>
      </c>
      <c r="AE2761" t="str">
        <f>IF(OR(Configuracao!B9="",Configuracao!B10=""),"aguardando limiar",IF(AND(K2761&gt;=Configuracao!B9,K2761/MAX(Reconciliacao!C2,1)&gt;=Configuracao!B10/100),"sim","não"))</f>
        <v>aguardando limiar</v>
      </c>
    </row>
    <row r="2762" spans="1:31" x14ac:dyDescent="0.25">
      <c r="A2762">
        <v>16548</v>
      </c>
      <c r="D2762" t="s">
        <v>578</v>
      </c>
      <c r="E2762" t="s">
        <v>525</v>
      </c>
      <c r="F2762" t="s">
        <v>236</v>
      </c>
      <c r="G2762" t="s">
        <v>257</v>
      </c>
      <c r="H2762" t="s">
        <v>256</v>
      </c>
      <c r="I2762" t="s">
        <v>420</v>
      </c>
      <c r="J2762" t="s">
        <v>420</v>
      </c>
      <c r="K2762" s="4">
        <v>8570.75</v>
      </c>
      <c r="L2762" s="4">
        <v>8570.75</v>
      </c>
      <c r="M2762" t="s">
        <v>44</v>
      </c>
      <c r="N2762" t="s">
        <v>77</v>
      </c>
      <c r="O2762" t="s">
        <v>99</v>
      </c>
      <c r="P2762" t="s">
        <v>99</v>
      </c>
      <c r="Q2762" t="s">
        <v>159</v>
      </c>
      <c r="R2762" t="s">
        <v>26</v>
      </c>
      <c r="S2762" t="s">
        <v>185</v>
      </c>
      <c r="T2762" t="s">
        <v>211</v>
      </c>
      <c r="U2762" t="s">
        <v>163</v>
      </c>
      <c r="V2762" t="s">
        <v>193</v>
      </c>
      <c r="W2762" t="s">
        <v>116</v>
      </c>
      <c r="X2762" t="s">
        <v>166</v>
      </c>
      <c r="Y2762" t="s">
        <v>472</v>
      </c>
      <c r="Z2762" t="s">
        <v>434</v>
      </c>
      <c r="AC2762" t="str">
        <f>IF(AA2762="",M2762,AA2762)</f>
        <v>sim</v>
      </c>
      <c r="AD2762" t="str">
        <f>IF(AB2762="",X2762,AB2762)</f>
        <v>não</v>
      </c>
      <c r="AE2762" t="str">
        <f>IF(OR(Configuracao!B9="",Configuracao!B10=""),"aguardando limiar",IF(AND(K2762&gt;=Configuracao!B9,K2762/MAX(Reconciliacao!C2,1)&gt;=Configuracao!B10/100),"sim","não"))</f>
        <v>aguardando limiar</v>
      </c>
    </row>
    <row r="2763" spans="1:31" x14ac:dyDescent="0.25">
      <c r="A2763">
        <v>18822</v>
      </c>
      <c r="C2763" t="s">
        <v>1642</v>
      </c>
      <c r="D2763" t="s">
        <v>630</v>
      </c>
      <c r="E2763" t="s">
        <v>511</v>
      </c>
      <c r="F2763" t="s">
        <v>236</v>
      </c>
      <c r="G2763" t="s">
        <v>257</v>
      </c>
      <c r="H2763" t="s">
        <v>256</v>
      </c>
      <c r="I2763" t="s">
        <v>439</v>
      </c>
      <c r="J2763" t="s">
        <v>35</v>
      </c>
      <c r="K2763" s="4">
        <v>13000</v>
      </c>
      <c r="L2763" s="4">
        <v>13000</v>
      </c>
      <c r="M2763" t="s">
        <v>44</v>
      </c>
      <c r="N2763" t="s">
        <v>77</v>
      </c>
      <c r="O2763" t="s">
        <v>99</v>
      </c>
      <c r="P2763" t="s">
        <v>99</v>
      </c>
      <c r="Q2763" t="s">
        <v>159</v>
      </c>
      <c r="R2763" t="s">
        <v>26</v>
      </c>
      <c r="S2763" t="s">
        <v>185</v>
      </c>
      <c r="T2763" t="s">
        <v>211</v>
      </c>
      <c r="U2763" t="s">
        <v>163</v>
      </c>
      <c r="V2763" t="s">
        <v>193</v>
      </c>
      <c r="W2763" t="s">
        <v>116</v>
      </c>
      <c r="X2763" t="s">
        <v>166</v>
      </c>
      <c r="Y2763" t="s">
        <v>472</v>
      </c>
      <c r="Z2763" t="s">
        <v>434</v>
      </c>
      <c r="AC2763" t="str">
        <f>IF(AA2763="",M2763,AA2763)</f>
        <v>sim</v>
      </c>
      <c r="AD2763" t="str">
        <f>IF(AB2763="",X2763,AB2763)</f>
        <v>não</v>
      </c>
      <c r="AE2763" t="str">
        <f>IF(OR(Configuracao!B9="",Configuracao!B10=""),"aguardando limiar",IF(AND(K2763&gt;=Configuracao!B9,K2763/MAX(Reconciliacao!C2,1)&gt;=Configuracao!B10/100),"sim","não"))</f>
        <v>aguardando limiar</v>
      </c>
    </row>
    <row r="2764" spans="1:31" x14ac:dyDescent="0.25">
      <c r="A2764">
        <v>15828</v>
      </c>
      <c r="C2764" t="s">
        <v>1645</v>
      </c>
      <c r="D2764" t="s">
        <v>830</v>
      </c>
      <c r="E2764" t="s">
        <v>451</v>
      </c>
      <c r="F2764" t="s">
        <v>322</v>
      </c>
      <c r="G2764" t="s">
        <v>321</v>
      </c>
      <c r="H2764" t="s">
        <v>320</v>
      </c>
      <c r="I2764" t="s">
        <v>461</v>
      </c>
      <c r="J2764" t="s">
        <v>461</v>
      </c>
      <c r="K2764" s="4">
        <v>198</v>
      </c>
      <c r="L2764" s="4">
        <v>198</v>
      </c>
      <c r="M2764" t="s">
        <v>44</v>
      </c>
      <c r="N2764" t="s">
        <v>77</v>
      </c>
      <c r="O2764" t="s">
        <v>99</v>
      </c>
      <c r="P2764" t="s">
        <v>99</v>
      </c>
      <c r="Q2764" t="s">
        <v>159</v>
      </c>
      <c r="R2764" t="s">
        <v>323</v>
      </c>
      <c r="S2764" t="s">
        <v>197</v>
      </c>
      <c r="T2764" t="s">
        <v>198</v>
      </c>
      <c r="U2764" t="s">
        <v>163</v>
      </c>
      <c r="V2764" t="s">
        <v>186</v>
      </c>
      <c r="W2764" t="s">
        <v>116</v>
      </c>
      <c r="X2764" t="s">
        <v>44</v>
      </c>
      <c r="Y2764" t="s">
        <v>99</v>
      </c>
      <c r="Z2764" t="s">
        <v>421</v>
      </c>
      <c r="AC2764" t="str">
        <f>IF(AA2764="",M2764,AA2764)</f>
        <v>sim</v>
      </c>
      <c r="AD2764" t="str">
        <f>IF(AB2764="",X2764,AB2764)</f>
        <v>sim</v>
      </c>
      <c r="AE2764" t="str">
        <f>IF(OR(Configuracao!B9="",Configuracao!B10=""),"aguardando limiar",IF(AND(K2764&gt;=Configuracao!B9,K2764/MAX(Reconciliacao!C2,1)&gt;=Configuracao!B10/100),"sim","não"))</f>
        <v>aguardando limiar</v>
      </c>
    </row>
    <row r="2765" spans="1:31" x14ac:dyDescent="0.25">
      <c r="A2765">
        <v>16648</v>
      </c>
      <c r="C2765" t="s">
        <v>1646</v>
      </c>
      <c r="D2765" t="s">
        <v>1628</v>
      </c>
      <c r="E2765" t="s">
        <v>451</v>
      </c>
      <c r="F2765" t="s">
        <v>322</v>
      </c>
      <c r="G2765" t="s">
        <v>321</v>
      </c>
      <c r="H2765" t="s">
        <v>320</v>
      </c>
      <c r="I2765" t="s">
        <v>442</v>
      </c>
      <c r="J2765" t="s">
        <v>442</v>
      </c>
      <c r="K2765" s="4">
        <v>604.33</v>
      </c>
      <c r="L2765" s="4">
        <v>604.33</v>
      </c>
      <c r="M2765" t="s">
        <v>44</v>
      </c>
      <c r="N2765" t="s">
        <v>77</v>
      </c>
      <c r="O2765" t="s">
        <v>99</v>
      </c>
      <c r="P2765" t="s">
        <v>99</v>
      </c>
      <c r="Q2765" t="s">
        <v>159</v>
      </c>
      <c r="R2765" t="s">
        <v>323</v>
      </c>
      <c r="S2765" t="s">
        <v>197</v>
      </c>
      <c r="T2765" t="s">
        <v>198</v>
      </c>
      <c r="U2765" t="s">
        <v>163</v>
      </c>
      <c r="V2765" t="s">
        <v>186</v>
      </c>
      <c r="W2765" t="s">
        <v>116</v>
      </c>
      <c r="X2765" t="s">
        <v>44</v>
      </c>
      <c r="Y2765" t="s">
        <v>99</v>
      </c>
      <c r="Z2765" t="s">
        <v>421</v>
      </c>
      <c r="AC2765" t="str">
        <f>IF(AA2765="",M2765,AA2765)</f>
        <v>sim</v>
      </c>
      <c r="AD2765" t="str">
        <f>IF(AB2765="",X2765,AB2765)</f>
        <v>sim</v>
      </c>
      <c r="AE2765" t="str">
        <f>IF(OR(Configuracao!B9="",Configuracao!B10=""),"aguardando limiar",IF(AND(K2765&gt;=Configuracao!B9,K2765/MAX(Reconciliacao!C2,1)&gt;=Configuracao!B10/100),"sim","não"))</f>
        <v>aguardando limiar</v>
      </c>
    </row>
    <row r="2766" spans="1:31" x14ac:dyDescent="0.25">
      <c r="A2766">
        <v>16649</v>
      </c>
      <c r="C2766" t="s">
        <v>1646</v>
      </c>
      <c r="D2766" t="s">
        <v>1628</v>
      </c>
      <c r="E2766" t="s">
        <v>451</v>
      </c>
      <c r="F2766" t="s">
        <v>322</v>
      </c>
      <c r="G2766" t="s">
        <v>321</v>
      </c>
      <c r="H2766" t="s">
        <v>320</v>
      </c>
      <c r="I2766" t="s">
        <v>439</v>
      </c>
      <c r="J2766" t="s">
        <v>442</v>
      </c>
      <c r="K2766" s="4">
        <v>604.33</v>
      </c>
      <c r="L2766" s="4">
        <v>604.33</v>
      </c>
      <c r="M2766" t="s">
        <v>44</v>
      </c>
      <c r="N2766" t="s">
        <v>77</v>
      </c>
      <c r="O2766" t="s">
        <v>99</v>
      </c>
      <c r="P2766" t="s">
        <v>99</v>
      </c>
      <c r="Q2766" t="s">
        <v>159</v>
      </c>
      <c r="R2766" t="s">
        <v>323</v>
      </c>
      <c r="S2766" t="s">
        <v>197</v>
      </c>
      <c r="T2766" t="s">
        <v>198</v>
      </c>
      <c r="U2766" t="s">
        <v>163</v>
      </c>
      <c r="V2766" t="s">
        <v>186</v>
      </c>
      <c r="W2766" t="s">
        <v>116</v>
      </c>
      <c r="X2766" t="s">
        <v>44</v>
      </c>
      <c r="Y2766" t="s">
        <v>99</v>
      </c>
      <c r="Z2766" t="s">
        <v>421</v>
      </c>
      <c r="AC2766" t="str">
        <f>IF(AA2766="",M2766,AA2766)</f>
        <v>sim</v>
      </c>
      <c r="AD2766" t="str">
        <f>IF(AB2766="",X2766,AB2766)</f>
        <v>sim</v>
      </c>
      <c r="AE2766" t="str">
        <f>IF(OR(Configuracao!B9="",Configuracao!B10=""),"aguardando limiar",IF(AND(K2766&gt;=Configuracao!B9,K2766/MAX(Reconciliacao!C2,1)&gt;=Configuracao!B10/100),"sim","não"))</f>
        <v>aguardando limiar</v>
      </c>
    </row>
    <row r="2767" spans="1:31" x14ac:dyDescent="0.25">
      <c r="A2767">
        <v>16647</v>
      </c>
      <c r="C2767" t="s">
        <v>1646</v>
      </c>
      <c r="D2767" t="s">
        <v>1628</v>
      </c>
      <c r="E2767" t="s">
        <v>451</v>
      </c>
      <c r="F2767" t="s">
        <v>322</v>
      </c>
      <c r="G2767" t="s">
        <v>321</v>
      </c>
      <c r="H2767" t="s">
        <v>320</v>
      </c>
      <c r="I2767" t="s">
        <v>461</v>
      </c>
      <c r="J2767" t="s">
        <v>461</v>
      </c>
      <c r="K2767" s="4">
        <v>604.34</v>
      </c>
      <c r="L2767" s="4">
        <v>604.34</v>
      </c>
      <c r="M2767" t="s">
        <v>44</v>
      </c>
      <c r="N2767" t="s">
        <v>77</v>
      </c>
      <c r="O2767" t="s">
        <v>99</v>
      </c>
      <c r="P2767" t="s">
        <v>99</v>
      </c>
      <c r="Q2767" t="s">
        <v>159</v>
      </c>
      <c r="R2767" t="s">
        <v>323</v>
      </c>
      <c r="S2767" t="s">
        <v>197</v>
      </c>
      <c r="T2767" t="s">
        <v>198</v>
      </c>
      <c r="U2767" t="s">
        <v>163</v>
      </c>
      <c r="V2767" t="s">
        <v>186</v>
      </c>
      <c r="W2767" t="s">
        <v>116</v>
      </c>
      <c r="X2767" t="s">
        <v>44</v>
      </c>
      <c r="Y2767" t="s">
        <v>99</v>
      </c>
      <c r="Z2767" t="s">
        <v>421</v>
      </c>
      <c r="AC2767" t="str">
        <f>IF(AA2767="",M2767,AA2767)</f>
        <v>sim</v>
      </c>
      <c r="AD2767" t="str">
        <f>IF(AB2767="",X2767,AB2767)</f>
        <v>sim</v>
      </c>
      <c r="AE2767" t="str">
        <f>IF(OR(Configuracao!B9="",Configuracao!B10=""),"aguardando limiar",IF(AND(K2767&gt;=Configuracao!B9,K2767/MAX(Reconciliacao!C2,1)&gt;=Configuracao!B10/100),"sim","não"))</f>
        <v>aguardando limiar</v>
      </c>
    </row>
    <row r="2768" spans="1:31" x14ac:dyDescent="0.25">
      <c r="A2768">
        <v>10261</v>
      </c>
      <c r="C2768" t="s">
        <v>1647</v>
      </c>
      <c r="D2768" t="s">
        <v>1628</v>
      </c>
      <c r="E2768" t="s">
        <v>224</v>
      </c>
      <c r="F2768" t="s">
        <v>322</v>
      </c>
      <c r="G2768" t="s">
        <v>321</v>
      </c>
      <c r="H2768" t="s">
        <v>320</v>
      </c>
      <c r="I2768" t="s">
        <v>32</v>
      </c>
      <c r="J2768" t="s">
        <v>32</v>
      </c>
      <c r="K2768" s="4">
        <v>1222.5</v>
      </c>
      <c r="L2768" s="4">
        <v>1222.5</v>
      </c>
      <c r="M2768" t="s">
        <v>44</v>
      </c>
      <c r="N2768" t="s">
        <v>77</v>
      </c>
      <c r="O2768" t="s">
        <v>99</v>
      </c>
      <c r="P2768" t="s">
        <v>99</v>
      </c>
      <c r="Q2768" t="s">
        <v>159</v>
      </c>
      <c r="R2768" t="s">
        <v>323</v>
      </c>
      <c r="S2768" t="s">
        <v>197</v>
      </c>
      <c r="T2768" t="s">
        <v>198</v>
      </c>
      <c r="U2768" t="s">
        <v>163</v>
      </c>
      <c r="V2768" t="s">
        <v>186</v>
      </c>
      <c r="W2768" t="s">
        <v>116</v>
      </c>
      <c r="X2768" t="s">
        <v>44</v>
      </c>
      <c r="Y2768" t="s">
        <v>99</v>
      </c>
      <c r="Z2768" t="s">
        <v>421</v>
      </c>
      <c r="AC2768" t="str">
        <f>IF(AA2768="",M2768,AA2768)</f>
        <v>sim</v>
      </c>
      <c r="AD2768" t="str">
        <f>IF(AB2768="",X2768,AB2768)</f>
        <v>sim</v>
      </c>
      <c r="AE2768" t="str">
        <f>IF(OR(Configuracao!B9="",Configuracao!B10=""),"aguardando limiar",IF(AND(K2768&gt;=Configuracao!B9,K2768/MAX(Reconciliacao!C2,1)&gt;=Configuracao!B10/100),"sim","não"))</f>
        <v>aguardando limiar</v>
      </c>
    </row>
    <row r="2769" spans="1:31" x14ac:dyDescent="0.25">
      <c r="A2769">
        <v>12430</v>
      </c>
      <c r="C2769" t="s">
        <v>1648</v>
      </c>
      <c r="D2769" t="s">
        <v>1628</v>
      </c>
      <c r="E2769" t="s">
        <v>451</v>
      </c>
      <c r="F2769" t="s">
        <v>322</v>
      </c>
      <c r="G2769" t="s">
        <v>321</v>
      </c>
      <c r="H2769" t="s">
        <v>320</v>
      </c>
      <c r="I2769" t="s">
        <v>424</v>
      </c>
      <c r="J2769" t="s">
        <v>424</v>
      </c>
      <c r="K2769" s="4">
        <v>1233.33</v>
      </c>
      <c r="L2769" s="4">
        <v>1233.33</v>
      </c>
      <c r="M2769" t="s">
        <v>44</v>
      </c>
      <c r="N2769" t="s">
        <v>77</v>
      </c>
      <c r="O2769" t="s">
        <v>99</v>
      </c>
      <c r="P2769" t="s">
        <v>99</v>
      </c>
      <c r="Q2769" t="s">
        <v>159</v>
      </c>
      <c r="R2769" t="s">
        <v>323</v>
      </c>
      <c r="S2769" t="s">
        <v>197</v>
      </c>
      <c r="T2769" t="s">
        <v>198</v>
      </c>
      <c r="U2769" t="s">
        <v>163</v>
      </c>
      <c r="V2769" t="s">
        <v>186</v>
      </c>
      <c r="W2769" t="s">
        <v>116</v>
      </c>
      <c r="X2769" t="s">
        <v>44</v>
      </c>
      <c r="Y2769" t="s">
        <v>99</v>
      </c>
      <c r="Z2769" t="s">
        <v>421</v>
      </c>
      <c r="AC2769" t="str">
        <f>IF(AA2769="",M2769,AA2769)</f>
        <v>sim</v>
      </c>
      <c r="AD2769" t="str">
        <f>IF(AB2769="",X2769,AB2769)</f>
        <v>sim</v>
      </c>
      <c r="AE2769" t="str">
        <f>IF(OR(Configuracao!B9="",Configuracao!B10=""),"aguardando limiar",IF(AND(K2769&gt;=Configuracao!B9,K2769/MAX(Reconciliacao!C2,1)&gt;=Configuracao!B10/100),"sim","não"))</f>
        <v>aguardando limiar</v>
      </c>
    </row>
    <row r="2770" spans="1:31" x14ac:dyDescent="0.25">
      <c r="A2770">
        <v>12431</v>
      </c>
      <c r="C2770" t="s">
        <v>1648</v>
      </c>
      <c r="D2770" t="s">
        <v>1628</v>
      </c>
      <c r="E2770" t="s">
        <v>451</v>
      </c>
      <c r="F2770" t="s">
        <v>322</v>
      </c>
      <c r="G2770" t="s">
        <v>321</v>
      </c>
      <c r="H2770" t="s">
        <v>320</v>
      </c>
      <c r="I2770" t="s">
        <v>420</v>
      </c>
      <c r="J2770" t="s">
        <v>420</v>
      </c>
      <c r="K2770" s="4">
        <v>1233.33</v>
      </c>
      <c r="L2770" s="4">
        <v>1233.33</v>
      </c>
      <c r="M2770" t="s">
        <v>44</v>
      </c>
      <c r="N2770" t="s">
        <v>77</v>
      </c>
      <c r="O2770" t="s">
        <v>99</v>
      </c>
      <c r="P2770" t="s">
        <v>99</v>
      </c>
      <c r="Q2770" t="s">
        <v>159</v>
      </c>
      <c r="R2770" t="s">
        <v>323</v>
      </c>
      <c r="S2770" t="s">
        <v>197</v>
      </c>
      <c r="T2770" t="s">
        <v>198</v>
      </c>
      <c r="U2770" t="s">
        <v>163</v>
      </c>
      <c r="V2770" t="s">
        <v>186</v>
      </c>
      <c r="W2770" t="s">
        <v>116</v>
      </c>
      <c r="X2770" t="s">
        <v>44</v>
      </c>
      <c r="Y2770" t="s">
        <v>99</v>
      </c>
      <c r="Z2770" t="s">
        <v>421</v>
      </c>
      <c r="AC2770" t="str">
        <f>IF(AA2770="",M2770,AA2770)</f>
        <v>sim</v>
      </c>
      <c r="AD2770" t="str">
        <f>IF(AB2770="",X2770,AB2770)</f>
        <v>sim</v>
      </c>
      <c r="AE2770" t="str">
        <f>IF(OR(Configuracao!B9="",Configuracao!B10=""),"aguardando limiar",IF(AND(K2770&gt;=Configuracao!B9,K2770/MAX(Reconciliacao!C2,1)&gt;=Configuracao!B10/100),"sim","não"))</f>
        <v>aguardando limiar</v>
      </c>
    </row>
    <row r="2771" spans="1:31" x14ac:dyDescent="0.25">
      <c r="A2771">
        <v>12432</v>
      </c>
      <c r="C2771" t="s">
        <v>1648</v>
      </c>
      <c r="D2771" t="s">
        <v>1628</v>
      </c>
      <c r="E2771" t="s">
        <v>451</v>
      </c>
      <c r="F2771" t="s">
        <v>322</v>
      </c>
      <c r="G2771" t="s">
        <v>321</v>
      </c>
      <c r="H2771" t="s">
        <v>320</v>
      </c>
      <c r="I2771" t="s">
        <v>454</v>
      </c>
      <c r="J2771" t="s">
        <v>454</v>
      </c>
      <c r="K2771" s="4">
        <v>1233.33</v>
      </c>
      <c r="L2771" s="4">
        <v>1233.33</v>
      </c>
      <c r="M2771" t="s">
        <v>44</v>
      </c>
      <c r="N2771" t="s">
        <v>77</v>
      </c>
      <c r="O2771" t="s">
        <v>99</v>
      </c>
      <c r="P2771" t="s">
        <v>99</v>
      </c>
      <c r="Q2771" t="s">
        <v>159</v>
      </c>
      <c r="R2771" t="s">
        <v>323</v>
      </c>
      <c r="S2771" t="s">
        <v>197</v>
      </c>
      <c r="T2771" t="s">
        <v>198</v>
      </c>
      <c r="U2771" t="s">
        <v>163</v>
      </c>
      <c r="V2771" t="s">
        <v>186</v>
      </c>
      <c r="W2771" t="s">
        <v>116</v>
      </c>
      <c r="X2771" t="s">
        <v>44</v>
      </c>
      <c r="Y2771" t="s">
        <v>99</v>
      </c>
      <c r="Z2771" t="s">
        <v>421</v>
      </c>
      <c r="AC2771" t="str">
        <f>IF(AA2771="",M2771,AA2771)</f>
        <v>sim</v>
      </c>
      <c r="AD2771" t="str">
        <f>IF(AB2771="",X2771,AB2771)</f>
        <v>sim</v>
      </c>
      <c r="AE2771" t="str">
        <f>IF(OR(Configuracao!B9="",Configuracao!B10=""),"aguardando limiar",IF(AND(K2771&gt;=Configuracao!B9,K2771/MAX(Reconciliacao!C2,1)&gt;=Configuracao!B10/100),"sim","não"))</f>
        <v>aguardando limiar</v>
      </c>
    </row>
    <row r="2772" spans="1:31" x14ac:dyDescent="0.25">
      <c r="A2772">
        <v>16553</v>
      </c>
      <c r="C2772" t="s">
        <v>1649</v>
      </c>
      <c r="D2772" t="s">
        <v>830</v>
      </c>
      <c r="E2772" t="s">
        <v>451</v>
      </c>
      <c r="F2772" t="s">
        <v>322</v>
      </c>
      <c r="G2772" t="s">
        <v>344</v>
      </c>
      <c r="H2772" t="s">
        <v>343</v>
      </c>
      <c r="I2772" t="s">
        <v>461</v>
      </c>
      <c r="J2772" t="s">
        <v>461</v>
      </c>
      <c r="K2772" s="4">
        <v>6</v>
      </c>
      <c r="L2772" s="4">
        <v>6</v>
      </c>
      <c r="M2772" t="s">
        <v>44</v>
      </c>
      <c r="N2772" t="s">
        <v>77</v>
      </c>
      <c r="O2772" t="s">
        <v>99</v>
      </c>
      <c r="P2772" t="s">
        <v>99</v>
      </c>
      <c r="Q2772" t="s">
        <v>159</v>
      </c>
      <c r="R2772" t="s">
        <v>323</v>
      </c>
      <c r="S2772" t="s">
        <v>197</v>
      </c>
      <c r="T2772" t="s">
        <v>198</v>
      </c>
      <c r="U2772" t="s">
        <v>163</v>
      </c>
      <c r="V2772" t="s">
        <v>186</v>
      </c>
      <c r="W2772" t="s">
        <v>116</v>
      </c>
      <c r="X2772" t="s">
        <v>44</v>
      </c>
      <c r="Y2772" t="s">
        <v>99</v>
      </c>
      <c r="Z2772" t="s">
        <v>421</v>
      </c>
      <c r="AC2772" t="str">
        <f>IF(AA2772="",M2772,AA2772)</f>
        <v>sim</v>
      </c>
      <c r="AD2772" t="str">
        <f>IF(AB2772="",X2772,AB2772)</f>
        <v>sim</v>
      </c>
      <c r="AE2772" t="str">
        <f>IF(OR(Configuracao!B9="",Configuracao!B10=""),"aguardando limiar",IF(AND(K2772&gt;=Configuracao!B9,K2772/MAX(Reconciliacao!C2,1)&gt;=Configuracao!B10/100),"sim","não"))</f>
        <v>aguardando limiar</v>
      </c>
    </row>
    <row r="2773" spans="1:31" x14ac:dyDescent="0.25">
      <c r="A2773">
        <v>16478</v>
      </c>
      <c r="C2773" t="s">
        <v>1649</v>
      </c>
      <c r="D2773" t="s">
        <v>830</v>
      </c>
      <c r="E2773" t="s">
        <v>451</v>
      </c>
      <c r="F2773" t="s">
        <v>322</v>
      </c>
      <c r="G2773" t="s">
        <v>344</v>
      </c>
      <c r="H2773" t="s">
        <v>343</v>
      </c>
      <c r="I2773" t="s">
        <v>461</v>
      </c>
      <c r="J2773" t="s">
        <v>461</v>
      </c>
      <c r="K2773" s="4">
        <v>12</v>
      </c>
      <c r="L2773" s="4">
        <v>12</v>
      </c>
      <c r="M2773" t="s">
        <v>44</v>
      </c>
      <c r="N2773" t="s">
        <v>77</v>
      </c>
      <c r="O2773" t="s">
        <v>99</v>
      </c>
      <c r="P2773" t="s">
        <v>99</v>
      </c>
      <c r="Q2773" t="s">
        <v>159</v>
      </c>
      <c r="R2773" t="s">
        <v>323</v>
      </c>
      <c r="S2773" t="s">
        <v>197</v>
      </c>
      <c r="T2773" t="s">
        <v>198</v>
      </c>
      <c r="U2773" t="s">
        <v>163</v>
      </c>
      <c r="V2773" t="s">
        <v>186</v>
      </c>
      <c r="W2773" t="s">
        <v>116</v>
      </c>
      <c r="X2773" t="s">
        <v>44</v>
      </c>
      <c r="Y2773" t="s">
        <v>99</v>
      </c>
      <c r="Z2773" t="s">
        <v>421</v>
      </c>
      <c r="AC2773" t="str">
        <f>IF(AA2773="",M2773,AA2773)</f>
        <v>sim</v>
      </c>
      <c r="AD2773" t="str">
        <f>IF(AB2773="",X2773,AB2773)</f>
        <v>sim</v>
      </c>
      <c r="AE2773" t="str">
        <f>IF(OR(Configuracao!B9="",Configuracao!B10=""),"aguardando limiar",IF(AND(K2773&gt;=Configuracao!B9,K2773/MAX(Reconciliacao!C2,1)&gt;=Configuracao!B10/100),"sim","não"))</f>
        <v>aguardando limiar</v>
      </c>
    </row>
    <row r="2774" spans="1:31" x14ac:dyDescent="0.25">
      <c r="A2774">
        <v>10307</v>
      </c>
      <c r="C2774" t="s">
        <v>1650</v>
      </c>
      <c r="D2774" t="s">
        <v>438</v>
      </c>
      <c r="E2774" t="s">
        <v>477</v>
      </c>
      <c r="F2774" t="s">
        <v>322</v>
      </c>
      <c r="G2774" t="s">
        <v>344</v>
      </c>
      <c r="H2774" t="s">
        <v>343</v>
      </c>
      <c r="I2774" t="s">
        <v>32</v>
      </c>
      <c r="J2774" t="s">
        <v>32</v>
      </c>
      <c r="K2774" s="4">
        <v>100</v>
      </c>
      <c r="L2774" s="4">
        <v>100</v>
      </c>
      <c r="M2774" t="s">
        <v>44</v>
      </c>
      <c r="N2774" t="s">
        <v>77</v>
      </c>
      <c r="O2774" t="s">
        <v>99</v>
      </c>
      <c r="P2774" t="s">
        <v>99</v>
      </c>
      <c r="Q2774" t="s">
        <v>159</v>
      </c>
      <c r="R2774" t="s">
        <v>323</v>
      </c>
      <c r="S2774" t="s">
        <v>197</v>
      </c>
      <c r="T2774" t="s">
        <v>198</v>
      </c>
      <c r="U2774" t="s">
        <v>163</v>
      </c>
      <c r="V2774" t="s">
        <v>186</v>
      </c>
      <c r="W2774" t="s">
        <v>116</v>
      </c>
      <c r="X2774" t="s">
        <v>44</v>
      </c>
      <c r="Y2774" t="s">
        <v>99</v>
      </c>
      <c r="Z2774" t="s">
        <v>421</v>
      </c>
      <c r="AC2774" t="str">
        <f>IF(AA2774="",M2774,AA2774)</f>
        <v>sim</v>
      </c>
      <c r="AD2774" t="str">
        <f>IF(AB2774="",X2774,AB2774)</f>
        <v>sim</v>
      </c>
      <c r="AE2774" t="str">
        <f>IF(OR(Configuracao!B9="",Configuracao!B10=""),"aguardando limiar",IF(AND(K2774&gt;=Configuracao!B9,K2774/MAX(Reconciliacao!C2,1)&gt;=Configuracao!B10/100),"sim","não"))</f>
        <v>aguardando limiar</v>
      </c>
    </row>
    <row r="2775" spans="1:31" x14ac:dyDescent="0.25">
      <c r="A2775">
        <v>10309</v>
      </c>
      <c r="C2775" t="s">
        <v>1650</v>
      </c>
      <c r="D2775" t="s">
        <v>1492</v>
      </c>
      <c r="E2775" t="s">
        <v>1138</v>
      </c>
      <c r="F2775" t="s">
        <v>322</v>
      </c>
      <c r="G2775" t="s">
        <v>344</v>
      </c>
      <c r="H2775" t="s">
        <v>343</v>
      </c>
      <c r="I2775" t="s">
        <v>32</v>
      </c>
      <c r="J2775" t="s">
        <v>32</v>
      </c>
      <c r="K2775" s="4">
        <v>100</v>
      </c>
      <c r="L2775" s="4">
        <v>100</v>
      </c>
      <c r="M2775" t="s">
        <v>44</v>
      </c>
      <c r="N2775" t="s">
        <v>77</v>
      </c>
      <c r="O2775" t="s">
        <v>99</v>
      </c>
      <c r="P2775" t="s">
        <v>99</v>
      </c>
      <c r="Q2775" t="s">
        <v>159</v>
      </c>
      <c r="R2775" t="s">
        <v>323</v>
      </c>
      <c r="S2775" t="s">
        <v>197</v>
      </c>
      <c r="T2775" t="s">
        <v>198</v>
      </c>
      <c r="U2775" t="s">
        <v>163</v>
      </c>
      <c r="V2775" t="s">
        <v>186</v>
      </c>
      <c r="W2775" t="s">
        <v>116</v>
      </c>
      <c r="X2775" t="s">
        <v>44</v>
      </c>
      <c r="Y2775" t="s">
        <v>99</v>
      </c>
      <c r="Z2775" t="s">
        <v>421</v>
      </c>
      <c r="AC2775" t="str">
        <f>IF(AA2775="",M2775,AA2775)</f>
        <v>sim</v>
      </c>
      <c r="AD2775" t="str">
        <f>IF(AB2775="",X2775,AB2775)</f>
        <v>sim</v>
      </c>
      <c r="AE2775" t="str">
        <f>IF(OR(Configuracao!B9="",Configuracao!B10=""),"aguardando limiar",IF(AND(K2775&gt;=Configuracao!B9,K2775/MAX(Reconciliacao!C2,1)&gt;=Configuracao!B10/100),"sim","não"))</f>
        <v>aguardando limiar</v>
      </c>
    </row>
    <row r="2776" spans="1:31" x14ac:dyDescent="0.25">
      <c r="A2776">
        <v>10310</v>
      </c>
      <c r="C2776" t="s">
        <v>1650</v>
      </c>
      <c r="D2776" t="s">
        <v>604</v>
      </c>
      <c r="E2776" t="s">
        <v>445</v>
      </c>
      <c r="F2776" t="s">
        <v>322</v>
      </c>
      <c r="G2776" t="s">
        <v>344</v>
      </c>
      <c r="H2776" t="s">
        <v>343</v>
      </c>
      <c r="I2776" t="s">
        <v>32</v>
      </c>
      <c r="J2776" t="s">
        <v>32</v>
      </c>
      <c r="K2776" s="4">
        <v>100</v>
      </c>
      <c r="L2776" s="4">
        <v>100</v>
      </c>
      <c r="M2776" t="s">
        <v>44</v>
      </c>
      <c r="N2776" t="s">
        <v>77</v>
      </c>
      <c r="O2776" t="s">
        <v>99</v>
      </c>
      <c r="P2776" t="s">
        <v>99</v>
      </c>
      <c r="Q2776" t="s">
        <v>159</v>
      </c>
      <c r="R2776" t="s">
        <v>323</v>
      </c>
      <c r="S2776" t="s">
        <v>197</v>
      </c>
      <c r="T2776" t="s">
        <v>198</v>
      </c>
      <c r="U2776" t="s">
        <v>163</v>
      </c>
      <c r="V2776" t="s">
        <v>186</v>
      </c>
      <c r="W2776" t="s">
        <v>116</v>
      </c>
      <c r="X2776" t="s">
        <v>44</v>
      </c>
      <c r="Y2776" t="s">
        <v>99</v>
      </c>
      <c r="Z2776" t="s">
        <v>421</v>
      </c>
      <c r="AC2776" t="str">
        <f>IF(AA2776="",M2776,AA2776)</f>
        <v>sim</v>
      </c>
      <c r="AD2776" t="str">
        <f>IF(AB2776="",X2776,AB2776)</f>
        <v>sim</v>
      </c>
      <c r="AE2776" t="str">
        <f>IF(OR(Configuracao!B9="",Configuracao!B10=""),"aguardando limiar",IF(AND(K2776&gt;=Configuracao!B9,K2776/MAX(Reconciliacao!C2,1)&gt;=Configuracao!B10/100),"sim","não"))</f>
        <v>aguardando limiar</v>
      </c>
    </row>
    <row r="2777" spans="1:31" x14ac:dyDescent="0.25">
      <c r="A2777">
        <v>10311</v>
      </c>
      <c r="C2777" t="s">
        <v>1650</v>
      </c>
      <c r="D2777" t="s">
        <v>1435</v>
      </c>
      <c r="E2777" t="s">
        <v>467</v>
      </c>
      <c r="F2777" t="s">
        <v>322</v>
      </c>
      <c r="G2777" t="s">
        <v>344</v>
      </c>
      <c r="H2777" t="s">
        <v>343</v>
      </c>
      <c r="I2777" t="s">
        <v>32</v>
      </c>
      <c r="J2777" t="s">
        <v>32</v>
      </c>
      <c r="K2777" s="4">
        <v>100</v>
      </c>
      <c r="L2777" s="4">
        <v>100</v>
      </c>
      <c r="M2777" t="s">
        <v>44</v>
      </c>
      <c r="N2777" t="s">
        <v>77</v>
      </c>
      <c r="O2777" t="s">
        <v>99</v>
      </c>
      <c r="P2777" t="s">
        <v>99</v>
      </c>
      <c r="Q2777" t="s">
        <v>159</v>
      </c>
      <c r="R2777" t="s">
        <v>323</v>
      </c>
      <c r="S2777" t="s">
        <v>197</v>
      </c>
      <c r="T2777" t="s">
        <v>198</v>
      </c>
      <c r="U2777" t="s">
        <v>163</v>
      </c>
      <c r="V2777" t="s">
        <v>186</v>
      </c>
      <c r="W2777" t="s">
        <v>116</v>
      </c>
      <c r="X2777" t="s">
        <v>44</v>
      </c>
      <c r="Y2777" t="s">
        <v>99</v>
      </c>
      <c r="Z2777" t="s">
        <v>421</v>
      </c>
      <c r="AC2777" t="str">
        <f>IF(AA2777="",M2777,AA2777)</f>
        <v>sim</v>
      </c>
      <c r="AD2777" t="str">
        <f>IF(AB2777="",X2777,AB2777)</f>
        <v>sim</v>
      </c>
      <c r="AE2777" t="str">
        <f>IF(OR(Configuracao!B9="",Configuracao!B10=""),"aguardando limiar",IF(AND(K2777&gt;=Configuracao!B9,K2777/MAX(Reconciliacao!C2,1)&gt;=Configuracao!B10/100),"sim","não"))</f>
        <v>aguardando limiar</v>
      </c>
    </row>
    <row r="2778" spans="1:31" x14ac:dyDescent="0.25">
      <c r="A2778">
        <v>12244</v>
      </c>
      <c r="C2778" t="s">
        <v>1650</v>
      </c>
      <c r="D2778" t="s">
        <v>1104</v>
      </c>
      <c r="E2778" t="s">
        <v>465</v>
      </c>
      <c r="F2778" t="s">
        <v>322</v>
      </c>
      <c r="G2778" t="s">
        <v>344</v>
      </c>
      <c r="H2778" t="s">
        <v>343</v>
      </c>
      <c r="I2778" t="s">
        <v>424</v>
      </c>
      <c r="J2778" t="s">
        <v>424</v>
      </c>
      <c r="K2778" s="4">
        <v>100</v>
      </c>
      <c r="L2778" s="4">
        <v>100</v>
      </c>
      <c r="M2778" t="s">
        <v>44</v>
      </c>
      <c r="N2778" t="s">
        <v>77</v>
      </c>
      <c r="O2778" t="s">
        <v>99</v>
      </c>
      <c r="P2778" t="s">
        <v>99</v>
      </c>
      <c r="Q2778" t="s">
        <v>159</v>
      </c>
      <c r="R2778" t="s">
        <v>323</v>
      </c>
      <c r="S2778" t="s">
        <v>197</v>
      </c>
      <c r="T2778" t="s">
        <v>198</v>
      </c>
      <c r="U2778" t="s">
        <v>163</v>
      </c>
      <c r="V2778" t="s">
        <v>186</v>
      </c>
      <c r="W2778" t="s">
        <v>116</v>
      </c>
      <c r="X2778" t="s">
        <v>44</v>
      </c>
      <c r="Y2778" t="s">
        <v>99</v>
      </c>
      <c r="Z2778" t="s">
        <v>421</v>
      </c>
      <c r="AC2778" t="str">
        <f>IF(AA2778="",M2778,AA2778)</f>
        <v>sim</v>
      </c>
      <c r="AD2778" t="str">
        <f>IF(AB2778="",X2778,AB2778)</f>
        <v>sim</v>
      </c>
      <c r="AE2778" t="str">
        <f>IF(OR(Configuracao!B9="",Configuracao!B10=""),"aguardando limiar",IF(AND(K2778&gt;=Configuracao!B9,K2778/MAX(Reconciliacao!C2,1)&gt;=Configuracao!B10/100),"sim","não"))</f>
        <v>aguardando limiar</v>
      </c>
    </row>
    <row r="2779" spans="1:31" x14ac:dyDescent="0.25">
      <c r="A2779">
        <v>12425</v>
      </c>
      <c r="C2779" t="s">
        <v>1650</v>
      </c>
      <c r="D2779" t="s">
        <v>575</v>
      </c>
      <c r="E2779" t="s">
        <v>467</v>
      </c>
      <c r="F2779" t="s">
        <v>322</v>
      </c>
      <c r="G2779" t="s">
        <v>344</v>
      </c>
      <c r="H2779" t="s">
        <v>343</v>
      </c>
      <c r="I2779" t="s">
        <v>424</v>
      </c>
      <c r="J2779" t="s">
        <v>424</v>
      </c>
      <c r="K2779" s="4">
        <v>100</v>
      </c>
      <c r="L2779" s="4">
        <v>100</v>
      </c>
      <c r="M2779" t="s">
        <v>44</v>
      </c>
      <c r="N2779" t="s">
        <v>77</v>
      </c>
      <c r="O2779" t="s">
        <v>99</v>
      </c>
      <c r="P2779" t="s">
        <v>99</v>
      </c>
      <c r="Q2779" t="s">
        <v>159</v>
      </c>
      <c r="R2779" t="s">
        <v>323</v>
      </c>
      <c r="S2779" t="s">
        <v>197</v>
      </c>
      <c r="T2779" t="s">
        <v>198</v>
      </c>
      <c r="U2779" t="s">
        <v>163</v>
      </c>
      <c r="V2779" t="s">
        <v>186</v>
      </c>
      <c r="W2779" t="s">
        <v>116</v>
      </c>
      <c r="X2779" t="s">
        <v>44</v>
      </c>
      <c r="Y2779" t="s">
        <v>99</v>
      </c>
      <c r="Z2779" t="s">
        <v>421</v>
      </c>
      <c r="AC2779" t="str">
        <f>IF(AA2779="",M2779,AA2779)</f>
        <v>sim</v>
      </c>
      <c r="AD2779" t="str">
        <f>IF(AB2779="",X2779,AB2779)</f>
        <v>sim</v>
      </c>
      <c r="AE2779" t="str">
        <f>IF(OR(Configuracao!B9="",Configuracao!B10=""),"aguardando limiar",IF(AND(K2779&gt;=Configuracao!B9,K2779/MAX(Reconciliacao!C2,1)&gt;=Configuracao!B10/100),"sim","não"))</f>
        <v>aguardando limiar</v>
      </c>
    </row>
    <row r="2780" spans="1:31" x14ac:dyDescent="0.25">
      <c r="A2780">
        <v>12426</v>
      </c>
      <c r="C2780" t="s">
        <v>1650</v>
      </c>
      <c r="D2780" t="s">
        <v>1402</v>
      </c>
      <c r="E2780" t="s">
        <v>467</v>
      </c>
      <c r="F2780" t="s">
        <v>322</v>
      </c>
      <c r="G2780" t="s">
        <v>344</v>
      </c>
      <c r="H2780" t="s">
        <v>343</v>
      </c>
      <c r="I2780" t="s">
        <v>424</v>
      </c>
      <c r="J2780" t="s">
        <v>424</v>
      </c>
      <c r="K2780" s="4">
        <v>100</v>
      </c>
      <c r="L2780" s="4">
        <v>100</v>
      </c>
      <c r="M2780" t="s">
        <v>44</v>
      </c>
      <c r="N2780" t="s">
        <v>77</v>
      </c>
      <c r="O2780" t="s">
        <v>99</v>
      </c>
      <c r="P2780" t="s">
        <v>99</v>
      </c>
      <c r="Q2780" t="s">
        <v>159</v>
      </c>
      <c r="R2780" t="s">
        <v>323</v>
      </c>
      <c r="S2780" t="s">
        <v>197</v>
      </c>
      <c r="T2780" t="s">
        <v>198</v>
      </c>
      <c r="U2780" t="s">
        <v>163</v>
      </c>
      <c r="V2780" t="s">
        <v>186</v>
      </c>
      <c r="W2780" t="s">
        <v>116</v>
      </c>
      <c r="X2780" t="s">
        <v>44</v>
      </c>
      <c r="Y2780" t="s">
        <v>99</v>
      </c>
      <c r="Z2780" t="s">
        <v>421</v>
      </c>
      <c r="AC2780" t="str">
        <f>IF(AA2780="",M2780,AA2780)</f>
        <v>sim</v>
      </c>
      <c r="AD2780" t="str">
        <f>IF(AB2780="",X2780,AB2780)</f>
        <v>sim</v>
      </c>
      <c r="AE2780" t="str">
        <f>IF(OR(Configuracao!B9="",Configuracao!B10=""),"aguardando limiar",IF(AND(K2780&gt;=Configuracao!B9,K2780/MAX(Reconciliacao!C2,1)&gt;=Configuracao!B10/100),"sim","não"))</f>
        <v>aguardando limiar</v>
      </c>
    </row>
    <row r="2781" spans="1:31" x14ac:dyDescent="0.25">
      <c r="A2781">
        <v>12482</v>
      </c>
      <c r="C2781" t="s">
        <v>1650</v>
      </c>
      <c r="D2781" t="s">
        <v>923</v>
      </c>
      <c r="E2781" t="s">
        <v>467</v>
      </c>
      <c r="F2781" t="s">
        <v>322</v>
      </c>
      <c r="G2781" t="s">
        <v>344</v>
      </c>
      <c r="H2781" t="s">
        <v>343</v>
      </c>
      <c r="I2781" t="s">
        <v>420</v>
      </c>
      <c r="J2781" t="s">
        <v>420</v>
      </c>
      <c r="K2781" s="4">
        <v>100</v>
      </c>
      <c r="L2781" s="4">
        <v>100</v>
      </c>
      <c r="M2781" t="s">
        <v>44</v>
      </c>
      <c r="N2781" t="s">
        <v>77</v>
      </c>
      <c r="O2781" t="s">
        <v>99</v>
      </c>
      <c r="P2781" t="s">
        <v>99</v>
      </c>
      <c r="Q2781" t="s">
        <v>159</v>
      </c>
      <c r="R2781" t="s">
        <v>323</v>
      </c>
      <c r="S2781" t="s">
        <v>197</v>
      </c>
      <c r="T2781" t="s">
        <v>198</v>
      </c>
      <c r="U2781" t="s">
        <v>163</v>
      </c>
      <c r="V2781" t="s">
        <v>186</v>
      </c>
      <c r="W2781" t="s">
        <v>116</v>
      </c>
      <c r="X2781" t="s">
        <v>44</v>
      </c>
      <c r="Y2781" t="s">
        <v>99</v>
      </c>
      <c r="Z2781" t="s">
        <v>421</v>
      </c>
      <c r="AC2781" t="str">
        <f>IF(AA2781="",M2781,AA2781)</f>
        <v>sim</v>
      </c>
      <c r="AD2781" t="str">
        <f>IF(AB2781="",X2781,AB2781)</f>
        <v>sim</v>
      </c>
      <c r="AE2781" t="str">
        <f>IF(OR(Configuracao!B9="",Configuracao!B10=""),"aguardando limiar",IF(AND(K2781&gt;=Configuracao!B9,K2781/MAX(Reconciliacao!C2,1)&gt;=Configuracao!B10/100),"sim","não"))</f>
        <v>aguardando limiar</v>
      </c>
    </row>
    <row r="2782" spans="1:31" x14ac:dyDescent="0.25">
      <c r="A2782">
        <v>12484</v>
      </c>
      <c r="C2782" t="s">
        <v>1650</v>
      </c>
      <c r="D2782" t="s">
        <v>1374</v>
      </c>
      <c r="E2782" t="s">
        <v>467</v>
      </c>
      <c r="F2782" t="s">
        <v>322</v>
      </c>
      <c r="G2782" t="s">
        <v>344</v>
      </c>
      <c r="H2782" t="s">
        <v>343</v>
      </c>
      <c r="I2782" t="s">
        <v>420</v>
      </c>
      <c r="J2782" t="s">
        <v>454</v>
      </c>
      <c r="K2782" s="4">
        <v>100</v>
      </c>
      <c r="L2782" s="4">
        <v>100</v>
      </c>
      <c r="M2782" t="s">
        <v>44</v>
      </c>
      <c r="N2782" t="s">
        <v>77</v>
      </c>
      <c r="O2782" t="s">
        <v>99</v>
      </c>
      <c r="P2782" t="s">
        <v>99</v>
      </c>
      <c r="Q2782" t="s">
        <v>159</v>
      </c>
      <c r="R2782" t="s">
        <v>323</v>
      </c>
      <c r="S2782" t="s">
        <v>197</v>
      </c>
      <c r="T2782" t="s">
        <v>198</v>
      </c>
      <c r="U2782" t="s">
        <v>163</v>
      </c>
      <c r="V2782" t="s">
        <v>186</v>
      </c>
      <c r="W2782" t="s">
        <v>116</v>
      </c>
      <c r="X2782" t="s">
        <v>44</v>
      </c>
      <c r="Y2782" t="s">
        <v>99</v>
      </c>
      <c r="Z2782" t="s">
        <v>421</v>
      </c>
      <c r="AC2782" t="str">
        <f>IF(AA2782="",M2782,AA2782)</f>
        <v>sim</v>
      </c>
      <c r="AD2782" t="str">
        <f>IF(AB2782="",X2782,AB2782)</f>
        <v>sim</v>
      </c>
      <c r="AE2782" t="str">
        <f>IF(OR(Configuracao!B9="",Configuracao!B10=""),"aguardando limiar",IF(AND(K2782&gt;=Configuracao!B9,K2782/MAX(Reconciliacao!C2,1)&gt;=Configuracao!B10/100),"sim","não"))</f>
        <v>aguardando limiar</v>
      </c>
    </row>
    <row r="2783" spans="1:31" x14ac:dyDescent="0.25">
      <c r="A2783">
        <v>12711</v>
      </c>
      <c r="C2783" t="s">
        <v>1650</v>
      </c>
      <c r="D2783" t="s">
        <v>597</v>
      </c>
      <c r="E2783" t="s">
        <v>465</v>
      </c>
      <c r="F2783" t="s">
        <v>322</v>
      </c>
      <c r="G2783" t="s">
        <v>344</v>
      </c>
      <c r="H2783" t="s">
        <v>343</v>
      </c>
      <c r="I2783" t="s">
        <v>424</v>
      </c>
      <c r="J2783" t="s">
        <v>420</v>
      </c>
      <c r="K2783" s="4">
        <v>100</v>
      </c>
      <c r="L2783" s="4">
        <v>100</v>
      </c>
      <c r="M2783" t="s">
        <v>44</v>
      </c>
      <c r="N2783" t="s">
        <v>77</v>
      </c>
      <c r="O2783" t="s">
        <v>99</v>
      </c>
      <c r="P2783" t="s">
        <v>99</v>
      </c>
      <c r="Q2783" t="s">
        <v>159</v>
      </c>
      <c r="R2783" t="s">
        <v>323</v>
      </c>
      <c r="S2783" t="s">
        <v>197</v>
      </c>
      <c r="T2783" t="s">
        <v>198</v>
      </c>
      <c r="U2783" t="s">
        <v>163</v>
      </c>
      <c r="V2783" t="s">
        <v>186</v>
      </c>
      <c r="W2783" t="s">
        <v>116</v>
      </c>
      <c r="X2783" t="s">
        <v>44</v>
      </c>
      <c r="Y2783" t="s">
        <v>99</v>
      </c>
      <c r="Z2783" t="s">
        <v>421</v>
      </c>
      <c r="AC2783" t="str">
        <f>IF(AA2783="",M2783,AA2783)</f>
        <v>sim</v>
      </c>
      <c r="AD2783" t="str">
        <f>IF(AB2783="",X2783,AB2783)</f>
        <v>sim</v>
      </c>
      <c r="AE2783" t="str">
        <f>IF(OR(Configuracao!B9="",Configuracao!B10=""),"aguardando limiar",IF(AND(K2783&gt;=Configuracao!B9,K2783/MAX(Reconciliacao!C2,1)&gt;=Configuracao!B10/100),"sim","não"))</f>
        <v>aguardando limiar</v>
      </c>
    </row>
    <row r="2784" spans="1:31" x14ac:dyDescent="0.25">
      <c r="A2784">
        <v>12763</v>
      </c>
      <c r="C2784" t="s">
        <v>1650</v>
      </c>
      <c r="D2784" t="s">
        <v>659</v>
      </c>
      <c r="E2784" t="s">
        <v>451</v>
      </c>
      <c r="F2784" t="s">
        <v>322</v>
      </c>
      <c r="G2784" t="s">
        <v>344</v>
      </c>
      <c r="H2784" t="s">
        <v>343</v>
      </c>
      <c r="I2784" t="s">
        <v>420</v>
      </c>
      <c r="J2784" t="s">
        <v>420</v>
      </c>
      <c r="K2784" s="4">
        <v>100</v>
      </c>
      <c r="L2784" s="4">
        <v>100</v>
      </c>
      <c r="M2784" t="s">
        <v>44</v>
      </c>
      <c r="N2784" t="s">
        <v>77</v>
      </c>
      <c r="O2784" t="s">
        <v>99</v>
      </c>
      <c r="P2784" t="s">
        <v>99</v>
      </c>
      <c r="Q2784" t="s">
        <v>159</v>
      </c>
      <c r="R2784" t="s">
        <v>323</v>
      </c>
      <c r="S2784" t="s">
        <v>197</v>
      </c>
      <c r="T2784" t="s">
        <v>198</v>
      </c>
      <c r="U2784" t="s">
        <v>163</v>
      </c>
      <c r="V2784" t="s">
        <v>186</v>
      </c>
      <c r="W2784" t="s">
        <v>116</v>
      </c>
      <c r="X2784" t="s">
        <v>44</v>
      </c>
      <c r="Y2784" t="s">
        <v>99</v>
      </c>
      <c r="Z2784" t="s">
        <v>421</v>
      </c>
      <c r="AC2784" t="str">
        <f>IF(AA2784="",M2784,AA2784)</f>
        <v>sim</v>
      </c>
      <c r="AD2784" t="str">
        <f>IF(AB2784="",X2784,AB2784)</f>
        <v>sim</v>
      </c>
      <c r="AE2784" t="str">
        <f>IF(OR(Configuracao!B9="",Configuracao!B10=""),"aguardando limiar",IF(AND(K2784&gt;=Configuracao!B9,K2784/MAX(Reconciliacao!C2,1)&gt;=Configuracao!B10/100),"sim","não"))</f>
        <v>aguardando limiar</v>
      </c>
    </row>
    <row r="2785" spans="1:31" x14ac:dyDescent="0.25">
      <c r="A2785">
        <v>15787</v>
      </c>
      <c r="C2785" t="s">
        <v>1650</v>
      </c>
      <c r="D2785" t="s">
        <v>1478</v>
      </c>
      <c r="E2785" t="s">
        <v>525</v>
      </c>
      <c r="F2785" t="s">
        <v>322</v>
      </c>
      <c r="G2785" t="s">
        <v>344</v>
      </c>
      <c r="H2785" t="s">
        <v>343</v>
      </c>
      <c r="I2785" t="s">
        <v>454</v>
      </c>
      <c r="J2785" t="s">
        <v>454</v>
      </c>
      <c r="K2785" s="4">
        <v>100</v>
      </c>
      <c r="L2785" s="4">
        <v>100</v>
      </c>
      <c r="M2785" t="s">
        <v>44</v>
      </c>
      <c r="N2785" t="s">
        <v>77</v>
      </c>
      <c r="O2785" t="s">
        <v>99</v>
      </c>
      <c r="P2785" t="s">
        <v>99</v>
      </c>
      <c r="Q2785" t="s">
        <v>159</v>
      </c>
      <c r="R2785" t="s">
        <v>323</v>
      </c>
      <c r="S2785" t="s">
        <v>197</v>
      </c>
      <c r="T2785" t="s">
        <v>198</v>
      </c>
      <c r="U2785" t="s">
        <v>163</v>
      </c>
      <c r="V2785" t="s">
        <v>186</v>
      </c>
      <c r="W2785" t="s">
        <v>116</v>
      </c>
      <c r="X2785" t="s">
        <v>44</v>
      </c>
      <c r="Y2785" t="s">
        <v>99</v>
      </c>
      <c r="Z2785" t="s">
        <v>421</v>
      </c>
      <c r="AC2785" t="str">
        <f>IF(AA2785="",M2785,AA2785)</f>
        <v>sim</v>
      </c>
      <c r="AD2785" t="str">
        <f>IF(AB2785="",X2785,AB2785)</f>
        <v>sim</v>
      </c>
      <c r="AE2785" t="str">
        <f>IF(OR(Configuracao!B9="",Configuracao!B10=""),"aguardando limiar",IF(AND(K2785&gt;=Configuracao!B9,K2785/MAX(Reconciliacao!C2,1)&gt;=Configuracao!B10/100),"sim","não"))</f>
        <v>aguardando limiar</v>
      </c>
    </row>
    <row r="2786" spans="1:31" x14ac:dyDescent="0.25">
      <c r="A2786">
        <v>15788</v>
      </c>
      <c r="C2786" t="s">
        <v>1650</v>
      </c>
      <c r="D2786" t="s">
        <v>1488</v>
      </c>
      <c r="E2786" t="s">
        <v>458</v>
      </c>
      <c r="F2786" t="s">
        <v>322</v>
      </c>
      <c r="G2786" t="s">
        <v>344</v>
      </c>
      <c r="H2786" t="s">
        <v>343</v>
      </c>
      <c r="I2786" t="s">
        <v>454</v>
      </c>
      <c r="J2786" t="s">
        <v>454</v>
      </c>
      <c r="K2786" s="4">
        <v>100</v>
      </c>
      <c r="L2786" s="4">
        <v>100</v>
      </c>
      <c r="M2786" t="s">
        <v>44</v>
      </c>
      <c r="N2786" t="s">
        <v>77</v>
      </c>
      <c r="O2786" t="s">
        <v>99</v>
      </c>
      <c r="P2786" t="s">
        <v>99</v>
      </c>
      <c r="Q2786" t="s">
        <v>159</v>
      </c>
      <c r="R2786" t="s">
        <v>323</v>
      </c>
      <c r="S2786" t="s">
        <v>197</v>
      </c>
      <c r="T2786" t="s">
        <v>198</v>
      </c>
      <c r="U2786" t="s">
        <v>163</v>
      </c>
      <c r="V2786" t="s">
        <v>186</v>
      </c>
      <c r="W2786" t="s">
        <v>116</v>
      </c>
      <c r="X2786" t="s">
        <v>44</v>
      </c>
      <c r="Y2786" t="s">
        <v>99</v>
      </c>
      <c r="Z2786" t="s">
        <v>421</v>
      </c>
      <c r="AC2786" t="str">
        <f>IF(AA2786="",M2786,AA2786)</f>
        <v>sim</v>
      </c>
      <c r="AD2786" t="str">
        <f>IF(AB2786="",X2786,AB2786)</f>
        <v>sim</v>
      </c>
      <c r="AE2786" t="str">
        <f>IF(OR(Configuracao!B9="",Configuracao!B10=""),"aguardando limiar",IF(AND(K2786&gt;=Configuracao!B9,K2786/MAX(Reconciliacao!C2,1)&gt;=Configuracao!B10/100),"sim","não"))</f>
        <v>aguardando limiar</v>
      </c>
    </row>
    <row r="2787" spans="1:31" x14ac:dyDescent="0.25">
      <c r="A2787">
        <v>15829</v>
      </c>
      <c r="C2787" t="s">
        <v>1650</v>
      </c>
      <c r="D2787" t="s">
        <v>1480</v>
      </c>
      <c r="E2787" t="s">
        <v>486</v>
      </c>
      <c r="F2787" t="s">
        <v>322</v>
      </c>
      <c r="G2787" t="s">
        <v>344</v>
      </c>
      <c r="H2787" t="s">
        <v>343</v>
      </c>
      <c r="I2787" t="s">
        <v>461</v>
      </c>
      <c r="J2787" t="s">
        <v>461</v>
      </c>
      <c r="K2787" s="4">
        <v>100</v>
      </c>
      <c r="L2787" s="4">
        <v>100</v>
      </c>
      <c r="M2787" t="s">
        <v>44</v>
      </c>
      <c r="N2787" t="s">
        <v>77</v>
      </c>
      <c r="O2787" t="s">
        <v>99</v>
      </c>
      <c r="P2787" t="s">
        <v>99</v>
      </c>
      <c r="Q2787" t="s">
        <v>159</v>
      </c>
      <c r="R2787" t="s">
        <v>323</v>
      </c>
      <c r="S2787" t="s">
        <v>197</v>
      </c>
      <c r="T2787" t="s">
        <v>198</v>
      </c>
      <c r="U2787" t="s">
        <v>163</v>
      </c>
      <c r="V2787" t="s">
        <v>186</v>
      </c>
      <c r="W2787" t="s">
        <v>116</v>
      </c>
      <c r="X2787" t="s">
        <v>44</v>
      </c>
      <c r="Y2787" t="s">
        <v>99</v>
      </c>
      <c r="Z2787" t="s">
        <v>421</v>
      </c>
      <c r="AC2787" t="str">
        <f>IF(AA2787="",M2787,AA2787)</f>
        <v>sim</v>
      </c>
      <c r="AD2787" t="str">
        <f>IF(AB2787="",X2787,AB2787)</f>
        <v>sim</v>
      </c>
      <c r="AE2787" t="str">
        <f>IF(OR(Configuracao!B9="",Configuracao!B10=""),"aguardando limiar",IF(AND(K2787&gt;=Configuracao!B9,K2787/MAX(Reconciliacao!C2,1)&gt;=Configuracao!B10/100),"sim","não"))</f>
        <v>aguardando limiar</v>
      </c>
    </row>
    <row r="2788" spans="1:31" x14ac:dyDescent="0.25">
      <c r="A2788">
        <v>15830</v>
      </c>
      <c r="C2788" t="s">
        <v>1650</v>
      </c>
      <c r="D2788" t="s">
        <v>1415</v>
      </c>
      <c r="E2788" t="s">
        <v>467</v>
      </c>
      <c r="F2788" t="s">
        <v>322</v>
      </c>
      <c r="G2788" t="s">
        <v>344</v>
      </c>
      <c r="H2788" t="s">
        <v>343</v>
      </c>
      <c r="I2788" t="s">
        <v>461</v>
      </c>
      <c r="J2788" t="s">
        <v>461</v>
      </c>
      <c r="K2788" s="4">
        <v>100</v>
      </c>
      <c r="L2788" s="4">
        <v>100</v>
      </c>
      <c r="M2788" t="s">
        <v>44</v>
      </c>
      <c r="N2788" t="s">
        <v>77</v>
      </c>
      <c r="O2788" t="s">
        <v>99</v>
      </c>
      <c r="P2788" t="s">
        <v>99</v>
      </c>
      <c r="Q2788" t="s">
        <v>159</v>
      </c>
      <c r="R2788" t="s">
        <v>323</v>
      </c>
      <c r="S2788" t="s">
        <v>197</v>
      </c>
      <c r="T2788" t="s">
        <v>198</v>
      </c>
      <c r="U2788" t="s">
        <v>163</v>
      </c>
      <c r="V2788" t="s">
        <v>186</v>
      </c>
      <c r="W2788" t="s">
        <v>116</v>
      </c>
      <c r="X2788" t="s">
        <v>44</v>
      </c>
      <c r="Y2788" t="s">
        <v>99</v>
      </c>
      <c r="Z2788" t="s">
        <v>421</v>
      </c>
      <c r="AC2788" t="str">
        <f>IF(AA2788="",M2788,AA2788)</f>
        <v>sim</v>
      </c>
      <c r="AD2788" t="str">
        <f>IF(AB2788="",X2788,AB2788)</f>
        <v>sim</v>
      </c>
      <c r="AE2788" t="str">
        <f>IF(OR(Configuracao!B9="",Configuracao!B10=""),"aguardando limiar",IF(AND(K2788&gt;=Configuracao!B9,K2788/MAX(Reconciliacao!C2,1)&gt;=Configuracao!B10/100),"sim","não"))</f>
        <v>aguardando limiar</v>
      </c>
    </row>
    <row r="2789" spans="1:31" x14ac:dyDescent="0.25">
      <c r="A2789">
        <v>15831</v>
      </c>
      <c r="C2789" t="s">
        <v>1650</v>
      </c>
      <c r="D2789" t="s">
        <v>510</v>
      </c>
      <c r="E2789" t="s">
        <v>511</v>
      </c>
      <c r="F2789" t="s">
        <v>322</v>
      </c>
      <c r="G2789" t="s">
        <v>344</v>
      </c>
      <c r="H2789" t="s">
        <v>343</v>
      </c>
      <c r="I2789" t="s">
        <v>461</v>
      </c>
      <c r="J2789" t="s">
        <v>461</v>
      </c>
      <c r="K2789" s="4">
        <v>100</v>
      </c>
      <c r="L2789" s="4">
        <v>100</v>
      </c>
      <c r="M2789" t="s">
        <v>44</v>
      </c>
      <c r="N2789" t="s">
        <v>77</v>
      </c>
      <c r="O2789" t="s">
        <v>99</v>
      </c>
      <c r="P2789" t="s">
        <v>99</v>
      </c>
      <c r="Q2789" t="s">
        <v>159</v>
      </c>
      <c r="R2789" t="s">
        <v>323</v>
      </c>
      <c r="S2789" t="s">
        <v>197</v>
      </c>
      <c r="T2789" t="s">
        <v>198</v>
      </c>
      <c r="U2789" t="s">
        <v>163</v>
      </c>
      <c r="V2789" t="s">
        <v>186</v>
      </c>
      <c r="W2789" t="s">
        <v>116</v>
      </c>
      <c r="X2789" t="s">
        <v>44</v>
      </c>
      <c r="Y2789" t="s">
        <v>99</v>
      </c>
      <c r="Z2789" t="s">
        <v>421</v>
      </c>
      <c r="AC2789" t="str">
        <f>IF(AA2789="",M2789,AA2789)</f>
        <v>sim</v>
      </c>
      <c r="AD2789" t="str">
        <f>IF(AB2789="",X2789,AB2789)</f>
        <v>sim</v>
      </c>
      <c r="AE2789" t="str">
        <f>IF(OR(Configuracao!B9="",Configuracao!B10=""),"aguardando limiar",IF(AND(K2789&gt;=Configuracao!B9,K2789/MAX(Reconciliacao!C2,1)&gt;=Configuracao!B10/100),"sim","não"))</f>
        <v>aguardando limiar</v>
      </c>
    </row>
    <row r="2790" spans="1:31" x14ac:dyDescent="0.25">
      <c r="A2790">
        <v>15832</v>
      </c>
      <c r="C2790" t="s">
        <v>1650</v>
      </c>
      <c r="D2790" t="s">
        <v>1473</v>
      </c>
      <c r="E2790" t="s">
        <v>465</v>
      </c>
      <c r="F2790" t="s">
        <v>322</v>
      </c>
      <c r="G2790" t="s">
        <v>344</v>
      </c>
      <c r="H2790" t="s">
        <v>343</v>
      </c>
      <c r="I2790" t="s">
        <v>461</v>
      </c>
      <c r="J2790" t="s">
        <v>461</v>
      </c>
      <c r="K2790" s="4">
        <v>100</v>
      </c>
      <c r="L2790" s="4">
        <v>100</v>
      </c>
      <c r="M2790" t="s">
        <v>44</v>
      </c>
      <c r="N2790" t="s">
        <v>77</v>
      </c>
      <c r="O2790" t="s">
        <v>99</v>
      </c>
      <c r="P2790" t="s">
        <v>99</v>
      </c>
      <c r="Q2790" t="s">
        <v>159</v>
      </c>
      <c r="R2790" t="s">
        <v>323</v>
      </c>
      <c r="S2790" t="s">
        <v>197</v>
      </c>
      <c r="T2790" t="s">
        <v>198</v>
      </c>
      <c r="U2790" t="s">
        <v>163</v>
      </c>
      <c r="V2790" t="s">
        <v>186</v>
      </c>
      <c r="W2790" t="s">
        <v>116</v>
      </c>
      <c r="X2790" t="s">
        <v>44</v>
      </c>
      <c r="Y2790" t="s">
        <v>99</v>
      </c>
      <c r="Z2790" t="s">
        <v>421</v>
      </c>
      <c r="AC2790" t="str">
        <f>IF(AA2790="",M2790,AA2790)</f>
        <v>sim</v>
      </c>
      <c r="AD2790" t="str">
        <f>IF(AB2790="",X2790,AB2790)</f>
        <v>sim</v>
      </c>
      <c r="AE2790" t="str">
        <f>IF(OR(Configuracao!B9="",Configuracao!B10=""),"aguardando limiar",IF(AND(K2790&gt;=Configuracao!B9,K2790/MAX(Reconciliacao!C2,1)&gt;=Configuracao!B10/100),"sim","não"))</f>
        <v>aguardando limiar</v>
      </c>
    </row>
    <row r="2791" spans="1:31" x14ac:dyDescent="0.25">
      <c r="A2791">
        <v>15833</v>
      </c>
      <c r="C2791" t="s">
        <v>1650</v>
      </c>
      <c r="D2791" t="s">
        <v>599</v>
      </c>
      <c r="E2791" t="s">
        <v>445</v>
      </c>
      <c r="F2791" t="s">
        <v>322</v>
      </c>
      <c r="G2791" t="s">
        <v>344</v>
      </c>
      <c r="H2791" t="s">
        <v>343</v>
      </c>
      <c r="I2791" t="s">
        <v>461</v>
      </c>
      <c r="J2791" t="s">
        <v>461</v>
      </c>
      <c r="K2791" s="4">
        <v>100</v>
      </c>
      <c r="L2791" s="4">
        <v>100</v>
      </c>
      <c r="M2791" t="s">
        <v>44</v>
      </c>
      <c r="N2791" t="s">
        <v>77</v>
      </c>
      <c r="O2791" t="s">
        <v>99</v>
      </c>
      <c r="P2791" t="s">
        <v>99</v>
      </c>
      <c r="Q2791" t="s">
        <v>159</v>
      </c>
      <c r="R2791" t="s">
        <v>323</v>
      </c>
      <c r="S2791" t="s">
        <v>197</v>
      </c>
      <c r="T2791" t="s">
        <v>198</v>
      </c>
      <c r="U2791" t="s">
        <v>163</v>
      </c>
      <c r="V2791" t="s">
        <v>186</v>
      </c>
      <c r="W2791" t="s">
        <v>116</v>
      </c>
      <c r="X2791" t="s">
        <v>44</v>
      </c>
      <c r="Y2791" t="s">
        <v>99</v>
      </c>
      <c r="Z2791" t="s">
        <v>421</v>
      </c>
      <c r="AC2791" t="str">
        <f>IF(AA2791="",M2791,AA2791)</f>
        <v>sim</v>
      </c>
      <c r="AD2791" t="str">
        <f>IF(AB2791="",X2791,AB2791)</f>
        <v>sim</v>
      </c>
      <c r="AE2791" t="str">
        <f>IF(OR(Configuracao!B9="",Configuracao!B10=""),"aguardando limiar",IF(AND(K2791&gt;=Configuracao!B9,K2791/MAX(Reconciliacao!C2,1)&gt;=Configuracao!B10/100),"sim","não"))</f>
        <v>aguardando limiar</v>
      </c>
    </row>
    <row r="2792" spans="1:31" x14ac:dyDescent="0.25">
      <c r="A2792">
        <v>15834</v>
      </c>
      <c r="C2792" t="s">
        <v>1650</v>
      </c>
      <c r="D2792" t="s">
        <v>657</v>
      </c>
      <c r="E2792" t="s">
        <v>451</v>
      </c>
      <c r="F2792" t="s">
        <v>322</v>
      </c>
      <c r="G2792" t="s">
        <v>344</v>
      </c>
      <c r="H2792" t="s">
        <v>343</v>
      </c>
      <c r="I2792" t="s">
        <v>461</v>
      </c>
      <c r="J2792" t="s">
        <v>461</v>
      </c>
      <c r="K2792" s="4">
        <v>100</v>
      </c>
      <c r="L2792" s="4">
        <v>100</v>
      </c>
      <c r="M2792" t="s">
        <v>44</v>
      </c>
      <c r="N2792" t="s">
        <v>77</v>
      </c>
      <c r="O2792" t="s">
        <v>99</v>
      </c>
      <c r="P2792" t="s">
        <v>99</v>
      </c>
      <c r="Q2792" t="s">
        <v>159</v>
      </c>
      <c r="R2792" t="s">
        <v>323</v>
      </c>
      <c r="S2792" t="s">
        <v>197</v>
      </c>
      <c r="T2792" t="s">
        <v>198</v>
      </c>
      <c r="U2792" t="s">
        <v>163</v>
      </c>
      <c r="V2792" t="s">
        <v>186</v>
      </c>
      <c r="W2792" t="s">
        <v>116</v>
      </c>
      <c r="X2792" t="s">
        <v>44</v>
      </c>
      <c r="Y2792" t="s">
        <v>99</v>
      </c>
      <c r="Z2792" t="s">
        <v>421</v>
      </c>
      <c r="AC2792" t="str">
        <f>IF(AA2792="",M2792,AA2792)</f>
        <v>sim</v>
      </c>
      <c r="AD2792" t="str">
        <f>IF(AB2792="",X2792,AB2792)</f>
        <v>sim</v>
      </c>
      <c r="AE2792" t="str">
        <f>IF(OR(Configuracao!B9="",Configuracao!B10=""),"aguardando limiar",IF(AND(K2792&gt;=Configuracao!B9,K2792/MAX(Reconciliacao!C2,1)&gt;=Configuracao!B10/100),"sim","não"))</f>
        <v>aguardando limiar</v>
      </c>
    </row>
    <row r="2793" spans="1:31" x14ac:dyDescent="0.25">
      <c r="A2793">
        <v>15835</v>
      </c>
      <c r="C2793" t="s">
        <v>1650</v>
      </c>
      <c r="D2793" t="s">
        <v>629</v>
      </c>
      <c r="E2793" t="s">
        <v>445</v>
      </c>
      <c r="F2793" t="s">
        <v>322</v>
      </c>
      <c r="G2793" t="s">
        <v>344</v>
      </c>
      <c r="H2793" t="s">
        <v>343</v>
      </c>
      <c r="I2793" t="s">
        <v>461</v>
      </c>
      <c r="J2793" t="s">
        <v>461</v>
      </c>
      <c r="K2793" s="4">
        <v>100</v>
      </c>
      <c r="L2793" s="4">
        <v>100</v>
      </c>
      <c r="M2793" t="s">
        <v>44</v>
      </c>
      <c r="N2793" t="s">
        <v>77</v>
      </c>
      <c r="O2793" t="s">
        <v>99</v>
      </c>
      <c r="P2793" t="s">
        <v>99</v>
      </c>
      <c r="Q2793" t="s">
        <v>159</v>
      </c>
      <c r="R2793" t="s">
        <v>323</v>
      </c>
      <c r="S2793" t="s">
        <v>197</v>
      </c>
      <c r="T2793" t="s">
        <v>198</v>
      </c>
      <c r="U2793" t="s">
        <v>163</v>
      </c>
      <c r="V2793" t="s">
        <v>186</v>
      </c>
      <c r="W2793" t="s">
        <v>116</v>
      </c>
      <c r="X2793" t="s">
        <v>44</v>
      </c>
      <c r="Y2793" t="s">
        <v>99</v>
      </c>
      <c r="Z2793" t="s">
        <v>421</v>
      </c>
      <c r="AC2793" t="str">
        <f>IF(AA2793="",M2793,AA2793)</f>
        <v>sim</v>
      </c>
      <c r="AD2793" t="str">
        <f>IF(AB2793="",X2793,AB2793)</f>
        <v>sim</v>
      </c>
      <c r="AE2793" t="str">
        <f>IF(OR(Configuracao!B9="",Configuracao!B10=""),"aguardando limiar",IF(AND(K2793&gt;=Configuracao!B9,K2793/MAX(Reconciliacao!C2,1)&gt;=Configuracao!B10/100),"sim","não"))</f>
        <v>aguardando limiar</v>
      </c>
    </row>
    <row r="2794" spans="1:31" x14ac:dyDescent="0.25">
      <c r="A2794">
        <v>15836</v>
      </c>
      <c r="C2794" t="s">
        <v>1650</v>
      </c>
      <c r="D2794" t="s">
        <v>885</v>
      </c>
      <c r="E2794" t="s">
        <v>445</v>
      </c>
      <c r="F2794" t="s">
        <v>322</v>
      </c>
      <c r="G2794" t="s">
        <v>344</v>
      </c>
      <c r="H2794" t="s">
        <v>343</v>
      </c>
      <c r="I2794" t="s">
        <v>461</v>
      </c>
      <c r="J2794" t="s">
        <v>461</v>
      </c>
      <c r="K2794" s="4">
        <v>100</v>
      </c>
      <c r="L2794" s="4">
        <v>100</v>
      </c>
      <c r="M2794" t="s">
        <v>44</v>
      </c>
      <c r="N2794" t="s">
        <v>77</v>
      </c>
      <c r="O2794" t="s">
        <v>99</v>
      </c>
      <c r="P2794" t="s">
        <v>99</v>
      </c>
      <c r="Q2794" t="s">
        <v>159</v>
      </c>
      <c r="R2794" t="s">
        <v>323</v>
      </c>
      <c r="S2794" t="s">
        <v>197</v>
      </c>
      <c r="T2794" t="s">
        <v>198</v>
      </c>
      <c r="U2794" t="s">
        <v>163</v>
      </c>
      <c r="V2794" t="s">
        <v>186</v>
      </c>
      <c r="W2794" t="s">
        <v>116</v>
      </c>
      <c r="X2794" t="s">
        <v>44</v>
      </c>
      <c r="Y2794" t="s">
        <v>99</v>
      </c>
      <c r="Z2794" t="s">
        <v>421</v>
      </c>
      <c r="AC2794" t="str">
        <f>IF(AA2794="",M2794,AA2794)</f>
        <v>sim</v>
      </c>
      <c r="AD2794" t="str">
        <f>IF(AB2794="",X2794,AB2794)</f>
        <v>sim</v>
      </c>
      <c r="AE2794" t="str">
        <f>IF(OR(Configuracao!B9="",Configuracao!B10=""),"aguardando limiar",IF(AND(K2794&gt;=Configuracao!B9,K2794/MAX(Reconciliacao!C2,1)&gt;=Configuracao!B10/100),"sim","não"))</f>
        <v>aguardando limiar</v>
      </c>
    </row>
    <row r="2795" spans="1:31" x14ac:dyDescent="0.25">
      <c r="A2795">
        <v>15837</v>
      </c>
      <c r="C2795" t="s">
        <v>1650</v>
      </c>
      <c r="D2795" t="s">
        <v>1417</v>
      </c>
      <c r="E2795" t="s">
        <v>511</v>
      </c>
      <c r="F2795" t="s">
        <v>322</v>
      </c>
      <c r="G2795" t="s">
        <v>344</v>
      </c>
      <c r="H2795" t="s">
        <v>343</v>
      </c>
      <c r="I2795" t="s">
        <v>461</v>
      </c>
      <c r="J2795" t="s">
        <v>461</v>
      </c>
      <c r="K2795" s="4">
        <v>100</v>
      </c>
      <c r="L2795" s="4">
        <v>100</v>
      </c>
      <c r="M2795" t="s">
        <v>44</v>
      </c>
      <c r="N2795" t="s">
        <v>77</v>
      </c>
      <c r="O2795" t="s">
        <v>99</v>
      </c>
      <c r="P2795" t="s">
        <v>99</v>
      </c>
      <c r="Q2795" t="s">
        <v>159</v>
      </c>
      <c r="R2795" t="s">
        <v>323</v>
      </c>
      <c r="S2795" t="s">
        <v>197</v>
      </c>
      <c r="T2795" t="s">
        <v>198</v>
      </c>
      <c r="U2795" t="s">
        <v>163</v>
      </c>
      <c r="V2795" t="s">
        <v>186</v>
      </c>
      <c r="W2795" t="s">
        <v>116</v>
      </c>
      <c r="X2795" t="s">
        <v>44</v>
      </c>
      <c r="Y2795" t="s">
        <v>99</v>
      </c>
      <c r="Z2795" t="s">
        <v>421</v>
      </c>
      <c r="AC2795" t="str">
        <f>IF(AA2795="",M2795,AA2795)</f>
        <v>sim</v>
      </c>
      <c r="AD2795" t="str">
        <f>IF(AB2795="",X2795,AB2795)</f>
        <v>sim</v>
      </c>
      <c r="AE2795" t="str">
        <f>IF(OR(Configuracao!B9="",Configuracao!B10=""),"aguardando limiar",IF(AND(K2795&gt;=Configuracao!B9,K2795/MAX(Reconciliacao!C2,1)&gt;=Configuracao!B10/100),"sim","não"))</f>
        <v>aguardando limiar</v>
      </c>
    </row>
    <row r="2796" spans="1:31" x14ac:dyDescent="0.25">
      <c r="A2796">
        <v>15845</v>
      </c>
      <c r="C2796" t="s">
        <v>1650</v>
      </c>
      <c r="D2796" t="s">
        <v>1450</v>
      </c>
      <c r="E2796" t="s">
        <v>465</v>
      </c>
      <c r="F2796" t="s">
        <v>322</v>
      </c>
      <c r="G2796" t="s">
        <v>344</v>
      </c>
      <c r="H2796" t="s">
        <v>343</v>
      </c>
      <c r="I2796" t="s">
        <v>454</v>
      </c>
      <c r="J2796" t="s">
        <v>454</v>
      </c>
      <c r="K2796" s="4">
        <v>100</v>
      </c>
      <c r="L2796" s="4">
        <v>100</v>
      </c>
      <c r="M2796" t="s">
        <v>44</v>
      </c>
      <c r="N2796" t="s">
        <v>77</v>
      </c>
      <c r="O2796" t="s">
        <v>99</v>
      </c>
      <c r="P2796" t="s">
        <v>99</v>
      </c>
      <c r="Q2796" t="s">
        <v>159</v>
      </c>
      <c r="R2796" t="s">
        <v>323</v>
      </c>
      <c r="S2796" t="s">
        <v>197</v>
      </c>
      <c r="T2796" t="s">
        <v>198</v>
      </c>
      <c r="U2796" t="s">
        <v>163</v>
      </c>
      <c r="V2796" t="s">
        <v>186</v>
      </c>
      <c r="W2796" t="s">
        <v>116</v>
      </c>
      <c r="X2796" t="s">
        <v>44</v>
      </c>
      <c r="Y2796" t="s">
        <v>99</v>
      </c>
      <c r="Z2796" t="s">
        <v>421</v>
      </c>
      <c r="AC2796" t="str">
        <f>IF(AA2796="",M2796,AA2796)</f>
        <v>sim</v>
      </c>
      <c r="AD2796" t="str">
        <f>IF(AB2796="",X2796,AB2796)</f>
        <v>sim</v>
      </c>
      <c r="AE2796" t="str">
        <f>IF(OR(Configuracao!B9="",Configuracao!B10=""),"aguardando limiar",IF(AND(K2796&gt;=Configuracao!B9,K2796/MAX(Reconciliacao!C2,1)&gt;=Configuracao!B10/100),"sim","não"))</f>
        <v>aguardando limiar</v>
      </c>
    </row>
    <row r="2797" spans="1:31" x14ac:dyDescent="0.25">
      <c r="A2797">
        <v>16779</v>
      </c>
      <c r="C2797" t="s">
        <v>1650</v>
      </c>
      <c r="D2797" t="s">
        <v>917</v>
      </c>
      <c r="E2797" t="s">
        <v>511</v>
      </c>
      <c r="F2797" t="s">
        <v>322</v>
      </c>
      <c r="G2797" t="s">
        <v>344</v>
      </c>
      <c r="H2797" t="s">
        <v>343</v>
      </c>
      <c r="I2797" t="s">
        <v>442</v>
      </c>
      <c r="J2797" t="s">
        <v>442</v>
      </c>
      <c r="K2797" s="4">
        <v>100</v>
      </c>
      <c r="L2797" s="4">
        <v>100</v>
      </c>
      <c r="M2797" t="s">
        <v>44</v>
      </c>
      <c r="N2797" t="s">
        <v>77</v>
      </c>
      <c r="O2797" t="s">
        <v>99</v>
      </c>
      <c r="P2797" t="s">
        <v>99</v>
      </c>
      <c r="Q2797" t="s">
        <v>159</v>
      </c>
      <c r="R2797" t="s">
        <v>323</v>
      </c>
      <c r="S2797" t="s">
        <v>197</v>
      </c>
      <c r="T2797" t="s">
        <v>198</v>
      </c>
      <c r="U2797" t="s">
        <v>163</v>
      </c>
      <c r="V2797" t="s">
        <v>186</v>
      </c>
      <c r="W2797" t="s">
        <v>116</v>
      </c>
      <c r="X2797" t="s">
        <v>44</v>
      </c>
      <c r="Y2797" t="s">
        <v>99</v>
      </c>
      <c r="Z2797" t="s">
        <v>421</v>
      </c>
      <c r="AC2797" t="str">
        <f>IF(AA2797="",M2797,AA2797)</f>
        <v>sim</v>
      </c>
      <c r="AD2797" t="str">
        <f>IF(AB2797="",X2797,AB2797)</f>
        <v>sim</v>
      </c>
      <c r="AE2797" t="str">
        <f>IF(OR(Configuracao!B9="",Configuracao!B10=""),"aguardando limiar",IF(AND(K2797&gt;=Configuracao!B9,K2797/MAX(Reconciliacao!C2,1)&gt;=Configuracao!B10/100),"sim","não"))</f>
        <v>aguardando limiar</v>
      </c>
    </row>
    <row r="2798" spans="1:31" x14ac:dyDescent="0.25">
      <c r="A2798">
        <v>16780</v>
      </c>
      <c r="C2798" t="s">
        <v>1650</v>
      </c>
      <c r="D2798" t="s">
        <v>630</v>
      </c>
      <c r="E2798" t="s">
        <v>511</v>
      </c>
      <c r="F2798" t="s">
        <v>322</v>
      </c>
      <c r="G2798" t="s">
        <v>344</v>
      </c>
      <c r="H2798" t="s">
        <v>343</v>
      </c>
      <c r="I2798" t="s">
        <v>442</v>
      </c>
      <c r="J2798" t="s">
        <v>442</v>
      </c>
      <c r="K2798" s="4">
        <v>100</v>
      </c>
      <c r="L2798" s="4">
        <v>100</v>
      </c>
      <c r="M2798" t="s">
        <v>44</v>
      </c>
      <c r="N2798" t="s">
        <v>77</v>
      </c>
      <c r="O2798" t="s">
        <v>99</v>
      </c>
      <c r="P2798" t="s">
        <v>99</v>
      </c>
      <c r="Q2798" t="s">
        <v>159</v>
      </c>
      <c r="R2798" t="s">
        <v>323</v>
      </c>
      <c r="S2798" t="s">
        <v>197</v>
      </c>
      <c r="T2798" t="s">
        <v>198</v>
      </c>
      <c r="U2798" t="s">
        <v>163</v>
      </c>
      <c r="V2798" t="s">
        <v>186</v>
      </c>
      <c r="W2798" t="s">
        <v>116</v>
      </c>
      <c r="X2798" t="s">
        <v>44</v>
      </c>
      <c r="Y2798" t="s">
        <v>99</v>
      </c>
      <c r="Z2798" t="s">
        <v>421</v>
      </c>
      <c r="AC2798" t="str">
        <f>IF(AA2798="",M2798,AA2798)</f>
        <v>sim</v>
      </c>
      <c r="AD2798" t="str">
        <f>IF(AB2798="",X2798,AB2798)</f>
        <v>sim</v>
      </c>
      <c r="AE2798" t="str">
        <f>IF(OR(Configuracao!B9="",Configuracao!B10=""),"aguardando limiar",IF(AND(K2798&gt;=Configuracao!B9,K2798/MAX(Reconciliacao!C2,1)&gt;=Configuracao!B10/100),"sim","não"))</f>
        <v>aguardando limiar</v>
      </c>
    </row>
    <row r="2799" spans="1:31" x14ac:dyDescent="0.25">
      <c r="A2799">
        <v>16781</v>
      </c>
      <c r="C2799" t="s">
        <v>1650</v>
      </c>
      <c r="D2799" t="s">
        <v>1442</v>
      </c>
      <c r="E2799" t="s">
        <v>465</v>
      </c>
      <c r="F2799" t="s">
        <v>322</v>
      </c>
      <c r="G2799" t="s">
        <v>344</v>
      </c>
      <c r="H2799" t="s">
        <v>343</v>
      </c>
      <c r="I2799" t="s">
        <v>442</v>
      </c>
      <c r="J2799" t="s">
        <v>442</v>
      </c>
      <c r="K2799" s="4">
        <v>100</v>
      </c>
      <c r="L2799" s="4">
        <v>100</v>
      </c>
      <c r="M2799" t="s">
        <v>44</v>
      </c>
      <c r="N2799" t="s">
        <v>77</v>
      </c>
      <c r="O2799" t="s">
        <v>99</v>
      </c>
      <c r="P2799" t="s">
        <v>99</v>
      </c>
      <c r="Q2799" t="s">
        <v>159</v>
      </c>
      <c r="R2799" t="s">
        <v>323</v>
      </c>
      <c r="S2799" t="s">
        <v>197</v>
      </c>
      <c r="T2799" t="s">
        <v>198</v>
      </c>
      <c r="U2799" t="s">
        <v>163</v>
      </c>
      <c r="V2799" t="s">
        <v>186</v>
      </c>
      <c r="W2799" t="s">
        <v>116</v>
      </c>
      <c r="X2799" t="s">
        <v>44</v>
      </c>
      <c r="Y2799" t="s">
        <v>99</v>
      </c>
      <c r="Z2799" t="s">
        <v>421</v>
      </c>
      <c r="AC2799" t="str">
        <f>IF(AA2799="",M2799,AA2799)</f>
        <v>sim</v>
      </c>
      <c r="AD2799" t="str">
        <f>IF(AB2799="",X2799,AB2799)</f>
        <v>sim</v>
      </c>
      <c r="AE2799" t="str">
        <f>IF(OR(Configuracao!B9="",Configuracao!B10=""),"aguardando limiar",IF(AND(K2799&gt;=Configuracao!B9,K2799/MAX(Reconciliacao!C2,1)&gt;=Configuracao!B10/100),"sim","não"))</f>
        <v>aguardando limiar</v>
      </c>
    </row>
    <row r="2800" spans="1:31" x14ac:dyDescent="0.25">
      <c r="A2800">
        <v>17609</v>
      </c>
      <c r="C2800" t="s">
        <v>1650</v>
      </c>
      <c r="D2800" t="s">
        <v>1413</v>
      </c>
      <c r="E2800" t="s">
        <v>445</v>
      </c>
      <c r="F2800" t="s">
        <v>322</v>
      </c>
      <c r="G2800" t="s">
        <v>344</v>
      </c>
      <c r="H2800" t="s">
        <v>343</v>
      </c>
      <c r="I2800" t="s">
        <v>442</v>
      </c>
      <c r="J2800" t="s">
        <v>439</v>
      </c>
      <c r="K2800" s="4">
        <v>100</v>
      </c>
      <c r="L2800" s="4">
        <v>100</v>
      </c>
      <c r="M2800" t="s">
        <v>44</v>
      </c>
      <c r="N2800" t="s">
        <v>77</v>
      </c>
      <c r="O2800" t="s">
        <v>99</v>
      </c>
      <c r="P2800" t="s">
        <v>99</v>
      </c>
      <c r="Q2800" t="s">
        <v>159</v>
      </c>
      <c r="R2800" t="s">
        <v>323</v>
      </c>
      <c r="S2800" t="s">
        <v>197</v>
      </c>
      <c r="T2800" t="s">
        <v>198</v>
      </c>
      <c r="U2800" t="s">
        <v>163</v>
      </c>
      <c r="V2800" t="s">
        <v>186</v>
      </c>
      <c r="W2800" t="s">
        <v>116</v>
      </c>
      <c r="X2800" t="s">
        <v>44</v>
      </c>
      <c r="Y2800" t="s">
        <v>99</v>
      </c>
      <c r="Z2800" t="s">
        <v>421</v>
      </c>
      <c r="AC2800" t="str">
        <f>IF(AA2800="",M2800,AA2800)</f>
        <v>sim</v>
      </c>
      <c r="AD2800" t="str">
        <f>IF(AB2800="",X2800,AB2800)</f>
        <v>sim</v>
      </c>
      <c r="AE2800" t="str">
        <f>IF(OR(Configuracao!B9="",Configuracao!B10=""),"aguardando limiar",IF(AND(K2800&gt;=Configuracao!B9,K2800/MAX(Reconciliacao!C2,1)&gt;=Configuracao!B10/100),"sim","não"))</f>
        <v>aguardando limiar</v>
      </c>
    </row>
    <row r="2801" spans="1:31" x14ac:dyDescent="0.25">
      <c r="A2801">
        <v>17610</v>
      </c>
      <c r="C2801" t="s">
        <v>1650</v>
      </c>
      <c r="D2801" t="s">
        <v>914</v>
      </c>
      <c r="E2801" t="s">
        <v>511</v>
      </c>
      <c r="F2801" t="s">
        <v>322</v>
      </c>
      <c r="G2801" t="s">
        <v>344</v>
      </c>
      <c r="H2801" t="s">
        <v>343</v>
      </c>
      <c r="I2801" t="s">
        <v>442</v>
      </c>
      <c r="J2801" t="s">
        <v>439</v>
      </c>
      <c r="K2801" s="4">
        <v>100</v>
      </c>
      <c r="L2801" s="4">
        <v>100</v>
      </c>
      <c r="M2801" t="s">
        <v>44</v>
      </c>
      <c r="N2801" t="s">
        <v>77</v>
      </c>
      <c r="O2801" t="s">
        <v>99</v>
      </c>
      <c r="P2801" t="s">
        <v>99</v>
      </c>
      <c r="Q2801" t="s">
        <v>159</v>
      </c>
      <c r="R2801" t="s">
        <v>323</v>
      </c>
      <c r="S2801" t="s">
        <v>197</v>
      </c>
      <c r="T2801" t="s">
        <v>198</v>
      </c>
      <c r="U2801" t="s">
        <v>163</v>
      </c>
      <c r="V2801" t="s">
        <v>186</v>
      </c>
      <c r="W2801" t="s">
        <v>116</v>
      </c>
      <c r="X2801" t="s">
        <v>44</v>
      </c>
      <c r="Y2801" t="s">
        <v>99</v>
      </c>
      <c r="Z2801" t="s">
        <v>421</v>
      </c>
      <c r="AC2801" t="str">
        <f>IF(AA2801="",M2801,AA2801)</f>
        <v>sim</v>
      </c>
      <c r="AD2801" t="str">
        <f>IF(AB2801="",X2801,AB2801)</f>
        <v>sim</v>
      </c>
      <c r="AE2801" t="str">
        <f>IF(OR(Configuracao!B9="",Configuracao!B10=""),"aguardando limiar",IF(AND(K2801&gt;=Configuracao!B9,K2801/MAX(Reconciliacao!C2,1)&gt;=Configuracao!B10/100),"sim","não"))</f>
        <v>aguardando limiar</v>
      </c>
    </row>
    <row r="2802" spans="1:31" x14ac:dyDescent="0.25">
      <c r="A2802">
        <v>17611</v>
      </c>
      <c r="C2802" t="s">
        <v>1650</v>
      </c>
      <c r="D2802" t="s">
        <v>1490</v>
      </c>
      <c r="E2802" t="s">
        <v>1138</v>
      </c>
      <c r="F2802" t="s">
        <v>322</v>
      </c>
      <c r="G2802" t="s">
        <v>344</v>
      </c>
      <c r="H2802" t="s">
        <v>343</v>
      </c>
      <c r="I2802" t="s">
        <v>442</v>
      </c>
      <c r="J2802" t="s">
        <v>439</v>
      </c>
      <c r="K2802" s="4">
        <v>100</v>
      </c>
      <c r="L2802" s="4">
        <v>100</v>
      </c>
      <c r="M2802" t="s">
        <v>44</v>
      </c>
      <c r="N2802" t="s">
        <v>77</v>
      </c>
      <c r="O2802" t="s">
        <v>99</v>
      </c>
      <c r="P2802" t="s">
        <v>99</v>
      </c>
      <c r="Q2802" t="s">
        <v>159</v>
      </c>
      <c r="R2802" t="s">
        <v>323</v>
      </c>
      <c r="S2802" t="s">
        <v>197</v>
      </c>
      <c r="T2802" t="s">
        <v>198</v>
      </c>
      <c r="U2802" t="s">
        <v>163</v>
      </c>
      <c r="V2802" t="s">
        <v>186</v>
      </c>
      <c r="W2802" t="s">
        <v>116</v>
      </c>
      <c r="X2802" t="s">
        <v>44</v>
      </c>
      <c r="Y2802" t="s">
        <v>99</v>
      </c>
      <c r="Z2802" t="s">
        <v>421</v>
      </c>
      <c r="AC2802" t="str">
        <f>IF(AA2802="",M2802,AA2802)</f>
        <v>sim</v>
      </c>
      <c r="AD2802" t="str">
        <f>IF(AB2802="",X2802,AB2802)</f>
        <v>sim</v>
      </c>
      <c r="AE2802" t="str">
        <f>IF(OR(Configuracao!B9="",Configuracao!B10=""),"aguardando limiar",IF(AND(K2802&gt;=Configuracao!B9,K2802/MAX(Reconciliacao!C2,1)&gt;=Configuracao!B10/100),"sim","não"))</f>
        <v>aguardando limiar</v>
      </c>
    </row>
    <row r="2803" spans="1:31" x14ac:dyDescent="0.25">
      <c r="A2803">
        <v>17612</v>
      </c>
      <c r="C2803" t="s">
        <v>1650</v>
      </c>
      <c r="D2803" t="s">
        <v>1448</v>
      </c>
      <c r="E2803" t="s">
        <v>467</v>
      </c>
      <c r="F2803" t="s">
        <v>322</v>
      </c>
      <c r="G2803" t="s">
        <v>344</v>
      </c>
      <c r="H2803" t="s">
        <v>343</v>
      </c>
      <c r="I2803" t="s">
        <v>442</v>
      </c>
      <c r="J2803" t="s">
        <v>439</v>
      </c>
      <c r="K2803" s="4">
        <v>100</v>
      </c>
      <c r="L2803" s="4">
        <v>100</v>
      </c>
      <c r="M2803" t="s">
        <v>44</v>
      </c>
      <c r="N2803" t="s">
        <v>77</v>
      </c>
      <c r="O2803" t="s">
        <v>99</v>
      </c>
      <c r="P2803" t="s">
        <v>99</v>
      </c>
      <c r="Q2803" t="s">
        <v>159</v>
      </c>
      <c r="R2803" t="s">
        <v>323</v>
      </c>
      <c r="S2803" t="s">
        <v>197</v>
      </c>
      <c r="T2803" t="s">
        <v>198</v>
      </c>
      <c r="U2803" t="s">
        <v>163</v>
      </c>
      <c r="V2803" t="s">
        <v>186</v>
      </c>
      <c r="W2803" t="s">
        <v>116</v>
      </c>
      <c r="X2803" t="s">
        <v>44</v>
      </c>
      <c r="Y2803" t="s">
        <v>99</v>
      </c>
      <c r="Z2803" t="s">
        <v>421</v>
      </c>
      <c r="AC2803" t="str">
        <f>IF(AA2803="",M2803,AA2803)</f>
        <v>sim</v>
      </c>
      <c r="AD2803" t="str">
        <f>IF(AB2803="",X2803,AB2803)</f>
        <v>sim</v>
      </c>
      <c r="AE2803" t="str">
        <f>IF(OR(Configuracao!B9="",Configuracao!B10=""),"aguardando limiar",IF(AND(K2803&gt;=Configuracao!B9,K2803/MAX(Reconciliacao!C2,1)&gt;=Configuracao!B10/100),"sim","não"))</f>
        <v>aguardando limiar</v>
      </c>
    </row>
    <row r="2804" spans="1:31" x14ac:dyDescent="0.25">
      <c r="A2804">
        <v>17613</v>
      </c>
      <c r="C2804" t="s">
        <v>1650</v>
      </c>
      <c r="D2804" t="s">
        <v>1423</v>
      </c>
      <c r="E2804" t="s">
        <v>465</v>
      </c>
      <c r="F2804" t="s">
        <v>322</v>
      </c>
      <c r="G2804" t="s">
        <v>344</v>
      </c>
      <c r="H2804" t="s">
        <v>343</v>
      </c>
      <c r="I2804" t="s">
        <v>442</v>
      </c>
      <c r="J2804" t="s">
        <v>439</v>
      </c>
      <c r="K2804" s="4">
        <v>100</v>
      </c>
      <c r="L2804" s="4">
        <v>100</v>
      </c>
      <c r="M2804" t="s">
        <v>44</v>
      </c>
      <c r="N2804" t="s">
        <v>77</v>
      </c>
      <c r="O2804" t="s">
        <v>99</v>
      </c>
      <c r="P2804" t="s">
        <v>99</v>
      </c>
      <c r="Q2804" t="s">
        <v>159</v>
      </c>
      <c r="R2804" t="s">
        <v>323</v>
      </c>
      <c r="S2804" t="s">
        <v>197</v>
      </c>
      <c r="T2804" t="s">
        <v>198</v>
      </c>
      <c r="U2804" t="s">
        <v>163</v>
      </c>
      <c r="V2804" t="s">
        <v>186</v>
      </c>
      <c r="W2804" t="s">
        <v>116</v>
      </c>
      <c r="X2804" t="s">
        <v>44</v>
      </c>
      <c r="Y2804" t="s">
        <v>99</v>
      </c>
      <c r="Z2804" t="s">
        <v>421</v>
      </c>
      <c r="AC2804" t="str">
        <f>IF(AA2804="",M2804,AA2804)</f>
        <v>sim</v>
      </c>
      <c r="AD2804" t="str">
        <f>IF(AB2804="",X2804,AB2804)</f>
        <v>sim</v>
      </c>
      <c r="AE2804" t="str">
        <f>IF(OR(Configuracao!B9="",Configuracao!B10=""),"aguardando limiar",IF(AND(K2804&gt;=Configuracao!B9,K2804/MAX(Reconciliacao!C2,1)&gt;=Configuracao!B10/100),"sim","não"))</f>
        <v>aguardando limiar</v>
      </c>
    </row>
    <row r="2805" spans="1:31" x14ac:dyDescent="0.25">
      <c r="A2805">
        <v>17614</v>
      </c>
      <c r="C2805" t="s">
        <v>1650</v>
      </c>
      <c r="D2805" t="s">
        <v>1404</v>
      </c>
      <c r="E2805" t="s">
        <v>525</v>
      </c>
      <c r="F2805" t="s">
        <v>322</v>
      </c>
      <c r="G2805" t="s">
        <v>344</v>
      </c>
      <c r="H2805" t="s">
        <v>343</v>
      </c>
      <c r="I2805" t="s">
        <v>442</v>
      </c>
      <c r="J2805" t="s">
        <v>439</v>
      </c>
      <c r="K2805" s="4">
        <v>100</v>
      </c>
      <c r="L2805" s="4">
        <v>100</v>
      </c>
      <c r="M2805" t="s">
        <v>44</v>
      </c>
      <c r="N2805" t="s">
        <v>77</v>
      </c>
      <c r="O2805" t="s">
        <v>99</v>
      </c>
      <c r="P2805" t="s">
        <v>99</v>
      </c>
      <c r="Q2805" t="s">
        <v>159</v>
      </c>
      <c r="R2805" t="s">
        <v>323</v>
      </c>
      <c r="S2805" t="s">
        <v>197</v>
      </c>
      <c r="T2805" t="s">
        <v>198</v>
      </c>
      <c r="U2805" t="s">
        <v>163</v>
      </c>
      <c r="V2805" t="s">
        <v>186</v>
      </c>
      <c r="W2805" t="s">
        <v>116</v>
      </c>
      <c r="X2805" t="s">
        <v>44</v>
      </c>
      <c r="Y2805" t="s">
        <v>99</v>
      </c>
      <c r="Z2805" t="s">
        <v>421</v>
      </c>
      <c r="AC2805" t="str">
        <f>IF(AA2805="",M2805,AA2805)</f>
        <v>sim</v>
      </c>
      <c r="AD2805" t="str">
        <f>IF(AB2805="",X2805,AB2805)</f>
        <v>sim</v>
      </c>
      <c r="AE2805" t="str">
        <f>IF(OR(Configuracao!B9="",Configuracao!B10=""),"aguardando limiar",IF(AND(K2805&gt;=Configuracao!B9,K2805/MAX(Reconciliacao!C2,1)&gt;=Configuracao!B10/100),"sim","não"))</f>
        <v>aguardando limiar</v>
      </c>
    </row>
    <row r="2806" spans="1:31" x14ac:dyDescent="0.25">
      <c r="A2806">
        <v>18584</v>
      </c>
      <c r="C2806" t="s">
        <v>1650</v>
      </c>
      <c r="D2806" t="s">
        <v>1391</v>
      </c>
      <c r="E2806" t="s">
        <v>467</v>
      </c>
      <c r="F2806" t="s">
        <v>322</v>
      </c>
      <c r="G2806" t="s">
        <v>344</v>
      </c>
      <c r="H2806" t="s">
        <v>343</v>
      </c>
      <c r="I2806" t="s">
        <v>35</v>
      </c>
      <c r="J2806" t="s">
        <v>35</v>
      </c>
      <c r="K2806" s="4">
        <v>100</v>
      </c>
      <c r="L2806" s="4">
        <v>100</v>
      </c>
      <c r="M2806" t="s">
        <v>44</v>
      </c>
      <c r="N2806" t="s">
        <v>77</v>
      </c>
      <c r="O2806" t="s">
        <v>99</v>
      </c>
      <c r="P2806" t="s">
        <v>99</v>
      </c>
      <c r="Q2806" t="s">
        <v>159</v>
      </c>
      <c r="R2806" t="s">
        <v>323</v>
      </c>
      <c r="S2806" t="s">
        <v>197</v>
      </c>
      <c r="T2806" t="s">
        <v>198</v>
      </c>
      <c r="U2806" t="s">
        <v>163</v>
      </c>
      <c r="V2806" t="s">
        <v>186</v>
      </c>
      <c r="W2806" t="s">
        <v>116</v>
      </c>
      <c r="X2806" t="s">
        <v>44</v>
      </c>
      <c r="Y2806" t="s">
        <v>99</v>
      </c>
      <c r="Z2806" t="s">
        <v>421</v>
      </c>
      <c r="AC2806" t="str">
        <f>IF(AA2806="",M2806,AA2806)</f>
        <v>sim</v>
      </c>
      <c r="AD2806" t="str">
        <f>IF(AB2806="",X2806,AB2806)</f>
        <v>sim</v>
      </c>
      <c r="AE2806" t="str">
        <f>IF(OR(Configuracao!B9="",Configuracao!B10=""),"aguardando limiar",IF(AND(K2806&gt;=Configuracao!B9,K2806/MAX(Reconciliacao!C2,1)&gt;=Configuracao!B10/100),"sim","não"))</f>
        <v>aguardando limiar</v>
      </c>
    </row>
    <row r="2807" spans="1:31" x14ac:dyDescent="0.25">
      <c r="A2807">
        <v>18310</v>
      </c>
      <c r="C2807" t="s">
        <v>1651</v>
      </c>
      <c r="D2807" t="s">
        <v>450</v>
      </c>
      <c r="E2807" t="s">
        <v>1138</v>
      </c>
      <c r="F2807" t="s">
        <v>322</v>
      </c>
      <c r="G2807" t="s">
        <v>344</v>
      </c>
      <c r="H2807" t="s">
        <v>343</v>
      </c>
      <c r="I2807" t="s">
        <v>439</v>
      </c>
      <c r="J2807" t="s">
        <v>439</v>
      </c>
      <c r="K2807" s="4">
        <v>237.57</v>
      </c>
      <c r="L2807" s="4">
        <v>237.57</v>
      </c>
      <c r="M2807" t="s">
        <v>44</v>
      </c>
      <c r="N2807" t="s">
        <v>77</v>
      </c>
      <c r="O2807" t="s">
        <v>99</v>
      </c>
      <c r="P2807" t="s">
        <v>99</v>
      </c>
      <c r="Q2807" t="s">
        <v>159</v>
      </c>
      <c r="R2807" t="s">
        <v>323</v>
      </c>
      <c r="S2807" t="s">
        <v>197</v>
      </c>
      <c r="T2807" t="s">
        <v>198</v>
      </c>
      <c r="U2807" t="s">
        <v>163</v>
      </c>
      <c r="V2807" t="s">
        <v>186</v>
      </c>
      <c r="W2807" t="s">
        <v>116</v>
      </c>
      <c r="X2807" t="s">
        <v>44</v>
      </c>
      <c r="Y2807" t="s">
        <v>99</v>
      </c>
      <c r="Z2807" t="s">
        <v>421</v>
      </c>
      <c r="AC2807" t="str">
        <f>IF(AA2807="",M2807,AA2807)</f>
        <v>sim</v>
      </c>
      <c r="AD2807" t="str">
        <f>IF(AB2807="",X2807,AB2807)</f>
        <v>sim</v>
      </c>
      <c r="AE2807" t="str">
        <f>IF(OR(Configuracao!B9="",Configuracao!B10=""),"aguardando limiar",IF(AND(K2807&gt;=Configuracao!B9,K2807/MAX(Reconciliacao!C2,1)&gt;=Configuracao!B10/100),"sim","não"))</f>
        <v>aguardando limiar</v>
      </c>
    </row>
    <row r="2808" spans="1:31" x14ac:dyDescent="0.25">
      <c r="A2808">
        <v>10623</v>
      </c>
      <c r="D2808" t="s">
        <v>1652</v>
      </c>
      <c r="E2808" t="s">
        <v>1094</v>
      </c>
      <c r="F2808" t="s">
        <v>201</v>
      </c>
      <c r="G2808" t="s">
        <v>304</v>
      </c>
      <c r="H2808" t="s">
        <v>303</v>
      </c>
      <c r="I2808" t="s">
        <v>461</v>
      </c>
      <c r="J2808" t="s">
        <v>461</v>
      </c>
      <c r="K2808" s="4">
        <v>53</v>
      </c>
      <c r="L2808" s="4">
        <v>53</v>
      </c>
      <c r="M2808" t="s">
        <v>44</v>
      </c>
      <c r="N2808" t="s">
        <v>77</v>
      </c>
      <c r="O2808" t="s">
        <v>99</v>
      </c>
      <c r="P2808" t="s">
        <v>99</v>
      </c>
      <c r="Q2808" t="s">
        <v>202</v>
      </c>
      <c r="R2808" t="s">
        <v>203</v>
      </c>
      <c r="S2808" t="s">
        <v>161</v>
      </c>
      <c r="T2808" t="s">
        <v>162</v>
      </c>
      <c r="U2808" t="s">
        <v>163</v>
      </c>
      <c r="V2808" t="s">
        <v>164</v>
      </c>
      <c r="W2808" t="s">
        <v>116</v>
      </c>
      <c r="X2808" t="s">
        <v>44</v>
      </c>
      <c r="Y2808" t="s">
        <v>99</v>
      </c>
      <c r="Z2808" t="s">
        <v>421</v>
      </c>
      <c r="AC2808" t="str">
        <f>IF(AA2808="",M2808,AA2808)</f>
        <v>sim</v>
      </c>
      <c r="AD2808" t="str">
        <f>IF(AB2808="",X2808,AB2808)</f>
        <v>sim</v>
      </c>
      <c r="AE2808" t="str">
        <f>IF(OR(Configuracao!B9="",Configuracao!B10=""),"aguardando limiar",IF(AND(K2808&gt;=Configuracao!B9,K2808/MAX(Reconciliacao!C2,1)&gt;=Configuracao!B10/100),"sim","não"))</f>
        <v>aguardando limiar</v>
      </c>
    </row>
    <row r="2809" spans="1:31" x14ac:dyDescent="0.25">
      <c r="A2809">
        <v>10624</v>
      </c>
      <c r="D2809" t="s">
        <v>1652</v>
      </c>
      <c r="E2809" t="s">
        <v>1094</v>
      </c>
      <c r="F2809" t="s">
        <v>201</v>
      </c>
      <c r="G2809" t="s">
        <v>304</v>
      </c>
      <c r="H2809" t="s">
        <v>303</v>
      </c>
      <c r="I2809" t="s">
        <v>442</v>
      </c>
      <c r="J2809" t="s">
        <v>442</v>
      </c>
      <c r="K2809" s="4">
        <v>54.32</v>
      </c>
      <c r="L2809" s="4">
        <v>54.32</v>
      </c>
      <c r="M2809" t="s">
        <v>44</v>
      </c>
      <c r="N2809" t="s">
        <v>77</v>
      </c>
      <c r="O2809" t="s">
        <v>99</v>
      </c>
      <c r="P2809" t="s">
        <v>99</v>
      </c>
      <c r="Q2809" t="s">
        <v>202</v>
      </c>
      <c r="R2809" t="s">
        <v>203</v>
      </c>
      <c r="S2809" t="s">
        <v>161</v>
      </c>
      <c r="T2809" t="s">
        <v>162</v>
      </c>
      <c r="U2809" t="s">
        <v>163</v>
      </c>
      <c r="V2809" t="s">
        <v>164</v>
      </c>
      <c r="W2809" t="s">
        <v>116</v>
      </c>
      <c r="X2809" t="s">
        <v>44</v>
      </c>
      <c r="Y2809" t="s">
        <v>99</v>
      </c>
      <c r="Z2809" t="s">
        <v>421</v>
      </c>
      <c r="AC2809" t="str">
        <f>IF(AA2809="",M2809,AA2809)</f>
        <v>sim</v>
      </c>
      <c r="AD2809" t="str">
        <f>IF(AB2809="",X2809,AB2809)</f>
        <v>sim</v>
      </c>
      <c r="AE2809" t="str">
        <f>IF(OR(Configuracao!B9="",Configuracao!B10=""),"aguardando limiar",IF(AND(K2809&gt;=Configuracao!B9,K2809/MAX(Reconciliacao!C2,1)&gt;=Configuracao!B10/100),"sim","não"))</f>
        <v>aguardando limiar</v>
      </c>
    </row>
    <row r="2810" spans="1:31" x14ac:dyDescent="0.25">
      <c r="A2810">
        <v>10621</v>
      </c>
      <c r="D2810" t="s">
        <v>1652</v>
      </c>
      <c r="E2810" t="s">
        <v>1094</v>
      </c>
      <c r="F2810" t="s">
        <v>201</v>
      </c>
      <c r="G2810" t="s">
        <v>304</v>
      </c>
      <c r="H2810" t="s">
        <v>303</v>
      </c>
      <c r="I2810" t="s">
        <v>420</v>
      </c>
      <c r="J2810" t="s">
        <v>420</v>
      </c>
      <c r="K2810" s="4">
        <v>54.78</v>
      </c>
      <c r="L2810" s="4">
        <v>54.78</v>
      </c>
      <c r="M2810" t="s">
        <v>44</v>
      </c>
      <c r="N2810" t="s">
        <v>77</v>
      </c>
      <c r="O2810" t="s">
        <v>99</v>
      </c>
      <c r="P2810" t="s">
        <v>99</v>
      </c>
      <c r="Q2810" t="s">
        <v>202</v>
      </c>
      <c r="R2810" t="s">
        <v>203</v>
      </c>
      <c r="S2810" t="s">
        <v>161</v>
      </c>
      <c r="T2810" t="s">
        <v>162</v>
      </c>
      <c r="U2810" t="s">
        <v>163</v>
      </c>
      <c r="V2810" t="s">
        <v>164</v>
      </c>
      <c r="W2810" t="s">
        <v>116</v>
      </c>
      <c r="X2810" t="s">
        <v>44</v>
      </c>
      <c r="Y2810" t="s">
        <v>99</v>
      </c>
      <c r="Z2810" t="s">
        <v>421</v>
      </c>
      <c r="AC2810" t="str">
        <f>IF(AA2810="",M2810,AA2810)</f>
        <v>sim</v>
      </c>
      <c r="AD2810" t="str">
        <f>IF(AB2810="",X2810,AB2810)</f>
        <v>sim</v>
      </c>
      <c r="AE2810" t="str">
        <f>IF(OR(Configuracao!B9="",Configuracao!B10=""),"aguardando limiar",IF(AND(K2810&gt;=Configuracao!B9,K2810/MAX(Reconciliacao!C2,1)&gt;=Configuracao!B10/100),"sim","não"))</f>
        <v>aguardando limiar</v>
      </c>
    </row>
    <row r="2811" spans="1:31" x14ac:dyDescent="0.25">
      <c r="A2811">
        <v>18247</v>
      </c>
      <c r="C2811" t="s">
        <v>1653</v>
      </c>
      <c r="D2811" t="s">
        <v>1654</v>
      </c>
      <c r="E2811" t="s">
        <v>1094</v>
      </c>
      <c r="F2811" t="s">
        <v>201</v>
      </c>
      <c r="G2811" t="s">
        <v>304</v>
      </c>
      <c r="H2811" t="s">
        <v>303</v>
      </c>
      <c r="I2811" t="s">
        <v>439</v>
      </c>
      <c r="J2811" t="s">
        <v>439</v>
      </c>
      <c r="K2811" s="4">
        <v>89.99</v>
      </c>
      <c r="L2811" s="4">
        <v>89.99</v>
      </c>
      <c r="M2811" t="s">
        <v>44</v>
      </c>
      <c r="N2811" t="s">
        <v>77</v>
      </c>
      <c r="O2811" t="s">
        <v>99</v>
      </c>
      <c r="P2811" t="s">
        <v>99</v>
      </c>
      <c r="Q2811" t="s">
        <v>202</v>
      </c>
      <c r="R2811" t="s">
        <v>203</v>
      </c>
      <c r="S2811" t="s">
        <v>161</v>
      </c>
      <c r="T2811" t="s">
        <v>162</v>
      </c>
      <c r="U2811" t="s">
        <v>163</v>
      </c>
      <c r="V2811" t="s">
        <v>164</v>
      </c>
      <c r="W2811" t="s">
        <v>116</v>
      </c>
      <c r="X2811" t="s">
        <v>44</v>
      </c>
      <c r="Y2811" t="s">
        <v>99</v>
      </c>
      <c r="Z2811" t="s">
        <v>421</v>
      </c>
      <c r="AC2811" t="str">
        <f>IF(AA2811="",M2811,AA2811)</f>
        <v>sim</v>
      </c>
      <c r="AD2811" t="str">
        <f>IF(AB2811="",X2811,AB2811)</f>
        <v>sim</v>
      </c>
      <c r="AE2811" t="str">
        <f>IF(OR(Configuracao!B9="",Configuracao!B10=""),"aguardando limiar",IF(AND(K2811&gt;=Configuracao!B9,K2811/MAX(Reconciliacao!C2,1)&gt;=Configuracao!B10/100),"sim","não"))</f>
        <v>aguardando limiar</v>
      </c>
    </row>
    <row r="2812" spans="1:31" x14ac:dyDescent="0.25">
      <c r="A2812">
        <v>19130</v>
      </c>
      <c r="C2812" t="s">
        <v>1655</v>
      </c>
      <c r="D2812" t="s">
        <v>1474</v>
      </c>
      <c r="E2812" t="s">
        <v>1094</v>
      </c>
      <c r="F2812" t="s">
        <v>201</v>
      </c>
      <c r="G2812" t="s">
        <v>304</v>
      </c>
      <c r="H2812" t="s">
        <v>303</v>
      </c>
      <c r="I2812" t="s">
        <v>35</v>
      </c>
      <c r="J2812" t="s">
        <v>35</v>
      </c>
      <c r="K2812" s="4">
        <v>89.99</v>
      </c>
      <c r="L2812" s="4">
        <v>89.99</v>
      </c>
      <c r="M2812" t="s">
        <v>44</v>
      </c>
      <c r="N2812" t="s">
        <v>77</v>
      </c>
      <c r="O2812" t="s">
        <v>99</v>
      </c>
      <c r="P2812" t="s">
        <v>99</v>
      </c>
      <c r="Q2812" t="s">
        <v>202</v>
      </c>
      <c r="R2812" t="s">
        <v>203</v>
      </c>
      <c r="S2812" t="s">
        <v>161</v>
      </c>
      <c r="T2812" t="s">
        <v>162</v>
      </c>
      <c r="U2812" t="s">
        <v>163</v>
      </c>
      <c r="V2812" t="s">
        <v>164</v>
      </c>
      <c r="W2812" t="s">
        <v>116</v>
      </c>
      <c r="X2812" t="s">
        <v>44</v>
      </c>
      <c r="Y2812" t="s">
        <v>99</v>
      </c>
      <c r="Z2812" t="s">
        <v>421</v>
      </c>
      <c r="AC2812" t="str">
        <f>IF(AA2812="",M2812,AA2812)</f>
        <v>sim</v>
      </c>
      <c r="AD2812" t="str">
        <f>IF(AB2812="",X2812,AB2812)</f>
        <v>sim</v>
      </c>
      <c r="AE2812" t="str">
        <f>IF(OR(Configuracao!B9="",Configuracao!B10=""),"aguardando limiar",IF(AND(K2812&gt;=Configuracao!B9,K2812/MAX(Reconciliacao!C2,1)&gt;=Configuracao!B10/100),"sim","não"))</f>
        <v>aguardando limiar</v>
      </c>
    </row>
    <row r="2813" spans="1:31" x14ac:dyDescent="0.25">
      <c r="A2813">
        <v>13089</v>
      </c>
      <c r="C2813" t="s">
        <v>1656</v>
      </c>
      <c r="D2813" t="s">
        <v>1657</v>
      </c>
      <c r="E2813" t="s">
        <v>465</v>
      </c>
      <c r="F2813" t="s">
        <v>201</v>
      </c>
      <c r="G2813" t="s">
        <v>304</v>
      </c>
      <c r="H2813" t="s">
        <v>303</v>
      </c>
      <c r="I2813" t="s">
        <v>424</v>
      </c>
      <c r="J2813" t="s">
        <v>424</v>
      </c>
      <c r="K2813" s="4">
        <v>104.86</v>
      </c>
      <c r="L2813" s="4">
        <v>104.86</v>
      </c>
      <c r="M2813" t="s">
        <v>44</v>
      </c>
      <c r="N2813" t="s">
        <v>77</v>
      </c>
      <c r="O2813" t="s">
        <v>99</v>
      </c>
      <c r="P2813" t="s">
        <v>99</v>
      </c>
      <c r="Q2813" t="s">
        <v>202</v>
      </c>
      <c r="R2813" t="s">
        <v>203</v>
      </c>
      <c r="S2813" t="s">
        <v>161</v>
      </c>
      <c r="T2813" t="s">
        <v>162</v>
      </c>
      <c r="U2813" t="s">
        <v>163</v>
      </c>
      <c r="V2813" t="s">
        <v>164</v>
      </c>
      <c r="W2813" t="s">
        <v>116</v>
      </c>
      <c r="X2813" t="s">
        <v>44</v>
      </c>
      <c r="Y2813" t="s">
        <v>99</v>
      </c>
      <c r="Z2813" t="s">
        <v>421</v>
      </c>
      <c r="AC2813" t="str">
        <f>IF(AA2813="",M2813,AA2813)</f>
        <v>sim</v>
      </c>
      <c r="AD2813" t="str">
        <f>IF(AB2813="",X2813,AB2813)</f>
        <v>sim</v>
      </c>
      <c r="AE2813" t="str">
        <f>IF(OR(Configuracao!B9="",Configuracao!B10=""),"aguardando limiar",IF(AND(K2813&gt;=Configuracao!B9,K2813/MAX(Reconciliacao!C2,1)&gt;=Configuracao!B10/100),"sim","não"))</f>
        <v>aguardando limiar</v>
      </c>
    </row>
    <row r="2814" spans="1:31" x14ac:dyDescent="0.25">
      <c r="A2814">
        <v>13090</v>
      </c>
      <c r="C2814" t="s">
        <v>1315</v>
      </c>
      <c r="D2814" t="s">
        <v>1657</v>
      </c>
      <c r="E2814" t="s">
        <v>471</v>
      </c>
      <c r="F2814" t="s">
        <v>201</v>
      </c>
      <c r="G2814" t="s">
        <v>304</v>
      </c>
      <c r="H2814" t="s">
        <v>303</v>
      </c>
      <c r="I2814" t="s">
        <v>424</v>
      </c>
      <c r="J2814" t="s">
        <v>424</v>
      </c>
      <c r="K2814" s="4">
        <v>104.86</v>
      </c>
      <c r="L2814" s="4">
        <v>104.86</v>
      </c>
      <c r="M2814" t="s">
        <v>44</v>
      </c>
      <c r="N2814" t="s">
        <v>77</v>
      </c>
      <c r="O2814" t="s">
        <v>99</v>
      </c>
      <c r="P2814" t="s">
        <v>99</v>
      </c>
      <c r="Q2814" t="s">
        <v>202</v>
      </c>
      <c r="R2814" t="s">
        <v>203</v>
      </c>
      <c r="S2814" t="s">
        <v>161</v>
      </c>
      <c r="T2814" t="s">
        <v>162</v>
      </c>
      <c r="U2814" t="s">
        <v>163</v>
      </c>
      <c r="V2814" t="s">
        <v>164</v>
      </c>
      <c r="W2814" t="s">
        <v>116</v>
      </c>
      <c r="X2814" t="s">
        <v>44</v>
      </c>
      <c r="Y2814" t="s">
        <v>99</v>
      </c>
      <c r="Z2814" t="s">
        <v>421</v>
      </c>
      <c r="AC2814" t="str">
        <f>IF(AA2814="",M2814,AA2814)</f>
        <v>sim</v>
      </c>
      <c r="AD2814" t="str">
        <f>IF(AB2814="",X2814,AB2814)</f>
        <v>sim</v>
      </c>
      <c r="AE2814" t="str">
        <f>IF(OR(Configuracao!B9="",Configuracao!B10=""),"aguardando limiar",IF(AND(K2814&gt;=Configuracao!B9,K2814/MAX(Reconciliacao!C2,1)&gt;=Configuracao!B10/100),"sim","não"))</f>
        <v>aguardando limiar</v>
      </c>
    </row>
    <row r="2815" spans="1:31" x14ac:dyDescent="0.25">
      <c r="A2815">
        <v>15747</v>
      </c>
      <c r="C2815" t="s">
        <v>1656</v>
      </c>
      <c r="D2815" t="s">
        <v>1657</v>
      </c>
      <c r="E2815" t="s">
        <v>465</v>
      </c>
      <c r="F2815" t="s">
        <v>201</v>
      </c>
      <c r="G2815" t="s">
        <v>304</v>
      </c>
      <c r="H2815" t="s">
        <v>303</v>
      </c>
      <c r="I2815" t="s">
        <v>454</v>
      </c>
      <c r="J2815" t="s">
        <v>454</v>
      </c>
      <c r="K2815" s="4">
        <v>105.74</v>
      </c>
      <c r="L2815" s="4">
        <v>105.74</v>
      </c>
      <c r="M2815" t="s">
        <v>44</v>
      </c>
      <c r="N2815" t="s">
        <v>77</v>
      </c>
      <c r="O2815" t="s">
        <v>99</v>
      </c>
      <c r="P2815" t="s">
        <v>99</v>
      </c>
      <c r="Q2815" t="s">
        <v>202</v>
      </c>
      <c r="R2815" t="s">
        <v>203</v>
      </c>
      <c r="S2815" t="s">
        <v>161</v>
      </c>
      <c r="T2815" t="s">
        <v>162</v>
      </c>
      <c r="U2815" t="s">
        <v>163</v>
      </c>
      <c r="V2815" t="s">
        <v>164</v>
      </c>
      <c r="W2815" t="s">
        <v>116</v>
      </c>
      <c r="X2815" t="s">
        <v>44</v>
      </c>
      <c r="Y2815" t="s">
        <v>99</v>
      </c>
      <c r="Z2815" t="s">
        <v>421</v>
      </c>
      <c r="AC2815" t="str">
        <f>IF(AA2815="",M2815,AA2815)</f>
        <v>sim</v>
      </c>
      <c r="AD2815" t="str">
        <f>IF(AB2815="",X2815,AB2815)</f>
        <v>sim</v>
      </c>
      <c r="AE2815" t="str">
        <f>IF(OR(Configuracao!B9="",Configuracao!B10=""),"aguardando limiar",IF(AND(K2815&gt;=Configuracao!B9,K2815/MAX(Reconciliacao!C2,1)&gt;=Configuracao!B10/100),"sim","não"))</f>
        <v>aguardando limiar</v>
      </c>
    </row>
    <row r="2816" spans="1:31" x14ac:dyDescent="0.25">
      <c r="A2816">
        <v>15748</v>
      </c>
      <c r="C2816" t="s">
        <v>1315</v>
      </c>
      <c r="D2816" t="s">
        <v>1657</v>
      </c>
      <c r="E2816" t="s">
        <v>471</v>
      </c>
      <c r="F2816" t="s">
        <v>201</v>
      </c>
      <c r="G2816" t="s">
        <v>304</v>
      </c>
      <c r="H2816" t="s">
        <v>303</v>
      </c>
      <c r="I2816" t="s">
        <v>454</v>
      </c>
      <c r="J2816" t="s">
        <v>454</v>
      </c>
      <c r="K2816" s="4">
        <v>105.74</v>
      </c>
      <c r="L2816" s="4">
        <v>105.74</v>
      </c>
      <c r="M2816" t="s">
        <v>44</v>
      </c>
      <c r="N2816" t="s">
        <v>77</v>
      </c>
      <c r="O2816" t="s">
        <v>99</v>
      </c>
      <c r="P2816" t="s">
        <v>99</v>
      </c>
      <c r="Q2816" t="s">
        <v>202</v>
      </c>
      <c r="R2816" t="s">
        <v>203</v>
      </c>
      <c r="S2816" t="s">
        <v>161</v>
      </c>
      <c r="T2816" t="s">
        <v>162</v>
      </c>
      <c r="U2816" t="s">
        <v>163</v>
      </c>
      <c r="V2816" t="s">
        <v>164</v>
      </c>
      <c r="W2816" t="s">
        <v>116</v>
      </c>
      <c r="X2816" t="s">
        <v>44</v>
      </c>
      <c r="Y2816" t="s">
        <v>99</v>
      </c>
      <c r="Z2816" t="s">
        <v>421</v>
      </c>
      <c r="AC2816" t="str">
        <f>IF(AA2816="",M2816,AA2816)</f>
        <v>sim</v>
      </c>
      <c r="AD2816" t="str">
        <f>IF(AB2816="",X2816,AB2816)</f>
        <v>sim</v>
      </c>
      <c r="AE2816" t="str">
        <f>IF(OR(Configuracao!B9="",Configuracao!B10=""),"aguardando limiar",IF(AND(K2816&gt;=Configuracao!B9,K2816/MAX(Reconciliacao!C2,1)&gt;=Configuracao!B10/100),"sim","não"))</f>
        <v>aguardando limiar</v>
      </c>
    </row>
    <row r="2817" spans="1:31" x14ac:dyDescent="0.25">
      <c r="A2817">
        <v>15751</v>
      </c>
      <c r="C2817" t="s">
        <v>1247</v>
      </c>
      <c r="D2817" t="s">
        <v>1657</v>
      </c>
      <c r="E2817" t="s">
        <v>474</v>
      </c>
      <c r="F2817" t="s">
        <v>201</v>
      </c>
      <c r="G2817" t="s">
        <v>304</v>
      </c>
      <c r="H2817" t="s">
        <v>303</v>
      </c>
      <c r="I2817" t="s">
        <v>454</v>
      </c>
      <c r="J2817" t="s">
        <v>454</v>
      </c>
      <c r="K2817" s="4">
        <v>105.74</v>
      </c>
      <c r="L2817" s="4">
        <v>105.74</v>
      </c>
      <c r="M2817" t="s">
        <v>44</v>
      </c>
      <c r="N2817" t="s">
        <v>77</v>
      </c>
      <c r="O2817" t="s">
        <v>99</v>
      </c>
      <c r="P2817" t="s">
        <v>99</v>
      </c>
      <c r="Q2817" t="s">
        <v>202</v>
      </c>
      <c r="R2817" t="s">
        <v>203</v>
      </c>
      <c r="S2817" t="s">
        <v>161</v>
      </c>
      <c r="T2817" t="s">
        <v>162</v>
      </c>
      <c r="U2817" t="s">
        <v>163</v>
      </c>
      <c r="V2817" t="s">
        <v>164</v>
      </c>
      <c r="W2817" t="s">
        <v>116</v>
      </c>
      <c r="X2817" t="s">
        <v>44</v>
      </c>
      <c r="Y2817" t="s">
        <v>99</v>
      </c>
      <c r="Z2817" t="s">
        <v>421</v>
      </c>
      <c r="AC2817" t="str">
        <f>IF(AA2817="",M2817,AA2817)</f>
        <v>sim</v>
      </c>
      <c r="AD2817" t="str">
        <f>IF(AB2817="",X2817,AB2817)</f>
        <v>sim</v>
      </c>
      <c r="AE2817" t="str">
        <f>IF(OR(Configuracao!B9="",Configuracao!B10=""),"aguardando limiar",IF(AND(K2817&gt;=Configuracao!B9,K2817/MAX(Reconciliacao!C2,1)&gt;=Configuracao!B10/100),"sim","não"))</f>
        <v>aguardando limiar</v>
      </c>
    </row>
    <row r="2818" spans="1:31" x14ac:dyDescent="0.25">
      <c r="A2818">
        <v>15759</v>
      </c>
      <c r="C2818" t="s">
        <v>1247</v>
      </c>
      <c r="D2818" t="s">
        <v>1657</v>
      </c>
      <c r="E2818" t="s">
        <v>474</v>
      </c>
      <c r="F2818" t="s">
        <v>201</v>
      </c>
      <c r="G2818" t="s">
        <v>304</v>
      </c>
      <c r="H2818" t="s">
        <v>303</v>
      </c>
      <c r="I2818" t="s">
        <v>442</v>
      </c>
      <c r="J2818" t="s">
        <v>442</v>
      </c>
      <c r="K2818" s="4">
        <v>119.39</v>
      </c>
      <c r="L2818" s="4">
        <v>119.39</v>
      </c>
      <c r="M2818" t="s">
        <v>44</v>
      </c>
      <c r="N2818" t="s">
        <v>77</v>
      </c>
      <c r="O2818" t="s">
        <v>99</v>
      </c>
      <c r="P2818" t="s">
        <v>99</v>
      </c>
      <c r="Q2818" t="s">
        <v>202</v>
      </c>
      <c r="R2818" t="s">
        <v>203</v>
      </c>
      <c r="S2818" t="s">
        <v>161</v>
      </c>
      <c r="T2818" t="s">
        <v>162</v>
      </c>
      <c r="U2818" t="s">
        <v>163</v>
      </c>
      <c r="V2818" t="s">
        <v>164</v>
      </c>
      <c r="W2818" t="s">
        <v>116</v>
      </c>
      <c r="X2818" t="s">
        <v>44</v>
      </c>
      <c r="Y2818" t="s">
        <v>99</v>
      </c>
      <c r="Z2818" t="s">
        <v>421</v>
      </c>
      <c r="AC2818" t="str">
        <f>IF(AA2818="",M2818,AA2818)</f>
        <v>sim</v>
      </c>
      <c r="AD2818" t="str">
        <f>IF(AB2818="",X2818,AB2818)</f>
        <v>sim</v>
      </c>
      <c r="AE2818" t="str">
        <f>IF(OR(Configuracao!B9="",Configuracao!B10=""),"aguardando limiar",IF(AND(K2818&gt;=Configuracao!B9,K2818/MAX(Reconciliacao!C2,1)&gt;=Configuracao!B10/100),"sim","não"))</f>
        <v>aguardando limiar</v>
      </c>
    </row>
    <row r="2819" spans="1:31" x14ac:dyDescent="0.25">
      <c r="A2819">
        <v>15757</v>
      </c>
      <c r="C2819" t="s">
        <v>1656</v>
      </c>
      <c r="D2819" t="s">
        <v>1657</v>
      </c>
      <c r="E2819" t="s">
        <v>465</v>
      </c>
      <c r="F2819" t="s">
        <v>201</v>
      </c>
      <c r="G2819" t="s">
        <v>304</v>
      </c>
      <c r="H2819" t="s">
        <v>303</v>
      </c>
      <c r="I2819" t="s">
        <v>442</v>
      </c>
      <c r="J2819" t="s">
        <v>442</v>
      </c>
      <c r="K2819" s="4">
        <v>119.4</v>
      </c>
      <c r="L2819" s="4">
        <v>119.4</v>
      </c>
      <c r="M2819" t="s">
        <v>44</v>
      </c>
      <c r="N2819" t="s">
        <v>77</v>
      </c>
      <c r="O2819" t="s">
        <v>99</v>
      </c>
      <c r="P2819" t="s">
        <v>99</v>
      </c>
      <c r="Q2819" t="s">
        <v>202</v>
      </c>
      <c r="R2819" t="s">
        <v>203</v>
      </c>
      <c r="S2819" t="s">
        <v>161</v>
      </c>
      <c r="T2819" t="s">
        <v>162</v>
      </c>
      <c r="U2819" t="s">
        <v>163</v>
      </c>
      <c r="V2819" t="s">
        <v>164</v>
      </c>
      <c r="W2819" t="s">
        <v>116</v>
      </c>
      <c r="X2819" t="s">
        <v>44</v>
      </c>
      <c r="Y2819" t="s">
        <v>99</v>
      </c>
      <c r="Z2819" t="s">
        <v>421</v>
      </c>
      <c r="AC2819" t="str">
        <f>IF(AA2819="",M2819,AA2819)</f>
        <v>sim</v>
      </c>
      <c r="AD2819" t="str">
        <f>IF(AB2819="",X2819,AB2819)</f>
        <v>sim</v>
      </c>
      <c r="AE2819" t="str">
        <f>IF(OR(Configuracao!B9="",Configuracao!B10=""),"aguardando limiar",IF(AND(K2819&gt;=Configuracao!B9,K2819/MAX(Reconciliacao!C2,1)&gt;=Configuracao!B10/100),"sim","não"))</f>
        <v>aguardando limiar</v>
      </c>
    </row>
    <row r="2820" spans="1:31" x14ac:dyDescent="0.25">
      <c r="A2820">
        <v>15758</v>
      </c>
      <c r="C2820" t="s">
        <v>1315</v>
      </c>
      <c r="D2820" t="s">
        <v>1657</v>
      </c>
      <c r="E2820" t="s">
        <v>471</v>
      </c>
      <c r="F2820" t="s">
        <v>201</v>
      </c>
      <c r="G2820" t="s">
        <v>304</v>
      </c>
      <c r="H2820" t="s">
        <v>303</v>
      </c>
      <c r="I2820" t="s">
        <v>442</v>
      </c>
      <c r="J2820" t="s">
        <v>442</v>
      </c>
      <c r="K2820" s="4">
        <v>119.4</v>
      </c>
      <c r="L2820" s="4">
        <v>119.4</v>
      </c>
      <c r="M2820" t="s">
        <v>44</v>
      </c>
      <c r="N2820" t="s">
        <v>77</v>
      </c>
      <c r="O2820" t="s">
        <v>99</v>
      </c>
      <c r="P2820" t="s">
        <v>99</v>
      </c>
      <c r="Q2820" t="s">
        <v>202</v>
      </c>
      <c r="R2820" t="s">
        <v>203</v>
      </c>
      <c r="S2820" t="s">
        <v>161</v>
      </c>
      <c r="T2820" t="s">
        <v>162</v>
      </c>
      <c r="U2820" t="s">
        <v>163</v>
      </c>
      <c r="V2820" t="s">
        <v>164</v>
      </c>
      <c r="W2820" t="s">
        <v>116</v>
      </c>
      <c r="X2820" t="s">
        <v>44</v>
      </c>
      <c r="Y2820" t="s">
        <v>99</v>
      </c>
      <c r="Z2820" t="s">
        <v>421</v>
      </c>
      <c r="AC2820" t="str">
        <f>IF(AA2820="",M2820,AA2820)</f>
        <v>sim</v>
      </c>
      <c r="AD2820" t="str">
        <f>IF(AB2820="",X2820,AB2820)</f>
        <v>sim</v>
      </c>
      <c r="AE2820" t="str">
        <f>IF(OR(Configuracao!B9="",Configuracao!B10=""),"aguardando limiar",IF(AND(K2820&gt;=Configuracao!B9,K2820/MAX(Reconciliacao!C2,1)&gt;=Configuracao!B10/100),"sim","não"))</f>
        <v>aguardando limiar</v>
      </c>
    </row>
    <row r="2821" spans="1:31" x14ac:dyDescent="0.25">
      <c r="A2821">
        <v>15761</v>
      </c>
      <c r="C2821" t="s">
        <v>1656</v>
      </c>
      <c r="D2821" t="s">
        <v>1657</v>
      </c>
      <c r="E2821" t="s">
        <v>465</v>
      </c>
      <c r="F2821" t="s">
        <v>201</v>
      </c>
      <c r="G2821" t="s">
        <v>304</v>
      </c>
      <c r="H2821" t="s">
        <v>303</v>
      </c>
      <c r="I2821" t="s">
        <v>439</v>
      </c>
      <c r="J2821" t="s">
        <v>439</v>
      </c>
      <c r="K2821" s="4">
        <v>125.49</v>
      </c>
      <c r="L2821" s="4">
        <v>125.49</v>
      </c>
      <c r="M2821" t="s">
        <v>44</v>
      </c>
      <c r="N2821" t="s">
        <v>77</v>
      </c>
      <c r="O2821" t="s">
        <v>99</v>
      </c>
      <c r="P2821" t="s">
        <v>99</v>
      </c>
      <c r="Q2821" t="s">
        <v>202</v>
      </c>
      <c r="R2821" t="s">
        <v>203</v>
      </c>
      <c r="S2821" t="s">
        <v>161</v>
      </c>
      <c r="T2821" t="s">
        <v>162</v>
      </c>
      <c r="U2821" t="s">
        <v>163</v>
      </c>
      <c r="V2821" t="s">
        <v>164</v>
      </c>
      <c r="W2821" t="s">
        <v>116</v>
      </c>
      <c r="X2821" t="s">
        <v>44</v>
      </c>
      <c r="Y2821" t="s">
        <v>99</v>
      </c>
      <c r="Z2821" t="s">
        <v>421</v>
      </c>
      <c r="AC2821" t="str">
        <f>IF(AA2821="",M2821,AA2821)</f>
        <v>sim</v>
      </c>
      <c r="AD2821" t="str">
        <f>IF(AB2821="",X2821,AB2821)</f>
        <v>sim</v>
      </c>
      <c r="AE2821" t="str">
        <f>IF(OR(Configuracao!B9="",Configuracao!B10=""),"aguardando limiar",IF(AND(K2821&gt;=Configuracao!B9,K2821/MAX(Reconciliacao!C2,1)&gt;=Configuracao!B10/100),"sim","não"))</f>
        <v>aguardando limiar</v>
      </c>
    </row>
    <row r="2822" spans="1:31" x14ac:dyDescent="0.25">
      <c r="A2822">
        <v>15762</v>
      </c>
      <c r="C2822" t="s">
        <v>1315</v>
      </c>
      <c r="D2822" t="s">
        <v>1657</v>
      </c>
      <c r="E2822" t="s">
        <v>471</v>
      </c>
      <c r="F2822" t="s">
        <v>201</v>
      </c>
      <c r="G2822" t="s">
        <v>304</v>
      </c>
      <c r="H2822" t="s">
        <v>303</v>
      </c>
      <c r="I2822" t="s">
        <v>439</v>
      </c>
      <c r="J2822" t="s">
        <v>439</v>
      </c>
      <c r="K2822" s="4">
        <v>125.49</v>
      </c>
      <c r="L2822" s="4">
        <v>125.49</v>
      </c>
      <c r="M2822" t="s">
        <v>44</v>
      </c>
      <c r="N2822" t="s">
        <v>77</v>
      </c>
      <c r="O2822" t="s">
        <v>99</v>
      </c>
      <c r="P2822" t="s">
        <v>99</v>
      </c>
      <c r="Q2822" t="s">
        <v>202</v>
      </c>
      <c r="R2822" t="s">
        <v>203</v>
      </c>
      <c r="S2822" t="s">
        <v>161</v>
      </c>
      <c r="T2822" t="s">
        <v>162</v>
      </c>
      <c r="U2822" t="s">
        <v>163</v>
      </c>
      <c r="V2822" t="s">
        <v>164</v>
      </c>
      <c r="W2822" t="s">
        <v>116</v>
      </c>
      <c r="X2822" t="s">
        <v>44</v>
      </c>
      <c r="Y2822" t="s">
        <v>99</v>
      </c>
      <c r="Z2822" t="s">
        <v>421</v>
      </c>
      <c r="AC2822" t="str">
        <f>IF(AA2822="",M2822,AA2822)</f>
        <v>sim</v>
      </c>
      <c r="AD2822" t="str">
        <f>IF(AB2822="",X2822,AB2822)</f>
        <v>sim</v>
      </c>
      <c r="AE2822" t="str">
        <f>IF(OR(Configuracao!B9="",Configuracao!B10=""),"aguardando limiar",IF(AND(K2822&gt;=Configuracao!B9,K2822/MAX(Reconciliacao!C2,1)&gt;=Configuracao!B10/100),"sim","não"))</f>
        <v>aguardando limiar</v>
      </c>
    </row>
    <row r="2823" spans="1:31" x14ac:dyDescent="0.25">
      <c r="A2823">
        <v>15763</v>
      </c>
      <c r="C2823" t="s">
        <v>1247</v>
      </c>
      <c r="D2823" t="s">
        <v>1657</v>
      </c>
      <c r="E2823" t="s">
        <v>474</v>
      </c>
      <c r="F2823" t="s">
        <v>201</v>
      </c>
      <c r="G2823" t="s">
        <v>304</v>
      </c>
      <c r="H2823" t="s">
        <v>303</v>
      </c>
      <c r="I2823" t="s">
        <v>439</v>
      </c>
      <c r="J2823" t="s">
        <v>439</v>
      </c>
      <c r="K2823" s="4">
        <v>125.49</v>
      </c>
      <c r="L2823" s="4">
        <v>125.49</v>
      </c>
      <c r="M2823" t="s">
        <v>44</v>
      </c>
      <c r="N2823" t="s">
        <v>77</v>
      </c>
      <c r="O2823" t="s">
        <v>99</v>
      </c>
      <c r="P2823" t="s">
        <v>99</v>
      </c>
      <c r="Q2823" t="s">
        <v>202</v>
      </c>
      <c r="R2823" t="s">
        <v>203</v>
      </c>
      <c r="S2823" t="s">
        <v>161</v>
      </c>
      <c r="T2823" t="s">
        <v>162</v>
      </c>
      <c r="U2823" t="s">
        <v>163</v>
      </c>
      <c r="V2823" t="s">
        <v>164</v>
      </c>
      <c r="W2823" t="s">
        <v>116</v>
      </c>
      <c r="X2823" t="s">
        <v>44</v>
      </c>
      <c r="Y2823" t="s">
        <v>99</v>
      </c>
      <c r="Z2823" t="s">
        <v>421</v>
      </c>
      <c r="AC2823" t="str">
        <f>IF(AA2823="",M2823,AA2823)</f>
        <v>sim</v>
      </c>
      <c r="AD2823" t="str">
        <f>IF(AB2823="",X2823,AB2823)</f>
        <v>sim</v>
      </c>
      <c r="AE2823" t="str">
        <f>IF(OR(Configuracao!B9="",Configuracao!B10=""),"aguardando limiar",IF(AND(K2823&gt;=Configuracao!B9,K2823/MAX(Reconciliacao!C2,1)&gt;=Configuracao!B10/100),"sim","não"))</f>
        <v>aguardando limiar</v>
      </c>
    </row>
    <row r="2824" spans="1:31" x14ac:dyDescent="0.25">
      <c r="A2824">
        <v>15753</v>
      </c>
      <c r="C2824" t="s">
        <v>1656</v>
      </c>
      <c r="D2824" t="s">
        <v>1657</v>
      </c>
      <c r="E2824" t="s">
        <v>465</v>
      </c>
      <c r="F2824" t="s">
        <v>201</v>
      </c>
      <c r="G2824" t="s">
        <v>304</v>
      </c>
      <c r="H2824" t="s">
        <v>303</v>
      </c>
      <c r="I2824" t="s">
        <v>461</v>
      </c>
      <c r="J2824" t="s">
        <v>461</v>
      </c>
      <c r="K2824" s="4">
        <v>131.95</v>
      </c>
      <c r="L2824" s="4">
        <v>131.95</v>
      </c>
      <c r="M2824" t="s">
        <v>44</v>
      </c>
      <c r="N2824" t="s">
        <v>77</v>
      </c>
      <c r="O2824" t="s">
        <v>99</v>
      </c>
      <c r="P2824" t="s">
        <v>99</v>
      </c>
      <c r="Q2824" t="s">
        <v>202</v>
      </c>
      <c r="R2824" t="s">
        <v>203</v>
      </c>
      <c r="S2824" t="s">
        <v>161</v>
      </c>
      <c r="T2824" t="s">
        <v>162</v>
      </c>
      <c r="U2824" t="s">
        <v>163</v>
      </c>
      <c r="V2824" t="s">
        <v>164</v>
      </c>
      <c r="W2824" t="s">
        <v>116</v>
      </c>
      <c r="X2824" t="s">
        <v>44</v>
      </c>
      <c r="Y2824" t="s">
        <v>99</v>
      </c>
      <c r="Z2824" t="s">
        <v>421</v>
      </c>
      <c r="AC2824" t="str">
        <f>IF(AA2824="",M2824,AA2824)</f>
        <v>sim</v>
      </c>
      <c r="AD2824" t="str">
        <f>IF(AB2824="",X2824,AB2824)</f>
        <v>sim</v>
      </c>
      <c r="AE2824" t="str">
        <f>IF(OR(Configuracao!B9="",Configuracao!B10=""),"aguardando limiar",IF(AND(K2824&gt;=Configuracao!B9,K2824/MAX(Reconciliacao!C2,1)&gt;=Configuracao!B10/100),"sim","não"))</f>
        <v>aguardando limiar</v>
      </c>
    </row>
    <row r="2825" spans="1:31" x14ac:dyDescent="0.25">
      <c r="A2825">
        <v>15754</v>
      </c>
      <c r="C2825" t="s">
        <v>1315</v>
      </c>
      <c r="D2825" t="s">
        <v>1657</v>
      </c>
      <c r="E2825" t="s">
        <v>471</v>
      </c>
      <c r="F2825" t="s">
        <v>201</v>
      </c>
      <c r="G2825" t="s">
        <v>304</v>
      </c>
      <c r="H2825" t="s">
        <v>303</v>
      </c>
      <c r="I2825" t="s">
        <v>461</v>
      </c>
      <c r="J2825" t="s">
        <v>461</v>
      </c>
      <c r="K2825" s="4">
        <v>131.95</v>
      </c>
      <c r="L2825" s="4">
        <v>131.95</v>
      </c>
      <c r="M2825" t="s">
        <v>44</v>
      </c>
      <c r="N2825" t="s">
        <v>77</v>
      </c>
      <c r="O2825" t="s">
        <v>99</v>
      </c>
      <c r="P2825" t="s">
        <v>99</v>
      </c>
      <c r="Q2825" t="s">
        <v>202</v>
      </c>
      <c r="R2825" t="s">
        <v>203</v>
      </c>
      <c r="S2825" t="s">
        <v>161</v>
      </c>
      <c r="T2825" t="s">
        <v>162</v>
      </c>
      <c r="U2825" t="s">
        <v>163</v>
      </c>
      <c r="V2825" t="s">
        <v>164</v>
      </c>
      <c r="W2825" t="s">
        <v>116</v>
      </c>
      <c r="X2825" t="s">
        <v>44</v>
      </c>
      <c r="Y2825" t="s">
        <v>99</v>
      </c>
      <c r="Z2825" t="s">
        <v>421</v>
      </c>
      <c r="AC2825" t="str">
        <f>IF(AA2825="",M2825,AA2825)</f>
        <v>sim</v>
      </c>
      <c r="AD2825" t="str">
        <f>IF(AB2825="",X2825,AB2825)</f>
        <v>sim</v>
      </c>
      <c r="AE2825" t="str">
        <f>IF(OR(Configuracao!B9="",Configuracao!B10=""),"aguardando limiar",IF(AND(K2825&gt;=Configuracao!B9,K2825/MAX(Reconciliacao!C2,1)&gt;=Configuracao!B10/100),"sim","não"))</f>
        <v>aguardando limiar</v>
      </c>
    </row>
    <row r="2826" spans="1:31" x14ac:dyDescent="0.25">
      <c r="A2826">
        <v>15755</v>
      </c>
      <c r="C2826" t="s">
        <v>1247</v>
      </c>
      <c r="D2826" t="s">
        <v>1657</v>
      </c>
      <c r="E2826" t="s">
        <v>474</v>
      </c>
      <c r="F2826" t="s">
        <v>201</v>
      </c>
      <c r="G2826" t="s">
        <v>304</v>
      </c>
      <c r="H2826" t="s">
        <v>303</v>
      </c>
      <c r="I2826" t="s">
        <v>461</v>
      </c>
      <c r="J2826" t="s">
        <v>461</v>
      </c>
      <c r="K2826" s="4">
        <v>131.95</v>
      </c>
      <c r="L2826" s="4">
        <v>131.95</v>
      </c>
      <c r="M2826" t="s">
        <v>44</v>
      </c>
      <c r="N2826" t="s">
        <v>77</v>
      </c>
      <c r="O2826" t="s">
        <v>99</v>
      </c>
      <c r="P2826" t="s">
        <v>99</v>
      </c>
      <c r="Q2826" t="s">
        <v>202</v>
      </c>
      <c r="R2826" t="s">
        <v>203</v>
      </c>
      <c r="S2826" t="s">
        <v>161</v>
      </c>
      <c r="T2826" t="s">
        <v>162</v>
      </c>
      <c r="U2826" t="s">
        <v>163</v>
      </c>
      <c r="V2826" t="s">
        <v>164</v>
      </c>
      <c r="W2826" t="s">
        <v>116</v>
      </c>
      <c r="X2826" t="s">
        <v>44</v>
      </c>
      <c r="Y2826" t="s">
        <v>99</v>
      </c>
      <c r="Z2826" t="s">
        <v>421</v>
      </c>
      <c r="AC2826" t="str">
        <f>IF(AA2826="",M2826,AA2826)</f>
        <v>sim</v>
      </c>
      <c r="AD2826" t="str">
        <f>IF(AB2826="",X2826,AB2826)</f>
        <v>sim</v>
      </c>
      <c r="AE2826" t="str">
        <f>IF(OR(Configuracao!B9="",Configuracao!B10=""),"aguardando limiar",IF(AND(K2826&gt;=Configuracao!B9,K2826/MAX(Reconciliacao!C2,1)&gt;=Configuracao!B10/100),"sim","não"))</f>
        <v>aguardando limiar</v>
      </c>
    </row>
    <row r="2827" spans="1:31" x14ac:dyDescent="0.25">
      <c r="A2827">
        <v>15766</v>
      </c>
      <c r="C2827" t="s">
        <v>1315</v>
      </c>
      <c r="D2827" t="s">
        <v>1657</v>
      </c>
      <c r="E2827" t="s">
        <v>471</v>
      </c>
      <c r="F2827" t="s">
        <v>201</v>
      </c>
      <c r="G2827" t="s">
        <v>304</v>
      </c>
      <c r="H2827" t="s">
        <v>303</v>
      </c>
      <c r="I2827" t="s">
        <v>35</v>
      </c>
      <c r="J2827" t="s">
        <v>35</v>
      </c>
      <c r="K2827" s="4">
        <v>141.44</v>
      </c>
      <c r="L2827" s="4">
        <v>141.44</v>
      </c>
      <c r="M2827" t="s">
        <v>44</v>
      </c>
      <c r="N2827" t="s">
        <v>77</v>
      </c>
      <c r="O2827" t="s">
        <v>99</v>
      </c>
      <c r="P2827" t="s">
        <v>99</v>
      </c>
      <c r="Q2827" t="s">
        <v>202</v>
      </c>
      <c r="R2827" t="s">
        <v>203</v>
      </c>
      <c r="S2827" t="s">
        <v>161</v>
      </c>
      <c r="T2827" t="s">
        <v>162</v>
      </c>
      <c r="U2827" t="s">
        <v>163</v>
      </c>
      <c r="V2827" t="s">
        <v>164</v>
      </c>
      <c r="W2827" t="s">
        <v>116</v>
      </c>
      <c r="X2827" t="s">
        <v>44</v>
      </c>
      <c r="Y2827" t="s">
        <v>99</v>
      </c>
      <c r="Z2827" t="s">
        <v>421</v>
      </c>
      <c r="AC2827" t="str">
        <f>IF(AA2827="",M2827,AA2827)</f>
        <v>sim</v>
      </c>
      <c r="AD2827" t="str">
        <f>IF(AB2827="",X2827,AB2827)</f>
        <v>sim</v>
      </c>
      <c r="AE2827" t="str">
        <f>IF(OR(Configuracao!B9="",Configuracao!B10=""),"aguardando limiar",IF(AND(K2827&gt;=Configuracao!B9,K2827/MAX(Reconciliacao!C2,1)&gt;=Configuracao!B10/100),"sim","não"))</f>
        <v>aguardando limiar</v>
      </c>
    </row>
    <row r="2828" spans="1:31" x14ac:dyDescent="0.25">
      <c r="A2828">
        <v>15767</v>
      </c>
      <c r="C2828" t="s">
        <v>1247</v>
      </c>
      <c r="D2828" t="s">
        <v>1657</v>
      </c>
      <c r="E2828" t="s">
        <v>474</v>
      </c>
      <c r="F2828" t="s">
        <v>201</v>
      </c>
      <c r="G2828" t="s">
        <v>304</v>
      </c>
      <c r="H2828" t="s">
        <v>303</v>
      </c>
      <c r="I2828" t="s">
        <v>35</v>
      </c>
      <c r="J2828" t="s">
        <v>35</v>
      </c>
      <c r="K2828" s="4">
        <v>141.44</v>
      </c>
      <c r="L2828" s="4">
        <v>141.44</v>
      </c>
      <c r="M2828" t="s">
        <v>44</v>
      </c>
      <c r="N2828" t="s">
        <v>77</v>
      </c>
      <c r="O2828" t="s">
        <v>99</v>
      </c>
      <c r="P2828" t="s">
        <v>99</v>
      </c>
      <c r="Q2828" t="s">
        <v>202</v>
      </c>
      <c r="R2828" t="s">
        <v>203</v>
      </c>
      <c r="S2828" t="s">
        <v>161</v>
      </c>
      <c r="T2828" t="s">
        <v>162</v>
      </c>
      <c r="U2828" t="s">
        <v>163</v>
      </c>
      <c r="V2828" t="s">
        <v>164</v>
      </c>
      <c r="W2828" t="s">
        <v>116</v>
      </c>
      <c r="X2828" t="s">
        <v>44</v>
      </c>
      <c r="Y2828" t="s">
        <v>99</v>
      </c>
      <c r="Z2828" t="s">
        <v>421</v>
      </c>
      <c r="AC2828" t="str">
        <f>IF(AA2828="",M2828,AA2828)</f>
        <v>sim</v>
      </c>
      <c r="AD2828" t="str">
        <f>IF(AB2828="",X2828,AB2828)</f>
        <v>sim</v>
      </c>
      <c r="AE2828" t="str">
        <f>IF(OR(Configuracao!B9="",Configuracao!B10=""),"aguardando limiar",IF(AND(K2828&gt;=Configuracao!B9,K2828/MAX(Reconciliacao!C2,1)&gt;=Configuracao!B10/100),"sim","não"))</f>
        <v>aguardando limiar</v>
      </c>
    </row>
    <row r="2829" spans="1:31" x14ac:dyDescent="0.25">
      <c r="A2829">
        <v>19003</v>
      </c>
      <c r="C2829" t="s">
        <v>1531</v>
      </c>
      <c r="D2829" t="s">
        <v>1657</v>
      </c>
      <c r="E2829" t="s">
        <v>525</v>
      </c>
      <c r="F2829" t="s">
        <v>201</v>
      </c>
      <c r="G2829" t="s">
        <v>304</v>
      </c>
      <c r="H2829" t="s">
        <v>303</v>
      </c>
      <c r="I2829" t="s">
        <v>35</v>
      </c>
      <c r="J2829" t="s">
        <v>35</v>
      </c>
      <c r="K2829" s="4">
        <v>141.44</v>
      </c>
      <c r="L2829" s="4">
        <v>141.44</v>
      </c>
      <c r="M2829" t="s">
        <v>44</v>
      </c>
      <c r="N2829" t="s">
        <v>77</v>
      </c>
      <c r="O2829" t="s">
        <v>99</v>
      </c>
      <c r="P2829" t="s">
        <v>99</v>
      </c>
      <c r="Q2829" t="s">
        <v>202</v>
      </c>
      <c r="R2829" t="s">
        <v>203</v>
      </c>
      <c r="S2829" t="s">
        <v>161</v>
      </c>
      <c r="T2829" t="s">
        <v>162</v>
      </c>
      <c r="U2829" t="s">
        <v>163</v>
      </c>
      <c r="V2829" t="s">
        <v>164</v>
      </c>
      <c r="W2829" t="s">
        <v>116</v>
      </c>
      <c r="X2829" t="s">
        <v>44</v>
      </c>
      <c r="Y2829" t="s">
        <v>99</v>
      </c>
      <c r="Z2829" t="s">
        <v>421</v>
      </c>
      <c r="AC2829" t="str">
        <f>IF(AA2829="",M2829,AA2829)</f>
        <v>sim</v>
      </c>
      <c r="AD2829" t="str">
        <f>IF(AB2829="",X2829,AB2829)</f>
        <v>sim</v>
      </c>
      <c r="AE2829" t="str">
        <f>IF(OR(Configuracao!B9="",Configuracao!B10=""),"aguardando limiar",IF(AND(K2829&gt;=Configuracao!B9,K2829/MAX(Reconciliacao!C2,1)&gt;=Configuracao!B10/100),"sim","não"))</f>
        <v>aguardando limiar</v>
      </c>
    </row>
    <row r="2830" spans="1:31" x14ac:dyDescent="0.25">
      <c r="A2830">
        <v>19005</v>
      </c>
      <c r="C2830" t="s">
        <v>1505</v>
      </c>
      <c r="D2830" t="s">
        <v>1657</v>
      </c>
      <c r="E2830" t="s">
        <v>511</v>
      </c>
      <c r="F2830" t="s">
        <v>201</v>
      </c>
      <c r="G2830" t="s">
        <v>304</v>
      </c>
      <c r="H2830" t="s">
        <v>303</v>
      </c>
      <c r="I2830" t="s">
        <v>35</v>
      </c>
      <c r="J2830" t="s">
        <v>35</v>
      </c>
      <c r="K2830" s="4">
        <v>141.44</v>
      </c>
      <c r="L2830" s="4">
        <v>141.44</v>
      </c>
      <c r="M2830" t="s">
        <v>44</v>
      </c>
      <c r="N2830" t="s">
        <v>77</v>
      </c>
      <c r="O2830" t="s">
        <v>99</v>
      </c>
      <c r="P2830" t="s">
        <v>99</v>
      </c>
      <c r="Q2830" t="s">
        <v>202</v>
      </c>
      <c r="R2830" t="s">
        <v>203</v>
      </c>
      <c r="S2830" t="s">
        <v>161</v>
      </c>
      <c r="T2830" t="s">
        <v>162</v>
      </c>
      <c r="U2830" t="s">
        <v>163</v>
      </c>
      <c r="V2830" t="s">
        <v>164</v>
      </c>
      <c r="W2830" t="s">
        <v>116</v>
      </c>
      <c r="X2830" t="s">
        <v>44</v>
      </c>
      <c r="Y2830" t="s">
        <v>99</v>
      </c>
      <c r="Z2830" t="s">
        <v>421</v>
      </c>
      <c r="AC2830" t="str">
        <f>IF(AA2830="",M2830,AA2830)</f>
        <v>sim</v>
      </c>
      <c r="AD2830" t="str">
        <f>IF(AB2830="",X2830,AB2830)</f>
        <v>sim</v>
      </c>
      <c r="AE2830" t="str">
        <f>IF(OR(Configuracao!B9="",Configuracao!B10=""),"aguardando limiar",IF(AND(K2830&gt;=Configuracao!B9,K2830/MAX(Reconciliacao!C2,1)&gt;=Configuracao!B10/100),"sim","não"))</f>
        <v>aguardando limiar</v>
      </c>
    </row>
    <row r="2831" spans="1:31" x14ac:dyDescent="0.25">
      <c r="A2831">
        <v>18882</v>
      </c>
      <c r="C2831" t="s">
        <v>1658</v>
      </c>
      <c r="D2831" t="s">
        <v>1474</v>
      </c>
      <c r="E2831" t="s">
        <v>1094</v>
      </c>
      <c r="F2831" t="s">
        <v>201</v>
      </c>
      <c r="G2831" t="s">
        <v>304</v>
      </c>
      <c r="H2831" t="s">
        <v>303</v>
      </c>
      <c r="I2831" t="s">
        <v>35</v>
      </c>
      <c r="J2831" t="s">
        <v>35</v>
      </c>
      <c r="K2831" s="4">
        <v>144.68</v>
      </c>
      <c r="L2831" s="4">
        <v>144.68</v>
      </c>
      <c r="M2831" t="s">
        <v>44</v>
      </c>
      <c r="N2831" t="s">
        <v>77</v>
      </c>
      <c r="O2831" t="s">
        <v>99</v>
      </c>
      <c r="P2831" t="s">
        <v>99</v>
      </c>
      <c r="Q2831" t="s">
        <v>202</v>
      </c>
      <c r="R2831" t="s">
        <v>203</v>
      </c>
      <c r="S2831" t="s">
        <v>161</v>
      </c>
      <c r="T2831" t="s">
        <v>162</v>
      </c>
      <c r="U2831" t="s">
        <v>163</v>
      </c>
      <c r="V2831" t="s">
        <v>164</v>
      </c>
      <c r="W2831" t="s">
        <v>116</v>
      </c>
      <c r="X2831" t="s">
        <v>44</v>
      </c>
      <c r="Y2831" t="s">
        <v>99</v>
      </c>
      <c r="Z2831" t="s">
        <v>421</v>
      </c>
      <c r="AC2831" t="str">
        <f>IF(AA2831="",M2831,AA2831)</f>
        <v>sim</v>
      </c>
      <c r="AD2831" t="str">
        <f>IF(AB2831="",X2831,AB2831)</f>
        <v>sim</v>
      </c>
      <c r="AE2831" t="str">
        <f>IF(OR(Configuracao!B9="",Configuracao!B10=""),"aguardando limiar",IF(AND(K2831&gt;=Configuracao!B9,K2831/MAX(Reconciliacao!C2,1)&gt;=Configuracao!B10/100),"sim","não"))</f>
        <v>aguardando limiar</v>
      </c>
    </row>
    <row r="2832" spans="1:31" x14ac:dyDescent="0.25">
      <c r="A2832">
        <v>16035</v>
      </c>
      <c r="C2832" t="s">
        <v>1656</v>
      </c>
      <c r="D2832" t="s">
        <v>1657</v>
      </c>
      <c r="E2832" t="s">
        <v>465</v>
      </c>
      <c r="F2832" t="s">
        <v>201</v>
      </c>
      <c r="G2832" t="s">
        <v>304</v>
      </c>
      <c r="H2832" t="s">
        <v>303</v>
      </c>
      <c r="I2832" t="s">
        <v>420</v>
      </c>
      <c r="J2832" t="s">
        <v>420</v>
      </c>
      <c r="K2832" s="4">
        <v>146.61</v>
      </c>
      <c r="L2832" s="4">
        <v>146.61</v>
      </c>
      <c r="M2832" t="s">
        <v>44</v>
      </c>
      <c r="N2832" t="s">
        <v>77</v>
      </c>
      <c r="O2832" t="s">
        <v>99</v>
      </c>
      <c r="P2832" t="s">
        <v>99</v>
      </c>
      <c r="Q2832" t="s">
        <v>202</v>
      </c>
      <c r="R2832" t="s">
        <v>203</v>
      </c>
      <c r="S2832" t="s">
        <v>161</v>
      </c>
      <c r="T2832" t="s">
        <v>162</v>
      </c>
      <c r="U2832" t="s">
        <v>163</v>
      </c>
      <c r="V2832" t="s">
        <v>164</v>
      </c>
      <c r="W2832" t="s">
        <v>116</v>
      </c>
      <c r="X2832" t="s">
        <v>44</v>
      </c>
      <c r="Y2832" t="s">
        <v>99</v>
      </c>
      <c r="Z2832" t="s">
        <v>421</v>
      </c>
      <c r="AC2832" t="str">
        <f>IF(AA2832="",M2832,AA2832)</f>
        <v>sim</v>
      </c>
      <c r="AD2832" t="str">
        <f>IF(AB2832="",X2832,AB2832)</f>
        <v>sim</v>
      </c>
      <c r="AE2832" t="str">
        <f>IF(OR(Configuracao!B9="",Configuracao!B10=""),"aguardando limiar",IF(AND(K2832&gt;=Configuracao!B9,K2832/MAX(Reconciliacao!C2,1)&gt;=Configuracao!B10/100),"sim","não"))</f>
        <v>aguardando limiar</v>
      </c>
    </row>
    <row r="2833" spans="1:31" x14ac:dyDescent="0.25">
      <c r="A2833">
        <v>16036</v>
      </c>
      <c r="C2833" t="s">
        <v>1315</v>
      </c>
      <c r="D2833" t="s">
        <v>1657</v>
      </c>
      <c r="E2833" t="s">
        <v>471</v>
      </c>
      <c r="F2833" t="s">
        <v>201</v>
      </c>
      <c r="G2833" t="s">
        <v>304</v>
      </c>
      <c r="H2833" t="s">
        <v>303</v>
      </c>
      <c r="I2833" t="s">
        <v>420</v>
      </c>
      <c r="J2833" t="s">
        <v>420</v>
      </c>
      <c r="K2833" s="4">
        <v>146.61</v>
      </c>
      <c r="L2833" s="4">
        <v>146.61</v>
      </c>
      <c r="M2833" t="s">
        <v>44</v>
      </c>
      <c r="N2833" t="s">
        <v>77</v>
      </c>
      <c r="O2833" t="s">
        <v>99</v>
      </c>
      <c r="P2833" t="s">
        <v>99</v>
      </c>
      <c r="Q2833" t="s">
        <v>202</v>
      </c>
      <c r="R2833" t="s">
        <v>203</v>
      </c>
      <c r="S2833" t="s">
        <v>161</v>
      </c>
      <c r="T2833" t="s">
        <v>162</v>
      </c>
      <c r="U2833" t="s">
        <v>163</v>
      </c>
      <c r="V2833" t="s">
        <v>164</v>
      </c>
      <c r="W2833" t="s">
        <v>116</v>
      </c>
      <c r="X2833" t="s">
        <v>44</v>
      </c>
      <c r="Y2833" t="s">
        <v>99</v>
      </c>
      <c r="Z2833" t="s">
        <v>421</v>
      </c>
      <c r="AC2833" t="str">
        <f>IF(AA2833="",M2833,AA2833)</f>
        <v>sim</v>
      </c>
      <c r="AD2833" t="str">
        <f>IF(AB2833="",X2833,AB2833)</f>
        <v>sim</v>
      </c>
      <c r="AE2833" t="str">
        <f>IF(OR(Configuracao!B9="",Configuracao!B10=""),"aguardando limiar",IF(AND(K2833&gt;=Configuracao!B9,K2833/MAX(Reconciliacao!C2,1)&gt;=Configuracao!B10/100),"sim","não"))</f>
        <v>aguardando limiar</v>
      </c>
    </row>
    <row r="2834" spans="1:31" x14ac:dyDescent="0.25">
      <c r="A2834">
        <v>16487</v>
      </c>
      <c r="C2834" t="s">
        <v>1659</v>
      </c>
      <c r="D2834" t="s">
        <v>1660</v>
      </c>
      <c r="E2834" t="s">
        <v>1094</v>
      </c>
      <c r="F2834" t="s">
        <v>201</v>
      </c>
      <c r="G2834" t="s">
        <v>304</v>
      </c>
      <c r="H2834" t="s">
        <v>303</v>
      </c>
      <c r="I2834" t="s">
        <v>454</v>
      </c>
      <c r="J2834" t="s">
        <v>454</v>
      </c>
      <c r="K2834" s="4">
        <v>156.64</v>
      </c>
      <c r="L2834" s="4">
        <v>156.64</v>
      </c>
      <c r="M2834" t="s">
        <v>44</v>
      </c>
      <c r="N2834" t="s">
        <v>77</v>
      </c>
      <c r="O2834" t="s">
        <v>99</v>
      </c>
      <c r="P2834" t="s">
        <v>99</v>
      </c>
      <c r="Q2834" t="s">
        <v>202</v>
      </c>
      <c r="R2834" t="s">
        <v>203</v>
      </c>
      <c r="S2834" t="s">
        <v>161</v>
      </c>
      <c r="T2834" t="s">
        <v>162</v>
      </c>
      <c r="U2834" t="s">
        <v>163</v>
      </c>
      <c r="V2834" t="s">
        <v>164</v>
      </c>
      <c r="W2834" t="s">
        <v>116</v>
      </c>
      <c r="X2834" t="s">
        <v>44</v>
      </c>
      <c r="Y2834" t="s">
        <v>99</v>
      </c>
      <c r="Z2834" t="s">
        <v>421</v>
      </c>
      <c r="AC2834" t="str">
        <f>IF(AA2834="",M2834,AA2834)</f>
        <v>sim</v>
      </c>
      <c r="AD2834" t="str">
        <f>IF(AB2834="",X2834,AB2834)</f>
        <v>sim</v>
      </c>
      <c r="AE2834" t="str">
        <f>IF(OR(Configuracao!B9="",Configuracao!B10=""),"aguardando limiar",IF(AND(K2834&gt;=Configuracao!B9,K2834/MAX(Reconciliacao!C2,1)&gt;=Configuracao!B10/100),"sim","não"))</f>
        <v>aguardando limiar</v>
      </c>
    </row>
    <row r="2835" spans="1:31" x14ac:dyDescent="0.25">
      <c r="A2835">
        <v>16044</v>
      </c>
      <c r="C2835" t="s">
        <v>1659</v>
      </c>
      <c r="D2835" t="s">
        <v>1660</v>
      </c>
      <c r="E2835" t="s">
        <v>1094</v>
      </c>
      <c r="F2835" t="s">
        <v>201</v>
      </c>
      <c r="G2835" t="s">
        <v>304</v>
      </c>
      <c r="H2835" t="s">
        <v>303</v>
      </c>
      <c r="I2835" t="s">
        <v>420</v>
      </c>
      <c r="J2835" t="s">
        <v>420</v>
      </c>
      <c r="K2835" s="4">
        <v>182.53</v>
      </c>
      <c r="L2835" s="4">
        <v>182.53</v>
      </c>
      <c r="M2835" t="s">
        <v>44</v>
      </c>
      <c r="N2835" t="s">
        <v>77</v>
      </c>
      <c r="O2835" t="s">
        <v>99</v>
      </c>
      <c r="P2835" t="s">
        <v>99</v>
      </c>
      <c r="Q2835" t="s">
        <v>202</v>
      </c>
      <c r="R2835" t="s">
        <v>203</v>
      </c>
      <c r="S2835" t="s">
        <v>161</v>
      </c>
      <c r="T2835" t="s">
        <v>162</v>
      </c>
      <c r="U2835" t="s">
        <v>163</v>
      </c>
      <c r="V2835" t="s">
        <v>164</v>
      </c>
      <c r="W2835" t="s">
        <v>116</v>
      </c>
      <c r="X2835" t="s">
        <v>44</v>
      </c>
      <c r="Y2835" t="s">
        <v>99</v>
      </c>
      <c r="Z2835" t="s">
        <v>421</v>
      </c>
      <c r="AC2835" t="str">
        <f>IF(AA2835="",M2835,AA2835)</f>
        <v>sim</v>
      </c>
      <c r="AD2835" t="str">
        <f>IF(AB2835="",X2835,AB2835)</f>
        <v>sim</v>
      </c>
      <c r="AE2835" t="str">
        <f>IF(OR(Configuracao!B9="",Configuracao!B10=""),"aguardando limiar",IF(AND(K2835&gt;=Configuracao!B9,K2835/MAX(Reconciliacao!C2,1)&gt;=Configuracao!B10/100),"sim","não"))</f>
        <v>aguardando limiar</v>
      </c>
    </row>
    <row r="2836" spans="1:31" x14ac:dyDescent="0.25">
      <c r="A2836">
        <v>11934</v>
      </c>
      <c r="C2836" t="s">
        <v>1661</v>
      </c>
      <c r="D2836" t="s">
        <v>1474</v>
      </c>
      <c r="E2836" t="s">
        <v>465</v>
      </c>
      <c r="F2836" t="s">
        <v>201</v>
      </c>
      <c r="G2836" t="s">
        <v>304</v>
      </c>
      <c r="H2836" t="s">
        <v>303</v>
      </c>
      <c r="I2836" t="s">
        <v>32</v>
      </c>
      <c r="J2836" t="s">
        <v>32</v>
      </c>
      <c r="K2836" s="4">
        <v>184.84</v>
      </c>
      <c r="L2836" s="4">
        <v>184.84</v>
      </c>
      <c r="M2836" t="s">
        <v>44</v>
      </c>
      <c r="N2836" t="s">
        <v>77</v>
      </c>
      <c r="O2836" t="s">
        <v>99</v>
      </c>
      <c r="P2836" t="s">
        <v>99</v>
      </c>
      <c r="Q2836" t="s">
        <v>202</v>
      </c>
      <c r="R2836" t="s">
        <v>203</v>
      </c>
      <c r="S2836" t="s">
        <v>161</v>
      </c>
      <c r="T2836" t="s">
        <v>162</v>
      </c>
      <c r="U2836" t="s">
        <v>163</v>
      </c>
      <c r="V2836" t="s">
        <v>164</v>
      </c>
      <c r="W2836" t="s">
        <v>116</v>
      </c>
      <c r="X2836" t="s">
        <v>44</v>
      </c>
      <c r="Y2836" t="s">
        <v>99</v>
      </c>
      <c r="Z2836" t="s">
        <v>421</v>
      </c>
      <c r="AC2836" t="str">
        <f>IF(AA2836="",M2836,AA2836)</f>
        <v>sim</v>
      </c>
      <c r="AD2836" t="str">
        <f>IF(AB2836="",X2836,AB2836)</f>
        <v>sim</v>
      </c>
      <c r="AE2836" t="str">
        <f>IF(OR(Configuracao!B9="",Configuracao!B10=""),"aguardando limiar",IF(AND(K2836&gt;=Configuracao!B9,K2836/MAX(Reconciliacao!C2,1)&gt;=Configuracao!B10/100),"sim","não"))</f>
        <v>aguardando limiar</v>
      </c>
    </row>
    <row r="2837" spans="1:31" x14ac:dyDescent="0.25">
      <c r="A2837">
        <v>18518</v>
      </c>
      <c r="C2837" t="s">
        <v>1662</v>
      </c>
      <c r="D2837" t="s">
        <v>1654</v>
      </c>
      <c r="E2837" t="s">
        <v>1094</v>
      </c>
      <c r="F2837" t="s">
        <v>201</v>
      </c>
      <c r="G2837" t="s">
        <v>304</v>
      </c>
      <c r="H2837" t="s">
        <v>303</v>
      </c>
      <c r="I2837" t="s">
        <v>439</v>
      </c>
      <c r="J2837" t="s">
        <v>35</v>
      </c>
      <c r="K2837" s="4">
        <v>192.17</v>
      </c>
      <c r="L2837" s="4">
        <v>192.17</v>
      </c>
      <c r="M2837" t="s">
        <v>44</v>
      </c>
      <c r="N2837" t="s">
        <v>77</v>
      </c>
      <c r="O2837" t="s">
        <v>99</v>
      </c>
      <c r="P2837" t="s">
        <v>99</v>
      </c>
      <c r="Q2837" t="s">
        <v>202</v>
      </c>
      <c r="R2837" t="s">
        <v>203</v>
      </c>
      <c r="S2837" t="s">
        <v>161</v>
      </c>
      <c r="T2837" t="s">
        <v>162</v>
      </c>
      <c r="U2837" t="s">
        <v>163</v>
      </c>
      <c r="V2837" t="s">
        <v>164</v>
      </c>
      <c r="W2837" t="s">
        <v>116</v>
      </c>
      <c r="X2837" t="s">
        <v>44</v>
      </c>
      <c r="Y2837" t="s">
        <v>99</v>
      </c>
      <c r="Z2837" t="s">
        <v>421</v>
      </c>
      <c r="AC2837" t="str">
        <f>IF(AA2837="",M2837,AA2837)</f>
        <v>sim</v>
      </c>
      <c r="AD2837" t="str">
        <f>IF(AB2837="",X2837,AB2837)</f>
        <v>sim</v>
      </c>
      <c r="AE2837" t="str">
        <f>IF(OR(Configuracao!B9="",Configuracao!B10=""),"aguardando limiar",IF(AND(K2837&gt;=Configuracao!B9,K2837/MAX(Reconciliacao!C2,1)&gt;=Configuracao!B10/100),"sim","não"))</f>
        <v>aguardando limiar</v>
      </c>
    </row>
    <row r="2838" spans="1:31" x14ac:dyDescent="0.25">
      <c r="A2838">
        <v>16032</v>
      </c>
      <c r="C2838" t="s">
        <v>1659</v>
      </c>
      <c r="D2838" t="s">
        <v>1660</v>
      </c>
      <c r="E2838" t="s">
        <v>1094</v>
      </c>
      <c r="F2838" t="s">
        <v>201</v>
      </c>
      <c r="G2838" t="s">
        <v>304</v>
      </c>
      <c r="H2838" t="s">
        <v>303</v>
      </c>
      <c r="I2838" t="s">
        <v>420</v>
      </c>
      <c r="J2838" t="s">
        <v>420</v>
      </c>
      <c r="K2838" s="4">
        <v>194.24</v>
      </c>
      <c r="L2838" s="4">
        <v>194.24</v>
      </c>
      <c r="M2838" t="s">
        <v>44</v>
      </c>
      <c r="N2838" t="s">
        <v>77</v>
      </c>
      <c r="O2838" t="s">
        <v>99</v>
      </c>
      <c r="P2838" t="s">
        <v>99</v>
      </c>
      <c r="Q2838" t="s">
        <v>202</v>
      </c>
      <c r="R2838" t="s">
        <v>203</v>
      </c>
      <c r="S2838" t="s">
        <v>161</v>
      </c>
      <c r="T2838" t="s">
        <v>162</v>
      </c>
      <c r="U2838" t="s">
        <v>163</v>
      </c>
      <c r="V2838" t="s">
        <v>164</v>
      </c>
      <c r="W2838" t="s">
        <v>116</v>
      </c>
      <c r="X2838" t="s">
        <v>44</v>
      </c>
      <c r="Y2838" t="s">
        <v>99</v>
      </c>
      <c r="Z2838" t="s">
        <v>421</v>
      </c>
      <c r="AC2838" t="str">
        <f>IF(AA2838="",M2838,AA2838)</f>
        <v>sim</v>
      </c>
      <c r="AD2838" t="str">
        <f>IF(AB2838="",X2838,AB2838)</f>
        <v>sim</v>
      </c>
      <c r="AE2838" t="str">
        <f>IF(OR(Configuracao!B9="",Configuracao!B10=""),"aguardando limiar",IF(AND(K2838&gt;=Configuracao!B9,K2838/MAX(Reconciliacao!C2,1)&gt;=Configuracao!B10/100),"sim","não"))</f>
        <v>aguardando limiar</v>
      </c>
    </row>
    <row r="2839" spans="1:31" x14ac:dyDescent="0.25">
      <c r="A2839">
        <v>12173</v>
      </c>
      <c r="C2839" t="s">
        <v>1663</v>
      </c>
      <c r="D2839" t="s">
        <v>1474</v>
      </c>
      <c r="E2839" t="s">
        <v>465</v>
      </c>
      <c r="F2839" t="s">
        <v>201</v>
      </c>
      <c r="G2839" t="s">
        <v>304</v>
      </c>
      <c r="H2839" t="s">
        <v>303</v>
      </c>
      <c r="I2839" t="s">
        <v>424</v>
      </c>
      <c r="J2839" t="s">
        <v>424</v>
      </c>
      <c r="K2839" s="4">
        <v>203.61</v>
      </c>
      <c r="L2839" s="4">
        <v>203.61</v>
      </c>
      <c r="M2839" t="s">
        <v>44</v>
      </c>
      <c r="N2839" t="s">
        <v>77</v>
      </c>
      <c r="O2839" t="s">
        <v>99</v>
      </c>
      <c r="P2839" t="s">
        <v>99</v>
      </c>
      <c r="Q2839" t="s">
        <v>202</v>
      </c>
      <c r="R2839" t="s">
        <v>203</v>
      </c>
      <c r="S2839" t="s">
        <v>161</v>
      </c>
      <c r="T2839" t="s">
        <v>162</v>
      </c>
      <c r="U2839" t="s">
        <v>163</v>
      </c>
      <c r="V2839" t="s">
        <v>164</v>
      </c>
      <c r="W2839" t="s">
        <v>116</v>
      </c>
      <c r="X2839" t="s">
        <v>44</v>
      </c>
      <c r="Y2839" t="s">
        <v>99</v>
      </c>
      <c r="Z2839" t="s">
        <v>421</v>
      </c>
      <c r="AC2839" t="str">
        <f>IF(AA2839="",M2839,AA2839)</f>
        <v>sim</v>
      </c>
      <c r="AD2839" t="str">
        <f>IF(AB2839="",X2839,AB2839)</f>
        <v>sim</v>
      </c>
      <c r="AE2839" t="str">
        <f>IF(OR(Configuracao!B9="",Configuracao!B10=""),"aguardando limiar",IF(AND(K2839&gt;=Configuracao!B9,K2839/MAX(Reconciliacao!C2,1)&gt;=Configuracao!B10/100),"sim","não"))</f>
        <v>aguardando limiar</v>
      </c>
    </row>
    <row r="2840" spans="1:31" x14ac:dyDescent="0.25">
      <c r="A2840">
        <v>16489</v>
      </c>
      <c r="C2840" t="s">
        <v>1664</v>
      </c>
      <c r="D2840" t="s">
        <v>1660</v>
      </c>
      <c r="E2840" t="s">
        <v>1094</v>
      </c>
      <c r="F2840" t="s">
        <v>201</v>
      </c>
      <c r="G2840" t="s">
        <v>304</v>
      </c>
      <c r="H2840" t="s">
        <v>303</v>
      </c>
      <c r="I2840" t="s">
        <v>461</v>
      </c>
      <c r="J2840" t="s">
        <v>461</v>
      </c>
      <c r="K2840" s="4">
        <v>205.14</v>
      </c>
      <c r="L2840" s="4">
        <v>205.14</v>
      </c>
      <c r="M2840" t="s">
        <v>44</v>
      </c>
      <c r="N2840" t="s">
        <v>77</v>
      </c>
      <c r="O2840" t="s">
        <v>99</v>
      </c>
      <c r="P2840" t="s">
        <v>99</v>
      </c>
      <c r="Q2840" t="s">
        <v>202</v>
      </c>
      <c r="R2840" t="s">
        <v>203</v>
      </c>
      <c r="S2840" t="s">
        <v>161</v>
      </c>
      <c r="T2840" t="s">
        <v>162</v>
      </c>
      <c r="U2840" t="s">
        <v>163</v>
      </c>
      <c r="V2840" t="s">
        <v>164</v>
      </c>
      <c r="W2840" t="s">
        <v>116</v>
      </c>
      <c r="X2840" t="s">
        <v>44</v>
      </c>
      <c r="Y2840" t="s">
        <v>99</v>
      </c>
      <c r="Z2840" t="s">
        <v>421</v>
      </c>
      <c r="AC2840" t="str">
        <f>IF(AA2840="",M2840,AA2840)</f>
        <v>sim</v>
      </c>
      <c r="AD2840" t="str">
        <f>IF(AB2840="",X2840,AB2840)</f>
        <v>sim</v>
      </c>
      <c r="AE2840" t="str">
        <f>IF(OR(Configuracao!B9="",Configuracao!B10=""),"aguardando limiar",IF(AND(K2840&gt;=Configuracao!B9,K2840/MAX(Reconciliacao!C2,1)&gt;=Configuracao!B10/100),"sim","não"))</f>
        <v>aguardando limiar</v>
      </c>
    </row>
    <row r="2841" spans="1:31" x14ac:dyDescent="0.25">
      <c r="A2841">
        <v>16031</v>
      </c>
      <c r="C2841" t="s">
        <v>1665</v>
      </c>
      <c r="D2841" t="s">
        <v>1654</v>
      </c>
      <c r="E2841" t="s">
        <v>1094</v>
      </c>
      <c r="F2841" t="s">
        <v>201</v>
      </c>
      <c r="G2841" t="s">
        <v>304</v>
      </c>
      <c r="H2841" t="s">
        <v>303</v>
      </c>
      <c r="I2841" t="s">
        <v>420</v>
      </c>
      <c r="J2841" t="s">
        <v>420</v>
      </c>
      <c r="K2841" s="4">
        <v>215.08</v>
      </c>
      <c r="L2841" s="4">
        <v>215.08</v>
      </c>
      <c r="M2841" t="s">
        <v>44</v>
      </c>
      <c r="N2841" t="s">
        <v>77</v>
      </c>
      <c r="O2841" t="s">
        <v>99</v>
      </c>
      <c r="P2841" t="s">
        <v>99</v>
      </c>
      <c r="Q2841" t="s">
        <v>202</v>
      </c>
      <c r="R2841" t="s">
        <v>203</v>
      </c>
      <c r="S2841" t="s">
        <v>161</v>
      </c>
      <c r="T2841" t="s">
        <v>162</v>
      </c>
      <c r="U2841" t="s">
        <v>163</v>
      </c>
      <c r="V2841" t="s">
        <v>164</v>
      </c>
      <c r="W2841" t="s">
        <v>116</v>
      </c>
      <c r="X2841" t="s">
        <v>44</v>
      </c>
      <c r="Y2841" t="s">
        <v>99</v>
      </c>
      <c r="Z2841" t="s">
        <v>421</v>
      </c>
      <c r="AC2841" t="str">
        <f>IF(AA2841="",M2841,AA2841)</f>
        <v>sim</v>
      </c>
      <c r="AD2841" t="str">
        <f>IF(AB2841="",X2841,AB2841)</f>
        <v>sim</v>
      </c>
      <c r="AE2841" t="str">
        <f>IF(OR(Configuracao!B9="",Configuracao!B10=""),"aguardando limiar",IF(AND(K2841&gt;=Configuracao!B9,K2841/MAX(Reconciliacao!C2,1)&gt;=Configuracao!B10/100),"sim","não"))</f>
        <v>aguardando limiar</v>
      </c>
    </row>
    <row r="2842" spans="1:31" x14ac:dyDescent="0.25">
      <c r="A2842">
        <v>16491</v>
      </c>
      <c r="C2842" t="s">
        <v>1664</v>
      </c>
      <c r="D2842" t="s">
        <v>1660</v>
      </c>
      <c r="E2842" t="s">
        <v>1094</v>
      </c>
      <c r="F2842" t="s">
        <v>201</v>
      </c>
      <c r="G2842" t="s">
        <v>304</v>
      </c>
      <c r="H2842" t="s">
        <v>303</v>
      </c>
      <c r="I2842" t="s">
        <v>442</v>
      </c>
      <c r="J2842" t="s">
        <v>442</v>
      </c>
      <c r="K2842" s="4">
        <v>240.5</v>
      </c>
      <c r="L2842" s="4">
        <v>240.5</v>
      </c>
      <c r="M2842" t="s">
        <v>44</v>
      </c>
      <c r="N2842" t="s">
        <v>77</v>
      </c>
      <c r="O2842" t="s">
        <v>99</v>
      </c>
      <c r="P2842" t="s">
        <v>99</v>
      </c>
      <c r="Q2842" t="s">
        <v>202</v>
      </c>
      <c r="R2842" t="s">
        <v>203</v>
      </c>
      <c r="S2842" t="s">
        <v>161</v>
      </c>
      <c r="T2842" t="s">
        <v>162</v>
      </c>
      <c r="U2842" t="s">
        <v>163</v>
      </c>
      <c r="V2842" t="s">
        <v>164</v>
      </c>
      <c r="W2842" t="s">
        <v>116</v>
      </c>
      <c r="X2842" t="s">
        <v>44</v>
      </c>
      <c r="Y2842" t="s">
        <v>99</v>
      </c>
      <c r="Z2842" t="s">
        <v>421</v>
      </c>
      <c r="AC2842" t="str">
        <f>IF(AA2842="",M2842,AA2842)</f>
        <v>sim</v>
      </c>
      <c r="AD2842" t="str">
        <f>IF(AB2842="",X2842,AB2842)</f>
        <v>sim</v>
      </c>
      <c r="AE2842" t="str">
        <f>IF(OR(Configuracao!B9="",Configuracao!B10=""),"aguardando limiar",IF(AND(K2842&gt;=Configuracao!B9,K2842/MAX(Reconciliacao!C2,1)&gt;=Configuracao!B10/100),"sim","não"))</f>
        <v>aguardando limiar</v>
      </c>
    </row>
    <row r="2843" spans="1:31" x14ac:dyDescent="0.25">
      <c r="A2843">
        <v>15765</v>
      </c>
      <c r="C2843" t="s">
        <v>1666</v>
      </c>
      <c r="D2843" t="s">
        <v>1657</v>
      </c>
      <c r="E2843" t="s">
        <v>465</v>
      </c>
      <c r="F2843" t="s">
        <v>201</v>
      </c>
      <c r="G2843" t="s">
        <v>304</v>
      </c>
      <c r="H2843" t="s">
        <v>303</v>
      </c>
      <c r="I2843" t="s">
        <v>35</v>
      </c>
      <c r="J2843" t="s">
        <v>35</v>
      </c>
      <c r="K2843" s="4">
        <v>282.88</v>
      </c>
      <c r="L2843" s="4">
        <v>282.88</v>
      </c>
      <c r="M2843" t="s">
        <v>44</v>
      </c>
      <c r="N2843" t="s">
        <v>77</v>
      </c>
      <c r="O2843" t="s">
        <v>99</v>
      </c>
      <c r="P2843" t="s">
        <v>99</v>
      </c>
      <c r="Q2843" t="s">
        <v>202</v>
      </c>
      <c r="R2843" t="s">
        <v>203</v>
      </c>
      <c r="S2843" t="s">
        <v>161</v>
      </c>
      <c r="T2843" t="s">
        <v>162</v>
      </c>
      <c r="U2843" t="s">
        <v>163</v>
      </c>
      <c r="V2843" t="s">
        <v>164</v>
      </c>
      <c r="W2843" t="s">
        <v>116</v>
      </c>
      <c r="X2843" t="s">
        <v>44</v>
      </c>
      <c r="Y2843" t="s">
        <v>99</v>
      </c>
      <c r="Z2843" t="s">
        <v>421</v>
      </c>
      <c r="AC2843" t="str">
        <f>IF(AA2843="",M2843,AA2843)</f>
        <v>sim</v>
      </c>
      <c r="AD2843" t="str">
        <f>IF(AB2843="",X2843,AB2843)</f>
        <v>sim</v>
      </c>
      <c r="AE2843" t="str">
        <f>IF(OR(Configuracao!B9="",Configuracao!B10=""),"aguardando limiar",IF(AND(K2843&gt;=Configuracao!B9,K2843/MAX(Reconciliacao!C2,1)&gt;=Configuracao!B10/100),"sim","não"))</f>
        <v>aguardando limiar</v>
      </c>
    </row>
    <row r="2844" spans="1:31" x14ac:dyDescent="0.25">
      <c r="A2844">
        <v>19004</v>
      </c>
      <c r="C2844" t="s">
        <v>1667</v>
      </c>
      <c r="D2844" t="s">
        <v>1657</v>
      </c>
      <c r="E2844" t="s">
        <v>445</v>
      </c>
      <c r="F2844" t="s">
        <v>201</v>
      </c>
      <c r="G2844" t="s">
        <v>304</v>
      </c>
      <c r="H2844" t="s">
        <v>303</v>
      </c>
      <c r="I2844" t="s">
        <v>35</v>
      </c>
      <c r="J2844" t="s">
        <v>35</v>
      </c>
      <c r="K2844" s="4">
        <v>282.88</v>
      </c>
      <c r="L2844" s="4">
        <v>282.88</v>
      </c>
      <c r="M2844" t="s">
        <v>44</v>
      </c>
      <c r="N2844" t="s">
        <v>77</v>
      </c>
      <c r="O2844" t="s">
        <v>99</v>
      </c>
      <c r="P2844" t="s">
        <v>99</v>
      </c>
      <c r="Q2844" t="s">
        <v>202</v>
      </c>
      <c r="R2844" t="s">
        <v>203</v>
      </c>
      <c r="S2844" t="s">
        <v>161</v>
      </c>
      <c r="T2844" t="s">
        <v>162</v>
      </c>
      <c r="U2844" t="s">
        <v>163</v>
      </c>
      <c r="V2844" t="s">
        <v>164</v>
      </c>
      <c r="W2844" t="s">
        <v>116</v>
      </c>
      <c r="X2844" t="s">
        <v>44</v>
      </c>
      <c r="Y2844" t="s">
        <v>99</v>
      </c>
      <c r="Z2844" t="s">
        <v>421</v>
      </c>
      <c r="AC2844" t="str">
        <f>IF(AA2844="",M2844,AA2844)</f>
        <v>sim</v>
      </c>
      <c r="AD2844" t="str">
        <f>IF(AB2844="",X2844,AB2844)</f>
        <v>sim</v>
      </c>
      <c r="AE2844" t="str">
        <f>IF(OR(Configuracao!B9="",Configuracao!B10=""),"aguardando limiar",IF(AND(K2844&gt;=Configuracao!B9,K2844/MAX(Reconciliacao!C2,1)&gt;=Configuracao!B10/100),"sim","não"))</f>
        <v>aguardando limiar</v>
      </c>
    </row>
    <row r="2845" spans="1:31" x14ac:dyDescent="0.25">
      <c r="A2845">
        <v>13088</v>
      </c>
      <c r="C2845" t="s">
        <v>1668</v>
      </c>
      <c r="D2845" t="s">
        <v>1657</v>
      </c>
      <c r="E2845" t="s">
        <v>467</v>
      </c>
      <c r="F2845" t="s">
        <v>201</v>
      </c>
      <c r="G2845" t="s">
        <v>304</v>
      </c>
      <c r="H2845" t="s">
        <v>303</v>
      </c>
      <c r="I2845" t="s">
        <v>424</v>
      </c>
      <c r="J2845" t="s">
        <v>424</v>
      </c>
      <c r="K2845" s="4">
        <v>314.51</v>
      </c>
      <c r="L2845" s="4">
        <v>314.51</v>
      </c>
      <c r="M2845" t="s">
        <v>44</v>
      </c>
      <c r="N2845" t="s">
        <v>77</v>
      </c>
      <c r="O2845" t="s">
        <v>99</v>
      </c>
      <c r="P2845" t="s">
        <v>99</v>
      </c>
      <c r="Q2845" t="s">
        <v>202</v>
      </c>
      <c r="R2845" t="s">
        <v>203</v>
      </c>
      <c r="S2845" t="s">
        <v>161</v>
      </c>
      <c r="T2845" t="s">
        <v>162</v>
      </c>
      <c r="U2845" t="s">
        <v>163</v>
      </c>
      <c r="V2845" t="s">
        <v>164</v>
      </c>
      <c r="W2845" t="s">
        <v>116</v>
      </c>
      <c r="X2845" t="s">
        <v>44</v>
      </c>
      <c r="Y2845" t="s">
        <v>99</v>
      </c>
      <c r="Z2845" t="s">
        <v>421</v>
      </c>
      <c r="AC2845" t="str">
        <f>IF(AA2845="",M2845,AA2845)</f>
        <v>sim</v>
      </c>
      <c r="AD2845" t="str">
        <f>IF(AB2845="",X2845,AB2845)</f>
        <v>sim</v>
      </c>
      <c r="AE2845" t="str">
        <f>IF(OR(Configuracao!B9="",Configuracao!B10=""),"aguardando limiar",IF(AND(K2845&gt;=Configuracao!B9,K2845/MAX(Reconciliacao!C2,1)&gt;=Configuracao!B10/100),"sim","não"))</f>
        <v>aguardando limiar</v>
      </c>
    </row>
    <row r="2846" spans="1:31" x14ac:dyDescent="0.25">
      <c r="A2846">
        <v>15746</v>
      </c>
      <c r="C2846" t="s">
        <v>1668</v>
      </c>
      <c r="D2846" t="s">
        <v>1657</v>
      </c>
      <c r="E2846" t="s">
        <v>467</v>
      </c>
      <c r="F2846" t="s">
        <v>201</v>
      </c>
      <c r="G2846" t="s">
        <v>304</v>
      </c>
      <c r="H2846" t="s">
        <v>303</v>
      </c>
      <c r="I2846" t="s">
        <v>454</v>
      </c>
      <c r="J2846" t="s">
        <v>454</v>
      </c>
      <c r="K2846" s="4">
        <v>317.24</v>
      </c>
      <c r="L2846" s="4">
        <v>317.24</v>
      </c>
      <c r="M2846" t="s">
        <v>44</v>
      </c>
      <c r="N2846" t="s">
        <v>77</v>
      </c>
      <c r="O2846" t="s">
        <v>99</v>
      </c>
      <c r="P2846" t="s">
        <v>99</v>
      </c>
      <c r="Q2846" t="s">
        <v>202</v>
      </c>
      <c r="R2846" t="s">
        <v>203</v>
      </c>
      <c r="S2846" t="s">
        <v>161</v>
      </c>
      <c r="T2846" t="s">
        <v>162</v>
      </c>
      <c r="U2846" t="s">
        <v>163</v>
      </c>
      <c r="V2846" t="s">
        <v>164</v>
      </c>
      <c r="W2846" t="s">
        <v>116</v>
      </c>
      <c r="X2846" t="s">
        <v>44</v>
      </c>
      <c r="Y2846" t="s">
        <v>99</v>
      </c>
      <c r="Z2846" t="s">
        <v>421</v>
      </c>
      <c r="AC2846" t="str">
        <f>IF(AA2846="",M2846,AA2846)</f>
        <v>sim</v>
      </c>
      <c r="AD2846" t="str">
        <f>IF(AB2846="",X2846,AB2846)</f>
        <v>sim</v>
      </c>
      <c r="AE2846" t="str">
        <f>IF(OR(Configuracao!B9="",Configuracao!B10=""),"aguardando limiar",IF(AND(K2846&gt;=Configuracao!B9,K2846/MAX(Reconciliacao!C2,1)&gt;=Configuracao!B10/100),"sim","não"))</f>
        <v>aguardando limiar</v>
      </c>
    </row>
    <row r="2847" spans="1:31" x14ac:dyDescent="0.25">
      <c r="A2847">
        <v>16493</v>
      </c>
      <c r="C2847" t="s">
        <v>1669</v>
      </c>
      <c r="D2847" t="s">
        <v>1660</v>
      </c>
      <c r="E2847" t="s">
        <v>1094</v>
      </c>
      <c r="F2847" t="s">
        <v>201</v>
      </c>
      <c r="G2847" t="s">
        <v>304</v>
      </c>
      <c r="H2847" t="s">
        <v>303</v>
      </c>
      <c r="I2847" t="s">
        <v>439</v>
      </c>
      <c r="J2847" t="s">
        <v>439</v>
      </c>
      <c r="K2847" s="4">
        <v>324.9</v>
      </c>
      <c r="L2847" s="4">
        <v>324.9</v>
      </c>
      <c r="M2847" t="s">
        <v>44</v>
      </c>
      <c r="N2847" t="s">
        <v>77</v>
      </c>
      <c r="O2847" t="s">
        <v>99</v>
      </c>
      <c r="P2847" t="s">
        <v>99</v>
      </c>
      <c r="Q2847" t="s">
        <v>202</v>
      </c>
      <c r="R2847" t="s">
        <v>203</v>
      </c>
      <c r="S2847" t="s">
        <v>161</v>
      </c>
      <c r="T2847" t="s">
        <v>162</v>
      </c>
      <c r="U2847" t="s">
        <v>163</v>
      </c>
      <c r="V2847" t="s">
        <v>164</v>
      </c>
      <c r="W2847" t="s">
        <v>116</v>
      </c>
      <c r="X2847" t="s">
        <v>44</v>
      </c>
      <c r="Y2847" t="s">
        <v>99</v>
      </c>
      <c r="Z2847" t="s">
        <v>421</v>
      </c>
      <c r="AC2847" t="str">
        <f>IF(AA2847="",M2847,AA2847)</f>
        <v>sim</v>
      </c>
      <c r="AD2847" t="str">
        <f>IF(AB2847="",X2847,AB2847)</f>
        <v>sim</v>
      </c>
      <c r="AE2847" t="str">
        <f>IF(OR(Configuracao!B9="",Configuracao!B10=""),"aguardando limiar",IF(AND(K2847&gt;=Configuracao!B9,K2847/MAX(Reconciliacao!C2,1)&gt;=Configuracao!B10/100),"sim","não"))</f>
        <v>aguardando limiar</v>
      </c>
    </row>
    <row r="2848" spans="1:31" x14ac:dyDescent="0.25">
      <c r="A2848">
        <v>16511</v>
      </c>
      <c r="C2848" t="s">
        <v>1670</v>
      </c>
      <c r="D2848" t="s">
        <v>1671</v>
      </c>
      <c r="E2848" t="s">
        <v>1094</v>
      </c>
      <c r="F2848" t="s">
        <v>201</v>
      </c>
      <c r="G2848" t="s">
        <v>304</v>
      </c>
      <c r="H2848" t="s">
        <v>303</v>
      </c>
      <c r="I2848" t="s">
        <v>461</v>
      </c>
      <c r="J2848" t="s">
        <v>461</v>
      </c>
      <c r="K2848" s="4">
        <v>343.24</v>
      </c>
      <c r="L2848" s="4">
        <v>343.24</v>
      </c>
      <c r="M2848" t="s">
        <v>44</v>
      </c>
      <c r="N2848" t="s">
        <v>77</v>
      </c>
      <c r="O2848" t="s">
        <v>99</v>
      </c>
      <c r="P2848" t="s">
        <v>99</v>
      </c>
      <c r="Q2848" t="s">
        <v>202</v>
      </c>
      <c r="R2848" t="s">
        <v>203</v>
      </c>
      <c r="S2848" t="s">
        <v>161</v>
      </c>
      <c r="T2848" t="s">
        <v>162</v>
      </c>
      <c r="U2848" t="s">
        <v>163</v>
      </c>
      <c r="V2848" t="s">
        <v>164</v>
      </c>
      <c r="W2848" t="s">
        <v>116</v>
      </c>
      <c r="X2848" t="s">
        <v>44</v>
      </c>
      <c r="Y2848" t="s">
        <v>99</v>
      </c>
      <c r="Z2848" t="s">
        <v>421</v>
      </c>
      <c r="AC2848" t="str">
        <f>IF(AA2848="",M2848,AA2848)</f>
        <v>sim</v>
      </c>
      <c r="AD2848" t="str">
        <f>IF(AB2848="",X2848,AB2848)</f>
        <v>sim</v>
      </c>
      <c r="AE2848" t="str">
        <f>IF(OR(Configuracao!B9="",Configuracao!B10=""),"aguardando limiar",IF(AND(K2848&gt;=Configuracao!B9,K2848/MAX(Reconciliacao!C2,1)&gt;=Configuracao!B10/100),"sim","não"))</f>
        <v>aguardando limiar</v>
      </c>
    </row>
    <row r="2849" spans="1:31" x14ac:dyDescent="0.25">
      <c r="A2849">
        <v>16510</v>
      </c>
      <c r="C2849" t="s">
        <v>1670</v>
      </c>
      <c r="D2849" t="s">
        <v>1671</v>
      </c>
      <c r="E2849" t="s">
        <v>1094</v>
      </c>
      <c r="F2849" t="s">
        <v>201</v>
      </c>
      <c r="G2849" t="s">
        <v>304</v>
      </c>
      <c r="H2849" t="s">
        <v>303</v>
      </c>
      <c r="I2849" t="s">
        <v>454</v>
      </c>
      <c r="J2849" t="s">
        <v>454</v>
      </c>
      <c r="K2849" s="4">
        <v>344.64</v>
      </c>
      <c r="L2849" s="4">
        <v>344.64</v>
      </c>
      <c r="M2849" t="s">
        <v>44</v>
      </c>
      <c r="N2849" t="s">
        <v>77</v>
      </c>
      <c r="O2849" t="s">
        <v>99</v>
      </c>
      <c r="P2849" t="s">
        <v>99</v>
      </c>
      <c r="Q2849" t="s">
        <v>202</v>
      </c>
      <c r="R2849" t="s">
        <v>203</v>
      </c>
      <c r="S2849" t="s">
        <v>161</v>
      </c>
      <c r="T2849" t="s">
        <v>162</v>
      </c>
      <c r="U2849" t="s">
        <v>163</v>
      </c>
      <c r="V2849" t="s">
        <v>164</v>
      </c>
      <c r="W2849" t="s">
        <v>116</v>
      </c>
      <c r="X2849" t="s">
        <v>44</v>
      </c>
      <c r="Y2849" t="s">
        <v>99</v>
      </c>
      <c r="Z2849" t="s">
        <v>421</v>
      </c>
      <c r="AC2849" t="str">
        <f>IF(AA2849="",M2849,AA2849)</f>
        <v>sim</v>
      </c>
      <c r="AD2849" t="str">
        <f>IF(AB2849="",X2849,AB2849)</f>
        <v>sim</v>
      </c>
      <c r="AE2849" t="str">
        <f>IF(OR(Configuracao!B9="",Configuracao!B10=""),"aguardando limiar",IF(AND(K2849&gt;=Configuracao!B9,K2849/MAX(Reconciliacao!C2,1)&gt;=Configuracao!B10/100),"sim","não"))</f>
        <v>aguardando limiar</v>
      </c>
    </row>
    <row r="2850" spans="1:31" x14ac:dyDescent="0.25">
      <c r="A2850">
        <v>16513</v>
      </c>
      <c r="C2850" t="s">
        <v>1670</v>
      </c>
      <c r="D2850" t="s">
        <v>1671</v>
      </c>
      <c r="E2850" t="s">
        <v>1094</v>
      </c>
      <c r="F2850" t="s">
        <v>201</v>
      </c>
      <c r="G2850" t="s">
        <v>304</v>
      </c>
      <c r="H2850" t="s">
        <v>303</v>
      </c>
      <c r="I2850" t="s">
        <v>439</v>
      </c>
      <c r="J2850" t="s">
        <v>439</v>
      </c>
      <c r="K2850" s="4">
        <v>345.25</v>
      </c>
      <c r="L2850" s="4">
        <v>345.25</v>
      </c>
      <c r="M2850" t="s">
        <v>44</v>
      </c>
      <c r="N2850" t="s">
        <v>77</v>
      </c>
      <c r="O2850" t="s">
        <v>99</v>
      </c>
      <c r="P2850" t="s">
        <v>99</v>
      </c>
      <c r="Q2850" t="s">
        <v>202</v>
      </c>
      <c r="R2850" t="s">
        <v>203</v>
      </c>
      <c r="S2850" t="s">
        <v>161</v>
      </c>
      <c r="T2850" t="s">
        <v>162</v>
      </c>
      <c r="U2850" t="s">
        <v>163</v>
      </c>
      <c r="V2850" t="s">
        <v>164</v>
      </c>
      <c r="W2850" t="s">
        <v>116</v>
      </c>
      <c r="X2850" t="s">
        <v>44</v>
      </c>
      <c r="Y2850" t="s">
        <v>99</v>
      </c>
      <c r="Z2850" t="s">
        <v>421</v>
      </c>
      <c r="AC2850" t="str">
        <f>IF(AA2850="",M2850,AA2850)</f>
        <v>sim</v>
      </c>
      <c r="AD2850" t="str">
        <f>IF(AB2850="",X2850,AB2850)</f>
        <v>sim</v>
      </c>
      <c r="AE2850" t="str">
        <f>IF(OR(Configuracao!B9="",Configuracao!B10=""),"aguardando limiar",IF(AND(K2850&gt;=Configuracao!B9,K2850/MAX(Reconciliacao!C2,1)&gt;=Configuracao!B10/100),"sim","não"))</f>
        <v>aguardando limiar</v>
      </c>
    </row>
    <row r="2851" spans="1:31" x14ac:dyDescent="0.25">
      <c r="A2851">
        <v>16512</v>
      </c>
      <c r="C2851" t="s">
        <v>1670</v>
      </c>
      <c r="D2851" t="s">
        <v>1671</v>
      </c>
      <c r="E2851" t="s">
        <v>1094</v>
      </c>
      <c r="F2851" t="s">
        <v>201</v>
      </c>
      <c r="G2851" t="s">
        <v>304</v>
      </c>
      <c r="H2851" t="s">
        <v>303</v>
      </c>
      <c r="I2851" t="s">
        <v>442</v>
      </c>
      <c r="J2851" t="s">
        <v>442</v>
      </c>
      <c r="K2851" s="4">
        <v>345.72</v>
      </c>
      <c r="L2851" s="4">
        <v>345.72</v>
      </c>
      <c r="M2851" t="s">
        <v>44</v>
      </c>
      <c r="N2851" t="s">
        <v>77</v>
      </c>
      <c r="O2851" t="s">
        <v>99</v>
      </c>
      <c r="P2851" t="s">
        <v>99</v>
      </c>
      <c r="Q2851" t="s">
        <v>202</v>
      </c>
      <c r="R2851" t="s">
        <v>203</v>
      </c>
      <c r="S2851" t="s">
        <v>161</v>
      </c>
      <c r="T2851" t="s">
        <v>162</v>
      </c>
      <c r="U2851" t="s">
        <v>163</v>
      </c>
      <c r="V2851" t="s">
        <v>164</v>
      </c>
      <c r="W2851" t="s">
        <v>116</v>
      </c>
      <c r="X2851" t="s">
        <v>44</v>
      </c>
      <c r="Y2851" t="s">
        <v>99</v>
      </c>
      <c r="Z2851" t="s">
        <v>421</v>
      </c>
      <c r="AC2851" t="str">
        <f>IF(AA2851="",M2851,AA2851)</f>
        <v>sim</v>
      </c>
      <c r="AD2851" t="str">
        <f>IF(AB2851="",X2851,AB2851)</f>
        <v>sim</v>
      </c>
      <c r="AE2851" t="str">
        <f>IF(OR(Configuracao!B9="",Configuracao!B10=""),"aguardando limiar",IF(AND(K2851&gt;=Configuracao!B9,K2851/MAX(Reconciliacao!C2,1)&gt;=Configuracao!B10/100),"sim","não"))</f>
        <v>aguardando limiar</v>
      </c>
    </row>
    <row r="2852" spans="1:31" x14ac:dyDescent="0.25">
      <c r="A2852">
        <v>15756</v>
      </c>
      <c r="C2852" t="s">
        <v>1668</v>
      </c>
      <c r="D2852" t="s">
        <v>1657</v>
      </c>
      <c r="E2852" t="s">
        <v>467</v>
      </c>
      <c r="F2852" t="s">
        <v>201</v>
      </c>
      <c r="G2852" t="s">
        <v>304</v>
      </c>
      <c r="H2852" t="s">
        <v>303</v>
      </c>
      <c r="I2852" t="s">
        <v>442</v>
      </c>
      <c r="J2852" t="s">
        <v>442</v>
      </c>
      <c r="K2852" s="4">
        <v>358.2</v>
      </c>
      <c r="L2852" s="4">
        <v>358.2</v>
      </c>
      <c r="M2852" t="s">
        <v>44</v>
      </c>
      <c r="N2852" t="s">
        <v>77</v>
      </c>
      <c r="O2852" t="s">
        <v>99</v>
      </c>
      <c r="P2852" t="s">
        <v>99</v>
      </c>
      <c r="Q2852" t="s">
        <v>202</v>
      </c>
      <c r="R2852" t="s">
        <v>203</v>
      </c>
      <c r="S2852" t="s">
        <v>161</v>
      </c>
      <c r="T2852" t="s">
        <v>162</v>
      </c>
      <c r="U2852" t="s">
        <v>163</v>
      </c>
      <c r="V2852" t="s">
        <v>164</v>
      </c>
      <c r="W2852" t="s">
        <v>116</v>
      </c>
      <c r="X2852" t="s">
        <v>44</v>
      </c>
      <c r="Y2852" t="s">
        <v>99</v>
      </c>
      <c r="Z2852" t="s">
        <v>421</v>
      </c>
      <c r="AC2852" t="str">
        <f>IF(AA2852="",M2852,AA2852)</f>
        <v>sim</v>
      </c>
      <c r="AD2852" t="str">
        <f>IF(AB2852="",X2852,AB2852)</f>
        <v>sim</v>
      </c>
      <c r="AE2852" t="str">
        <f>IF(OR(Configuracao!B9="",Configuracao!B10=""),"aguardando limiar",IF(AND(K2852&gt;=Configuracao!B9,K2852/MAX(Reconciliacao!C2,1)&gt;=Configuracao!B10/100),"sim","não"))</f>
        <v>aguardando limiar</v>
      </c>
    </row>
    <row r="2853" spans="1:31" x14ac:dyDescent="0.25">
      <c r="A2853">
        <v>15760</v>
      </c>
      <c r="C2853" t="s">
        <v>1668</v>
      </c>
      <c r="D2853" t="s">
        <v>1657</v>
      </c>
      <c r="E2853" t="s">
        <v>467</v>
      </c>
      <c r="F2853" t="s">
        <v>201</v>
      </c>
      <c r="G2853" t="s">
        <v>304</v>
      </c>
      <c r="H2853" t="s">
        <v>303</v>
      </c>
      <c r="I2853" t="s">
        <v>439</v>
      </c>
      <c r="J2853" t="s">
        <v>439</v>
      </c>
      <c r="K2853" s="4">
        <v>376.5</v>
      </c>
      <c r="L2853" s="4">
        <v>376.5</v>
      </c>
      <c r="M2853" t="s">
        <v>44</v>
      </c>
      <c r="N2853" t="s">
        <v>77</v>
      </c>
      <c r="O2853" t="s">
        <v>99</v>
      </c>
      <c r="P2853" t="s">
        <v>99</v>
      </c>
      <c r="Q2853" t="s">
        <v>202</v>
      </c>
      <c r="R2853" t="s">
        <v>203</v>
      </c>
      <c r="S2853" t="s">
        <v>161</v>
      </c>
      <c r="T2853" t="s">
        <v>162</v>
      </c>
      <c r="U2853" t="s">
        <v>163</v>
      </c>
      <c r="V2853" t="s">
        <v>164</v>
      </c>
      <c r="W2853" t="s">
        <v>116</v>
      </c>
      <c r="X2853" t="s">
        <v>44</v>
      </c>
      <c r="Y2853" t="s">
        <v>99</v>
      </c>
      <c r="Z2853" t="s">
        <v>421</v>
      </c>
      <c r="AC2853" t="str">
        <f>IF(AA2853="",M2853,AA2853)</f>
        <v>sim</v>
      </c>
      <c r="AD2853" t="str">
        <f>IF(AB2853="",X2853,AB2853)</f>
        <v>sim</v>
      </c>
      <c r="AE2853" t="str">
        <f>IF(OR(Configuracao!B9="",Configuracao!B10=""),"aguardando limiar",IF(AND(K2853&gt;=Configuracao!B9,K2853/MAX(Reconciliacao!C2,1)&gt;=Configuracao!B10/100),"sim","não"))</f>
        <v>aguardando limiar</v>
      </c>
    </row>
    <row r="2854" spans="1:31" x14ac:dyDescent="0.25">
      <c r="A2854">
        <v>15752</v>
      </c>
      <c r="C2854" t="s">
        <v>1668</v>
      </c>
      <c r="D2854" t="s">
        <v>1657</v>
      </c>
      <c r="E2854" t="s">
        <v>467</v>
      </c>
      <c r="F2854" t="s">
        <v>201</v>
      </c>
      <c r="G2854" t="s">
        <v>304</v>
      </c>
      <c r="H2854" t="s">
        <v>303</v>
      </c>
      <c r="I2854" t="s">
        <v>461</v>
      </c>
      <c r="J2854" t="s">
        <v>461</v>
      </c>
      <c r="K2854" s="4">
        <v>395.87</v>
      </c>
      <c r="L2854" s="4">
        <v>395.87</v>
      </c>
      <c r="M2854" t="s">
        <v>44</v>
      </c>
      <c r="N2854" t="s">
        <v>77</v>
      </c>
      <c r="O2854" t="s">
        <v>99</v>
      </c>
      <c r="P2854" t="s">
        <v>99</v>
      </c>
      <c r="Q2854" t="s">
        <v>202</v>
      </c>
      <c r="R2854" t="s">
        <v>203</v>
      </c>
      <c r="S2854" t="s">
        <v>161</v>
      </c>
      <c r="T2854" t="s">
        <v>162</v>
      </c>
      <c r="U2854" t="s">
        <v>163</v>
      </c>
      <c r="V2854" t="s">
        <v>164</v>
      </c>
      <c r="W2854" t="s">
        <v>116</v>
      </c>
      <c r="X2854" t="s">
        <v>44</v>
      </c>
      <c r="Y2854" t="s">
        <v>99</v>
      </c>
      <c r="Z2854" t="s">
        <v>421</v>
      </c>
      <c r="AC2854" t="str">
        <f>IF(AA2854="",M2854,AA2854)</f>
        <v>sim</v>
      </c>
      <c r="AD2854" t="str">
        <f>IF(AB2854="",X2854,AB2854)</f>
        <v>sim</v>
      </c>
      <c r="AE2854" t="str">
        <f>IF(OR(Configuracao!B9="",Configuracao!B10=""),"aguardando limiar",IF(AND(K2854&gt;=Configuracao!B9,K2854/MAX(Reconciliacao!C2,1)&gt;=Configuracao!B10/100),"sim","não"))</f>
        <v>aguardando limiar</v>
      </c>
    </row>
    <row r="2855" spans="1:31" x14ac:dyDescent="0.25">
      <c r="A2855">
        <v>16495</v>
      </c>
      <c r="C2855" t="s">
        <v>1669</v>
      </c>
      <c r="D2855" t="s">
        <v>1660</v>
      </c>
      <c r="E2855" t="s">
        <v>1094</v>
      </c>
      <c r="F2855" t="s">
        <v>201</v>
      </c>
      <c r="G2855" t="s">
        <v>304</v>
      </c>
      <c r="H2855" t="s">
        <v>303</v>
      </c>
      <c r="I2855" t="s">
        <v>35</v>
      </c>
      <c r="J2855" t="s">
        <v>35</v>
      </c>
      <c r="K2855" s="4">
        <v>405.86</v>
      </c>
      <c r="L2855" s="4">
        <v>405.86</v>
      </c>
      <c r="M2855" t="s">
        <v>44</v>
      </c>
      <c r="N2855" t="s">
        <v>77</v>
      </c>
      <c r="O2855" t="s">
        <v>99</v>
      </c>
      <c r="P2855" t="s">
        <v>99</v>
      </c>
      <c r="Q2855" t="s">
        <v>202</v>
      </c>
      <c r="R2855" t="s">
        <v>203</v>
      </c>
      <c r="S2855" t="s">
        <v>161</v>
      </c>
      <c r="T2855" t="s">
        <v>162</v>
      </c>
      <c r="U2855" t="s">
        <v>163</v>
      </c>
      <c r="V2855" t="s">
        <v>164</v>
      </c>
      <c r="W2855" t="s">
        <v>116</v>
      </c>
      <c r="X2855" t="s">
        <v>44</v>
      </c>
      <c r="Y2855" t="s">
        <v>99</v>
      </c>
      <c r="Z2855" t="s">
        <v>421</v>
      </c>
      <c r="AC2855" t="str">
        <f>IF(AA2855="",M2855,AA2855)</f>
        <v>sim</v>
      </c>
      <c r="AD2855" t="str">
        <f>IF(AB2855="",X2855,AB2855)</f>
        <v>sim</v>
      </c>
      <c r="AE2855" t="str">
        <f>IF(OR(Configuracao!B9="",Configuracao!B10=""),"aguardando limiar",IF(AND(K2855&gt;=Configuracao!B9,K2855/MAX(Reconciliacao!C2,1)&gt;=Configuracao!B10/100),"sim","não"))</f>
        <v>aguardando limiar</v>
      </c>
    </row>
    <row r="2856" spans="1:31" x14ac:dyDescent="0.25">
      <c r="A2856">
        <v>15764</v>
      </c>
      <c r="C2856" t="s">
        <v>1668</v>
      </c>
      <c r="D2856" t="s">
        <v>1657</v>
      </c>
      <c r="E2856" t="s">
        <v>467</v>
      </c>
      <c r="F2856" t="s">
        <v>201</v>
      </c>
      <c r="G2856" t="s">
        <v>304</v>
      </c>
      <c r="H2856" t="s">
        <v>303</v>
      </c>
      <c r="I2856" t="s">
        <v>35</v>
      </c>
      <c r="J2856" t="s">
        <v>35</v>
      </c>
      <c r="K2856" s="4">
        <v>424.32</v>
      </c>
      <c r="L2856" s="4">
        <v>424.32</v>
      </c>
      <c r="M2856" t="s">
        <v>44</v>
      </c>
      <c r="N2856" t="s">
        <v>77</v>
      </c>
      <c r="O2856" t="s">
        <v>99</v>
      </c>
      <c r="P2856" t="s">
        <v>99</v>
      </c>
      <c r="Q2856" t="s">
        <v>202</v>
      </c>
      <c r="R2856" t="s">
        <v>203</v>
      </c>
      <c r="S2856" t="s">
        <v>161</v>
      </c>
      <c r="T2856" t="s">
        <v>162</v>
      </c>
      <c r="U2856" t="s">
        <v>163</v>
      </c>
      <c r="V2856" t="s">
        <v>164</v>
      </c>
      <c r="W2856" t="s">
        <v>116</v>
      </c>
      <c r="X2856" t="s">
        <v>44</v>
      </c>
      <c r="Y2856" t="s">
        <v>99</v>
      </c>
      <c r="Z2856" t="s">
        <v>421</v>
      </c>
      <c r="AC2856" t="str">
        <f>IF(AA2856="",M2856,AA2856)</f>
        <v>sim</v>
      </c>
      <c r="AD2856" t="str">
        <f>IF(AB2856="",X2856,AB2856)</f>
        <v>sim</v>
      </c>
      <c r="AE2856" t="str">
        <f>IF(OR(Configuracao!B9="",Configuracao!B10=""),"aguardando limiar",IF(AND(K2856&gt;=Configuracao!B9,K2856/MAX(Reconciliacao!C2,1)&gt;=Configuracao!B10/100),"sim","não"))</f>
        <v>aguardando limiar</v>
      </c>
    </row>
    <row r="2857" spans="1:31" x14ac:dyDescent="0.25">
      <c r="A2857">
        <v>16034</v>
      </c>
      <c r="C2857" t="s">
        <v>1668</v>
      </c>
      <c r="D2857" t="s">
        <v>1657</v>
      </c>
      <c r="E2857" t="s">
        <v>467</v>
      </c>
      <c r="F2857" t="s">
        <v>201</v>
      </c>
      <c r="G2857" t="s">
        <v>304</v>
      </c>
      <c r="H2857" t="s">
        <v>303</v>
      </c>
      <c r="I2857" t="s">
        <v>420</v>
      </c>
      <c r="J2857" t="s">
        <v>420</v>
      </c>
      <c r="K2857" s="4">
        <v>439.84</v>
      </c>
      <c r="L2857" s="4">
        <v>439.84</v>
      </c>
      <c r="M2857" t="s">
        <v>44</v>
      </c>
      <c r="N2857" t="s">
        <v>77</v>
      </c>
      <c r="O2857" t="s">
        <v>99</v>
      </c>
      <c r="P2857" t="s">
        <v>99</v>
      </c>
      <c r="Q2857" t="s">
        <v>202</v>
      </c>
      <c r="R2857" t="s">
        <v>203</v>
      </c>
      <c r="S2857" t="s">
        <v>161</v>
      </c>
      <c r="T2857" t="s">
        <v>162</v>
      </c>
      <c r="U2857" t="s">
        <v>163</v>
      </c>
      <c r="V2857" t="s">
        <v>164</v>
      </c>
      <c r="W2857" t="s">
        <v>116</v>
      </c>
      <c r="X2857" t="s">
        <v>44</v>
      </c>
      <c r="Y2857" t="s">
        <v>99</v>
      </c>
      <c r="Z2857" t="s">
        <v>421</v>
      </c>
      <c r="AC2857" t="str">
        <f>IF(AA2857="",M2857,AA2857)</f>
        <v>sim</v>
      </c>
      <c r="AD2857" t="str">
        <f>IF(AB2857="",X2857,AB2857)</f>
        <v>sim</v>
      </c>
      <c r="AE2857" t="str">
        <f>IF(OR(Configuracao!B9="",Configuracao!B10=""),"aguardando limiar",IF(AND(K2857&gt;=Configuracao!B9,K2857/MAX(Reconciliacao!C2,1)&gt;=Configuracao!B10/100),"sim","não"))</f>
        <v>aguardando limiar</v>
      </c>
    </row>
    <row r="2858" spans="1:31" x14ac:dyDescent="0.25">
      <c r="A2858">
        <v>16514</v>
      </c>
      <c r="C2858" t="s">
        <v>1670</v>
      </c>
      <c r="D2858" t="s">
        <v>1671</v>
      </c>
      <c r="E2858" t="s">
        <v>1094</v>
      </c>
      <c r="F2858" t="s">
        <v>201</v>
      </c>
      <c r="G2858" t="s">
        <v>304</v>
      </c>
      <c r="H2858" t="s">
        <v>303</v>
      </c>
      <c r="I2858" t="s">
        <v>35</v>
      </c>
      <c r="J2858" t="s">
        <v>35</v>
      </c>
      <c r="K2858" s="4">
        <v>455.47</v>
      </c>
      <c r="L2858" s="4">
        <v>455.47</v>
      </c>
      <c r="M2858" t="s">
        <v>44</v>
      </c>
      <c r="N2858" t="s">
        <v>77</v>
      </c>
      <c r="O2858" t="s">
        <v>99</v>
      </c>
      <c r="P2858" t="s">
        <v>99</v>
      </c>
      <c r="Q2858" t="s">
        <v>202</v>
      </c>
      <c r="R2858" t="s">
        <v>203</v>
      </c>
      <c r="S2858" t="s">
        <v>161</v>
      </c>
      <c r="T2858" t="s">
        <v>162</v>
      </c>
      <c r="U2858" t="s">
        <v>163</v>
      </c>
      <c r="V2858" t="s">
        <v>164</v>
      </c>
      <c r="W2858" t="s">
        <v>116</v>
      </c>
      <c r="X2858" t="s">
        <v>44</v>
      </c>
      <c r="Y2858" t="s">
        <v>99</v>
      </c>
      <c r="Z2858" t="s">
        <v>421</v>
      </c>
      <c r="AC2858" t="str">
        <f>IF(AA2858="",M2858,AA2858)</f>
        <v>sim</v>
      </c>
      <c r="AD2858" t="str">
        <f>IF(AB2858="",X2858,AB2858)</f>
        <v>sim</v>
      </c>
      <c r="AE2858" t="str">
        <f>IF(OR(Configuracao!B9="",Configuracao!B10=""),"aguardando limiar",IF(AND(K2858&gt;=Configuracao!B9,K2858/MAX(Reconciliacao!C2,1)&gt;=Configuracao!B10/100),"sim","não"))</f>
        <v>aguardando limiar</v>
      </c>
    </row>
    <row r="2859" spans="1:31" x14ac:dyDescent="0.25">
      <c r="A2859">
        <v>12994</v>
      </c>
      <c r="C2859" t="s">
        <v>1672</v>
      </c>
      <c r="D2859" t="s">
        <v>1474</v>
      </c>
      <c r="E2859" t="s">
        <v>224</v>
      </c>
      <c r="F2859" t="s">
        <v>201</v>
      </c>
      <c r="G2859" t="s">
        <v>304</v>
      </c>
      <c r="H2859" t="s">
        <v>303</v>
      </c>
      <c r="I2859" t="s">
        <v>420</v>
      </c>
      <c r="J2859" t="s">
        <v>420</v>
      </c>
      <c r="K2859" s="4">
        <v>728.15</v>
      </c>
      <c r="L2859" s="4">
        <v>728.15</v>
      </c>
      <c r="M2859" t="s">
        <v>44</v>
      </c>
      <c r="N2859" t="s">
        <v>77</v>
      </c>
      <c r="O2859" t="s">
        <v>99</v>
      </c>
      <c r="P2859" t="s">
        <v>99</v>
      </c>
      <c r="Q2859" t="s">
        <v>202</v>
      </c>
      <c r="R2859" t="s">
        <v>203</v>
      </c>
      <c r="S2859" t="s">
        <v>161</v>
      </c>
      <c r="T2859" t="s">
        <v>162</v>
      </c>
      <c r="U2859" t="s">
        <v>163</v>
      </c>
      <c r="V2859" t="s">
        <v>164</v>
      </c>
      <c r="W2859" t="s">
        <v>116</v>
      </c>
      <c r="X2859" t="s">
        <v>44</v>
      </c>
      <c r="Y2859" t="s">
        <v>99</v>
      </c>
      <c r="Z2859" t="s">
        <v>421</v>
      </c>
      <c r="AC2859" t="str">
        <f>IF(AA2859="",M2859,AA2859)</f>
        <v>sim</v>
      </c>
      <c r="AD2859" t="str">
        <f>IF(AB2859="",X2859,AB2859)</f>
        <v>sim</v>
      </c>
      <c r="AE2859" t="str">
        <f>IF(OR(Configuracao!B9="",Configuracao!B10=""),"aguardando limiar",IF(AND(K2859&gt;=Configuracao!B9,K2859/MAX(Reconciliacao!C2,1)&gt;=Configuracao!B10/100),"sim","não"))</f>
        <v>aguardando limiar</v>
      </c>
    </row>
    <row r="2860" spans="1:31" x14ac:dyDescent="0.25">
      <c r="A2860">
        <v>16488</v>
      </c>
      <c r="C2860" t="s">
        <v>1673</v>
      </c>
      <c r="D2860" t="s">
        <v>1660</v>
      </c>
      <c r="E2860" t="s">
        <v>445</v>
      </c>
      <c r="F2860" t="s">
        <v>201</v>
      </c>
      <c r="G2860" t="s">
        <v>392</v>
      </c>
      <c r="H2860" t="s">
        <v>391</v>
      </c>
      <c r="I2860" t="s">
        <v>454</v>
      </c>
      <c r="J2860" t="s">
        <v>454</v>
      </c>
      <c r="K2860" s="4">
        <v>34.81</v>
      </c>
      <c r="L2860" s="4">
        <v>34.81</v>
      </c>
      <c r="M2860" t="s">
        <v>44</v>
      </c>
      <c r="N2860" t="s">
        <v>77</v>
      </c>
      <c r="O2860" t="s">
        <v>99</v>
      </c>
      <c r="P2860" t="s">
        <v>99</v>
      </c>
      <c r="Q2860" t="s">
        <v>202</v>
      </c>
      <c r="R2860" t="s">
        <v>203</v>
      </c>
      <c r="S2860" t="s">
        <v>161</v>
      </c>
      <c r="T2860" t="s">
        <v>162</v>
      </c>
      <c r="U2860" t="s">
        <v>163</v>
      </c>
      <c r="V2860" t="s">
        <v>164</v>
      </c>
      <c r="W2860" t="s">
        <v>116</v>
      </c>
      <c r="X2860" t="s">
        <v>44</v>
      </c>
      <c r="Y2860" t="s">
        <v>99</v>
      </c>
      <c r="Z2860" t="s">
        <v>421</v>
      </c>
      <c r="AC2860" t="str">
        <f>IF(AA2860="",M2860,AA2860)</f>
        <v>sim</v>
      </c>
      <c r="AD2860" t="str">
        <f>IF(AB2860="",X2860,AB2860)</f>
        <v>sim</v>
      </c>
      <c r="AE2860" t="str">
        <f>IF(OR(Configuracao!B9="",Configuracao!B10=""),"aguardando limiar",IF(AND(K2860&gt;=Configuracao!B9,K2860/MAX(Reconciliacao!C2,1)&gt;=Configuracao!B10/100),"sim","não"))</f>
        <v>aguardando limiar</v>
      </c>
    </row>
    <row r="2861" spans="1:31" x14ac:dyDescent="0.25">
      <c r="A2861">
        <v>11633</v>
      </c>
      <c r="C2861" t="s">
        <v>1674</v>
      </c>
      <c r="D2861" t="s">
        <v>1675</v>
      </c>
      <c r="E2861" t="s">
        <v>1094</v>
      </c>
      <c r="F2861" t="s">
        <v>201</v>
      </c>
      <c r="G2861" t="s">
        <v>392</v>
      </c>
      <c r="H2861" t="s">
        <v>391</v>
      </c>
      <c r="I2861" t="s">
        <v>32</v>
      </c>
      <c r="J2861" t="s">
        <v>32</v>
      </c>
      <c r="K2861" s="4">
        <v>40</v>
      </c>
      <c r="L2861" s="4">
        <v>40</v>
      </c>
      <c r="M2861" t="s">
        <v>44</v>
      </c>
      <c r="N2861" t="s">
        <v>77</v>
      </c>
      <c r="O2861" t="s">
        <v>99</v>
      </c>
      <c r="P2861" t="s">
        <v>99</v>
      </c>
      <c r="Q2861" t="s">
        <v>202</v>
      </c>
      <c r="R2861" t="s">
        <v>203</v>
      </c>
      <c r="S2861" t="s">
        <v>161</v>
      </c>
      <c r="T2861" t="s">
        <v>162</v>
      </c>
      <c r="U2861" t="s">
        <v>163</v>
      </c>
      <c r="V2861" t="s">
        <v>164</v>
      </c>
      <c r="W2861" t="s">
        <v>116</v>
      </c>
      <c r="X2861" t="s">
        <v>44</v>
      </c>
      <c r="Y2861" t="s">
        <v>99</v>
      </c>
      <c r="Z2861" t="s">
        <v>421</v>
      </c>
      <c r="AC2861" t="str">
        <f>IF(AA2861="",M2861,AA2861)</f>
        <v>sim</v>
      </c>
      <c r="AD2861" t="str">
        <f>IF(AB2861="",X2861,AB2861)</f>
        <v>sim</v>
      </c>
      <c r="AE2861" t="str">
        <f>IF(OR(Configuracao!B9="",Configuracao!B10=""),"aguardando limiar",IF(AND(K2861&gt;=Configuracao!B9,K2861/MAX(Reconciliacao!C2,1)&gt;=Configuracao!B10/100),"sim","não"))</f>
        <v>aguardando limiar</v>
      </c>
    </row>
    <row r="2862" spans="1:31" x14ac:dyDescent="0.25">
      <c r="A2862">
        <v>14588</v>
      </c>
      <c r="C2862" t="s">
        <v>1676</v>
      </c>
      <c r="D2862" t="s">
        <v>1675</v>
      </c>
      <c r="E2862" t="s">
        <v>445</v>
      </c>
      <c r="F2862" t="s">
        <v>201</v>
      </c>
      <c r="G2862" t="s">
        <v>392</v>
      </c>
      <c r="H2862" t="s">
        <v>391</v>
      </c>
      <c r="I2862" t="s">
        <v>454</v>
      </c>
      <c r="J2862" t="s">
        <v>454</v>
      </c>
      <c r="K2862" s="4">
        <v>40</v>
      </c>
      <c r="L2862" s="4">
        <v>40</v>
      </c>
      <c r="M2862" t="s">
        <v>44</v>
      </c>
      <c r="N2862" t="s">
        <v>77</v>
      </c>
      <c r="O2862" t="s">
        <v>99</v>
      </c>
      <c r="P2862" t="s">
        <v>99</v>
      </c>
      <c r="Q2862" t="s">
        <v>202</v>
      </c>
      <c r="R2862" t="s">
        <v>203</v>
      </c>
      <c r="S2862" t="s">
        <v>161</v>
      </c>
      <c r="T2862" t="s">
        <v>162</v>
      </c>
      <c r="U2862" t="s">
        <v>163</v>
      </c>
      <c r="V2862" t="s">
        <v>164</v>
      </c>
      <c r="W2862" t="s">
        <v>116</v>
      </c>
      <c r="X2862" t="s">
        <v>44</v>
      </c>
      <c r="Y2862" t="s">
        <v>99</v>
      </c>
      <c r="Z2862" t="s">
        <v>421</v>
      </c>
      <c r="AC2862" t="str">
        <f>IF(AA2862="",M2862,AA2862)</f>
        <v>sim</v>
      </c>
      <c r="AD2862" t="str">
        <f>IF(AB2862="",X2862,AB2862)</f>
        <v>sim</v>
      </c>
      <c r="AE2862" t="str">
        <f>IF(OR(Configuracao!B9="",Configuracao!B10=""),"aguardando limiar",IF(AND(K2862&gt;=Configuracao!B9,K2862/MAX(Reconciliacao!C2,1)&gt;=Configuracao!B10/100),"sim","não"))</f>
        <v>aguardando limiar</v>
      </c>
    </row>
    <row r="2863" spans="1:31" x14ac:dyDescent="0.25">
      <c r="A2863">
        <v>19069</v>
      </c>
      <c r="C2863" t="s">
        <v>1677</v>
      </c>
      <c r="D2863" t="s">
        <v>1675</v>
      </c>
      <c r="E2863" t="s">
        <v>1094</v>
      </c>
      <c r="F2863" t="s">
        <v>201</v>
      </c>
      <c r="G2863" t="s">
        <v>392</v>
      </c>
      <c r="H2863" t="s">
        <v>391</v>
      </c>
      <c r="I2863" t="s">
        <v>35</v>
      </c>
      <c r="J2863" t="s">
        <v>35</v>
      </c>
      <c r="K2863" s="4">
        <v>40</v>
      </c>
      <c r="L2863" s="4">
        <v>40</v>
      </c>
      <c r="M2863" t="s">
        <v>44</v>
      </c>
      <c r="N2863" t="s">
        <v>77</v>
      </c>
      <c r="O2863" t="s">
        <v>99</v>
      </c>
      <c r="P2863" t="s">
        <v>99</v>
      </c>
      <c r="Q2863" t="s">
        <v>202</v>
      </c>
      <c r="R2863" t="s">
        <v>203</v>
      </c>
      <c r="S2863" t="s">
        <v>161</v>
      </c>
      <c r="T2863" t="s">
        <v>162</v>
      </c>
      <c r="U2863" t="s">
        <v>163</v>
      </c>
      <c r="V2863" t="s">
        <v>164</v>
      </c>
      <c r="W2863" t="s">
        <v>116</v>
      </c>
      <c r="X2863" t="s">
        <v>44</v>
      </c>
      <c r="Y2863" t="s">
        <v>99</v>
      </c>
      <c r="Z2863" t="s">
        <v>421</v>
      </c>
      <c r="AC2863" t="str">
        <f>IF(AA2863="",M2863,AA2863)</f>
        <v>sim</v>
      </c>
      <c r="AD2863" t="str">
        <f>IF(AB2863="",X2863,AB2863)</f>
        <v>sim</v>
      </c>
      <c r="AE2863" t="str">
        <f>IF(OR(Configuracao!B9="",Configuracao!B10=""),"aguardando limiar",IF(AND(K2863&gt;=Configuracao!B9,K2863/MAX(Reconciliacao!C2,1)&gt;=Configuracao!B10/100),"sim","não"))</f>
        <v>aguardando limiar</v>
      </c>
    </row>
    <row r="2864" spans="1:31" x14ac:dyDescent="0.25">
      <c r="A2864">
        <v>16490</v>
      </c>
      <c r="C2864" t="s">
        <v>1673</v>
      </c>
      <c r="D2864" t="s">
        <v>1660</v>
      </c>
      <c r="E2864" t="s">
        <v>445</v>
      </c>
      <c r="F2864" t="s">
        <v>201</v>
      </c>
      <c r="G2864" t="s">
        <v>392</v>
      </c>
      <c r="H2864" t="s">
        <v>391</v>
      </c>
      <c r="I2864" t="s">
        <v>461</v>
      </c>
      <c r="J2864" t="s">
        <v>461</v>
      </c>
      <c r="K2864" s="4">
        <v>52.5</v>
      </c>
      <c r="L2864" s="4">
        <v>52.5</v>
      </c>
      <c r="M2864" t="s">
        <v>44</v>
      </c>
      <c r="N2864" t="s">
        <v>77</v>
      </c>
      <c r="O2864" t="s">
        <v>99</v>
      </c>
      <c r="P2864" t="s">
        <v>99</v>
      </c>
      <c r="Q2864" t="s">
        <v>202</v>
      </c>
      <c r="R2864" t="s">
        <v>203</v>
      </c>
      <c r="S2864" t="s">
        <v>161</v>
      </c>
      <c r="T2864" t="s">
        <v>162</v>
      </c>
      <c r="U2864" t="s">
        <v>163</v>
      </c>
      <c r="V2864" t="s">
        <v>164</v>
      </c>
      <c r="W2864" t="s">
        <v>116</v>
      </c>
      <c r="X2864" t="s">
        <v>44</v>
      </c>
      <c r="Y2864" t="s">
        <v>99</v>
      </c>
      <c r="Z2864" t="s">
        <v>421</v>
      </c>
      <c r="AC2864" t="str">
        <f>IF(AA2864="",M2864,AA2864)</f>
        <v>sim</v>
      </c>
      <c r="AD2864" t="str">
        <f>IF(AB2864="",X2864,AB2864)</f>
        <v>sim</v>
      </c>
      <c r="AE2864" t="str">
        <f>IF(OR(Configuracao!B9="",Configuracao!B10=""),"aguardando limiar",IF(AND(K2864&gt;=Configuracao!B9,K2864/MAX(Reconciliacao!C2,1)&gt;=Configuracao!B10/100),"sim","não"))</f>
        <v>aguardando limiar</v>
      </c>
    </row>
    <row r="2865" spans="1:31" x14ac:dyDescent="0.25">
      <c r="A2865">
        <v>16492</v>
      </c>
      <c r="C2865" t="s">
        <v>1673</v>
      </c>
      <c r="D2865" t="s">
        <v>1660</v>
      </c>
      <c r="E2865" t="s">
        <v>445</v>
      </c>
      <c r="F2865" t="s">
        <v>201</v>
      </c>
      <c r="G2865" t="s">
        <v>392</v>
      </c>
      <c r="H2865" t="s">
        <v>391</v>
      </c>
      <c r="I2865" t="s">
        <v>442</v>
      </c>
      <c r="J2865" t="s">
        <v>442</v>
      </c>
      <c r="K2865" s="4">
        <v>53.4</v>
      </c>
      <c r="L2865" s="4">
        <v>53.4</v>
      </c>
      <c r="M2865" t="s">
        <v>44</v>
      </c>
      <c r="N2865" t="s">
        <v>77</v>
      </c>
      <c r="O2865" t="s">
        <v>99</v>
      </c>
      <c r="P2865" t="s">
        <v>99</v>
      </c>
      <c r="Q2865" t="s">
        <v>202</v>
      </c>
      <c r="R2865" t="s">
        <v>203</v>
      </c>
      <c r="S2865" t="s">
        <v>161</v>
      </c>
      <c r="T2865" t="s">
        <v>162</v>
      </c>
      <c r="U2865" t="s">
        <v>163</v>
      </c>
      <c r="V2865" t="s">
        <v>164</v>
      </c>
      <c r="W2865" t="s">
        <v>116</v>
      </c>
      <c r="X2865" t="s">
        <v>44</v>
      </c>
      <c r="Y2865" t="s">
        <v>99</v>
      </c>
      <c r="Z2865" t="s">
        <v>421</v>
      </c>
      <c r="AC2865" t="str">
        <f>IF(AA2865="",M2865,AA2865)</f>
        <v>sim</v>
      </c>
      <c r="AD2865" t="str">
        <f>IF(AB2865="",X2865,AB2865)</f>
        <v>sim</v>
      </c>
      <c r="AE2865" t="str">
        <f>IF(OR(Configuracao!B9="",Configuracao!B10=""),"aguardando limiar",IF(AND(K2865&gt;=Configuracao!B9,K2865/MAX(Reconciliacao!C2,1)&gt;=Configuracao!B10/100),"sim","não"))</f>
        <v>aguardando limiar</v>
      </c>
    </row>
    <row r="2866" spans="1:31" x14ac:dyDescent="0.25">
      <c r="A2866">
        <v>16496</v>
      </c>
      <c r="C2866" t="s">
        <v>1673</v>
      </c>
      <c r="D2866" t="s">
        <v>1660</v>
      </c>
      <c r="E2866" t="s">
        <v>445</v>
      </c>
      <c r="F2866" t="s">
        <v>201</v>
      </c>
      <c r="G2866" t="s">
        <v>392</v>
      </c>
      <c r="H2866" t="s">
        <v>391</v>
      </c>
      <c r="I2866" t="s">
        <v>35</v>
      </c>
      <c r="J2866" t="s">
        <v>35</v>
      </c>
      <c r="K2866" s="4">
        <v>54.1</v>
      </c>
      <c r="L2866" s="4">
        <v>54.1</v>
      </c>
      <c r="M2866" t="s">
        <v>44</v>
      </c>
      <c r="N2866" t="s">
        <v>77</v>
      </c>
      <c r="O2866" t="s">
        <v>99</v>
      </c>
      <c r="P2866" t="s">
        <v>99</v>
      </c>
      <c r="Q2866" t="s">
        <v>202</v>
      </c>
      <c r="R2866" t="s">
        <v>203</v>
      </c>
      <c r="S2866" t="s">
        <v>161</v>
      </c>
      <c r="T2866" t="s">
        <v>162</v>
      </c>
      <c r="U2866" t="s">
        <v>163</v>
      </c>
      <c r="V2866" t="s">
        <v>164</v>
      </c>
      <c r="W2866" t="s">
        <v>116</v>
      </c>
      <c r="X2866" t="s">
        <v>44</v>
      </c>
      <c r="Y2866" t="s">
        <v>99</v>
      </c>
      <c r="Z2866" t="s">
        <v>421</v>
      </c>
      <c r="AC2866" t="str">
        <f>IF(AA2866="",M2866,AA2866)</f>
        <v>sim</v>
      </c>
      <c r="AD2866" t="str">
        <f>IF(AB2866="",X2866,AB2866)</f>
        <v>sim</v>
      </c>
      <c r="AE2866" t="str">
        <f>IF(OR(Configuracao!B9="",Configuracao!B10=""),"aguardando limiar",IF(AND(K2866&gt;=Configuracao!B9,K2866/MAX(Reconciliacao!C2,1)&gt;=Configuracao!B10/100),"sim","não"))</f>
        <v>aguardando limiar</v>
      </c>
    </row>
    <row r="2867" spans="1:31" x14ac:dyDescent="0.25">
      <c r="A2867">
        <v>16494</v>
      </c>
      <c r="C2867" t="s">
        <v>1673</v>
      </c>
      <c r="D2867" t="s">
        <v>1660</v>
      </c>
      <c r="E2867" t="s">
        <v>445</v>
      </c>
      <c r="F2867" t="s">
        <v>201</v>
      </c>
      <c r="G2867" t="s">
        <v>392</v>
      </c>
      <c r="H2867" t="s">
        <v>391</v>
      </c>
      <c r="I2867" t="s">
        <v>439</v>
      </c>
      <c r="J2867" t="s">
        <v>439</v>
      </c>
      <c r="K2867" s="4">
        <v>55</v>
      </c>
      <c r="L2867" s="4">
        <v>55</v>
      </c>
      <c r="M2867" t="s">
        <v>44</v>
      </c>
      <c r="N2867" t="s">
        <v>77</v>
      </c>
      <c r="O2867" t="s">
        <v>99</v>
      </c>
      <c r="P2867" t="s">
        <v>99</v>
      </c>
      <c r="Q2867" t="s">
        <v>202</v>
      </c>
      <c r="R2867" t="s">
        <v>203</v>
      </c>
      <c r="S2867" t="s">
        <v>161</v>
      </c>
      <c r="T2867" t="s">
        <v>162</v>
      </c>
      <c r="U2867" t="s">
        <v>163</v>
      </c>
      <c r="V2867" t="s">
        <v>164</v>
      </c>
      <c r="W2867" t="s">
        <v>116</v>
      </c>
      <c r="X2867" t="s">
        <v>44</v>
      </c>
      <c r="Y2867" t="s">
        <v>99</v>
      </c>
      <c r="Z2867" t="s">
        <v>421</v>
      </c>
      <c r="AC2867" t="str">
        <f>IF(AA2867="",M2867,AA2867)</f>
        <v>sim</v>
      </c>
      <c r="AD2867" t="str">
        <f>IF(AB2867="",X2867,AB2867)</f>
        <v>sim</v>
      </c>
      <c r="AE2867" t="str">
        <f>IF(OR(Configuracao!B9="",Configuracao!B10=""),"aguardando limiar",IF(AND(K2867&gt;=Configuracao!B9,K2867/MAX(Reconciliacao!C2,1)&gt;=Configuracao!B10/100),"sim","não"))</f>
        <v>aguardando limiar</v>
      </c>
    </row>
    <row r="2868" spans="1:31" x14ac:dyDescent="0.25">
      <c r="A2868">
        <v>8334</v>
      </c>
      <c r="C2868" t="s">
        <v>1678</v>
      </c>
      <c r="D2868" t="s">
        <v>1679</v>
      </c>
      <c r="E2868" t="s">
        <v>1094</v>
      </c>
      <c r="F2868" t="s">
        <v>201</v>
      </c>
      <c r="G2868" t="s">
        <v>239</v>
      </c>
      <c r="H2868" t="s">
        <v>238</v>
      </c>
      <c r="I2868" t="s">
        <v>442</v>
      </c>
      <c r="J2868" t="s">
        <v>442</v>
      </c>
      <c r="K2868" s="4">
        <v>822.07</v>
      </c>
      <c r="L2868" s="4">
        <v>822.07</v>
      </c>
      <c r="M2868" t="s">
        <v>44</v>
      </c>
      <c r="N2868" t="s">
        <v>77</v>
      </c>
      <c r="O2868" t="s">
        <v>99</v>
      </c>
      <c r="P2868" t="s">
        <v>99</v>
      </c>
      <c r="Q2868" t="s">
        <v>223</v>
      </c>
      <c r="R2868" t="s">
        <v>224</v>
      </c>
      <c r="S2868" t="s">
        <v>197</v>
      </c>
      <c r="T2868" t="s">
        <v>198</v>
      </c>
      <c r="U2868" t="s">
        <v>163</v>
      </c>
      <c r="V2868" t="s">
        <v>186</v>
      </c>
      <c r="W2868" t="s">
        <v>116</v>
      </c>
      <c r="X2868" t="s">
        <v>44</v>
      </c>
      <c r="Y2868" t="s">
        <v>99</v>
      </c>
      <c r="Z2868" t="s">
        <v>421</v>
      </c>
      <c r="AC2868" t="str">
        <f>IF(AA2868="",M2868,AA2868)</f>
        <v>sim</v>
      </c>
      <c r="AD2868" t="str">
        <f>IF(AB2868="",X2868,AB2868)</f>
        <v>sim</v>
      </c>
      <c r="AE2868" t="str">
        <f>IF(OR(Configuracao!B9="",Configuracao!B10=""),"aguardando limiar",IF(AND(K2868&gt;=Configuracao!B9,K2868/MAX(Reconciliacao!C2,1)&gt;=Configuracao!B10/100),"sim","não"))</f>
        <v>aguardando limiar</v>
      </c>
    </row>
    <row r="2869" spans="1:31" x14ac:dyDescent="0.25">
      <c r="A2869">
        <v>7026</v>
      </c>
      <c r="C2869" t="s">
        <v>1680</v>
      </c>
      <c r="D2869" t="s">
        <v>1681</v>
      </c>
      <c r="E2869" t="s">
        <v>224</v>
      </c>
      <c r="F2869" t="s">
        <v>201</v>
      </c>
      <c r="G2869" t="s">
        <v>239</v>
      </c>
      <c r="H2869" t="s">
        <v>238</v>
      </c>
      <c r="I2869" t="s">
        <v>32</v>
      </c>
      <c r="J2869" t="s">
        <v>32</v>
      </c>
      <c r="K2869" s="4">
        <v>1000</v>
      </c>
      <c r="L2869" s="4">
        <v>1000</v>
      </c>
      <c r="M2869" t="s">
        <v>44</v>
      </c>
      <c r="N2869" t="s">
        <v>77</v>
      </c>
      <c r="O2869" t="s">
        <v>99</v>
      </c>
      <c r="P2869" t="s">
        <v>99</v>
      </c>
      <c r="Q2869" t="s">
        <v>223</v>
      </c>
      <c r="R2869" t="s">
        <v>224</v>
      </c>
      <c r="S2869" t="s">
        <v>197</v>
      </c>
      <c r="T2869" t="s">
        <v>198</v>
      </c>
      <c r="U2869" t="s">
        <v>163</v>
      </c>
      <c r="V2869" t="s">
        <v>186</v>
      </c>
      <c r="W2869" t="s">
        <v>116</v>
      </c>
      <c r="X2869" t="s">
        <v>44</v>
      </c>
      <c r="Y2869" t="s">
        <v>99</v>
      </c>
      <c r="Z2869" t="s">
        <v>421</v>
      </c>
      <c r="AC2869" t="str">
        <f>IF(AA2869="",M2869,AA2869)</f>
        <v>sim</v>
      </c>
      <c r="AD2869" t="str">
        <f>IF(AB2869="",X2869,AB2869)</f>
        <v>sim</v>
      </c>
      <c r="AE2869" t="str">
        <f>IF(OR(Configuracao!B9="",Configuracao!B10=""),"aguardando limiar",IF(AND(K2869&gt;=Configuracao!B9,K2869/MAX(Reconciliacao!C2,1)&gt;=Configuracao!B10/100),"sim","não"))</f>
        <v>aguardando limiar</v>
      </c>
    </row>
    <row r="2870" spans="1:31" x14ac:dyDescent="0.25">
      <c r="A2870">
        <v>7027</v>
      </c>
      <c r="C2870" t="s">
        <v>1680</v>
      </c>
      <c r="D2870" t="s">
        <v>1681</v>
      </c>
      <c r="E2870" t="s">
        <v>224</v>
      </c>
      <c r="F2870" t="s">
        <v>201</v>
      </c>
      <c r="G2870" t="s">
        <v>239</v>
      </c>
      <c r="H2870" t="s">
        <v>238</v>
      </c>
      <c r="I2870" t="s">
        <v>424</v>
      </c>
      <c r="J2870" t="s">
        <v>424</v>
      </c>
      <c r="K2870" s="4">
        <v>1000</v>
      </c>
      <c r="L2870" s="4">
        <v>1000</v>
      </c>
      <c r="M2870" t="s">
        <v>44</v>
      </c>
      <c r="N2870" t="s">
        <v>77</v>
      </c>
      <c r="O2870" t="s">
        <v>99</v>
      </c>
      <c r="P2870" t="s">
        <v>99</v>
      </c>
      <c r="Q2870" t="s">
        <v>223</v>
      </c>
      <c r="R2870" t="s">
        <v>224</v>
      </c>
      <c r="S2870" t="s">
        <v>197</v>
      </c>
      <c r="T2870" t="s">
        <v>198</v>
      </c>
      <c r="U2870" t="s">
        <v>163</v>
      </c>
      <c r="V2870" t="s">
        <v>186</v>
      </c>
      <c r="W2870" t="s">
        <v>116</v>
      </c>
      <c r="X2870" t="s">
        <v>44</v>
      </c>
      <c r="Y2870" t="s">
        <v>99</v>
      </c>
      <c r="Z2870" t="s">
        <v>421</v>
      </c>
      <c r="AC2870" t="str">
        <f>IF(AA2870="",M2870,AA2870)</f>
        <v>sim</v>
      </c>
      <c r="AD2870" t="str">
        <f>IF(AB2870="",X2870,AB2870)</f>
        <v>sim</v>
      </c>
      <c r="AE2870" t="str">
        <f>IF(OR(Configuracao!B9="",Configuracao!B10=""),"aguardando limiar",IF(AND(K2870&gt;=Configuracao!B9,K2870/MAX(Reconciliacao!C2,1)&gt;=Configuracao!B10/100),"sim","não"))</f>
        <v>aguardando limiar</v>
      </c>
    </row>
    <row r="2871" spans="1:31" x14ac:dyDescent="0.25">
      <c r="A2871">
        <v>7028</v>
      </c>
      <c r="C2871" t="s">
        <v>1680</v>
      </c>
      <c r="D2871" t="s">
        <v>1681</v>
      </c>
      <c r="E2871" t="s">
        <v>224</v>
      </c>
      <c r="F2871" t="s">
        <v>201</v>
      </c>
      <c r="G2871" t="s">
        <v>239</v>
      </c>
      <c r="H2871" t="s">
        <v>238</v>
      </c>
      <c r="I2871" t="s">
        <v>420</v>
      </c>
      <c r="J2871" t="s">
        <v>420</v>
      </c>
      <c r="K2871" s="4">
        <v>1000</v>
      </c>
      <c r="L2871" s="4">
        <v>1000</v>
      </c>
      <c r="M2871" t="s">
        <v>44</v>
      </c>
      <c r="N2871" t="s">
        <v>77</v>
      </c>
      <c r="O2871" t="s">
        <v>99</v>
      </c>
      <c r="P2871" t="s">
        <v>99</v>
      </c>
      <c r="Q2871" t="s">
        <v>223</v>
      </c>
      <c r="R2871" t="s">
        <v>224</v>
      </c>
      <c r="S2871" t="s">
        <v>197</v>
      </c>
      <c r="T2871" t="s">
        <v>198</v>
      </c>
      <c r="U2871" t="s">
        <v>163</v>
      </c>
      <c r="V2871" t="s">
        <v>186</v>
      </c>
      <c r="W2871" t="s">
        <v>116</v>
      </c>
      <c r="X2871" t="s">
        <v>44</v>
      </c>
      <c r="Y2871" t="s">
        <v>99</v>
      </c>
      <c r="Z2871" t="s">
        <v>421</v>
      </c>
      <c r="AC2871" t="str">
        <f>IF(AA2871="",M2871,AA2871)</f>
        <v>sim</v>
      </c>
      <c r="AD2871" t="str">
        <f>IF(AB2871="",X2871,AB2871)</f>
        <v>sim</v>
      </c>
      <c r="AE2871" t="str">
        <f>IF(OR(Configuracao!B9="",Configuracao!B10=""),"aguardando limiar",IF(AND(K2871&gt;=Configuracao!B9,K2871/MAX(Reconciliacao!C2,1)&gt;=Configuracao!B10/100),"sim","não"))</f>
        <v>aguardando limiar</v>
      </c>
    </row>
    <row r="2872" spans="1:31" x14ac:dyDescent="0.25">
      <c r="A2872">
        <v>7029</v>
      </c>
      <c r="C2872" t="s">
        <v>1680</v>
      </c>
      <c r="D2872" t="s">
        <v>1681</v>
      </c>
      <c r="E2872" t="s">
        <v>224</v>
      </c>
      <c r="F2872" t="s">
        <v>201</v>
      </c>
      <c r="G2872" t="s">
        <v>239</v>
      </c>
      <c r="H2872" t="s">
        <v>238</v>
      </c>
      <c r="I2872" t="s">
        <v>454</v>
      </c>
      <c r="J2872" t="s">
        <v>454</v>
      </c>
      <c r="K2872" s="4">
        <v>1000</v>
      </c>
      <c r="L2872" s="4">
        <v>1000</v>
      </c>
      <c r="M2872" t="s">
        <v>44</v>
      </c>
      <c r="N2872" t="s">
        <v>77</v>
      </c>
      <c r="O2872" t="s">
        <v>99</v>
      </c>
      <c r="P2872" t="s">
        <v>99</v>
      </c>
      <c r="Q2872" t="s">
        <v>223</v>
      </c>
      <c r="R2872" t="s">
        <v>224</v>
      </c>
      <c r="S2872" t="s">
        <v>197</v>
      </c>
      <c r="T2872" t="s">
        <v>198</v>
      </c>
      <c r="U2872" t="s">
        <v>163</v>
      </c>
      <c r="V2872" t="s">
        <v>186</v>
      </c>
      <c r="W2872" t="s">
        <v>116</v>
      </c>
      <c r="X2872" t="s">
        <v>44</v>
      </c>
      <c r="Y2872" t="s">
        <v>99</v>
      </c>
      <c r="Z2872" t="s">
        <v>421</v>
      </c>
      <c r="AC2872" t="str">
        <f>IF(AA2872="",M2872,AA2872)</f>
        <v>sim</v>
      </c>
      <c r="AD2872" t="str">
        <f>IF(AB2872="",X2872,AB2872)</f>
        <v>sim</v>
      </c>
      <c r="AE2872" t="str">
        <f>IF(OR(Configuracao!B9="",Configuracao!B10=""),"aguardando limiar",IF(AND(K2872&gt;=Configuracao!B9,K2872/MAX(Reconciliacao!C2,1)&gt;=Configuracao!B10/100),"sim","não"))</f>
        <v>aguardando limiar</v>
      </c>
    </row>
    <row r="2873" spans="1:31" x14ac:dyDescent="0.25">
      <c r="A2873">
        <v>7030</v>
      </c>
      <c r="C2873" t="s">
        <v>1680</v>
      </c>
      <c r="D2873" t="s">
        <v>1681</v>
      </c>
      <c r="E2873" t="s">
        <v>224</v>
      </c>
      <c r="F2873" t="s">
        <v>201</v>
      </c>
      <c r="G2873" t="s">
        <v>239</v>
      </c>
      <c r="H2873" t="s">
        <v>238</v>
      </c>
      <c r="I2873" t="s">
        <v>461</v>
      </c>
      <c r="J2873" t="s">
        <v>461</v>
      </c>
      <c r="K2873" s="4">
        <v>1000</v>
      </c>
      <c r="L2873" s="4">
        <v>1000</v>
      </c>
      <c r="M2873" t="s">
        <v>44</v>
      </c>
      <c r="N2873" t="s">
        <v>77</v>
      </c>
      <c r="O2873" t="s">
        <v>99</v>
      </c>
      <c r="P2873" t="s">
        <v>99</v>
      </c>
      <c r="Q2873" t="s">
        <v>223</v>
      </c>
      <c r="R2873" t="s">
        <v>224</v>
      </c>
      <c r="S2873" t="s">
        <v>197</v>
      </c>
      <c r="T2873" t="s">
        <v>198</v>
      </c>
      <c r="U2873" t="s">
        <v>163</v>
      </c>
      <c r="V2873" t="s">
        <v>186</v>
      </c>
      <c r="W2873" t="s">
        <v>116</v>
      </c>
      <c r="X2873" t="s">
        <v>44</v>
      </c>
      <c r="Y2873" t="s">
        <v>99</v>
      </c>
      <c r="Z2873" t="s">
        <v>421</v>
      </c>
      <c r="AC2873" t="str">
        <f>IF(AA2873="",M2873,AA2873)</f>
        <v>sim</v>
      </c>
      <c r="AD2873" t="str">
        <f>IF(AB2873="",X2873,AB2873)</f>
        <v>sim</v>
      </c>
      <c r="AE2873" t="str">
        <f>IF(OR(Configuracao!B9="",Configuracao!B10=""),"aguardando limiar",IF(AND(K2873&gt;=Configuracao!B9,K2873/MAX(Reconciliacao!C2,1)&gt;=Configuracao!B10/100),"sim","não"))</f>
        <v>aguardando limiar</v>
      </c>
    </row>
    <row r="2874" spans="1:31" x14ac:dyDescent="0.25">
      <c r="A2874">
        <v>7031</v>
      </c>
      <c r="C2874" t="s">
        <v>1680</v>
      </c>
      <c r="D2874" t="s">
        <v>1681</v>
      </c>
      <c r="E2874" t="s">
        <v>224</v>
      </c>
      <c r="F2874" t="s">
        <v>201</v>
      </c>
      <c r="G2874" t="s">
        <v>239</v>
      </c>
      <c r="H2874" t="s">
        <v>238</v>
      </c>
      <c r="I2874" t="s">
        <v>442</v>
      </c>
      <c r="J2874" t="s">
        <v>442</v>
      </c>
      <c r="K2874" s="4">
        <v>1000</v>
      </c>
      <c r="L2874" s="4">
        <v>1000</v>
      </c>
      <c r="M2874" t="s">
        <v>44</v>
      </c>
      <c r="N2874" t="s">
        <v>77</v>
      </c>
      <c r="O2874" t="s">
        <v>99</v>
      </c>
      <c r="P2874" t="s">
        <v>99</v>
      </c>
      <c r="Q2874" t="s">
        <v>223</v>
      </c>
      <c r="R2874" t="s">
        <v>224</v>
      </c>
      <c r="S2874" t="s">
        <v>197</v>
      </c>
      <c r="T2874" t="s">
        <v>198</v>
      </c>
      <c r="U2874" t="s">
        <v>163</v>
      </c>
      <c r="V2874" t="s">
        <v>186</v>
      </c>
      <c r="W2874" t="s">
        <v>116</v>
      </c>
      <c r="X2874" t="s">
        <v>44</v>
      </c>
      <c r="Y2874" t="s">
        <v>99</v>
      </c>
      <c r="Z2874" t="s">
        <v>421</v>
      </c>
      <c r="AC2874" t="str">
        <f>IF(AA2874="",M2874,AA2874)</f>
        <v>sim</v>
      </c>
      <c r="AD2874" t="str">
        <f>IF(AB2874="",X2874,AB2874)</f>
        <v>sim</v>
      </c>
      <c r="AE2874" t="str">
        <f>IF(OR(Configuracao!B9="",Configuracao!B10=""),"aguardando limiar",IF(AND(K2874&gt;=Configuracao!B9,K2874/MAX(Reconciliacao!C2,1)&gt;=Configuracao!B10/100),"sim","não"))</f>
        <v>aguardando limiar</v>
      </c>
    </row>
    <row r="2875" spans="1:31" x14ac:dyDescent="0.25">
      <c r="A2875">
        <v>7032</v>
      </c>
      <c r="C2875" t="s">
        <v>1680</v>
      </c>
      <c r="D2875" t="s">
        <v>1681</v>
      </c>
      <c r="E2875" t="s">
        <v>224</v>
      </c>
      <c r="F2875" t="s">
        <v>201</v>
      </c>
      <c r="G2875" t="s">
        <v>239</v>
      </c>
      <c r="H2875" t="s">
        <v>238</v>
      </c>
      <c r="I2875" t="s">
        <v>439</v>
      </c>
      <c r="J2875" t="s">
        <v>439</v>
      </c>
      <c r="K2875" s="4">
        <v>1000</v>
      </c>
      <c r="L2875" s="4">
        <v>1000</v>
      </c>
      <c r="M2875" t="s">
        <v>44</v>
      </c>
      <c r="N2875" t="s">
        <v>77</v>
      </c>
      <c r="O2875" t="s">
        <v>99</v>
      </c>
      <c r="P2875" t="s">
        <v>99</v>
      </c>
      <c r="Q2875" t="s">
        <v>223</v>
      </c>
      <c r="R2875" t="s">
        <v>224</v>
      </c>
      <c r="S2875" t="s">
        <v>197</v>
      </c>
      <c r="T2875" t="s">
        <v>198</v>
      </c>
      <c r="U2875" t="s">
        <v>163</v>
      </c>
      <c r="V2875" t="s">
        <v>186</v>
      </c>
      <c r="W2875" t="s">
        <v>116</v>
      </c>
      <c r="X2875" t="s">
        <v>44</v>
      </c>
      <c r="Y2875" t="s">
        <v>99</v>
      </c>
      <c r="Z2875" t="s">
        <v>421</v>
      </c>
      <c r="AC2875" t="str">
        <f>IF(AA2875="",M2875,AA2875)</f>
        <v>sim</v>
      </c>
      <c r="AD2875" t="str">
        <f>IF(AB2875="",X2875,AB2875)</f>
        <v>sim</v>
      </c>
      <c r="AE2875" t="str">
        <f>IF(OR(Configuracao!B9="",Configuracao!B10=""),"aguardando limiar",IF(AND(K2875&gt;=Configuracao!B9,K2875/MAX(Reconciliacao!C2,1)&gt;=Configuracao!B10/100),"sim","não"))</f>
        <v>aguardando limiar</v>
      </c>
    </row>
    <row r="2876" spans="1:31" x14ac:dyDescent="0.25">
      <c r="A2876">
        <v>7033</v>
      </c>
      <c r="C2876" t="s">
        <v>1680</v>
      </c>
      <c r="D2876" t="s">
        <v>1681</v>
      </c>
      <c r="E2876" t="s">
        <v>224</v>
      </c>
      <c r="F2876" t="s">
        <v>201</v>
      </c>
      <c r="G2876" t="s">
        <v>239</v>
      </c>
      <c r="H2876" t="s">
        <v>238</v>
      </c>
      <c r="I2876" t="s">
        <v>35</v>
      </c>
      <c r="J2876" t="s">
        <v>35</v>
      </c>
      <c r="K2876" s="4">
        <v>1000</v>
      </c>
      <c r="L2876" s="4">
        <v>1000</v>
      </c>
      <c r="M2876" t="s">
        <v>44</v>
      </c>
      <c r="N2876" t="s">
        <v>77</v>
      </c>
      <c r="O2876" t="s">
        <v>99</v>
      </c>
      <c r="P2876" t="s">
        <v>99</v>
      </c>
      <c r="Q2876" t="s">
        <v>223</v>
      </c>
      <c r="R2876" t="s">
        <v>224</v>
      </c>
      <c r="S2876" t="s">
        <v>197</v>
      </c>
      <c r="T2876" t="s">
        <v>198</v>
      </c>
      <c r="U2876" t="s">
        <v>163</v>
      </c>
      <c r="V2876" t="s">
        <v>186</v>
      </c>
      <c r="W2876" t="s">
        <v>116</v>
      </c>
      <c r="X2876" t="s">
        <v>44</v>
      </c>
      <c r="Y2876" t="s">
        <v>99</v>
      </c>
      <c r="Z2876" t="s">
        <v>421</v>
      </c>
      <c r="AC2876" t="str">
        <f>IF(AA2876="",M2876,AA2876)</f>
        <v>sim</v>
      </c>
      <c r="AD2876" t="str">
        <f>IF(AB2876="",X2876,AB2876)</f>
        <v>sim</v>
      </c>
      <c r="AE2876" t="str">
        <f>IF(OR(Configuracao!B9="",Configuracao!B10=""),"aguardando limiar",IF(AND(K2876&gt;=Configuracao!B9,K2876/MAX(Reconciliacao!C2,1)&gt;=Configuracao!B10/100),"sim","não"))</f>
        <v>aguardando limiar</v>
      </c>
    </row>
    <row r="2877" spans="1:31" x14ac:dyDescent="0.25">
      <c r="A2877">
        <v>8329</v>
      </c>
      <c r="C2877" t="s">
        <v>1678</v>
      </c>
      <c r="D2877" t="s">
        <v>1679</v>
      </c>
      <c r="E2877" t="s">
        <v>1094</v>
      </c>
      <c r="F2877" t="s">
        <v>201</v>
      </c>
      <c r="G2877" t="s">
        <v>239</v>
      </c>
      <c r="H2877" t="s">
        <v>238</v>
      </c>
      <c r="I2877" t="s">
        <v>32</v>
      </c>
      <c r="J2877" t="s">
        <v>32</v>
      </c>
      <c r="K2877" s="4">
        <v>1121</v>
      </c>
      <c r="L2877" s="4">
        <v>1121</v>
      </c>
      <c r="M2877" t="s">
        <v>44</v>
      </c>
      <c r="N2877" t="s">
        <v>77</v>
      </c>
      <c r="O2877" t="s">
        <v>99</v>
      </c>
      <c r="P2877" t="s">
        <v>99</v>
      </c>
      <c r="Q2877" t="s">
        <v>223</v>
      </c>
      <c r="R2877" t="s">
        <v>224</v>
      </c>
      <c r="S2877" t="s">
        <v>197</v>
      </c>
      <c r="T2877" t="s">
        <v>198</v>
      </c>
      <c r="U2877" t="s">
        <v>163</v>
      </c>
      <c r="V2877" t="s">
        <v>186</v>
      </c>
      <c r="W2877" t="s">
        <v>116</v>
      </c>
      <c r="X2877" t="s">
        <v>44</v>
      </c>
      <c r="Y2877" t="s">
        <v>99</v>
      </c>
      <c r="Z2877" t="s">
        <v>421</v>
      </c>
      <c r="AC2877" t="str">
        <f>IF(AA2877="",M2877,AA2877)</f>
        <v>sim</v>
      </c>
      <c r="AD2877" t="str">
        <f>IF(AB2877="",X2877,AB2877)</f>
        <v>sim</v>
      </c>
      <c r="AE2877" t="str">
        <f>IF(OR(Configuracao!B9="",Configuracao!B10=""),"aguardando limiar",IF(AND(K2877&gt;=Configuracao!B9,K2877/MAX(Reconciliacao!C2,1)&gt;=Configuracao!B10/100),"sim","não"))</f>
        <v>aguardando limiar</v>
      </c>
    </row>
    <row r="2878" spans="1:31" x14ac:dyDescent="0.25">
      <c r="A2878">
        <v>8330</v>
      </c>
      <c r="C2878" t="s">
        <v>1678</v>
      </c>
      <c r="D2878" t="s">
        <v>1679</v>
      </c>
      <c r="E2878" t="s">
        <v>1094</v>
      </c>
      <c r="F2878" t="s">
        <v>201</v>
      </c>
      <c r="G2878" t="s">
        <v>239</v>
      </c>
      <c r="H2878" t="s">
        <v>238</v>
      </c>
      <c r="I2878" t="s">
        <v>424</v>
      </c>
      <c r="J2878" t="s">
        <v>424</v>
      </c>
      <c r="K2878" s="4">
        <v>1121</v>
      </c>
      <c r="L2878" s="4">
        <v>1121</v>
      </c>
      <c r="M2878" t="s">
        <v>44</v>
      </c>
      <c r="N2878" t="s">
        <v>77</v>
      </c>
      <c r="O2878" t="s">
        <v>99</v>
      </c>
      <c r="P2878" t="s">
        <v>99</v>
      </c>
      <c r="Q2878" t="s">
        <v>223</v>
      </c>
      <c r="R2878" t="s">
        <v>224</v>
      </c>
      <c r="S2878" t="s">
        <v>197</v>
      </c>
      <c r="T2878" t="s">
        <v>198</v>
      </c>
      <c r="U2878" t="s">
        <v>163</v>
      </c>
      <c r="V2878" t="s">
        <v>186</v>
      </c>
      <c r="W2878" t="s">
        <v>116</v>
      </c>
      <c r="X2878" t="s">
        <v>44</v>
      </c>
      <c r="Y2878" t="s">
        <v>99</v>
      </c>
      <c r="Z2878" t="s">
        <v>421</v>
      </c>
      <c r="AC2878" t="str">
        <f>IF(AA2878="",M2878,AA2878)</f>
        <v>sim</v>
      </c>
      <c r="AD2878" t="str">
        <f>IF(AB2878="",X2878,AB2878)</f>
        <v>sim</v>
      </c>
      <c r="AE2878" t="str">
        <f>IF(OR(Configuracao!B9="",Configuracao!B10=""),"aguardando limiar",IF(AND(K2878&gt;=Configuracao!B9,K2878/MAX(Reconciliacao!C2,1)&gt;=Configuracao!B10/100),"sim","não"))</f>
        <v>aguardando limiar</v>
      </c>
    </row>
    <row r="2879" spans="1:31" x14ac:dyDescent="0.25">
      <c r="A2879">
        <v>8331</v>
      </c>
      <c r="C2879" t="s">
        <v>1678</v>
      </c>
      <c r="D2879" t="s">
        <v>1679</v>
      </c>
      <c r="E2879" t="s">
        <v>1094</v>
      </c>
      <c r="F2879" t="s">
        <v>201</v>
      </c>
      <c r="G2879" t="s">
        <v>239</v>
      </c>
      <c r="H2879" t="s">
        <v>238</v>
      </c>
      <c r="I2879" t="s">
        <v>420</v>
      </c>
      <c r="J2879" t="s">
        <v>420</v>
      </c>
      <c r="K2879" s="4">
        <v>1121</v>
      </c>
      <c r="L2879" s="4">
        <v>1121</v>
      </c>
      <c r="M2879" t="s">
        <v>44</v>
      </c>
      <c r="N2879" t="s">
        <v>77</v>
      </c>
      <c r="O2879" t="s">
        <v>99</v>
      </c>
      <c r="P2879" t="s">
        <v>99</v>
      </c>
      <c r="Q2879" t="s">
        <v>223</v>
      </c>
      <c r="R2879" t="s">
        <v>224</v>
      </c>
      <c r="S2879" t="s">
        <v>197</v>
      </c>
      <c r="T2879" t="s">
        <v>198</v>
      </c>
      <c r="U2879" t="s">
        <v>163</v>
      </c>
      <c r="V2879" t="s">
        <v>186</v>
      </c>
      <c r="W2879" t="s">
        <v>116</v>
      </c>
      <c r="X2879" t="s">
        <v>44</v>
      </c>
      <c r="Y2879" t="s">
        <v>99</v>
      </c>
      <c r="Z2879" t="s">
        <v>421</v>
      </c>
      <c r="AC2879" t="str">
        <f>IF(AA2879="",M2879,AA2879)</f>
        <v>sim</v>
      </c>
      <c r="AD2879" t="str">
        <f>IF(AB2879="",X2879,AB2879)</f>
        <v>sim</v>
      </c>
      <c r="AE2879" t="str">
        <f>IF(OR(Configuracao!B9="",Configuracao!B10=""),"aguardando limiar",IF(AND(K2879&gt;=Configuracao!B9,K2879/MAX(Reconciliacao!C2,1)&gt;=Configuracao!B10/100),"sim","não"))</f>
        <v>aguardando limiar</v>
      </c>
    </row>
    <row r="2880" spans="1:31" x14ac:dyDescent="0.25">
      <c r="A2880">
        <v>8332</v>
      </c>
      <c r="C2880" t="s">
        <v>1678</v>
      </c>
      <c r="D2880" t="s">
        <v>1679</v>
      </c>
      <c r="E2880" t="s">
        <v>1094</v>
      </c>
      <c r="F2880" t="s">
        <v>201</v>
      </c>
      <c r="G2880" t="s">
        <v>239</v>
      </c>
      <c r="H2880" t="s">
        <v>238</v>
      </c>
      <c r="I2880" t="s">
        <v>454</v>
      </c>
      <c r="J2880" t="s">
        <v>454</v>
      </c>
      <c r="K2880" s="4">
        <v>1121</v>
      </c>
      <c r="L2880" s="4">
        <v>1121</v>
      </c>
      <c r="M2880" t="s">
        <v>44</v>
      </c>
      <c r="N2880" t="s">
        <v>77</v>
      </c>
      <c r="O2880" t="s">
        <v>99</v>
      </c>
      <c r="P2880" t="s">
        <v>99</v>
      </c>
      <c r="Q2880" t="s">
        <v>223</v>
      </c>
      <c r="R2880" t="s">
        <v>224</v>
      </c>
      <c r="S2880" t="s">
        <v>197</v>
      </c>
      <c r="T2880" t="s">
        <v>198</v>
      </c>
      <c r="U2880" t="s">
        <v>163</v>
      </c>
      <c r="V2880" t="s">
        <v>186</v>
      </c>
      <c r="W2880" t="s">
        <v>116</v>
      </c>
      <c r="X2880" t="s">
        <v>44</v>
      </c>
      <c r="Y2880" t="s">
        <v>99</v>
      </c>
      <c r="Z2880" t="s">
        <v>421</v>
      </c>
      <c r="AC2880" t="str">
        <f>IF(AA2880="",M2880,AA2880)</f>
        <v>sim</v>
      </c>
      <c r="AD2880" t="str">
        <f>IF(AB2880="",X2880,AB2880)</f>
        <v>sim</v>
      </c>
      <c r="AE2880" t="str">
        <f>IF(OR(Configuracao!B9="",Configuracao!B10=""),"aguardando limiar",IF(AND(K2880&gt;=Configuracao!B9,K2880/MAX(Reconciliacao!C2,1)&gt;=Configuracao!B10/100),"sim","não"))</f>
        <v>aguardando limiar</v>
      </c>
    </row>
    <row r="2881" spans="1:31" x14ac:dyDescent="0.25">
      <c r="A2881">
        <v>8333</v>
      </c>
      <c r="C2881" t="s">
        <v>1678</v>
      </c>
      <c r="D2881" t="s">
        <v>1679</v>
      </c>
      <c r="E2881" t="s">
        <v>1094</v>
      </c>
      <c r="F2881" t="s">
        <v>201</v>
      </c>
      <c r="G2881" t="s">
        <v>239</v>
      </c>
      <c r="H2881" t="s">
        <v>238</v>
      </c>
      <c r="I2881" t="s">
        <v>461</v>
      </c>
      <c r="J2881" t="s">
        <v>461</v>
      </c>
      <c r="K2881" s="4">
        <v>1121</v>
      </c>
      <c r="L2881" s="4">
        <v>1121</v>
      </c>
      <c r="M2881" t="s">
        <v>44</v>
      </c>
      <c r="N2881" t="s">
        <v>77</v>
      </c>
      <c r="O2881" t="s">
        <v>99</v>
      </c>
      <c r="P2881" t="s">
        <v>99</v>
      </c>
      <c r="Q2881" t="s">
        <v>223</v>
      </c>
      <c r="R2881" t="s">
        <v>224</v>
      </c>
      <c r="S2881" t="s">
        <v>197</v>
      </c>
      <c r="T2881" t="s">
        <v>198</v>
      </c>
      <c r="U2881" t="s">
        <v>163</v>
      </c>
      <c r="V2881" t="s">
        <v>186</v>
      </c>
      <c r="W2881" t="s">
        <v>116</v>
      </c>
      <c r="X2881" t="s">
        <v>44</v>
      </c>
      <c r="Y2881" t="s">
        <v>99</v>
      </c>
      <c r="Z2881" t="s">
        <v>421</v>
      </c>
      <c r="AC2881" t="str">
        <f>IF(AA2881="",M2881,AA2881)</f>
        <v>sim</v>
      </c>
      <c r="AD2881" t="str">
        <f>IF(AB2881="",X2881,AB2881)</f>
        <v>sim</v>
      </c>
      <c r="AE2881" t="str">
        <f>IF(OR(Configuracao!B9="",Configuracao!B10=""),"aguardando limiar",IF(AND(K2881&gt;=Configuracao!B9,K2881/MAX(Reconciliacao!C2,1)&gt;=Configuracao!B10/100),"sim","não"))</f>
        <v>aguardando limiar</v>
      </c>
    </row>
    <row r="2882" spans="1:31" x14ac:dyDescent="0.25">
      <c r="A2882">
        <v>8341</v>
      </c>
      <c r="C2882" t="s">
        <v>1682</v>
      </c>
      <c r="D2882" t="s">
        <v>1679</v>
      </c>
      <c r="E2882" t="s">
        <v>1094</v>
      </c>
      <c r="F2882" t="s">
        <v>201</v>
      </c>
      <c r="G2882" t="s">
        <v>239</v>
      </c>
      <c r="H2882" t="s">
        <v>238</v>
      </c>
      <c r="I2882" t="s">
        <v>32</v>
      </c>
      <c r="J2882" t="s">
        <v>32</v>
      </c>
      <c r="K2882" s="4">
        <v>1350</v>
      </c>
      <c r="L2882" s="4">
        <v>1350</v>
      </c>
      <c r="M2882" t="s">
        <v>44</v>
      </c>
      <c r="N2882" t="s">
        <v>77</v>
      </c>
      <c r="O2882" t="s">
        <v>99</v>
      </c>
      <c r="P2882" t="s">
        <v>99</v>
      </c>
      <c r="Q2882" t="s">
        <v>223</v>
      </c>
      <c r="R2882" t="s">
        <v>224</v>
      </c>
      <c r="S2882" t="s">
        <v>197</v>
      </c>
      <c r="T2882" t="s">
        <v>198</v>
      </c>
      <c r="U2882" t="s">
        <v>163</v>
      </c>
      <c r="V2882" t="s">
        <v>186</v>
      </c>
      <c r="W2882" t="s">
        <v>116</v>
      </c>
      <c r="X2882" t="s">
        <v>44</v>
      </c>
      <c r="Y2882" t="s">
        <v>99</v>
      </c>
      <c r="Z2882" t="s">
        <v>421</v>
      </c>
      <c r="AC2882" t="str">
        <f>IF(AA2882="",M2882,AA2882)</f>
        <v>sim</v>
      </c>
      <c r="AD2882" t="str">
        <f>IF(AB2882="",X2882,AB2882)</f>
        <v>sim</v>
      </c>
      <c r="AE2882" t="str">
        <f>IF(OR(Configuracao!B9="",Configuracao!B10=""),"aguardando limiar",IF(AND(K2882&gt;=Configuracao!B9,K2882/MAX(Reconciliacao!C2,1)&gt;=Configuracao!B10/100),"sim","não"))</f>
        <v>aguardando limiar</v>
      </c>
    </row>
    <row r="2883" spans="1:31" x14ac:dyDescent="0.25">
      <c r="A2883">
        <v>8342</v>
      </c>
      <c r="C2883" t="s">
        <v>1682</v>
      </c>
      <c r="D2883" t="s">
        <v>1679</v>
      </c>
      <c r="E2883" t="s">
        <v>1094</v>
      </c>
      <c r="F2883" t="s">
        <v>201</v>
      </c>
      <c r="G2883" t="s">
        <v>239</v>
      </c>
      <c r="H2883" t="s">
        <v>238</v>
      </c>
      <c r="I2883" t="s">
        <v>424</v>
      </c>
      <c r="J2883" t="s">
        <v>424</v>
      </c>
      <c r="K2883" s="4">
        <v>1965</v>
      </c>
      <c r="L2883" s="4">
        <v>1965</v>
      </c>
      <c r="M2883" t="s">
        <v>44</v>
      </c>
      <c r="N2883" t="s">
        <v>77</v>
      </c>
      <c r="O2883" t="s">
        <v>99</v>
      </c>
      <c r="P2883" t="s">
        <v>99</v>
      </c>
      <c r="Q2883" t="s">
        <v>223</v>
      </c>
      <c r="R2883" t="s">
        <v>224</v>
      </c>
      <c r="S2883" t="s">
        <v>197</v>
      </c>
      <c r="T2883" t="s">
        <v>198</v>
      </c>
      <c r="U2883" t="s">
        <v>163</v>
      </c>
      <c r="V2883" t="s">
        <v>186</v>
      </c>
      <c r="W2883" t="s">
        <v>116</v>
      </c>
      <c r="X2883" t="s">
        <v>44</v>
      </c>
      <c r="Y2883" t="s">
        <v>99</v>
      </c>
      <c r="Z2883" t="s">
        <v>421</v>
      </c>
      <c r="AC2883" t="str">
        <f>IF(AA2883="",M2883,AA2883)</f>
        <v>sim</v>
      </c>
      <c r="AD2883" t="str">
        <f>IF(AB2883="",X2883,AB2883)</f>
        <v>sim</v>
      </c>
      <c r="AE2883" t="str">
        <f>IF(OR(Configuracao!B9="",Configuracao!B10=""),"aguardando limiar",IF(AND(K2883&gt;=Configuracao!B9,K2883/MAX(Reconciliacao!C2,1)&gt;=Configuracao!B10/100),"sim","não"))</f>
        <v>aguardando limiar</v>
      </c>
    </row>
    <row r="2884" spans="1:31" x14ac:dyDescent="0.25">
      <c r="A2884">
        <v>8343</v>
      </c>
      <c r="C2884" t="s">
        <v>1682</v>
      </c>
      <c r="D2884" t="s">
        <v>1679</v>
      </c>
      <c r="E2884" t="s">
        <v>1094</v>
      </c>
      <c r="F2884" t="s">
        <v>201</v>
      </c>
      <c r="G2884" t="s">
        <v>239</v>
      </c>
      <c r="H2884" t="s">
        <v>238</v>
      </c>
      <c r="I2884" t="s">
        <v>420</v>
      </c>
      <c r="J2884" t="s">
        <v>420</v>
      </c>
      <c r="K2884" s="4">
        <v>1965</v>
      </c>
      <c r="L2884" s="4">
        <v>1965</v>
      </c>
      <c r="M2884" t="s">
        <v>44</v>
      </c>
      <c r="N2884" t="s">
        <v>77</v>
      </c>
      <c r="O2884" t="s">
        <v>99</v>
      </c>
      <c r="P2884" t="s">
        <v>99</v>
      </c>
      <c r="Q2884" t="s">
        <v>223</v>
      </c>
      <c r="R2884" t="s">
        <v>224</v>
      </c>
      <c r="S2884" t="s">
        <v>197</v>
      </c>
      <c r="T2884" t="s">
        <v>198</v>
      </c>
      <c r="U2884" t="s">
        <v>163</v>
      </c>
      <c r="V2884" t="s">
        <v>186</v>
      </c>
      <c r="W2884" t="s">
        <v>116</v>
      </c>
      <c r="X2884" t="s">
        <v>44</v>
      </c>
      <c r="Y2884" t="s">
        <v>99</v>
      </c>
      <c r="Z2884" t="s">
        <v>421</v>
      </c>
      <c r="AC2884" t="str">
        <f>IF(AA2884="",M2884,AA2884)</f>
        <v>sim</v>
      </c>
      <c r="AD2884" t="str">
        <f>IF(AB2884="",X2884,AB2884)</f>
        <v>sim</v>
      </c>
      <c r="AE2884" t="str">
        <f>IF(OR(Configuracao!B9="",Configuracao!B10=""),"aguardando limiar",IF(AND(K2884&gt;=Configuracao!B9,K2884/MAX(Reconciliacao!C2,1)&gt;=Configuracao!B10/100),"sim","não"))</f>
        <v>aguardando limiar</v>
      </c>
    </row>
    <row r="2885" spans="1:31" x14ac:dyDescent="0.25">
      <c r="A2885">
        <v>8344</v>
      </c>
      <c r="C2885" t="s">
        <v>1682</v>
      </c>
      <c r="D2885" t="s">
        <v>1679</v>
      </c>
      <c r="E2885" t="s">
        <v>1094</v>
      </c>
      <c r="F2885" t="s">
        <v>201</v>
      </c>
      <c r="G2885" t="s">
        <v>239</v>
      </c>
      <c r="H2885" t="s">
        <v>238</v>
      </c>
      <c r="I2885" t="s">
        <v>454</v>
      </c>
      <c r="J2885" t="s">
        <v>454</v>
      </c>
      <c r="K2885" s="4">
        <v>1965</v>
      </c>
      <c r="L2885" s="4">
        <v>1965</v>
      </c>
      <c r="M2885" t="s">
        <v>44</v>
      </c>
      <c r="N2885" t="s">
        <v>77</v>
      </c>
      <c r="O2885" t="s">
        <v>99</v>
      </c>
      <c r="P2885" t="s">
        <v>99</v>
      </c>
      <c r="Q2885" t="s">
        <v>223</v>
      </c>
      <c r="R2885" t="s">
        <v>224</v>
      </c>
      <c r="S2885" t="s">
        <v>197</v>
      </c>
      <c r="T2885" t="s">
        <v>198</v>
      </c>
      <c r="U2885" t="s">
        <v>163</v>
      </c>
      <c r="V2885" t="s">
        <v>186</v>
      </c>
      <c r="W2885" t="s">
        <v>116</v>
      </c>
      <c r="X2885" t="s">
        <v>44</v>
      </c>
      <c r="Y2885" t="s">
        <v>99</v>
      </c>
      <c r="Z2885" t="s">
        <v>421</v>
      </c>
      <c r="AC2885" t="str">
        <f>IF(AA2885="",M2885,AA2885)</f>
        <v>sim</v>
      </c>
      <c r="AD2885" t="str">
        <f>IF(AB2885="",X2885,AB2885)</f>
        <v>sim</v>
      </c>
      <c r="AE2885" t="str">
        <f>IF(OR(Configuracao!B9="",Configuracao!B10=""),"aguardando limiar",IF(AND(K2885&gt;=Configuracao!B9,K2885/MAX(Reconciliacao!C2,1)&gt;=Configuracao!B10/100),"sim","não"))</f>
        <v>aguardando limiar</v>
      </c>
    </row>
    <row r="2886" spans="1:31" x14ac:dyDescent="0.25">
      <c r="A2886">
        <v>8345</v>
      </c>
      <c r="C2886" t="s">
        <v>1682</v>
      </c>
      <c r="D2886" t="s">
        <v>1679</v>
      </c>
      <c r="E2886" t="s">
        <v>1094</v>
      </c>
      <c r="F2886" t="s">
        <v>201</v>
      </c>
      <c r="G2886" t="s">
        <v>239</v>
      </c>
      <c r="H2886" t="s">
        <v>238</v>
      </c>
      <c r="I2886" t="s">
        <v>461</v>
      </c>
      <c r="J2886" t="s">
        <v>461</v>
      </c>
      <c r="K2886" s="4">
        <v>1965</v>
      </c>
      <c r="L2886" s="4">
        <v>1965</v>
      </c>
      <c r="M2886" t="s">
        <v>44</v>
      </c>
      <c r="N2886" t="s">
        <v>77</v>
      </c>
      <c r="O2886" t="s">
        <v>99</v>
      </c>
      <c r="P2886" t="s">
        <v>99</v>
      </c>
      <c r="Q2886" t="s">
        <v>223</v>
      </c>
      <c r="R2886" t="s">
        <v>224</v>
      </c>
      <c r="S2886" t="s">
        <v>197</v>
      </c>
      <c r="T2886" t="s">
        <v>198</v>
      </c>
      <c r="U2886" t="s">
        <v>163</v>
      </c>
      <c r="V2886" t="s">
        <v>186</v>
      </c>
      <c r="W2886" t="s">
        <v>116</v>
      </c>
      <c r="X2886" t="s">
        <v>44</v>
      </c>
      <c r="Y2886" t="s">
        <v>99</v>
      </c>
      <c r="Z2886" t="s">
        <v>421</v>
      </c>
      <c r="AC2886" t="str">
        <f>IF(AA2886="",M2886,AA2886)</f>
        <v>sim</v>
      </c>
      <c r="AD2886" t="str">
        <f>IF(AB2886="",X2886,AB2886)</f>
        <v>sim</v>
      </c>
      <c r="AE2886" t="str">
        <f>IF(OR(Configuracao!B9="",Configuracao!B10=""),"aguardando limiar",IF(AND(K2886&gt;=Configuracao!B9,K2886/MAX(Reconciliacao!C2,1)&gt;=Configuracao!B10/100),"sim","não"))</f>
        <v>aguardando limiar</v>
      </c>
    </row>
    <row r="2887" spans="1:31" x14ac:dyDescent="0.25">
      <c r="A2887">
        <v>8346</v>
      </c>
      <c r="C2887" t="s">
        <v>1682</v>
      </c>
      <c r="D2887" t="s">
        <v>1679</v>
      </c>
      <c r="E2887" t="s">
        <v>1094</v>
      </c>
      <c r="F2887" t="s">
        <v>201</v>
      </c>
      <c r="G2887" t="s">
        <v>239</v>
      </c>
      <c r="H2887" t="s">
        <v>238</v>
      </c>
      <c r="I2887" t="s">
        <v>442</v>
      </c>
      <c r="J2887" t="s">
        <v>442</v>
      </c>
      <c r="K2887" s="4">
        <v>1965</v>
      </c>
      <c r="L2887" s="4">
        <v>1965</v>
      </c>
      <c r="M2887" t="s">
        <v>44</v>
      </c>
      <c r="N2887" t="s">
        <v>77</v>
      </c>
      <c r="O2887" t="s">
        <v>99</v>
      </c>
      <c r="P2887" t="s">
        <v>99</v>
      </c>
      <c r="Q2887" t="s">
        <v>223</v>
      </c>
      <c r="R2887" t="s">
        <v>224</v>
      </c>
      <c r="S2887" t="s">
        <v>197</v>
      </c>
      <c r="T2887" t="s">
        <v>198</v>
      </c>
      <c r="U2887" t="s">
        <v>163</v>
      </c>
      <c r="V2887" t="s">
        <v>186</v>
      </c>
      <c r="W2887" t="s">
        <v>116</v>
      </c>
      <c r="X2887" t="s">
        <v>44</v>
      </c>
      <c r="Y2887" t="s">
        <v>99</v>
      </c>
      <c r="Z2887" t="s">
        <v>421</v>
      </c>
      <c r="AC2887" t="str">
        <f>IF(AA2887="",M2887,AA2887)</f>
        <v>sim</v>
      </c>
      <c r="AD2887" t="str">
        <f>IF(AB2887="",X2887,AB2887)</f>
        <v>sim</v>
      </c>
      <c r="AE2887" t="str">
        <f>IF(OR(Configuracao!B9="",Configuracao!B10=""),"aguardando limiar",IF(AND(K2887&gt;=Configuracao!B9,K2887/MAX(Reconciliacao!C2,1)&gt;=Configuracao!B10/100),"sim","não"))</f>
        <v>aguardando limiar</v>
      </c>
    </row>
    <row r="2888" spans="1:31" x14ac:dyDescent="0.25">
      <c r="A2888">
        <v>8347</v>
      </c>
      <c r="C2888" t="s">
        <v>1682</v>
      </c>
      <c r="D2888" t="s">
        <v>1679</v>
      </c>
      <c r="E2888" t="s">
        <v>1094</v>
      </c>
      <c r="F2888" t="s">
        <v>201</v>
      </c>
      <c r="G2888" t="s">
        <v>239</v>
      </c>
      <c r="H2888" t="s">
        <v>238</v>
      </c>
      <c r="I2888" t="s">
        <v>439</v>
      </c>
      <c r="J2888" t="s">
        <v>439</v>
      </c>
      <c r="K2888" s="4">
        <v>1965</v>
      </c>
      <c r="L2888" s="4">
        <v>1965</v>
      </c>
      <c r="M2888" t="s">
        <v>44</v>
      </c>
      <c r="N2888" t="s">
        <v>77</v>
      </c>
      <c r="O2888" t="s">
        <v>99</v>
      </c>
      <c r="P2888" t="s">
        <v>99</v>
      </c>
      <c r="Q2888" t="s">
        <v>223</v>
      </c>
      <c r="R2888" t="s">
        <v>224</v>
      </c>
      <c r="S2888" t="s">
        <v>197</v>
      </c>
      <c r="T2888" t="s">
        <v>198</v>
      </c>
      <c r="U2888" t="s">
        <v>163</v>
      </c>
      <c r="V2888" t="s">
        <v>186</v>
      </c>
      <c r="W2888" t="s">
        <v>116</v>
      </c>
      <c r="X2888" t="s">
        <v>44</v>
      </c>
      <c r="Y2888" t="s">
        <v>99</v>
      </c>
      <c r="Z2888" t="s">
        <v>421</v>
      </c>
      <c r="AC2888" t="str">
        <f>IF(AA2888="",M2888,AA2888)</f>
        <v>sim</v>
      </c>
      <c r="AD2888" t="str">
        <f>IF(AB2888="",X2888,AB2888)</f>
        <v>sim</v>
      </c>
      <c r="AE2888" t="str">
        <f>IF(OR(Configuracao!B9="",Configuracao!B10=""),"aguardando limiar",IF(AND(K2888&gt;=Configuracao!B9,K2888/MAX(Reconciliacao!C2,1)&gt;=Configuracao!B10/100),"sim","não"))</f>
        <v>aguardando limiar</v>
      </c>
    </row>
    <row r="2889" spans="1:31" x14ac:dyDescent="0.25">
      <c r="A2889">
        <v>8348</v>
      </c>
      <c r="C2889" t="s">
        <v>1682</v>
      </c>
      <c r="D2889" t="s">
        <v>1679</v>
      </c>
      <c r="E2889" t="s">
        <v>1094</v>
      </c>
      <c r="F2889" t="s">
        <v>201</v>
      </c>
      <c r="G2889" t="s">
        <v>239</v>
      </c>
      <c r="H2889" t="s">
        <v>238</v>
      </c>
      <c r="I2889" t="s">
        <v>35</v>
      </c>
      <c r="J2889" t="s">
        <v>35</v>
      </c>
      <c r="K2889" s="4">
        <v>2178.97</v>
      </c>
      <c r="L2889" s="4">
        <v>2178.97</v>
      </c>
      <c r="M2889" t="s">
        <v>44</v>
      </c>
      <c r="N2889" t="s">
        <v>77</v>
      </c>
      <c r="O2889" t="s">
        <v>99</v>
      </c>
      <c r="P2889" t="s">
        <v>99</v>
      </c>
      <c r="Q2889" t="s">
        <v>223</v>
      </c>
      <c r="R2889" t="s">
        <v>224</v>
      </c>
      <c r="S2889" t="s">
        <v>197</v>
      </c>
      <c r="T2889" t="s">
        <v>198</v>
      </c>
      <c r="U2889" t="s">
        <v>163</v>
      </c>
      <c r="V2889" t="s">
        <v>186</v>
      </c>
      <c r="W2889" t="s">
        <v>116</v>
      </c>
      <c r="X2889" t="s">
        <v>44</v>
      </c>
      <c r="Y2889" t="s">
        <v>99</v>
      </c>
      <c r="Z2889" t="s">
        <v>421</v>
      </c>
      <c r="AC2889" t="str">
        <f>IF(AA2889="",M2889,AA2889)</f>
        <v>sim</v>
      </c>
      <c r="AD2889" t="str">
        <f>IF(AB2889="",X2889,AB2889)</f>
        <v>sim</v>
      </c>
      <c r="AE2889" t="str">
        <f>IF(OR(Configuracao!B9="",Configuracao!B10=""),"aguardando limiar",IF(AND(K2889&gt;=Configuracao!B9,K2889/MAX(Reconciliacao!C2,1)&gt;=Configuracao!B10/100),"sim","não"))</f>
        <v>aguardando limiar</v>
      </c>
    </row>
    <row r="2890" spans="1:31" x14ac:dyDescent="0.25">
      <c r="A2890">
        <v>6687</v>
      </c>
      <c r="C2890" t="s">
        <v>1683</v>
      </c>
      <c r="D2890" t="s">
        <v>1684</v>
      </c>
      <c r="E2890" t="s">
        <v>1094</v>
      </c>
      <c r="F2890" t="s">
        <v>201</v>
      </c>
      <c r="G2890" t="s">
        <v>357</v>
      </c>
      <c r="H2890" t="s">
        <v>356</v>
      </c>
      <c r="I2890" t="s">
        <v>32</v>
      </c>
      <c r="J2890" t="s">
        <v>32</v>
      </c>
      <c r="K2890" s="4">
        <v>2077.08</v>
      </c>
      <c r="L2890" s="4">
        <v>2077.08</v>
      </c>
      <c r="M2890" t="s">
        <v>44</v>
      </c>
      <c r="N2890" t="s">
        <v>77</v>
      </c>
      <c r="O2890" t="s">
        <v>99</v>
      </c>
      <c r="P2890" t="s">
        <v>99</v>
      </c>
      <c r="Q2890" t="s">
        <v>202</v>
      </c>
      <c r="R2890" t="s">
        <v>203</v>
      </c>
      <c r="S2890" t="s">
        <v>161</v>
      </c>
      <c r="T2890" t="s">
        <v>162</v>
      </c>
      <c r="U2890" t="s">
        <v>163</v>
      </c>
      <c r="V2890" t="s">
        <v>164</v>
      </c>
      <c r="W2890" t="s">
        <v>116</v>
      </c>
      <c r="X2890" t="s">
        <v>44</v>
      </c>
      <c r="Y2890" t="s">
        <v>99</v>
      </c>
      <c r="Z2890" t="s">
        <v>421</v>
      </c>
      <c r="AC2890" t="str">
        <f>IF(AA2890="",M2890,AA2890)</f>
        <v>sim</v>
      </c>
      <c r="AD2890" t="str">
        <f>IF(AB2890="",X2890,AB2890)</f>
        <v>sim</v>
      </c>
      <c r="AE2890" t="str">
        <f>IF(OR(Configuracao!B9="",Configuracao!B10=""),"aguardando limiar",IF(AND(K2890&gt;=Configuracao!B9,K2890/MAX(Reconciliacao!C2,1)&gt;=Configuracao!B10/100),"sim","não"))</f>
        <v>aguardando limiar</v>
      </c>
    </row>
    <row r="2891" spans="1:31" x14ac:dyDescent="0.25">
      <c r="A2891">
        <v>17826</v>
      </c>
      <c r="C2891" t="s">
        <v>1685</v>
      </c>
      <c r="D2891" t="s">
        <v>1474</v>
      </c>
      <c r="E2891" t="s">
        <v>1094</v>
      </c>
      <c r="F2891" t="s">
        <v>201</v>
      </c>
      <c r="G2891" t="s">
        <v>200</v>
      </c>
      <c r="H2891" t="s">
        <v>199</v>
      </c>
      <c r="I2891" t="s">
        <v>439</v>
      </c>
      <c r="J2891" t="s">
        <v>439</v>
      </c>
      <c r="K2891" s="4">
        <v>40</v>
      </c>
      <c r="L2891" s="4">
        <v>40</v>
      </c>
      <c r="M2891" t="s">
        <v>44</v>
      </c>
      <c r="N2891" t="s">
        <v>77</v>
      </c>
      <c r="O2891" t="s">
        <v>99</v>
      </c>
      <c r="P2891" t="s">
        <v>99</v>
      </c>
      <c r="Q2891" t="s">
        <v>202</v>
      </c>
      <c r="R2891" t="s">
        <v>203</v>
      </c>
      <c r="S2891" t="s">
        <v>161</v>
      </c>
      <c r="T2891" t="s">
        <v>162</v>
      </c>
      <c r="U2891" t="s">
        <v>163</v>
      </c>
      <c r="V2891" t="s">
        <v>164</v>
      </c>
      <c r="W2891" t="s">
        <v>116</v>
      </c>
      <c r="X2891" t="s">
        <v>44</v>
      </c>
      <c r="Y2891" t="s">
        <v>99</v>
      </c>
      <c r="Z2891" t="s">
        <v>421</v>
      </c>
      <c r="AC2891" t="str">
        <f>IF(AA2891="",M2891,AA2891)</f>
        <v>sim</v>
      </c>
      <c r="AD2891" t="str">
        <f>IF(AB2891="",X2891,AB2891)</f>
        <v>sim</v>
      </c>
      <c r="AE2891" t="str">
        <f>IF(OR(Configuracao!B9="",Configuracao!B10=""),"aguardando limiar",IF(AND(K2891&gt;=Configuracao!B9,K2891/MAX(Reconciliacao!C2,1)&gt;=Configuracao!B10/100),"sim","não"))</f>
        <v>aguardando limiar</v>
      </c>
    </row>
    <row r="2892" spans="1:31" x14ac:dyDescent="0.25">
      <c r="A2892">
        <v>19063</v>
      </c>
      <c r="C2892" t="s">
        <v>1686</v>
      </c>
      <c r="D2892" t="s">
        <v>1687</v>
      </c>
      <c r="E2892" t="s">
        <v>511</v>
      </c>
      <c r="F2892" t="s">
        <v>201</v>
      </c>
      <c r="G2892" t="s">
        <v>200</v>
      </c>
      <c r="H2892" t="s">
        <v>199</v>
      </c>
      <c r="I2892" t="s">
        <v>35</v>
      </c>
      <c r="J2892" t="s">
        <v>99</v>
      </c>
      <c r="K2892" s="4">
        <v>60</v>
      </c>
      <c r="L2892" s="4">
        <v>0</v>
      </c>
      <c r="M2892" t="s">
        <v>44</v>
      </c>
      <c r="N2892" t="s">
        <v>77</v>
      </c>
      <c r="O2892" t="s">
        <v>99</v>
      </c>
      <c r="P2892" t="s">
        <v>99</v>
      </c>
      <c r="Q2892" t="s">
        <v>202</v>
      </c>
      <c r="R2892" t="s">
        <v>203</v>
      </c>
      <c r="S2892" t="s">
        <v>161</v>
      </c>
      <c r="T2892" t="s">
        <v>162</v>
      </c>
      <c r="U2892" t="s">
        <v>163</v>
      </c>
      <c r="V2892" t="s">
        <v>164</v>
      </c>
      <c r="W2892" t="s">
        <v>116</v>
      </c>
      <c r="X2892" t="s">
        <v>44</v>
      </c>
      <c r="Y2892" t="s">
        <v>99</v>
      </c>
      <c r="Z2892" t="s">
        <v>421</v>
      </c>
      <c r="AC2892" t="str">
        <f>IF(AA2892="",M2892,AA2892)</f>
        <v>sim</v>
      </c>
      <c r="AD2892" t="str">
        <f>IF(AB2892="",X2892,AB2892)</f>
        <v>sim</v>
      </c>
      <c r="AE2892" t="str">
        <f>IF(OR(Configuracao!B9="",Configuracao!B10=""),"aguardando limiar",IF(AND(K2892&gt;=Configuracao!B9,K2892/MAX(Reconciliacao!C2,1)&gt;=Configuracao!B10/100),"sim","não"))</f>
        <v>aguardando limiar</v>
      </c>
    </row>
    <row r="2893" spans="1:31" x14ac:dyDescent="0.25">
      <c r="A2893">
        <v>19064</v>
      </c>
      <c r="C2893" t="s">
        <v>1686</v>
      </c>
      <c r="D2893" t="s">
        <v>1687</v>
      </c>
      <c r="E2893" t="s">
        <v>445</v>
      </c>
      <c r="F2893" t="s">
        <v>201</v>
      </c>
      <c r="G2893" t="s">
        <v>200</v>
      </c>
      <c r="H2893" t="s">
        <v>199</v>
      </c>
      <c r="I2893" t="s">
        <v>35</v>
      </c>
      <c r="J2893" t="s">
        <v>99</v>
      </c>
      <c r="K2893" s="4">
        <v>60</v>
      </c>
      <c r="L2893" s="4">
        <v>0</v>
      </c>
      <c r="M2893" t="s">
        <v>44</v>
      </c>
      <c r="N2893" t="s">
        <v>77</v>
      </c>
      <c r="O2893" t="s">
        <v>99</v>
      </c>
      <c r="P2893" t="s">
        <v>99</v>
      </c>
      <c r="Q2893" t="s">
        <v>202</v>
      </c>
      <c r="R2893" t="s">
        <v>203</v>
      </c>
      <c r="S2893" t="s">
        <v>161</v>
      </c>
      <c r="T2893" t="s">
        <v>162</v>
      </c>
      <c r="U2893" t="s">
        <v>163</v>
      </c>
      <c r="V2893" t="s">
        <v>164</v>
      </c>
      <c r="W2893" t="s">
        <v>116</v>
      </c>
      <c r="X2893" t="s">
        <v>44</v>
      </c>
      <c r="Y2893" t="s">
        <v>99</v>
      </c>
      <c r="Z2893" t="s">
        <v>421</v>
      </c>
      <c r="AC2893" t="str">
        <f>IF(AA2893="",M2893,AA2893)</f>
        <v>sim</v>
      </c>
      <c r="AD2893" t="str">
        <f>IF(AB2893="",X2893,AB2893)</f>
        <v>sim</v>
      </c>
      <c r="AE2893" t="str">
        <f>IF(OR(Configuracao!B9="",Configuracao!B10=""),"aguardando limiar",IF(AND(K2893&gt;=Configuracao!B9,K2893/MAX(Reconciliacao!C2,1)&gt;=Configuracao!B10/100),"sim","não"))</f>
        <v>aguardando limiar</v>
      </c>
    </row>
    <row r="2894" spans="1:31" x14ac:dyDescent="0.25">
      <c r="A2894">
        <v>19065</v>
      </c>
      <c r="C2894" t="s">
        <v>1686</v>
      </c>
      <c r="D2894" t="s">
        <v>1687</v>
      </c>
      <c r="E2894" t="s">
        <v>467</v>
      </c>
      <c r="F2894" t="s">
        <v>201</v>
      </c>
      <c r="G2894" t="s">
        <v>200</v>
      </c>
      <c r="H2894" t="s">
        <v>199</v>
      </c>
      <c r="I2894" t="s">
        <v>35</v>
      </c>
      <c r="J2894" t="s">
        <v>99</v>
      </c>
      <c r="K2894" s="4">
        <v>60</v>
      </c>
      <c r="L2894" s="4">
        <v>0</v>
      </c>
      <c r="M2894" t="s">
        <v>44</v>
      </c>
      <c r="N2894" t="s">
        <v>77</v>
      </c>
      <c r="O2894" t="s">
        <v>99</v>
      </c>
      <c r="P2894" t="s">
        <v>99</v>
      </c>
      <c r="Q2894" t="s">
        <v>202</v>
      </c>
      <c r="R2894" t="s">
        <v>203</v>
      </c>
      <c r="S2894" t="s">
        <v>161</v>
      </c>
      <c r="T2894" t="s">
        <v>162</v>
      </c>
      <c r="U2894" t="s">
        <v>163</v>
      </c>
      <c r="V2894" t="s">
        <v>164</v>
      </c>
      <c r="W2894" t="s">
        <v>116</v>
      </c>
      <c r="X2894" t="s">
        <v>44</v>
      </c>
      <c r="Y2894" t="s">
        <v>99</v>
      </c>
      <c r="Z2894" t="s">
        <v>421</v>
      </c>
      <c r="AC2894" t="str">
        <f>IF(AA2894="",M2894,AA2894)</f>
        <v>sim</v>
      </c>
      <c r="AD2894" t="str">
        <f>IF(AB2894="",X2894,AB2894)</f>
        <v>sim</v>
      </c>
      <c r="AE2894" t="str">
        <f>IF(OR(Configuracao!B9="",Configuracao!B10=""),"aguardando limiar",IF(AND(K2894&gt;=Configuracao!B9,K2894/MAX(Reconciliacao!C2,1)&gt;=Configuracao!B10/100),"sim","não"))</f>
        <v>aguardando limiar</v>
      </c>
    </row>
    <row r="2895" spans="1:31" x14ac:dyDescent="0.25">
      <c r="A2895">
        <v>19066</v>
      </c>
      <c r="C2895" t="s">
        <v>1686</v>
      </c>
      <c r="D2895" t="s">
        <v>1687</v>
      </c>
      <c r="E2895" t="s">
        <v>486</v>
      </c>
      <c r="F2895" t="s">
        <v>201</v>
      </c>
      <c r="G2895" t="s">
        <v>200</v>
      </c>
      <c r="H2895" t="s">
        <v>199</v>
      </c>
      <c r="I2895" t="s">
        <v>35</v>
      </c>
      <c r="J2895" t="s">
        <v>99</v>
      </c>
      <c r="K2895" s="4">
        <v>60</v>
      </c>
      <c r="L2895" s="4">
        <v>0</v>
      </c>
      <c r="M2895" t="s">
        <v>44</v>
      </c>
      <c r="N2895" t="s">
        <v>77</v>
      </c>
      <c r="O2895" t="s">
        <v>99</v>
      </c>
      <c r="P2895" t="s">
        <v>99</v>
      </c>
      <c r="Q2895" t="s">
        <v>202</v>
      </c>
      <c r="R2895" t="s">
        <v>203</v>
      </c>
      <c r="S2895" t="s">
        <v>161</v>
      </c>
      <c r="T2895" t="s">
        <v>162</v>
      </c>
      <c r="U2895" t="s">
        <v>163</v>
      </c>
      <c r="V2895" t="s">
        <v>164</v>
      </c>
      <c r="W2895" t="s">
        <v>116</v>
      </c>
      <c r="X2895" t="s">
        <v>44</v>
      </c>
      <c r="Y2895" t="s">
        <v>99</v>
      </c>
      <c r="Z2895" t="s">
        <v>421</v>
      </c>
      <c r="AC2895" t="str">
        <f>IF(AA2895="",M2895,AA2895)</f>
        <v>sim</v>
      </c>
      <c r="AD2895" t="str">
        <f>IF(AB2895="",X2895,AB2895)</f>
        <v>sim</v>
      </c>
      <c r="AE2895" t="str">
        <f>IF(OR(Configuracao!B9="",Configuracao!B10=""),"aguardando limiar",IF(AND(K2895&gt;=Configuracao!B9,K2895/MAX(Reconciliacao!C2,1)&gt;=Configuracao!B10/100),"sim","não"))</f>
        <v>aguardando limiar</v>
      </c>
    </row>
    <row r="2896" spans="1:31" x14ac:dyDescent="0.25">
      <c r="A2896">
        <v>19067</v>
      </c>
      <c r="C2896" t="s">
        <v>1686</v>
      </c>
      <c r="D2896" t="s">
        <v>1687</v>
      </c>
      <c r="E2896" t="s">
        <v>525</v>
      </c>
      <c r="F2896" t="s">
        <v>201</v>
      </c>
      <c r="G2896" t="s">
        <v>200</v>
      </c>
      <c r="H2896" t="s">
        <v>199</v>
      </c>
      <c r="I2896" t="s">
        <v>35</v>
      </c>
      <c r="J2896" t="s">
        <v>99</v>
      </c>
      <c r="K2896" s="4">
        <v>60</v>
      </c>
      <c r="L2896" s="4">
        <v>0</v>
      </c>
      <c r="M2896" t="s">
        <v>44</v>
      </c>
      <c r="N2896" t="s">
        <v>77</v>
      </c>
      <c r="O2896" t="s">
        <v>99</v>
      </c>
      <c r="P2896" t="s">
        <v>99</v>
      </c>
      <c r="Q2896" t="s">
        <v>202</v>
      </c>
      <c r="R2896" t="s">
        <v>203</v>
      </c>
      <c r="S2896" t="s">
        <v>161</v>
      </c>
      <c r="T2896" t="s">
        <v>162</v>
      </c>
      <c r="U2896" t="s">
        <v>163</v>
      </c>
      <c r="V2896" t="s">
        <v>164</v>
      </c>
      <c r="W2896" t="s">
        <v>116</v>
      </c>
      <c r="X2896" t="s">
        <v>44</v>
      </c>
      <c r="Y2896" t="s">
        <v>99</v>
      </c>
      <c r="Z2896" t="s">
        <v>421</v>
      </c>
      <c r="AC2896" t="str">
        <f>IF(AA2896="",M2896,AA2896)</f>
        <v>sim</v>
      </c>
      <c r="AD2896" t="str">
        <f>IF(AB2896="",X2896,AB2896)</f>
        <v>sim</v>
      </c>
      <c r="AE2896" t="str">
        <f>IF(OR(Configuracao!B9="",Configuracao!B10=""),"aguardando limiar",IF(AND(K2896&gt;=Configuracao!B9,K2896/MAX(Reconciliacao!C2,1)&gt;=Configuracao!B10/100),"sim","não"))</f>
        <v>aguardando limiar</v>
      </c>
    </row>
    <row r="2897" spans="1:31" x14ac:dyDescent="0.25">
      <c r="A2897">
        <v>12273</v>
      </c>
      <c r="C2897" t="s">
        <v>1688</v>
      </c>
      <c r="D2897" t="s">
        <v>1689</v>
      </c>
      <c r="E2897" t="s">
        <v>458</v>
      </c>
      <c r="F2897" t="s">
        <v>201</v>
      </c>
      <c r="G2897" t="s">
        <v>200</v>
      </c>
      <c r="H2897" t="s">
        <v>199</v>
      </c>
      <c r="I2897" t="s">
        <v>420</v>
      </c>
      <c r="J2897" t="s">
        <v>420</v>
      </c>
      <c r="K2897" s="4">
        <v>62.5</v>
      </c>
      <c r="L2897" s="4">
        <v>62.5</v>
      </c>
      <c r="M2897" t="s">
        <v>44</v>
      </c>
      <c r="N2897" t="s">
        <v>77</v>
      </c>
      <c r="O2897" t="s">
        <v>99</v>
      </c>
      <c r="P2897" t="s">
        <v>99</v>
      </c>
      <c r="Q2897" t="s">
        <v>202</v>
      </c>
      <c r="R2897" t="s">
        <v>203</v>
      </c>
      <c r="S2897" t="s">
        <v>161</v>
      </c>
      <c r="T2897" t="s">
        <v>162</v>
      </c>
      <c r="U2897" t="s">
        <v>163</v>
      </c>
      <c r="V2897" t="s">
        <v>164</v>
      </c>
      <c r="W2897" t="s">
        <v>116</v>
      </c>
      <c r="X2897" t="s">
        <v>166</v>
      </c>
      <c r="Y2897" t="s">
        <v>1205</v>
      </c>
      <c r="Z2897" t="s">
        <v>434</v>
      </c>
      <c r="AC2897" t="str">
        <f>IF(AA2897="",M2897,AA2897)</f>
        <v>sim</v>
      </c>
      <c r="AD2897" t="str">
        <f>IF(AB2897="",X2897,AB2897)</f>
        <v>não</v>
      </c>
      <c r="AE2897" t="str">
        <f>IF(OR(Configuracao!B9="",Configuracao!B10=""),"aguardando limiar",IF(AND(K2897&gt;=Configuracao!B9,K2897/MAX(Reconciliacao!C2,1)&gt;=Configuracao!B10/100),"sim","não"))</f>
        <v>aguardando limiar</v>
      </c>
    </row>
    <row r="2898" spans="1:31" x14ac:dyDescent="0.25">
      <c r="A2898">
        <v>11353</v>
      </c>
      <c r="C2898" t="s">
        <v>1690</v>
      </c>
      <c r="D2898" t="s">
        <v>1691</v>
      </c>
      <c r="E2898" t="s">
        <v>465</v>
      </c>
      <c r="F2898" t="s">
        <v>201</v>
      </c>
      <c r="G2898" t="s">
        <v>200</v>
      </c>
      <c r="H2898" t="s">
        <v>199</v>
      </c>
      <c r="I2898" t="s">
        <v>32</v>
      </c>
      <c r="J2898" t="s">
        <v>32</v>
      </c>
      <c r="K2898" s="4">
        <v>68.65</v>
      </c>
      <c r="L2898" s="4">
        <v>68.65</v>
      </c>
      <c r="M2898" t="s">
        <v>44</v>
      </c>
      <c r="N2898" t="s">
        <v>77</v>
      </c>
      <c r="O2898" t="s">
        <v>99</v>
      </c>
      <c r="P2898" t="s">
        <v>99</v>
      </c>
      <c r="Q2898" t="s">
        <v>202</v>
      </c>
      <c r="R2898" t="s">
        <v>203</v>
      </c>
      <c r="S2898" t="s">
        <v>161</v>
      </c>
      <c r="T2898" t="s">
        <v>162</v>
      </c>
      <c r="U2898" t="s">
        <v>163</v>
      </c>
      <c r="V2898" t="s">
        <v>164</v>
      </c>
      <c r="W2898" t="s">
        <v>116</v>
      </c>
      <c r="X2898" t="s">
        <v>44</v>
      </c>
      <c r="Y2898" t="s">
        <v>99</v>
      </c>
      <c r="Z2898" t="s">
        <v>421</v>
      </c>
      <c r="AC2898" t="str">
        <f>IF(AA2898="",M2898,AA2898)</f>
        <v>sim</v>
      </c>
      <c r="AD2898" t="str">
        <f>IF(AB2898="",X2898,AB2898)</f>
        <v>sim</v>
      </c>
      <c r="AE2898" t="str">
        <f>IF(OR(Configuracao!B9="",Configuracao!B10=""),"aguardando limiar",IF(AND(K2898&gt;=Configuracao!B9,K2898/MAX(Reconciliacao!C2,1)&gt;=Configuracao!B10/100),"sim","não"))</f>
        <v>aguardando limiar</v>
      </c>
    </row>
    <row r="2899" spans="1:31" x14ac:dyDescent="0.25">
      <c r="A2899">
        <v>11354</v>
      </c>
      <c r="C2899" t="s">
        <v>1692</v>
      </c>
      <c r="D2899" t="s">
        <v>1691</v>
      </c>
      <c r="E2899" t="s">
        <v>474</v>
      </c>
      <c r="F2899" t="s">
        <v>201</v>
      </c>
      <c r="G2899" t="s">
        <v>200</v>
      </c>
      <c r="H2899" t="s">
        <v>199</v>
      </c>
      <c r="I2899" t="s">
        <v>32</v>
      </c>
      <c r="J2899" t="s">
        <v>32</v>
      </c>
      <c r="K2899" s="4">
        <v>68.65</v>
      </c>
      <c r="L2899" s="4">
        <v>68.65</v>
      </c>
      <c r="M2899" t="s">
        <v>44</v>
      </c>
      <c r="N2899" t="s">
        <v>77</v>
      </c>
      <c r="O2899" t="s">
        <v>99</v>
      </c>
      <c r="P2899" t="s">
        <v>99</v>
      </c>
      <c r="Q2899" t="s">
        <v>202</v>
      </c>
      <c r="R2899" t="s">
        <v>203</v>
      </c>
      <c r="S2899" t="s">
        <v>161</v>
      </c>
      <c r="T2899" t="s">
        <v>162</v>
      </c>
      <c r="U2899" t="s">
        <v>163</v>
      </c>
      <c r="V2899" t="s">
        <v>164</v>
      </c>
      <c r="W2899" t="s">
        <v>116</v>
      </c>
      <c r="X2899" t="s">
        <v>44</v>
      </c>
      <c r="Y2899" t="s">
        <v>99</v>
      </c>
      <c r="Z2899" t="s">
        <v>421</v>
      </c>
      <c r="AC2899" t="str">
        <f>IF(AA2899="",M2899,AA2899)</f>
        <v>sim</v>
      </c>
      <c r="AD2899" t="str">
        <f>IF(AB2899="",X2899,AB2899)</f>
        <v>sim</v>
      </c>
      <c r="AE2899" t="str">
        <f>IF(OR(Configuracao!B9="",Configuracao!B10=""),"aguardando limiar",IF(AND(K2899&gt;=Configuracao!B9,K2899/MAX(Reconciliacao!C2,1)&gt;=Configuracao!B10/100),"sim","não"))</f>
        <v>aguardando limiar</v>
      </c>
    </row>
    <row r="2900" spans="1:31" x14ac:dyDescent="0.25">
      <c r="A2900">
        <v>11903</v>
      </c>
      <c r="C2900" t="s">
        <v>1690</v>
      </c>
      <c r="D2900" t="s">
        <v>1691</v>
      </c>
      <c r="E2900" t="s">
        <v>465</v>
      </c>
      <c r="F2900" t="s">
        <v>201</v>
      </c>
      <c r="G2900" t="s">
        <v>200</v>
      </c>
      <c r="H2900" t="s">
        <v>199</v>
      </c>
      <c r="I2900" t="s">
        <v>424</v>
      </c>
      <c r="J2900" t="s">
        <v>424</v>
      </c>
      <c r="K2900" s="4">
        <v>68.65</v>
      </c>
      <c r="L2900" s="4">
        <v>68.65</v>
      </c>
      <c r="M2900" t="s">
        <v>44</v>
      </c>
      <c r="N2900" t="s">
        <v>77</v>
      </c>
      <c r="O2900" t="s">
        <v>99</v>
      </c>
      <c r="P2900" t="s">
        <v>99</v>
      </c>
      <c r="Q2900" t="s">
        <v>202</v>
      </c>
      <c r="R2900" t="s">
        <v>203</v>
      </c>
      <c r="S2900" t="s">
        <v>161</v>
      </c>
      <c r="T2900" t="s">
        <v>162</v>
      </c>
      <c r="U2900" t="s">
        <v>163</v>
      </c>
      <c r="V2900" t="s">
        <v>164</v>
      </c>
      <c r="W2900" t="s">
        <v>116</v>
      </c>
      <c r="X2900" t="s">
        <v>44</v>
      </c>
      <c r="Y2900" t="s">
        <v>99</v>
      </c>
      <c r="Z2900" t="s">
        <v>421</v>
      </c>
      <c r="AC2900" t="str">
        <f>IF(AA2900="",M2900,AA2900)</f>
        <v>sim</v>
      </c>
      <c r="AD2900" t="str">
        <f>IF(AB2900="",X2900,AB2900)</f>
        <v>sim</v>
      </c>
      <c r="AE2900" t="str">
        <f>IF(OR(Configuracao!B9="",Configuracao!B10=""),"aguardando limiar",IF(AND(K2900&gt;=Configuracao!B9,K2900/MAX(Reconciliacao!C2,1)&gt;=Configuracao!B10/100),"sim","não"))</f>
        <v>aguardando limiar</v>
      </c>
    </row>
    <row r="2901" spans="1:31" x14ac:dyDescent="0.25">
      <c r="A2901">
        <v>11904</v>
      </c>
      <c r="C2901" t="s">
        <v>1692</v>
      </c>
      <c r="D2901" t="s">
        <v>1691</v>
      </c>
      <c r="E2901" t="s">
        <v>474</v>
      </c>
      <c r="F2901" t="s">
        <v>201</v>
      </c>
      <c r="G2901" t="s">
        <v>200</v>
      </c>
      <c r="H2901" t="s">
        <v>199</v>
      </c>
      <c r="I2901" t="s">
        <v>424</v>
      </c>
      <c r="J2901" t="s">
        <v>424</v>
      </c>
      <c r="K2901" s="4">
        <v>68.65</v>
      </c>
      <c r="L2901" s="4">
        <v>68.65</v>
      </c>
      <c r="M2901" t="s">
        <v>44</v>
      </c>
      <c r="N2901" t="s">
        <v>77</v>
      </c>
      <c r="O2901" t="s">
        <v>99</v>
      </c>
      <c r="P2901" t="s">
        <v>99</v>
      </c>
      <c r="Q2901" t="s">
        <v>202</v>
      </c>
      <c r="R2901" t="s">
        <v>203</v>
      </c>
      <c r="S2901" t="s">
        <v>161</v>
      </c>
      <c r="T2901" t="s">
        <v>162</v>
      </c>
      <c r="U2901" t="s">
        <v>163</v>
      </c>
      <c r="V2901" t="s">
        <v>164</v>
      </c>
      <c r="W2901" t="s">
        <v>116</v>
      </c>
      <c r="X2901" t="s">
        <v>44</v>
      </c>
      <c r="Y2901" t="s">
        <v>99</v>
      </c>
      <c r="Z2901" t="s">
        <v>421</v>
      </c>
      <c r="AC2901" t="str">
        <f>IF(AA2901="",M2901,AA2901)</f>
        <v>sim</v>
      </c>
      <c r="AD2901" t="str">
        <f>IF(AB2901="",X2901,AB2901)</f>
        <v>sim</v>
      </c>
      <c r="AE2901" t="str">
        <f>IF(OR(Configuracao!B9="",Configuracao!B10=""),"aguardando limiar",IF(AND(K2901&gt;=Configuracao!B9,K2901/MAX(Reconciliacao!C2,1)&gt;=Configuracao!B10/100),"sim","não"))</f>
        <v>aguardando limiar</v>
      </c>
    </row>
    <row r="2902" spans="1:31" x14ac:dyDescent="0.25">
      <c r="A2902">
        <v>12859</v>
      </c>
      <c r="C2902" t="s">
        <v>1690</v>
      </c>
      <c r="D2902" t="s">
        <v>1691</v>
      </c>
      <c r="E2902" t="s">
        <v>465</v>
      </c>
      <c r="F2902" t="s">
        <v>201</v>
      </c>
      <c r="G2902" t="s">
        <v>200</v>
      </c>
      <c r="H2902" t="s">
        <v>199</v>
      </c>
      <c r="I2902" t="s">
        <v>420</v>
      </c>
      <c r="J2902" t="s">
        <v>420</v>
      </c>
      <c r="K2902" s="4">
        <v>68.66</v>
      </c>
      <c r="L2902" s="4">
        <v>68.66</v>
      </c>
      <c r="M2902" t="s">
        <v>44</v>
      </c>
      <c r="N2902" t="s">
        <v>77</v>
      </c>
      <c r="O2902" t="s">
        <v>99</v>
      </c>
      <c r="P2902" t="s">
        <v>99</v>
      </c>
      <c r="Q2902" t="s">
        <v>202</v>
      </c>
      <c r="R2902" t="s">
        <v>203</v>
      </c>
      <c r="S2902" t="s">
        <v>161</v>
      </c>
      <c r="T2902" t="s">
        <v>162</v>
      </c>
      <c r="U2902" t="s">
        <v>163</v>
      </c>
      <c r="V2902" t="s">
        <v>164</v>
      </c>
      <c r="W2902" t="s">
        <v>116</v>
      </c>
      <c r="X2902" t="s">
        <v>44</v>
      </c>
      <c r="Y2902" t="s">
        <v>99</v>
      </c>
      <c r="Z2902" t="s">
        <v>421</v>
      </c>
      <c r="AC2902" t="str">
        <f>IF(AA2902="",M2902,AA2902)</f>
        <v>sim</v>
      </c>
      <c r="AD2902" t="str">
        <f>IF(AB2902="",X2902,AB2902)</f>
        <v>sim</v>
      </c>
      <c r="AE2902" t="str">
        <f>IF(OR(Configuracao!B9="",Configuracao!B10=""),"aguardando limiar",IF(AND(K2902&gt;=Configuracao!B9,K2902/MAX(Reconciliacao!C2,1)&gt;=Configuracao!B10/100),"sim","não"))</f>
        <v>aguardando limiar</v>
      </c>
    </row>
    <row r="2903" spans="1:31" x14ac:dyDescent="0.25">
      <c r="A2903">
        <v>12860</v>
      </c>
      <c r="C2903" t="s">
        <v>1692</v>
      </c>
      <c r="D2903" t="s">
        <v>1691</v>
      </c>
      <c r="E2903" t="s">
        <v>474</v>
      </c>
      <c r="F2903" t="s">
        <v>201</v>
      </c>
      <c r="G2903" t="s">
        <v>200</v>
      </c>
      <c r="H2903" t="s">
        <v>199</v>
      </c>
      <c r="I2903" t="s">
        <v>420</v>
      </c>
      <c r="J2903" t="s">
        <v>420</v>
      </c>
      <c r="K2903" s="4">
        <v>68.66</v>
      </c>
      <c r="L2903" s="4">
        <v>68.66</v>
      </c>
      <c r="M2903" t="s">
        <v>44</v>
      </c>
      <c r="N2903" t="s">
        <v>77</v>
      </c>
      <c r="O2903" t="s">
        <v>99</v>
      </c>
      <c r="P2903" t="s">
        <v>99</v>
      </c>
      <c r="Q2903" t="s">
        <v>202</v>
      </c>
      <c r="R2903" t="s">
        <v>203</v>
      </c>
      <c r="S2903" t="s">
        <v>161</v>
      </c>
      <c r="T2903" t="s">
        <v>162</v>
      </c>
      <c r="U2903" t="s">
        <v>163</v>
      </c>
      <c r="V2903" t="s">
        <v>164</v>
      </c>
      <c r="W2903" t="s">
        <v>116</v>
      </c>
      <c r="X2903" t="s">
        <v>44</v>
      </c>
      <c r="Y2903" t="s">
        <v>99</v>
      </c>
      <c r="Z2903" t="s">
        <v>421</v>
      </c>
      <c r="AC2903" t="str">
        <f>IF(AA2903="",M2903,AA2903)</f>
        <v>sim</v>
      </c>
      <c r="AD2903" t="str">
        <f>IF(AB2903="",X2903,AB2903)</f>
        <v>sim</v>
      </c>
      <c r="AE2903" t="str">
        <f>IF(OR(Configuracao!B9="",Configuracao!B10=""),"aguardando limiar",IF(AND(K2903&gt;=Configuracao!B9,K2903/MAX(Reconciliacao!C2,1)&gt;=Configuracao!B10/100),"sim","não"))</f>
        <v>aguardando limiar</v>
      </c>
    </row>
    <row r="2904" spans="1:31" x14ac:dyDescent="0.25">
      <c r="A2904">
        <v>12861</v>
      </c>
      <c r="C2904" t="s">
        <v>1690</v>
      </c>
      <c r="D2904" t="s">
        <v>1691</v>
      </c>
      <c r="E2904" t="s">
        <v>465</v>
      </c>
      <c r="F2904" t="s">
        <v>201</v>
      </c>
      <c r="G2904" t="s">
        <v>200</v>
      </c>
      <c r="H2904" t="s">
        <v>199</v>
      </c>
      <c r="I2904" t="s">
        <v>454</v>
      </c>
      <c r="J2904" t="s">
        <v>454</v>
      </c>
      <c r="K2904" s="4">
        <v>68.66</v>
      </c>
      <c r="L2904" s="4">
        <v>68.66</v>
      </c>
      <c r="M2904" t="s">
        <v>44</v>
      </c>
      <c r="N2904" t="s">
        <v>77</v>
      </c>
      <c r="O2904" t="s">
        <v>99</v>
      </c>
      <c r="P2904" t="s">
        <v>99</v>
      </c>
      <c r="Q2904" t="s">
        <v>202</v>
      </c>
      <c r="R2904" t="s">
        <v>203</v>
      </c>
      <c r="S2904" t="s">
        <v>161</v>
      </c>
      <c r="T2904" t="s">
        <v>162</v>
      </c>
      <c r="U2904" t="s">
        <v>163</v>
      </c>
      <c r="V2904" t="s">
        <v>164</v>
      </c>
      <c r="W2904" t="s">
        <v>116</v>
      </c>
      <c r="X2904" t="s">
        <v>44</v>
      </c>
      <c r="Y2904" t="s">
        <v>99</v>
      </c>
      <c r="Z2904" t="s">
        <v>421</v>
      </c>
      <c r="AC2904" t="str">
        <f>IF(AA2904="",M2904,AA2904)</f>
        <v>sim</v>
      </c>
      <c r="AD2904" t="str">
        <f>IF(AB2904="",X2904,AB2904)</f>
        <v>sim</v>
      </c>
      <c r="AE2904" t="str">
        <f>IF(OR(Configuracao!B9="",Configuracao!B10=""),"aguardando limiar",IF(AND(K2904&gt;=Configuracao!B9,K2904/MAX(Reconciliacao!C2,1)&gt;=Configuracao!B10/100),"sim","não"))</f>
        <v>aguardando limiar</v>
      </c>
    </row>
    <row r="2905" spans="1:31" x14ac:dyDescent="0.25">
      <c r="A2905">
        <v>12862</v>
      </c>
      <c r="C2905" t="s">
        <v>1692</v>
      </c>
      <c r="D2905" t="s">
        <v>1691</v>
      </c>
      <c r="E2905" t="s">
        <v>474</v>
      </c>
      <c r="F2905" t="s">
        <v>201</v>
      </c>
      <c r="G2905" t="s">
        <v>200</v>
      </c>
      <c r="H2905" t="s">
        <v>199</v>
      </c>
      <c r="I2905" t="s">
        <v>454</v>
      </c>
      <c r="J2905" t="s">
        <v>454</v>
      </c>
      <c r="K2905" s="4">
        <v>68.66</v>
      </c>
      <c r="L2905" s="4">
        <v>68.66</v>
      </c>
      <c r="M2905" t="s">
        <v>44</v>
      </c>
      <c r="N2905" t="s">
        <v>77</v>
      </c>
      <c r="O2905" t="s">
        <v>99</v>
      </c>
      <c r="P2905" t="s">
        <v>99</v>
      </c>
      <c r="Q2905" t="s">
        <v>202</v>
      </c>
      <c r="R2905" t="s">
        <v>203</v>
      </c>
      <c r="S2905" t="s">
        <v>161</v>
      </c>
      <c r="T2905" t="s">
        <v>162</v>
      </c>
      <c r="U2905" t="s">
        <v>163</v>
      </c>
      <c r="V2905" t="s">
        <v>164</v>
      </c>
      <c r="W2905" t="s">
        <v>116</v>
      </c>
      <c r="X2905" t="s">
        <v>44</v>
      </c>
      <c r="Y2905" t="s">
        <v>99</v>
      </c>
      <c r="Z2905" t="s">
        <v>421</v>
      </c>
      <c r="AC2905" t="str">
        <f>IF(AA2905="",M2905,AA2905)</f>
        <v>sim</v>
      </c>
      <c r="AD2905" t="str">
        <f>IF(AB2905="",X2905,AB2905)</f>
        <v>sim</v>
      </c>
      <c r="AE2905" t="str">
        <f>IF(OR(Configuracao!B9="",Configuracao!B10=""),"aguardando limiar",IF(AND(K2905&gt;=Configuracao!B9,K2905/MAX(Reconciliacao!C2,1)&gt;=Configuracao!B10/100),"sim","não"))</f>
        <v>aguardando limiar</v>
      </c>
    </row>
    <row r="2906" spans="1:31" x14ac:dyDescent="0.25">
      <c r="A2906">
        <v>15904</v>
      </c>
      <c r="C2906" t="s">
        <v>1690</v>
      </c>
      <c r="D2906" t="s">
        <v>1691</v>
      </c>
      <c r="E2906" t="s">
        <v>465</v>
      </c>
      <c r="F2906" t="s">
        <v>201</v>
      </c>
      <c r="G2906" t="s">
        <v>200</v>
      </c>
      <c r="H2906" t="s">
        <v>199</v>
      </c>
      <c r="I2906" t="s">
        <v>461</v>
      </c>
      <c r="J2906" t="s">
        <v>461</v>
      </c>
      <c r="K2906" s="4">
        <v>68.66</v>
      </c>
      <c r="L2906" s="4">
        <v>68.66</v>
      </c>
      <c r="M2906" t="s">
        <v>44</v>
      </c>
      <c r="N2906" t="s">
        <v>77</v>
      </c>
      <c r="O2906" t="s">
        <v>99</v>
      </c>
      <c r="P2906" t="s">
        <v>99</v>
      </c>
      <c r="Q2906" t="s">
        <v>202</v>
      </c>
      <c r="R2906" t="s">
        <v>203</v>
      </c>
      <c r="S2906" t="s">
        <v>161</v>
      </c>
      <c r="T2906" t="s">
        <v>162</v>
      </c>
      <c r="U2906" t="s">
        <v>163</v>
      </c>
      <c r="V2906" t="s">
        <v>164</v>
      </c>
      <c r="W2906" t="s">
        <v>116</v>
      </c>
      <c r="X2906" t="s">
        <v>44</v>
      </c>
      <c r="Y2906" t="s">
        <v>99</v>
      </c>
      <c r="Z2906" t="s">
        <v>421</v>
      </c>
      <c r="AC2906" t="str">
        <f>IF(AA2906="",M2906,AA2906)</f>
        <v>sim</v>
      </c>
      <c r="AD2906" t="str">
        <f>IF(AB2906="",X2906,AB2906)</f>
        <v>sim</v>
      </c>
      <c r="AE2906" t="str">
        <f>IF(OR(Configuracao!B9="",Configuracao!B10=""),"aguardando limiar",IF(AND(K2906&gt;=Configuracao!B9,K2906/MAX(Reconciliacao!C2,1)&gt;=Configuracao!B10/100),"sim","não"))</f>
        <v>aguardando limiar</v>
      </c>
    </row>
    <row r="2907" spans="1:31" x14ac:dyDescent="0.25">
      <c r="A2907">
        <v>15905</v>
      </c>
      <c r="C2907" t="s">
        <v>1692</v>
      </c>
      <c r="D2907" t="s">
        <v>1691</v>
      </c>
      <c r="E2907" t="s">
        <v>474</v>
      </c>
      <c r="F2907" t="s">
        <v>201</v>
      </c>
      <c r="G2907" t="s">
        <v>200</v>
      </c>
      <c r="H2907" t="s">
        <v>199</v>
      </c>
      <c r="I2907" t="s">
        <v>461</v>
      </c>
      <c r="J2907" t="s">
        <v>461</v>
      </c>
      <c r="K2907" s="4">
        <v>68.66</v>
      </c>
      <c r="L2907" s="4">
        <v>68.66</v>
      </c>
      <c r="M2907" t="s">
        <v>44</v>
      </c>
      <c r="N2907" t="s">
        <v>77</v>
      </c>
      <c r="O2907" t="s">
        <v>99</v>
      </c>
      <c r="P2907" t="s">
        <v>99</v>
      </c>
      <c r="Q2907" t="s">
        <v>202</v>
      </c>
      <c r="R2907" t="s">
        <v>203</v>
      </c>
      <c r="S2907" t="s">
        <v>161</v>
      </c>
      <c r="T2907" t="s">
        <v>162</v>
      </c>
      <c r="U2907" t="s">
        <v>163</v>
      </c>
      <c r="V2907" t="s">
        <v>164</v>
      </c>
      <c r="W2907" t="s">
        <v>116</v>
      </c>
      <c r="X2907" t="s">
        <v>44</v>
      </c>
      <c r="Y2907" t="s">
        <v>99</v>
      </c>
      <c r="Z2907" t="s">
        <v>421</v>
      </c>
      <c r="AC2907" t="str">
        <f>IF(AA2907="",M2907,AA2907)</f>
        <v>sim</v>
      </c>
      <c r="AD2907" t="str">
        <f>IF(AB2907="",X2907,AB2907)</f>
        <v>sim</v>
      </c>
      <c r="AE2907" t="str">
        <f>IF(OR(Configuracao!B9="",Configuracao!B10=""),"aguardando limiar",IF(AND(K2907&gt;=Configuracao!B9,K2907/MAX(Reconciliacao!C2,1)&gt;=Configuracao!B10/100),"sim","não"))</f>
        <v>aguardando limiar</v>
      </c>
    </row>
    <row r="2908" spans="1:31" x14ac:dyDescent="0.25">
      <c r="A2908">
        <v>16645</v>
      </c>
      <c r="C2908" t="s">
        <v>1690</v>
      </c>
      <c r="D2908" t="s">
        <v>1691</v>
      </c>
      <c r="E2908" t="s">
        <v>465</v>
      </c>
      <c r="F2908" t="s">
        <v>201</v>
      </c>
      <c r="G2908" t="s">
        <v>200</v>
      </c>
      <c r="H2908" t="s">
        <v>199</v>
      </c>
      <c r="I2908" t="s">
        <v>442</v>
      </c>
      <c r="J2908" t="s">
        <v>442</v>
      </c>
      <c r="K2908" s="4">
        <v>68.66</v>
      </c>
      <c r="L2908" s="4">
        <v>68.66</v>
      </c>
      <c r="M2908" t="s">
        <v>44</v>
      </c>
      <c r="N2908" t="s">
        <v>77</v>
      </c>
      <c r="O2908" t="s">
        <v>99</v>
      </c>
      <c r="P2908" t="s">
        <v>99</v>
      </c>
      <c r="Q2908" t="s">
        <v>202</v>
      </c>
      <c r="R2908" t="s">
        <v>203</v>
      </c>
      <c r="S2908" t="s">
        <v>161</v>
      </c>
      <c r="T2908" t="s">
        <v>162</v>
      </c>
      <c r="U2908" t="s">
        <v>163</v>
      </c>
      <c r="V2908" t="s">
        <v>164</v>
      </c>
      <c r="W2908" t="s">
        <v>116</v>
      </c>
      <c r="X2908" t="s">
        <v>44</v>
      </c>
      <c r="Y2908" t="s">
        <v>99</v>
      </c>
      <c r="Z2908" t="s">
        <v>421</v>
      </c>
      <c r="AC2908" t="str">
        <f>IF(AA2908="",M2908,AA2908)</f>
        <v>sim</v>
      </c>
      <c r="AD2908" t="str">
        <f>IF(AB2908="",X2908,AB2908)</f>
        <v>sim</v>
      </c>
      <c r="AE2908" t="str">
        <f>IF(OR(Configuracao!B9="",Configuracao!B10=""),"aguardando limiar",IF(AND(K2908&gt;=Configuracao!B9,K2908/MAX(Reconciliacao!C2,1)&gt;=Configuracao!B10/100),"sim","não"))</f>
        <v>aguardando limiar</v>
      </c>
    </row>
    <row r="2909" spans="1:31" x14ac:dyDescent="0.25">
      <c r="A2909">
        <v>16646</v>
      </c>
      <c r="C2909" t="s">
        <v>1692</v>
      </c>
      <c r="D2909" t="s">
        <v>1691</v>
      </c>
      <c r="E2909" t="s">
        <v>474</v>
      </c>
      <c r="F2909" t="s">
        <v>201</v>
      </c>
      <c r="G2909" t="s">
        <v>200</v>
      </c>
      <c r="H2909" t="s">
        <v>199</v>
      </c>
      <c r="I2909" t="s">
        <v>442</v>
      </c>
      <c r="J2909" t="s">
        <v>442</v>
      </c>
      <c r="K2909" s="4">
        <v>68.66</v>
      </c>
      <c r="L2909" s="4">
        <v>68.66</v>
      </c>
      <c r="M2909" t="s">
        <v>44</v>
      </c>
      <c r="N2909" t="s">
        <v>77</v>
      </c>
      <c r="O2909" t="s">
        <v>99</v>
      </c>
      <c r="P2909" t="s">
        <v>99</v>
      </c>
      <c r="Q2909" t="s">
        <v>202</v>
      </c>
      <c r="R2909" t="s">
        <v>203</v>
      </c>
      <c r="S2909" t="s">
        <v>161</v>
      </c>
      <c r="T2909" t="s">
        <v>162</v>
      </c>
      <c r="U2909" t="s">
        <v>163</v>
      </c>
      <c r="V2909" t="s">
        <v>164</v>
      </c>
      <c r="W2909" t="s">
        <v>116</v>
      </c>
      <c r="X2909" t="s">
        <v>44</v>
      </c>
      <c r="Y2909" t="s">
        <v>99</v>
      </c>
      <c r="Z2909" t="s">
        <v>421</v>
      </c>
      <c r="AC2909" t="str">
        <f>IF(AA2909="",M2909,AA2909)</f>
        <v>sim</v>
      </c>
      <c r="AD2909" t="str">
        <f>IF(AB2909="",X2909,AB2909)</f>
        <v>sim</v>
      </c>
      <c r="AE2909" t="str">
        <f>IF(OR(Configuracao!B9="",Configuracao!B10=""),"aguardando limiar",IF(AND(K2909&gt;=Configuracao!B9,K2909/MAX(Reconciliacao!C2,1)&gt;=Configuracao!B10/100),"sim","não"))</f>
        <v>aguardando limiar</v>
      </c>
    </row>
    <row r="2910" spans="1:31" x14ac:dyDescent="0.25">
      <c r="A2910">
        <v>17514</v>
      </c>
      <c r="C2910" t="s">
        <v>1690</v>
      </c>
      <c r="D2910" t="s">
        <v>1691</v>
      </c>
      <c r="E2910" t="s">
        <v>465</v>
      </c>
      <c r="F2910" t="s">
        <v>201</v>
      </c>
      <c r="G2910" t="s">
        <v>200</v>
      </c>
      <c r="H2910" t="s">
        <v>199</v>
      </c>
      <c r="I2910" t="s">
        <v>439</v>
      </c>
      <c r="J2910" t="s">
        <v>439</v>
      </c>
      <c r="K2910" s="4">
        <v>68.66</v>
      </c>
      <c r="L2910" s="4">
        <v>68.66</v>
      </c>
      <c r="M2910" t="s">
        <v>44</v>
      </c>
      <c r="N2910" t="s">
        <v>77</v>
      </c>
      <c r="O2910" t="s">
        <v>99</v>
      </c>
      <c r="P2910" t="s">
        <v>99</v>
      </c>
      <c r="Q2910" t="s">
        <v>202</v>
      </c>
      <c r="R2910" t="s">
        <v>203</v>
      </c>
      <c r="S2910" t="s">
        <v>161</v>
      </c>
      <c r="T2910" t="s">
        <v>162</v>
      </c>
      <c r="U2910" t="s">
        <v>163</v>
      </c>
      <c r="V2910" t="s">
        <v>164</v>
      </c>
      <c r="W2910" t="s">
        <v>116</v>
      </c>
      <c r="X2910" t="s">
        <v>44</v>
      </c>
      <c r="Y2910" t="s">
        <v>99</v>
      </c>
      <c r="Z2910" t="s">
        <v>421</v>
      </c>
      <c r="AC2910" t="str">
        <f>IF(AA2910="",M2910,AA2910)</f>
        <v>sim</v>
      </c>
      <c r="AD2910" t="str">
        <f>IF(AB2910="",X2910,AB2910)</f>
        <v>sim</v>
      </c>
      <c r="AE2910" t="str">
        <f>IF(OR(Configuracao!B9="",Configuracao!B10=""),"aguardando limiar",IF(AND(K2910&gt;=Configuracao!B9,K2910/MAX(Reconciliacao!C2,1)&gt;=Configuracao!B10/100),"sim","não"))</f>
        <v>aguardando limiar</v>
      </c>
    </row>
    <row r="2911" spans="1:31" x14ac:dyDescent="0.25">
      <c r="A2911">
        <v>17515</v>
      </c>
      <c r="C2911" t="s">
        <v>1692</v>
      </c>
      <c r="D2911" t="s">
        <v>1691</v>
      </c>
      <c r="E2911" t="s">
        <v>474</v>
      </c>
      <c r="F2911" t="s">
        <v>201</v>
      </c>
      <c r="G2911" t="s">
        <v>200</v>
      </c>
      <c r="H2911" t="s">
        <v>199</v>
      </c>
      <c r="I2911" t="s">
        <v>439</v>
      </c>
      <c r="J2911" t="s">
        <v>439</v>
      </c>
      <c r="K2911" s="4">
        <v>68.66</v>
      </c>
      <c r="L2911" s="4">
        <v>68.66</v>
      </c>
      <c r="M2911" t="s">
        <v>44</v>
      </c>
      <c r="N2911" t="s">
        <v>77</v>
      </c>
      <c r="O2911" t="s">
        <v>99</v>
      </c>
      <c r="P2911" t="s">
        <v>99</v>
      </c>
      <c r="Q2911" t="s">
        <v>202</v>
      </c>
      <c r="R2911" t="s">
        <v>203</v>
      </c>
      <c r="S2911" t="s">
        <v>161</v>
      </c>
      <c r="T2911" t="s">
        <v>162</v>
      </c>
      <c r="U2911" t="s">
        <v>163</v>
      </c>
      <c r="V2911" t="s">
        <v>164</v>
      </c>
      <c r="W2911" t="s">
        <v>116</v>
      </c>
      <c r="X2911" t="s">
        <v>44</v>
      </c>
      <c r="Y2911" t="s">
        <v>99</v>
      </c>
      <c r="Z2911" t="s">
        <v>421</v>
      </c>
      <c r="AC2911" t="str">
        <f>IF(AA2911="",M2911,AA2911)</f>
        <v>sim</v>
      </c>
      <c r="AD2911" t="str">
        <f>IF(AB2911="",X2911,AB2911)</f>
        <v>sim</v>
      </c>
      <c r="AE2911" t="str">
        <f>IF(OR(Configuracao!B9="",Configuracao!B10=""),"aguardando limiar",IF(AND(K2911&gt;=Configuracao!B9,K2911/MAX(Reconciliacao!C2,1)&gt;=Configuracao!B10/100),"sim","não"))</f>
        <v>aguardando limiar</v>
      </c>
    </row>
    <row r="2912" spans="1:31" x14ac:dyDescent="0.25">
      <c r="A2912">
        <v>19059</v>
      </c>
      <c r="C2912" t="s">
        <v>1690</v>
      </c>
      <c r="D2912" t="s">
        <v>1691</v>
      </c>
      <c r="E2912" t="s">
        <v>465</v>
      </c>
      <c r="F2912" t="s">
        <v>201</v>
      </c>
      <c r="G2912" t="s">
        <v>200</v>
      </c>
      <c r="H2912" t="s">
        <v>199</v>
      </c>
      <c r="I2912" t="s">
        <v>35</v>
      </c>
      <c r="J2912" t="s">
        <v>35</v>
      </c>
      <c r="K2912" s="4">
        <v>68.66</v>
      </c>
      <c r="L2912" s="4">
        <v>68.66</v>
      </c>
      <c r="M2912" t="s">
        <v>44</v>
      </c>
      <c r="N2912" t="s">
        <v>77</v>
      </c>
      <c r="O2912" t="s">
        <v>99</v>
      </c>
      <c r="P2912" t="s">
        <v>99</v>
      </c>
      <c r="Q2912" t="s">
        <v>202</v>
      </c>
      <c r="R2912" t="s">
        <v>203</v>
      </c>
      <c r="S2912" t="s">
        <v>161</v>
      </c>
      <c r="T2912" t="s">
        <v>162</v>
      </c>
      <c r="U2912" t="s">
        <v>163</v>
      </c>
      <c r="V2912" t="s">
        <v>164</v>
      </c>
      <c r="W2912" t="s">
        <v>116</v>
      </c>
      <c r="X2912" t="s">
        <v>44</v>
      </c>
      <c r="Y2912" t="s">
        <v>99</v>
      </c>
      <c r="Z2912" t="s">
        <v>421</v>
      </c>
      <c r="AC2912" t="str">
        <f>IF(AA2912="",M2912,AA2912)</f>
        <v>sim</v>
      </c>
      <c r="AD2912" t="str">
        <f>IF(AB2912="",X2912,AB2912)</f>
        <v>sim</v>
      </c>
      <c r="AE2912" t="str">
        <f>IF(OR(Configuracao!B9="",Configuracao!B10=""),"aguardando limiar",IF(AND(K2912&gt;=Configuracao!B9,K2912/MAX(Reconciliacao!C2,1)&gt;=Configuracao!B10/100),"sim","não"))</f>
        <v>aguardando limiar</v>
      </c>
    </row>
    <row r="2913" spans="1:31" x14ac:dyDescent="0.25">
      <c r="A2913">
        <v>19060</v>
      </c>
      <c r="C2913" t="s">
        <v>1692</v>
      </c>
      <c r="D2913" t="s">
        <v>1691</v>
      </c>
      <c r="E2913" t="s">
        <v>474</v>
      </c>
      <c r="F2913" t="s">
        <v>201</v>
      </c>
      <c r="G2913" t="s">
        <v>200</v>
      </c>
      <c r="H2913" t="s">
        <v>199</v>
      </c>
      <c r="I2913" t="s">
        <v>35</v>
      </c>
      <c r="J2913" t="s">
        <v>35</v>
      </c>
      <c r="K2913" s="4">
        <v>68.66</v>
      </c>
      <c r="L2913" s="4">
        <v>68.66</v>
      </c>
      <c r="M2913" t="s">
        <v>44</v>
      </c>
      <c r="N2913" t="s">
        <v>77</v>
      </c>
      <c r="O2913" t="s">
        <v>99</v>
      </c>
      <c r="P2913" t="s">
        <v>99</v>
      </c>
      <c r="Q2913" t="s">
        <v>202</v>
      </c>
      <c r="R2913" t="s">
        <v>203</v>
      </c>
      <c r="S2913" t="s">
        <v>161</v>
      </c>
      <c r="T2913" t="s">
        <v>162</v>
      </c>
      <c r="U2913" t="s">
        <v>163</v>
      </c>
      <c r="V2913" t="s">
        <v>164</v>
      </c>
      <c r="W2913" t="s">
        <v>116</v>
      </c>
      <c r="X2913" t="s">
        <v>44</v>
      </c>
      <c r="Y2913" t="s">
        <v>99</v>
      </c>
      <c r="Z2913" t="s">
        <v>421</v>
      </c>
      <c r="AC2913" t="str">
        <f>IF(AA2913="",M2913,AA2913)</f>
        <v>sim</v>
      </c>
      <c r="AD2913" t="str">
        <f>IF(AB2913="",X2913,AB2913)</f>
        <v>sim</v>
      </c>
      <c r="AE2913" t="str">
        <f>IF(OR(Configuracao!B9="",Configuracao!B10=""),"aguardando limiar",IF(AND(K2913&gt;=Configuracao!B9,K2913/MAX(Reconciliacao!C2,1)&gt;=Configuracao!B10/100),"sim","não"))</f>
        <v>aguardando limiar</v>
      </c>
    </row>
    <row r="2914" spans="1:31" x14ac:dyDescent="0.25">
      <c r="A2914">
        <v>12272</v>
      </c>
      <c r="C2914" t="s">
        <v>1688</v>
      </c>
      <c r="D2914" t="s">
        <v>1689</v>
      </c>
      <c r="E2914" t="s">
        <v>458</v>
      </c>
      <c r="F2914" t="s">
        <v>201</v>
      </c>
      <c r="G2914" t="s">
        <v>200</v>
      </c>
      <c r="H2914" t="s">
        <v>199</v>
      </c>
      <c r="I2914" t="s">
        <v>424</v>
      </c>
      <c r="J2914" t="s">
        <v>424</v>
      </c>
      <c r="K2914" s="4">
        <v>73.89</v>
      </c>
      <c r="L2914" s="4">
        <v>73.89</v>
      </c>
      <c r="M2914" t="s">
        <v>44</v>
      </c>
      <c r="N2914" t="s">
        <v>77</v>
      </c>
      <c r="O2914" t="s">
        <v>99</v>
      </c>
      <c r="P2914" t="s">
        <v>99</v>
      </c>
      <c r="Q2914" t="s">
        <v>202</v>
      </c>
      <c r="R2914" t="s">
        <v>203</v>
      </c>
      <c r="S2914" t="s">
        <v>161</v>
      </c>
      <c r="T2914" t="s">
        <v>162</v>
      </c>
      <c r="U2914" t="s">
        <v>163</v>
      </c>
      <c r="V2914" t="s">
        <v>164</v>
      </c>
      <c r="W2914" t="s">
        <v>116</v>
      </c>
      <c r="X2914" t="s">
        <v>166</v>
      </c>
      <c r="Y2914" t="s">
        <v>1205</v>
      </c>
      <c r="Z2914" t="s">
        <v>434</v>
      </c>
      <c r="AC2914" t="str">
        <f>IF(AA2914="",M2914,AA2914)</f>
        <v>sim</v>
      </c>
      <c r="AD2914" t="str">
        <f>IF(AB2914="",X2914,AB2914)</f>
        <v>não</v>
      </c>
      <c r="AE2914" t="str">
        <f>IF(OR(Configuracao!B9="",Configuracao!B10=""),"aguardando limiar",IF(AND(K2914&gt;=Configuracao!B9,K2914/MAX(Reconciliacao!C2,1)&gt;=Configuracao!B10/100),"sim","não"))</f>
        <v>aguardando limiar</v>
      </c>
    </row>
    <row r="2915" spans="1:31" x14ac:dyDescent="0.25">
      <c r="A2915">
        <v>7712</v>
      </c>
      <c r="D2915" t="s">
        <v>1693</v>
      </c>
      <c r="E2915" t="s">
        <v>1094</v>
      </c>
      <c r="F2915" t="s">
        <v>201</v>
      </c>
      <c r="G2915" t="s">
        <v>200</v>
      </c>
      <c r="H2915" t="s">
        <v>199</v>
      </c>
      <c r="I2915" t="s">
        <v>32</v>
      </c>
      <c r="J2915" t="s">
        <v>32</v>
      </c>
      <c r="K2915" s="4">
        <v>109.8</v>
      </c>
      <c r="L2915" s="4">
        <v>109.8</v>
      </c>
      <c r="M2915" t="s">
        <v>44</v>
      </c>
      <c r="N2915" t="s">
        <v>77</v>
      </c>
      <c r="O2915" t="s">
        <v>99</v>
      </c>
      <c r="P2915" t="s">
        <v>99</v>
      </c>
      <c r="Q2915" t="s">
        <v>202</v>
      </c>
      <c r="R2915" t="s">
        <v>203</v>
      </c>
      <c r="S2915" t="s">
        <v>161</v>
      </c>
      <c r="T2915" t="s">
        <v>162</v>
      </c>
      <c r="U2915" t="s">
        <v>163</v>
      </c>
      <c r="V2915" t="s">
        <v>164</v>
      </c>
      <c r="W2915" t="s">
        <v>116</v>
      </c>
      <c r="X2915" t="s">
        <v>44</v>
      </c>
      <c r="Y2915" t="s">
        <v>99</v>
      </c>
      <c r="Z2915" t="s">
        <v>421</v>
      </c>
      <c r="AC2915" t="str">
        <f>IF(AA2915="",M2915,AA2915)</f>
        <v>sim</v>
      </c>
      <c r="AD2915" t="str">
        <f>IF(AB2915="",X2915,AB2915)</f>
        <v>sim</v>
      </c>
      <c r="AE2915" t="str">
        <f>IF(OR(Configuracao!B9="",Configuracao!B10=""),"aguardando limiar",IF(AND(K2915&gt;=Configuracao!B9,K2915/MAX(Reconciliacao!C2,1)&gt;=Configuracao!B10/100),"sim","não"))</f>
        <v>aguardando limiar</v>
      </c>
    </row>
    <row r="2916" spans="1:31" x14ac:dyDescent="0.25">
      <c r="A2916">
        <v>7713</v>
      </c>
      <c r="D2916" t="s">
        <v>1693</v>
      </c>
      <c r="E2916" t="s">
        <v>1094</v>
      </c>
      <c r="F2916" t="s">
        <v>201</v>
      </c>
      <c r="G2916" t="s">
        <v>200</v>
      </c>
      <c r="H2916" t="s">
        <v>199</v>
      </c>
      <c r="I2916" t="s">
        <v>424</v>
      </c>
      <c r="J2916" t="s">
        <v>424</v>
      </c>
      <c r="K2916" s="4">
        <v>119.8</v>
      </c>
      <c r="L2916" s="4">
        <v>119.8</v>
      </c>
      <c r="M2916" t="s">
        <v>44</v>
      </c>
      <c r="N2916" t="s">
        <v>77</v>
      </c>
      <c r="O2916" t="s">
        <v>99</v>
      </c>
      <c r="P2916" t="s">
        <v>99</v>
      </c>
      <c r="Q2916" t="s">
        <v>202</v>
      </c>
      <c r="R2916" t="s">
        <v>203</v>
      </c>
      <c r="S2916" t="s">
        <v>161</v>
      </c>
      <c r="T2916" t="s">
        <v>162</v>
      </c>
      <c r="U2916" t="s">
        <v>163</v>
      </c>
      <c r="V2916" t="s">
        <v>164</v>
      </c>
      <c r="W2916" t="s">
        <v>116</v>
      </c>
      <c r="X2916" t="s">
        <v>44</v>
      </c>
      <c r="Y2916" t="s">
        <v>99</v>
      </c>
      <c r="Z2916" t="s">
        <v>421</v>
      </c>
      <c r="AC2916" t="str">
        <f>IF(AA2916="",M2916,AA2916)</f>
        <v>sim</v>
      </c>
      <c r="AD2916" t="str">
        <f>IF(AB2916="",X2916,AB2916)</f>
        <v>sim</v>
      </c>
      <c r="AE2916" t="str">
        <f>IF(OR(Configuracao!B9="",Configuracao!B10=""),"aguardando limiar",IF(AND(K2916&gt;=Configuracao!B9,K2916/MAX(Reconciliacao!C2,1)&gt;=Configuracao!B10/100),"sim","não"))</f>
        <v>aguardando limiar</v>
      </c>
    </row>
    <row r="2917" spans="1:31" x14ac:dyDescent="0.25">
      <c r="A2917">
        <v>7714</v>
      </c>
      <c r="D2917" t="s">
        <v>1693</v>
      </c>
      <c r="E2917" t="s">
        <v>1094</v>
      </c>
      <c r="F2917" t="s">
        <v>201</v>
      </c>
      <c r="G2917" t="s">
        <v>200</v>
      </c>
      <c r="H2917" t="s">
        <v>199</v>
      </c>
      <c r="I2917" t="s">
        <v>420</v>
      </c>
      <c r="J2917" t="s">
        <v>420</v>
      </c>
      <c r="K2917" s="4">
        <v>119.8</v>
      </c>
      <c r="L2917" s="4">
        <v>119.8</v>
      </c>
      <c r="M2917" t="s">
        <v>44</v>
      </c>
      <c r="N2917" t="s">
        <v>77</v>
      </c>
      <c r="O2917" t="s">
        <v>99</v>
      </c>
      <c r="P2917" t="s">
        <v>99</v>
      </c>
      <c r="Q2917" t="s">
        <v>202</v>
      </c>
      <c r="R2917" t="s">
        <v>203</v>
      </c>
      <c r="S2917" t="s">
        <v>161</v>
      </c>
      <c r="T2917" t="s">
        <v>162</v>
      </c>
      <c r="U2917" t="s">
        <v>163</v>
      </c>
      <c r="V2917" t="s">
        <v>164</v>
      </c>
      <c r="W2917" t="s">
        <v>116</v>
      </c>
      <c r="X2917" t="s">
        <v>44</v>
      </c>
      <c r="Y2917" t="s">
        <v>99</v>
      </c>
      <c r="Z2917" t="s">
        <v>421</v>
      </c>
      <c r="AC2917" t="str">
        <f>IF(AA2917="",M2917,AA2917)</f>
        <v>sim</v>
      </c>
      <c r="AD2917" t="str">
        <f>IF(AB2917="",X2917,AB2917)</f>
        <v>sim</v>
      </c>
      <c r="AE2917" t="str">
        <f>IF(OR(Configuracao!B9="",Configuracao!B10=""),"aguardando limiar",IF(AND(K2917&gt;=Configuracao!B9,K2917/MAX(Reconciliacao!C2,1)&gt;=Configuracao!B10/100),"sim","não"))</f>
        <v>aguardando limiar</v>
      </c>
    </row>
    <row r="2918" spans="1:31" x14ac:dyDescent="0.25">
      <c r="A2918">
        <v>7715</v>
      </c>
      <c r="D2918" t="s">
        <v>1693</v>
      </c>
      <c r="E2918" t="s">
        <v>1094</v>
      </c>
      <c r="F2918" t="s">
        <v>201</v>
      </c>
      <c r="G2918" t="s">
        <v>200</v>
      </c>
      <c r="H2918" t="s">
        <v>199</v>
      </c>
      <c r="I2918" t="s">
        <v>454</v>
      </c>
      <c r="J2918" t="s">
        <v>454</v>
      </c>
      <c r="K2918" s="4">
        <v>119.8</v>
      </c>
      <c r="L2918" s="4">
        <v>119.8</v>
      </c>
      <c r="M2918" t="s">
        <v>44</v>
      </c>
      <c r="N2918" t="s">
        <v>77</v>
      </c>
      <c r="O2918" t="s">
        <v>99</v>
      </c>
      <c r="P2918" t="s">
        <v>99</v>
      </c>
      <c r="Q2918" t="s">
        <v>202</v>
      </c>
      <c r="R2918" t="s">
        <v>203</v>
      </c>
      <c r="S2918" t="s">
        <v>161</v>
      </c>
      <c r="T2918" t="s">
        <v>162</v>
      </c>
      <c r="U2918" t="s">
        <v>163</v>
      </c>
      <c r="V2918" t="s">
        <v>164</v>
      </c>
      <c r="W2918" t="s">
        <v>116</v>
      </c>
      <c r="X2918" t="s">
        <v>44</v>
      </c>
      <c r="Y2918" t="s">
        <v>99</v>
      </c>
      <c r="Z2918" t="s">
        <v>421</v>
      </c>
      <c r="AC2918" t="str">
        <f>IF(AA2918="",M2918,AA2918)</f>
        <v>sim</v>
      </c>
      <c r="AD2918" t="str">
        <f>IF(AB2918="",X2918,AB2918)</f>
        <v>sim</v>
      </c>
      <c r="AE2918" t="str">
        <f>IF(OR(Configuracao!B9="",Configuracao!B10=""),"aguardando limiar",IF(AND(K2918&gt;=Configuracao!B9,K2918/MAX(Reconciliacao!C2,1)&gt;=Configuracao!B10/100),"sim","não"))</f>
        <v>aguardando limiar</v>
      </c>
    </row>
    <row r="2919" spans="1:31" x14ac:dyDescent="0.25">
      <c r="A2919">
        <v>7716</v>
      </c>
      <c r="D2919" t="s">
        <v>1693</v>
      </c>
      <c r="E2919" t="s">
        <v>1094</v>
      </c>
      <c r="F2919" t="s">
        <v>201</v>
      </c>
      <c r="G2919" t="s">
        <v>200</v>
      </c>
      <c r="H2919" t="s">
        <v>199</v>
      </c>
      <c r="I2919" t="s">
        <v>461</v>
      </c>
      <c r="J2919" t="s">
        <v>461</v>
      </c>
      <c r="K2919" s="4">
        <v>119.8</v>
      </c>
      <c r="L2919" s="4">
        <v>119.8</v>
      </c>
      <c r="M2919" t="s">
        <v>44</v>
      </c>
      <c r="N2919" t="s">
        <v>77</v>
      </c>
      <c r="O2919" t="s">
        <v>99</v>
      </c>
      <c r="P2919" t="s">
        <v>99</v>
      </c>
      <c r="Q2919" t="s">
        <v>202</v>
      </c>
      <c r="R2919" t="s">
        <v>203</v>
      </c>
      <c r="S2919" t="s">
        <v>161</v>
      </c>
      <c r="T2919" t="s">
        <v>162</v>
      </c>
      <c r="U2919" t="s">
        <v>163</v>
      </c>
      <c r="V2919" t="s">
        <v>164</v>
      </c>
      <c r="W2919" t="s">
        <v>116</v>
      </c>
      <c r="X2919" t="s">
        <v>44</v>
      </c>
      <c r="Y2919" t="s">
        <v>99</v>
      </c>
      <c r="Z2919" t="s">
        <v>421</v>
      </c>
      <c r="AC2919" t="str">
        <f>IF(AA2919="",M2919,AA2919)</f>
        <v>sim</v>
      </c>
      <c r="AD2919" t="str">
        <f>IF(AB2919="",X2919,AB2919)</f>
        <v>sim</v>
      </c>
      <c r="AE2919" t="str">
        <f>IF(OR(Configuracao!B9="",Configuracao!B10=""),"aguardando limiar",IF(AND(K2919&gt;=Configuracao!B9,K2919/MAX(Reconciliacao!C2,1)&gt;=Configuracao!B10/100),"sim","não"))</f>
        <v>aguardando limiar</v>
      </c>
    </row>
    <row r="2920" spans="1:31" x14ac:dyDescent="0.25">
      <c r="A2920">
        <v>7717</v>
      </c>
      <c r="D2920" t="s">
        <v>1693</v>
      </c>
      <c r="E2920" t="s">
        <v>1094</v>
      </c>
      <c r="F2920" t="s">
        <v>201</v>
      </c>
      <c r="G2920" t="s">
        <v>200</v>
      </c>
      <c r="H2920" t="s">
        <v>199</v>
      </c>
      <c r="I2920" t="s">
        <v>442</v>
      </c>
      <c r="J2920" t="s">
        <v>442</v>
      </c>
      <c r="K2920" s="4">
        <v>119.8</v>
      </c>
      <c r="L2920" s="4">
        <v>119.8</v>
      </c>
      <c r="M2920" t="s">
        <v>44</v>
      </c>
      <c r="N2920" t="s">
        <v>77</v>
      </c>
      <c r="O2920" t="s">
        <v>99</v>
      </c>
      <c r="P2920" t="s">
        <v>99</v>
      </c>
      <c r="Q2920" t="s">
        <v>202</v>
      </c>
      <c r="R2920" t="s">
        <v>203</v>
      </c>
      <c r="S2920" t="s">
        <v>161</v>
      </c>
      <c r="T2920" t="s">
        <v>162</v>
      </c>
      <c r="U2920" t="s">
        <v>163</v>
      </c>
      <c r="V2920" t="s">
        <v>164</v>
      </c>
      <c r="W2920" t="s">
        <v>116</v>
      </c>
      <c r="X2920" t="s">
        <v>44</v>
      </c>
      <c r="Y2920" t="s">
        <v>99</v>
      </c>
      <c r="Z2920" t="s">
        <v>421</v>
      </c>
      <c r="AC2920" t="str">
        <f>IF(AA2920="",M2920,AA2920)</f>
        <v>sim</v>
      </c>
      <c r="AD2920" t="str">
        <f>IF(AB2920="",X2920,AB2920)</f>
        <v>sim</v>
      </c>
      <c r="AE2920" t="str">
        <f>IF(OR(Configuracao!B9="",Configuracao!B10=""),"aguardando limiar",IF(AND(K2920&gt;=Configuracao!B9,K2920/MAX(Reconciliacao!C2,1)&gt;=Configuracao!B10/100),"sim","não"))</f>
        <v>aguardando limiar</v>
      </c>
    </row>
    <row r="2921" spans="1:31" x14ac:dyDescent="0.25">
      <c r="A2921">
        <v>7718</v>
      </c>
      <c r="D2921" t="s">
        <v>1693</v>
      </c>
      <c r="E2921" t="s">
        <v>1094</v>
      </c>
      <c r="F2921" t="s">
        <v>201</v>
      </c>
      <c r="G2921" t="s">
        <v>200</v>
      </c>
      <c r="H2921" t="s">
        <v>199</v>
      </c>
      <c r="I2921" t="s">
        <v>439</v>
      </c>
      <c r="J2921" t="s">
        <v>439</v>
      </c>
      <c r="K2921" s="4">
        <v>119.8</v>
      </c>
      <c r="L2921" s="4">
        <v>119.8</v>
      </c>
      <c r="M2921" t="s">
        <v>44</v>
      </c>
      <c r="N2921" t="s">
        <v>77</v>
      </c>
      <c r="O2921" t="s">
        <v>99</v>
      </c>
      <c r="P2921" t="s">
        <v>99</v>
      </c>
      <c r="Q2921" t="s">
        <v>202</v>
      </c>
      <c r="R2921" t="s">
        <v>203</v>
      </c>
      <c r="S2921" t="s">
        <v>161</v>
      </c>
      <c r="T2921" t="s">
        <v>162</v>
      </c>
      <c r="U2921" t="s">
        <v>163</v>
      </c>
      <c r="V2921" t="s">
        <v>164</v>
      </c>
      <c r="W2921" t="s">
        <v>116</v>
      </c>
      <c r="X2921" t="s">
        <v>44</v>
      </c>
      <c r="Y2921" t="s">
        <v>99</v>
      </c>
      <c r="Z2921" t="s">
        <v>421</v>
      </c>
      <c r="AC2921" t="str">
        <f>IF(AA2921="",M2921,AA2921)</f>
        <v>sim</v>
      </c>
      <c r="AD2921" t="str">
        <f>IF(AB2921="",X2921,AB2921)</f>
        <v>sim</v>
      </c>
      <c r="AE2921" t="str">
        <f>IF(OR(Configuracao!B9="",Configuracao!B10=""),"aguardando limiar",IF(AND(K2921&gt;=Configuracao!B9,K2921/MAX(Reconciliacao!C2,1)&gt;=Configuracao!B10/100),"sim","não"))</f>
        <v>aguardando limiar</v>
      </c>
    </row>
    <row r="2922" spans="1:31" x14ac:dyDescent="0.25">
      <c r="A2922">
        <v>7719</v>
      </c>
      <c r="D2922" t="s">
        <v>1693</v>
      </c>
      <c r="E2922" t="s">
        <v>1094</v>
      </c>
      <c r="F2922" t="s">
        <v>201</v>
      </c>
      <c r="G2922" t="s">
        <v>200</v>
      </c>
      <c r="H2922" t="s">
        <v>199</v>
      </c>
      <c r="I2922" t="s">
        <v>35</v>
      </c>
      <c r="J2922" t="s">
        <v>35</v>
      </c>
      <c r="K2922" s="4">
        <v>119.8</v>
      </c>
      <c r="L2922" s="4">
        <v>119.8</v>
      </c>
      <c r="M2922" t="s">
        <v>44</v>
      </c>
      <c r="N2922" t="s">
        <v>77</v>
      </c>
      <c r="O2922" t="s">
        <v>99</v>
      </c>
      <c r="P2922" t="s">
        <v>99</v>
      </c>
      <c r="Q2922" t="s">
        <v>202</v>
      </c>
      <c r="R2922" t="s">
        <v>203</v>
      </c>
      <c r="S2922" t="s">
        <v>161</v>
      </c>
      <c r="T2922" t="s">
        <v>162</v>
      </c>
      <c r="U2922" t="s">
        <v>163</v>
      </c>
      <c r="V2922" t="s">
        <v>164</v>
      </c>
      <c r="W2922" t="s">
        <v>116</v>
      </c>
      <c r="X2922" t="s">
        <v>44</v>
      </c>
      <c r="Y2922" t="s">
        <v>99</v>
      </c>
      <c r="Z2922" t="s">
        <v>421</v>
      </c>
      <c r="AC2922" t="str">
        <f>IF(AA2922="",M2922,AA2922)</f>
        <v>sim</v>
      </c>
      <c r="AD2922" t="str">
        <f>IF(AB2922="",X2922,AB2922)</f>
        <v>sim</v>
      </c>
      <c r="AE2922" t="str">
        <f>IF(OR(Configuracao!B9="",Configuracao!B10=""),"aguardando limiar",IF(AND(K2922&gt;=Configuracao!B9,K2922/MAX(Reconciliacao!C2,1)&gt;=Configuracao!B10/100),"sim","não"))</f>
        <v>aguardando limiar</v>
      </c>
    </row>
    <row r="2923" spans="1:31" x14ac:dyDescent="0.25">
      <c r="A2923">
        <v>10721</v>
      </c>
      <c r="C2923" t="s">
        <v>1694</v>
      </c>
      <c r="D2923" t="s">
        <v>1691</v>
      </c>
      <c r="E2923" t="s">
        <v>467</v>
      </c>
      <c r="F2923" t="s">
        <v>201</v>
      </c>
      <c r="G2923" t="s">
        <v>200</v>
      </c>
      <c r="H2923" t="s">
        <v>199</v>
      </c>
      <c r="I2923" t="s">
        <v>32</v>
      </c>
      <c r="J2923" t="s">
        <v>32</v>
      </c>
      <c r="K2923" s="4">
        <v>205.95</v>
      </c>
      <c r="L2923" s="4">
        <v>205.95</v>
      </c>
      <c r="M2923" t="s">
        <v>44</v>
      </c>
      <c r="N2923" t="s">
        <v>77</v>
      </c>
      <c r="O2923" t="s">
        <v>99</v>
      </c>
      <c r="P2923" t="s">
        <v>99</v>
      </c>
      <c r="Q2923" t="s">
        <v>202</v>
      </c>
      <c r="R2923" t="s">
        <v>203</v>
      </c>
      <c r="S2923" t="s">
        <v>161</v>
      </c>
      <c r="T2923" t="s">
        <v>162</v>
      </c>
      <c r="U2923" t="s">
        <v>163</v>
      </c>
      <c r="V2923" t="s">
        <v>164</v>
      </c>
      <c r="W2923" t="s">
        <v>116</v>
      </c>
      <c r="X2923" t="s">
        <v>44</v>
      </c>
      <c r="Y2923" t="s">
        <v>99</v>
      </c>
      <c r="Z2923" t="s">
        <v>421</v>
      </c>
      <c r="AC2923" t="str">
        <f>IF(AA2923="",M2923,AA2923)</f>
        <v>sim</v>
      </c>
      <c r="AD2923" t="str">
        <f>IF(AB2923="",X2923,AB2923)</f>
        <v>sim</v>
      </c>
      <c r="AE2923" t="str">
        <f>IF(OR(Configuracao!B9="",Configuracao!B10=""),"aguardando limiar",IF(AND(K2923&gt;=Configuracao!B9,K2923/MAX(Reconciliacao!C2,1)&gt;=Configuracao!B10/100),"sim","não"))</f>
        <v>aguardando limiar</v>
      </c>
    </row>
    <row r="2924" spans="1:31" x14ac:dyDescent="0.25">
      <c r="A2924">
        <v>10722</v>
      </c>
      <c r="C2924" t="s">
        <v>1694</v>
      </c>
      <c r="D2924" t="s">
        <v>1691</v>
      </c>
      <c r="E2924" t="s">
        <v>467</v>
      </c>
      <c r="F2924" t="s">
        <v>201</v>
      </c>
      <c r="G2924" t="s">
        <v>200</v>
      </c>
      <c r="H2924" t="s">
        <v>199</v>
      </c>
      <c r="I2924" t="s">
        <v>424</v>
      </c>
      <c r="J2924" t="s">
        <v>424</v>
      </c>
      <c r="K2924" s="4">
        <v>205.95</v>
      </c>
      <c r="L2924" s="4">
        <v>205.95</v>
      </c>
      <c r="M2924" t="s">
        <v>44</v>
      </c>
      <c r="N2924" t="s">
        <v>77</v>
      </c>
      <c r="O2924" t="s">
        <v>99</v>
      </c>
      <c r="P2924" t="s">
        <v>99</v>
      </c>
      <c r="Q2924" t="s">
        <v>202</v>
      </c>
      <c r="R2924" t="s">
        <v>203</v>
      </c>
      <c r="S2924" t="s">
        <v>161</v>
      </c>
      <c r="T2924" t="s">
        <v>162</v>
      </c>
      <c r="U2924" t="s">
        <v>163</v>
      </c>
      <c r="V2924" t="s">
        <v>164</v>
      </c>
      <c r="W2924" t="s">
        <v>116</v>
      </c>
      <c r="X2924" t="s">
        <v>44</v>
      </c>
      <c r="Y2924" t="s">
        <v>99</v>
      </c>
      <c r="Z2924" t="s">
        <v>421</v>
      </c>
      <c r="AC2924" t="str">
        <f>IF(AA2924="",M2924,AA2924)</f>
        <v>sim</v>
      </c>
      <c r="AD2924" t="str">
        <f>IF(AB2924="",X2924,AB2924)</f>
        <v>sim</v>
      </c>
      <c r="AE2924" t="str">
        <f>IF(OR(Configuracao!B9="",Configuracao!B10=""),"aguardando limiar",IF(AND(K2924&gt;=Configuracao!B9,K2924/MAX(Reconciliacao!C2,1)&gt;=Configuracao!B10/100),"sim","não"))</f>
        <v>aguardando limiar</v>
      </c>
    </row>
    <row r="2925" spans="1:31" x14ac:dyDescent="0.25">
      <c r="A2925">
        <v>10723</v>
      </c>
      <c r="C2925" t="s">
        <v>1694</v>
      </c>
      <c r="D2925" t="s">
        <v>1691</v>
      </c>
      <c r="E2925" t="s">
        <v>467</v>
      </c>
      <c r="F2925" t="s">
        <v>201</v>
      </c>
      <c r="G2925" t="s">
        <v>200</v>
      </c>
      <c r="H2925" t="s">
        <v>199</v>
      </c>
      <c r="I2925" t="s">
        <v>420</v>
      </c>
      <c r="J2925" t="s">
        <v>420</v>
      </c>
      <c r="K2925" s="4">
        <v>205.96</v>
      </c>
      <c r="L2925" s="4">
        <v>205.96</v>
      </c>
      <c r="M2925" t="s">
        <v>44</v>
      </c>
      <c r="N2925" t="s">
        <v>77</v>
      </c>
      <c r="O2925" t="s">
        <v>99</v>
      </c>
      <c r="P2925" t="s">
        <v>99</v>
      </c>
      <c r="Q2925" t="s">
        <v>202</v>
      </c>
      <c r="R2925" t="s">
        <v>203</v>
      </c>
      <c r="S2925" t="s">
        <v>161</v>
      </c>
      <c r="T2925" t="s">
        <v>162</v>
      </c>
      <c r="U2925" t="s">
        <v>163</v>
      </c>
      <c r="V2925" t="s">
        <v>164</v>
      </c>
      <c r="W2925" t="s">
        <v>116</v>
      </c>
      <c r="X2925" t="s">
        <v>44</v>
      </c>
      <c r="Y2925" t="s">
        <v>99</v>
      </c>
      <c r="Z2925" t="s">
        <v>421</v>
      </c>
      <c r="AC2925" t="str">
        <f>IF(AA2925="",M2925,AA2925)</f>
        <v>sim</v>
      </c>
      <c r="AD2925" t="str">
        <f>IF(AB2925="",X2925,AB2925)</f>
        <v>sim</v>
      </c>
      <c r="AE2925" t="str">
        <f>IF(OR(Configuracao!B9="",Configuracao!B10=""),"aguardando limiar",IF(AND(K2925&gt;=Configuracao!B9,K2925/MAX(Reconciliacao!C2,1)&gt;=Configuracao!B10/100),"sim","não"))</f>
        <v>aguardando limiar</v>
      </c>
    </row>
    <row r="2926" spans="1:31" x14ac:dyDescent="0.25">
      <c r="A2926">
        <v>10724</v>
      </c>
      <c r="C2926" t="s">
        <v>1694</v>
      </c>
      <c r="D2926" t="s">
        <v>1691</v>
      </c>
      <c r="E2926" t="s">
        <v>467</v>
      </c>
      <c r="F2926" t="s">
        <v>201</v>
      </c>
      <c r="G2926" t="s">
        <v>200</v>
      </c>
      <c r="H2926" t="s">
        <v>199</v>
      </c>
      <c r="I2926" t="s">
        <v>454</v>
      </c>
      <c r="J2926" t="s">
        <v>454</v>
      </c>
      <c r="K2926" s="4">
        <v>205.96</v>
      </c>
      <c r="L2926" s="4">
        <v>205.96</v>
      </c>
      <c r="M2926" t="s">
        <v>44</v>
      </c>
      <c r="N2926" t="s">
        <v>77</v>
      </c>
      <c r="O2926" t="s">
        <v>99</v>
      </c>
      <c r="P2926" t="s">
        <v>99</v>
      </c>
      <c r="Q2926" t="s">
        <v>202</v>
      </c>
      <c r="R2926" t="s">
        <v>203</v>
      </c>
      <c r="S2926" t="s">
        <v>161</v>
      </c>
      <c r="T2926" t="s">
        <v>162</v>
      </c>
      <c r="U2926" t="s">
        <v>163</v>
      </c>
      <c r="V2926" t="s">
        <v>164</v>
      </c>
      <c r="W2926" t="s">
        <v>116</v>
      </c>
      <c r="X2926" t="s">
        <v>44</v>
      </c>
      <c r="Y2926" t="s">
        <v>99</v>
      </c>
      <c r="Z2926" t="s">
        <v>421</v>
      </c>
      <c r="AC2926" t="str">
        <f>IF(AA2926="",M2926,AA2926)</f>
        <v>sim</v>
      </c>
      <c r="AD2926" t="str">
        <f>IF(AB2926="",X2926,AB2926)</f>
        <v>sim</v>
      </c>
      <c r="AE2926" t="str">
        <f>IF(OR(Configuracao!B9="",Configuracao!B10=""),"aguardando limiar",IF(AND(K2926&gt;=Configuracao!B9,K2926/MAX(Reconciliacao!C2,1)&gt;=Configuracao!B10/100),"sim","não"))</f>
        <v>aguardando limiar</v>
      </c>
    </row>
    <row r="2927" spans="1:31" x14ac:dyDescent="0.25">
      <c r="A2927">
        <v>10725</v>
      </c>
      <c r="C2927" t="s">
        <v>1694</v>
      </c>
      <c r="D2927" t="s">
        <v>1691</v>
      </c>
      <c r="E2927" t="s">
        <v>467</v>
      </c>
      <c r="F2927" t="s">
        <v>201</v>
      </c>
      <c r="G2927" t="s">
        <v>200</v>
      </c>
      <c r="H2927" t="s">
        <v>199</v>
      </c>
      <c r="I2927" t="s">
        <v>461</v>
      </c>
      <c r="J2927" t="s">
        <v>461</v>
      </c>
      <c r="K2927" s="4">
        <v>205.96</v>
      </c>
      <c r="L2927" s="4">
        <v>205.96</v>
      </c>
      <c r="M2927" t="s">
        <v>44</v>
      </c>
      <c r="N2927" t="s">
        <v>77</v>
      </c>
      <c r="O2927" t="s">
        <v>99</v>
      </c>
      <c r="P2927" t="s">
        <v>99</v>
      </c>
      <c r="Q2927" t="s">
        <v>202</v>
      </c>
      <c r="R2927" t="s">
        <v>203</v>
      </c>
      <c r="S2927" t="s">
        <v>161</v>
      </c>
      <c r="T2927" t="s">
        <v>162</v>
      </c>
      <c r="U2927" t="s">
        <v>163</v>
      </c>
      <c r="V2927" t="s">
        <v>164</v>
      </c>
      <c r="W2927" t="s">
        <v>116</v>
      </c>
      <c r="X2927" t="s">
        <v>44</v>
      </c>
      <c r="Y2927" t="s">
        <v>99</v>
      </c>
      <c r="Z2927" t="s">
        <v>421</v>
      </c>
      <c r="AC2927" t="str">
        <f>IF(AA2927="",M2927,AA2927)</f>
        <v>sim</v>
      </c>
      <c r="AD2927" t="str">
        <f>IF(AB2927="",X2927,AB2927)</f>
        <v>sim</v>
      </c>
      <c r="AE2927" t="str">
        <f>IF(OR(Configuracao!B9="",Configuracao!B10=""),"aguardando limiar",IF(AND(K2927&gt;=Configuracao!B9,K2927/MAX(Reconciliacao!C2,1)&gt;=Configuracao!B10/100),"sim","não"))</f>
        <v>aguardando limiar</v>
      </c>
    </row>
    <row r="2928" spans="1:31" x14ac:dyDescent="0.25">
      <c r="A2928">
        <v>10727</v>
      </c>
      <c r="C2928" t="s">
        <v>1694</v>
      </c>
      <c r="D2928" t="s">
        <v>1691</v>
      </c>
      <c r="E2928" t="s">
        <v>467</v>
      </c>
      <c r="F2928" t="s">
        <v>201</v>
      </c>
      <c r="G2928" t="s">
        <v>200</v>
      </c>
      <c r="H2928" t="s">
        <v>199</v>
      </c>
      <c r="I2928" t="s">
        <v>439</v>
      </c>
      <c r="J2928" t="s">
        <v>439</v>
      </c>
      <c r="K2928" s="4">
        <v>205.96</v>
      </c>
      <c r="L2928" s="4">
        <v>205.96</v>
      </c>
      <c r="M2928" t="s">
        <v>44</v>
      </c>
      <c r="N2928" t="s">
        <v>77</v>
      </c>
      <c r="O2928" t="s">
        <v>99</v>
      </c>
      <c r="P2928" t="s">
        <v>99</v>
      </c>
      <c r="Q2928" t="s">
        <v>202</v>
      </c>
      <c r="R2928" t="s">
        <v>203</v>
      </c>
      <c r="S2928" t="s">
        <v>161</v>
      </c>
      <c r="T2928" t="s">
        <v>162</v>
      </c>
      <c r="U2928" t="s">
        <v>163</v>
      </c>
      <c r="V2928" t="s">
        <v>164</v>
      </c>
      <c r="W2928" t="s">
        <v>116</v>
      </c>
      <c r="X2928" t="s">
        <v>44</v>
      </c>
      <c r="Y2928" t="s">
        <v>99</v>
      </c>
      <c r="Z2928" t="s">
        <v>421</v>
      </c>
      <c r="AC2928" t="str">
        <f>IF(AA2928="",M2928,AA2928)</f>
        <v>sim</v>
      </c>
      <c r="AD2928" t="str">
        <f>IF(AB2928="",X2928,AB2928)</f>
        <v>sim</v>
      </c>
      <c r="AE2928" t="str">
        <f>IF(OR(Configuracao!B9="",Configuracao!B10=""),"aguardando limiar",IF(AND(K2928&gt;=Configuracao!B9,K2928/MAX(Reconciliacao!C2,1)&gt;=Configuracao!B10/100),"sim","não"))</f>
        <v>aguardando limiar</v>
      </c>
    </row>
    <row r="2929" spans="1:31" x14ac:dyDescent="0.25">
      <c r="A2929">
        <v>10728</v>
      </c>
      <c r="C2929" t="s">
        <v>1694</v>
      </c>
      <c r="D2929" t="s">
        <v>1691</v>
      </c>
      <c r="E2929" t="s">
        <v>467</v>
      </c>
      <c r="F2929" t="s">
        <v>201</v>
      </c>
      <c r="G2929" t="s">
        <v>200</v>
      </c>
      <c r="H2929" t="s">
        <v>199</v>
      </c>
      <c r="I2929" t="s">
        <v>35</v>
      </c>
      <c r="J2929" t="s">
        <v>35</v>
      </c>
      <c r="K2929" s="4">
        <v>205.96</v>
      </c>
      <c r="L2929" s="4">
        <v>205.96</v>
      </c>
      <c r="M2929" t="s">
        <v>44</v>
      </c>
      <c r="N2929" t="s">
        <v>77</v>
      </c>
      <c r="O2929" t="s">
        <v>99</v>
      </c>
      <c r="P2929" t="s">
        <v>99</v>
      </c>
      <c r="Q2929" t="s">
        <v>202</v>
      </c>
      <c r="R2929" t="s">
        <v>203</v>
      </c>
      <c r="S2929" t="s">
        <v>161</v>
      </c>
      <c r="T2929" t="s">
        <v>162</v>
      </c>
      <c r="U2929" t="s">
        <v>163</v>
      </c>
      <c r="V2929" t="s">
        <v>164</v>
      </c>
      <c r="W2929" t="s">
        <v>116</v>
      </c>
      <c r="X2929" t="s">
        <v>44</v>
      </c>
      <c r="Y2929" t="s">
        <v>99</v>
      </c>
      <c r="Z2929" t="s">
        <v>421</v>
      </c>
      <c r="AC2929" t="str">
        <f>IF(AA2929="",M2929,AA2929)</f>
        <v>sim</v>
      </c>
      <c r="AD2929" t="str">
        <f>IF(AB2929="",X2929,AB2929)</f>
        <v>sim</v>
      </c>
      <c r="AE2929" t="str">
        <f>IF(OR(Configuracao!B9="",Configuracao!B10=""),"aguardando limiar",IF(AND(K2929&gt;=Configuracao!B9,K2929/MAX(Reconciliacao!C2,1)&gt;=Configuracao!B10/100),"sim","não"))</f>
        <v>aguardando limiar</v>
      </c>
    </row>
    <row r="2930" spans="1:31" x14ac:dyDescent="0.25">
      <c r="A2930">
        <v>10726</v>
      </c>
      <c r="C2930" t="s">
        <v>1694</v>
      </c>
      <c r="D2930" t="s">
        <v>1691</v>
      </c>
      <c r="E2930" t="s">
        <v>467</v>
      </c>
      <c r="F2930" t="s">
        <v>201</v>
      </c>
      <c r="G2930" t="s">
        <v>200</v>
      </c>
      <c r="H2930" t="s">
        <v>199</v>
      </c>
      <c r="I2930" t="s">
        <v>442</v>
      </c>
      <c r="J2930" t="s">
        <v>442</v>
      </c>
      <c r="K2930" s="4">
        <v>205.99</v>
      </c>
      <c r="L2930" s="4">
        <v>205.99</v>
      </c>
      <c r="M2930" t="s">
        <v>44</v>
      </c>
      <c r="N2930" t="s">
        <v>77</v>
      </c>
      <c r="O2930" t="s">
        <v>99</v>
      </c>
      <c r="P2930" t="s">
        <v>99</v>
      </c>
      <c r="Q2930" t="s">
        <v>202</v>
      </c>
      <c r="R2930" t="s">
        <v>203</v>
      </c>
      <c r="S2930" t="s">
        <v>161</v>
      </c>
      <c r="T2930" t="s">
        <v>162</v>
      </c>
      <c r="U2930" t="s">
        <v>163</v>
      </c>
      <c r="V2930" t="s">
        <v>164</v>
      </c>
      <c r="W2930" t="s">
        <v>116</v>
      </c>
      <c r="X2930" t="s">
        <v>44</v>
      </c>
      <c r="Y2930" t="s">
        <v>99</v>
      </c>
      <c r="Z2930" t="s">
        <v>421</v>
      </c>
      <c r="AC2930" t="str">
        <f>IF(AA2930="",M2930,AA2930)</f>
        <v>sim</v>
      </c>
      <c r="AD2930" t="str">
        <f>IF(AB2930="",X2930,AB2930)</f>
        <v>sim</v>
      </c>
      <c r="AE2930" t="str">
        <f>IF(OR(Configuracao!B9="",Configuracao!B10=""),"aguardando limiar",IF(AND(K2930&gt;=Configuracao!B9,K2930/MAX(Reconciliacao!C2,1)&gt;=Configuracao!B10/100),"sim","não"))</f>
        <v>aguardando limiar</v>
      </c>
    </row>
    <row r="2931" spans="1:31" x14ac:dyDescent="0.25">
      <c r="A2931">
        <v>12274</v>
      </c>
      <c r="C2931" t="s">
        <v>1695</v>
      </c>
      <c r="D2931" t="s">
        <v>1689</v>
      </c>
      <c r="E2931" t="s">
        <v>458</v>
      </c>
      <c r="F2931" t="s">
        <v>201</v>
      </c>
      <c r="G2931" t="s">
        <v>200</v>
      </c>
      <c r="H2931" t="s">
        <v>199</v>
      </c>
      <c r="I2931" t="s">
        <v>424</v>
      </c>
      <c r="J2931" t="s">
        <v>424</v>
      </c>
      <c r="K2931" s="4">
        <v>207.4</v>
      </c>
      <c r="L2931" s="4">
        <v>207.4</v>
      </c>
      <c r="M2931" t="s">
        <v>44</v>
      </c>
      <c r="N2931" t="s">
        <v>77</v>
      </c>
      <c r="O2931" t="s">
        <v>99</v>
      </c>
      <c r="P2931" t="s">
        <v>99</v>
      </c>
      <c r="Q2931" t="s">
        <v>202</v>
      </c>
      <c r="R2931" t="s">
        <v>203</v>
      </c>
      <c r="S2931" t="s">
        <v>161</v>
      </c>
      <c r="T2931" t="s">
        <v>162</v>
      </c>
      <c r="U2931" t="s">
        <v>163</v>
      </c>
      <c r="V2931" t="s">
        <v>164</v>
      </c>
      <c r="W2931" t="s">
        <v>116</v>
      </c>
      <c r="X2931" t="s">
        <v>44</v>
      </c>
      <c r="Y2931" t="s">
        <v>99</v>
      </c>
      <c r="Z2931" t="s">
        <v>421</v>
      </c>
      <c r="AC2931" t="str">
        <f>IF(AA2931="",M2931,AA2931)</f>
        <v>sim</v>
      </c>
      <c r="AD2931" t="str">
        <f>IF(AB2931="",X2931,AB2931)</f>
        <v>sim</v>
      </c>
      <c r="AE2931" t="str">
        <f>IF(OR(Configuracao!B9="",Configuracao!B10=""),"aguardando limiar",IF(AND(K2931&gt;=Configuracao!B9,K2931/MAX(Reconciliacao!C2,1)&gt;=Configuracao!B10/100),"sim","não"))</f>
        <v>aguardando limiar</v>
      </c>
    </row>
    <row r="2932" spans="1:31" x14ac:dyDescent="0.25">
      <c r="A2932">
        <v>12275</v>
      </c>
      <c r="C2932" t="s">
        <v>1695</v>
      </c>
      <c r="D2932" t="s">
        <v>1689</v>
      </c>
      <c r="E2932" t="s">
        <v>458</v>
      </c>
      <c r="F2932" t="s">
        <v>201</v>
      </c>
      <c r="G2932" t="s">
        <v>200</v>
      </c>
      <c r="H2932" t="s">
        <v>199</v>
      </c>
      <c r="I2932" t="s">
        <v>420</v>
      </c>
      <c r="J2932" t="s">
        <v>420</v>
      </c>
      <c r="K2932" s="4">
        <v>207.4</v>
      </c>
      <c r="L2932" s="4">
        <v>207.4</v>
      </c>
      <c r="M2932" t="s">
        <v>44</v>
      </c>
      <c r="N2932" t="s">
        <v>77</v>
      </c>
      <c r="O2932" t="s">
        <v>99</v>
      </c>
      <c r="P2932" t="s">
        <v>99</v>
      </c>
      <c r="Q2932" t="s">
        <v>202</v>
      </c>
      <c r="R2932" t="s">
        <v>203</v>
      </c>
      <c r="S2932" t="s">
        <v>161</v>
      </c>
      <c r="T2932" t="s">
        <v>162</v>
      </c>
      <c r="U2932" t="s">
        <v>163</v>
      </c>
      <c r="V2932" t="s">
        <v>164</v>
      </c>
      <c r="W2932" t="s">
        <v>116</v>
      </c>
      <c r="X2932" t="s">
        <v>44</v>
      </c>
      <c r="Y2932" t="s">
        <v>99</v>
      </c>
      <c r="Z2932" t="s">
        <v>421</v>
      </c>
      <c r="AC2932" t="str">
        <f>IF(AA2932="",M2932,AA2932)</f>
        <v>sim</v>
      </c>
      <c r="AD2932" t="str">
        <f>IF(AB2932="",X2932,AB2932)</f>
        <v>sim</v>
      </c>
      <c r="AE2932" t="str">
        <f>IF(OR(Configuracao!B9="",Configuracao!B10=""),"aguardando limiar",IF(AND(K2932&gt;=Configuracao!B9,K2932/MAX(Reconciliacao!C2,1)&gt;=Configuracao!B10/100),"sim","não"))</f>
        <v>aguardando limiar</v>
      </c>
    </row>
    <row r="2933" spans="1:31" x14ac:dyDescent="0.25">
      <c r="A2933">
        <v>12276</v>
      </c>
      <c r="C2933" t="s">
        <v>1695</v>
      </c>
      <c r="D2933" t="s">
        <v>1689</v>
      </c>
      <c r="E2933" t="s">
        <v>458</v>
      </c>
      <c r="F2933" t="s">
        <v>201</v>
      </c>
      <c r="G2933" t="s">
        <v>200</v>
      </c>
      <c r="H2933" t="s">
        <v>199</v>
      </c>
      <c r="I2933" t="s">
        <v>454</v>
      </c>
      <c r="J2933" t="s">
        <v>454</v>
      </c>
      <c r="K2933" s="4">
        <v>207.4</v>
      </c>
      <c r="L2933" s="4">
        <v>207.4</v>
      </c>
      <c r="M2933" t="s">
        <v>44</v>
      </c>
      <c r="N2933" t="s">
        <v>77</v>
      </c>
      <c r="O2933" t="s">
        <v>99</v>
      </c>
      <c r="P2933" t="s">
        <v>99</v>
      </c>
      <c r="Q2933" t="s">
        <v>202</v>
      </c>
      <c r="R2933" t="s">
        <v>203</v>
      </c>
      <c r="S2933" t="s">
        <v>161</v>
      </c>
      <c r="T2933" t="s">
        <v>162</v>
      </c>
      <c r="U2933" t="s">
        <v>163</v>
      </c>
      <c r="V2933" t="s">
        <v>164</v>
      </c>
      <c r="W2933" t="s">
        <v>116</v>
      </c>
      <c r="X2933" t="s">
        <v>44</v>
      </c>
      <c r="Y2933" t="s">
        <v>99</v>
      </c>
      <c r="Z2933" t="s">
        <v>421</v>
      </c>
      <c r="AC2933" t="str">
        <f>IF(AA2933="",M2933,AA2933)</f>
        <v>sim</v>
      </c>
      <c r="AD2933" t="str">
        <f>IF(AB2933="",X2933,AB2933)</f>
        <v>sim</v>
      </c>
      <c r="AE2933" t="str">
        <f>IF(OR(Configuracao!B9="",Configuracao!B10=""),"aguardando limiar",IF(AND(K2933&gt;=Configuracao!B9,K2933/MAX(Reconciliacao!C2,1)&gt;=Configuracao!B10/100),"sim","não"))</f>
        <v>aguardando limiar</v>
      </c>
    </row>
    <row r="2934" spans="1:31" x14ac:dyDescent="0.25">
      <c r="A2934">
        <v>12277</v>
      </c>
      <c r="C2934" t="s">
        <v>1695</v>
      </c>
      <c r="D2934" t="s">
        <v>1689</v>
      </c>
      <c r="E2934" t="s">
        <v>458</v>
      </c>
      <c r="F2934" t="s">
        <v>201</v>
      </c>
      <c r="G2934" t="s">
        <v>200</v>
      </c>
      <c r="H2934" t="s">
        <v>199</v>
      </c>
      <c r="I2934" t="s">
        <v>461</v>
      </c>
      <c r="J2934" t="s">
        <v>461</v>
      </c>
      <c r="K2934" s="4">
        <v>207.4</v>
      </c>
      <c r="L2934" s="4">
        <v>207.4</v>
      </c>
      <c r="M2934" t="s">
        <v>44</v>
      </c>
      <c r="N2934" t="s">
        <v>77</v>
      </c>
      <c r="O2934" t="s">
        <v>99</v>
      </c>
      <c r="P2934" t="s">
        <v>99</v>
      </c>
      <c r="Q2934" t="s">
        <v>202</v>
      </c>
      <c r="R2934" t="s">
        <v>203</v>
      </c>
      <c r="S2934" t="s">
        <v>161</v>
      </c>
      <c r="T2934" t="s">
        <v>162</v>
      </c>
      <c r="U2934" t="s">
        <v>163</v>
      </c>
      <c r="V2934" t="s">
        <v>164</v>
      </c>
      <c r="W2934" t="s">
        <v>116</v>
      </c>
      <c r="X2934" t="s">
        <v>44</v>
      </c>
      <c r="Y2934" t="s">
        <v>99</v>
      </c>
      <c r="Z2934" t="s">
        <v>421</v>
      </c>
      <c r="AC2934" t="str">
        <f>IF(AA2934="",M2934,AA2934)</f>
        <v>sim</v>
      </c>
      <c r="AD2934" t="str">
        <f>IF(AB2934="",X2934,AB2934)</f>
        <v>sim</v>
      </c>
      <c r="AE2934" t="str">
        <f>IF(OR(Configuracao!B9="",Configuracao!B10=""),"aguardando limiar",IF(AND(K2934&gt;=Configuracao!B9,K2934/MAX(Reconciliacao!C2,1)&gt;=Configuracao!B10/100),"sim","não"))</f>
        <v>aguardando limiar</v>
      </c>
    </row>
    <row r="2935" spans="1:31" x14ac:dyDescent="0.25">
      <c r="A2935">
        <v>12278</v>
      </c>
      <c r="C2935" t="s">
        <v>1695</v>
      </c>
      <c r="D2935" t="s">
        <v>1689</v>
      </c>
      <c r="E2935" t="s">
        <v>458</v>
      </c>
      <c r="F2935" t="s">
        <v>201</v>
      </c>
      <c r="G2935" t="s">
        <v>200</v>
      </c>
      <c r="H2935" t="s">
        <v>199</v>
      </c>
      <c r="I2935" t="s">
        <v>442</v>
      </c>
      <c r="J2935" t="s">
        <v>442</v>
      </c>
      <c r="K2935" s="4">
        <v>207.4</v>
      </c>
      <c r="L2935" s="4">
        <v>207.4</v>
      </c>
      <c r="M2935" t="s">
        <v>44</v>
      </c>
      <c r="N2935" t="s">
        <v>77</v>
      </c>
      <c r="O2935" t="s">
        <v>99</v>
      </c>
      <c r="P2935" t="s">
        <v>99</v>
      </c>
      <c r="Q2935" t="s">
        <v>202</v>
      </c>
      <c r="R2935" t="s">
        <v>203</v>
      </c>
      <c r="S2935" t="s">
        <v>161</v>
      </c>
      <c r="T2935" t="s">
        <v>162</v>
      </c>
      <c r="U2935" t="s">
        <v>163</v>
      </c>
      <c r="V2935" t="s">
        <v>164</v>
      </c>
      <c r="W2935" t="s">
        <v>116</v>
      </c>
      <c r="X2935" t="s">
        <v>44</v>
      </c>
      <c r="Y2935" t="s">
        <v>99</v>
      </c>
      <c r="Z2935" t="s">
        <v>421</v>
      </c>
      <c r="AC2935" t="str">
        <f>IF(AA2935="",M2935,AA2935)</f>
        <v>sim</v>
      </c>
      <c r="AD2935" t="str">
        <f>IF(AB2935="",X2935,AB2935)</f>
        <v>sim</v>
      </c>
      <c r="AE2935" t="str">
        <f>IF(OR(Configuracao!B9="",Configuracao!B10=""),"aguardando limiar",IF(AND(K2935&gt;=Configuracao!B9,K2935/MAX(Reconciliacao!C2,1)&gt;=Configuracao!B10/100),"sim","não"))</f>
        <v>aguardando limiar</v>
      </c>
    </row>
    <row r="2936" spans="1:31" x14ac:dyDescent="0.25">
      <c r="A2936">
        <v>12279</v>
      </c>
      <c r="C2936" t="s">
        <v>1695</v>
      </c>
      <c r="D2936" t="s">
        <v>1689</v>
      </c>
      <c r="E2936" t="s">
        <v>458</v>
      </c>
      <c r="F2936" t="s">
        <v>201</v>
      </c>
      <c r="G2936" t="s">
        <v>200</v>
      </c>
      <c r="H2936" t="s">
        <v>199</v>
      </c>
      <c r="I2936" t="s">
        <v>439</v>
      </c>
      <c r="J2936" t="s">
        <v>439</v>
      </c>
      <c r="K2936" s="4">
        <v>207.4</v>
      </c>
      <c r="L2936" s="4">
        <v>207.4</v>
      </c>
      <c r="M2936" t="s">
        <v>44</v>
      </c>
      <c r="N2936" t="s">
        <v>77</v>
      </c>
      <c r="O2936" t="s">
        <v>99</v>
      </c>
      <c r="P2936" t="s">
        <v>99</v>
      </c>
      <c r="Q2936" t="s">
        <v>202</v>
      </c>
      <c r="R2936" t="s">
        <v>203</v>
      </c>
      <c r="S2936" t="s">
        <v>161</v>
      </c>
      <c r="T2936" t="s">
        <v>162</v>
      </c>
      <c r="U2936" t="s">
        <v>163</v>
      </c>
      <c r="V2936" t="s">
        <v>164</v>
      </c>
      <c r="W2936" t="s">
        <v>116</v>
      </c>
      <c r="X2936" t="s">
        <v>44</v>
      </c>
      <c r="Y2936" t="s">
        <v>99</v>
      </c>
      <c r="Z2936" t="s">
        <v>421</v>
      </c>
      <c r="AC2936" t="str">
        <f>IF(AA2936="",M2936,AA2936)</f>
        <v>sim</v>
      </c>
      <c r="AD2936" t="str">
        <f>IF(AB2936="",X2936,AB2936)</f>
        <v>sim</v>
      </c>
      <c r="AE2936" t="str">
        <f>IF(OR(Configuracao!B9="",Configuracao!B10=""),"aguardando limiar",IF(AND(K2936&gt;=Configuracao!B9,K2936/MAX(Reconciliacao!C2,1)&gt;=Configuracao!B10/100),"sim","não"))</f>
        <v>aguardando limiar</v>
      </c>
    </row>
    <row r="2937" spans="1:31" x14ac:dyDescent="0.25">
      <c r="A2937">
        <v>12280</v>
      </c>
      <c r="C2937" t="s">
        <v>1695</v>
      </c>
      <c r="D2937" t="s">
        <v>1689</v>
      </c>
      <c r="E2937" t="s">
        <v>458</v>
      </c>
      <c r="F2937" t="s">
        <v>201</v>
      </c>
      <c r="G2937" t="s">
        <v>200</v>
      </c>
      <c r="H2937" t="s">
        <v>199</v>
      </c>
      <c r="I2937" t="s">
        <v>35</v>
      </c>
      <c r="J2937" t="s">
        <v>35</v>
      </c>
      <c r="K2937" s="4">
        <v>207.4</v>
      </c>
      <c r="L2937" s="4">
        <v>207.4</v>
      </c>
      <c r="M2937" t="s">
        <v>44</v>
      </c>
      <c r="N2937" t="s">
        <v>77</v>
      </c>
      <c r="O2937" t="s">
        <v>99</v>
      </c>
      <c r="P2937" t="s">
        <v>99</v>
      </c>
      <c r="Q2937" t="s">
        <v>202</v>
      </c>
      <c r="R2937" t="s">
        <v>203</v>
      </c>
      <c r="S2937" t="s">
        <v>161</v>
      </c>
      <c r="T2937" t="s">
        <v>162</v>
      </c>
      <c r="U2937" t="s">
        <v>163</v>
      </c>
      <c r="V2937" t="s">
        <v>164</v>
      </c>
      <c r="W2937" t="s">
        <v>116</v>
      </c>
      <c r="X2937" t="s">
        <v>44</v>
      </c>
      <c r="Y2937" t="s">
        <v>99</v>
      </c>
      <c r="Z2937" t="s">
        <v>421</v>
      </c>
      <c r="AC2937" t="str">
        <f>IF(AA2937="",M2937,AA2937)</f>
        <v>sim</v>
      </c>
      <c r="AD2937" t="str">
        <f>IF(AB2937="",X2937,AB2937)</f>
        <v>sim</v>
      </c>
      <c r="AE2937" t="str">
        <f>IF(OR(Configuracao!B9="",Configuracao!B10=""),"aguardando limiar",IF(AND(K2937&gt;=Configuracao!B9,K2937/MAX(Reconciliacao!C2,1)&gt;=Configuracao!B10/100),"sim","não"))</f>
        <v>aguardando limiar</v>
      </c>
    </row>
    <row r="2938" spans="1:31" x14ac:dyDescent="0.25">
      <c r="A2938">
        <v>7690</v>
      </c>
      <c r="C2938" t="s">
        <v>1696</v>
      </c>
      <c r="D2938" t="s">
        <v>1697</v>
      </c>
      <c r="E2938" t="s">
        <v>1094</v>
      </c>
      <c r="F2938" t="s">
        <v>201</v>
      </c>
      <c r="G2938" t="s">
        <v>200</v>
      </c>
      <c r="H2938" t="s">
        <v>199</v>
      </c>
      <c r="I2938" t="s">
        <v>32</v>
      </c>
      <c r="J2938" t="s">
        <v>32</v>
      </c>
      <c r="K2938" s="4">
        <v>250</v>
      </c>
      <c r="L2938" s="4">
        <v>250</v>
      </c>
      <c r="M2938" t="s">
        <v>44</v>
      </c>
      <c r="N2938" t="s">
        <v>77</v>
      </c>
      <c r="O2938" t="s">
        <v>99</v>
      </c>
      <c r="P2938" t="s">
        <v>99</v>
      </c>
      <c r="Q2938" t="s">
        <v>202</v>
      </c>
      <c r="R2938" t="s">
        <v>203</v>
      </c>
      <c r="S2938" t="s">
        <v>161</v>
      </c>
      <c r="T2938" t="s">
        <v>162</v>
      </c>
      <c r="U2938" t="s">
        <v>163</v>
      </c>
      <c r="V2938" t="s">
        <v>164</v>
      </c>
      <c r="W2938" t="s">
        <v>116</v>
      </c>
      <c r="X2938" t="s">
        <v>44</v>
      </c>
      <c r="Y2938" t="s">
        <v>99</v>
      </c>
      <c r="Z2938" t="s">
        <v>421</v>
      </c>
      <c r="AC2938" t="str">
        <f>IF(AA2938="",M2938,AA2938)</f>
        <v>sim</v>
      </c>
      <c r="AD2938" t="str">
        <f>IF(AB2938="",X2938,AB2938)</f>
        <v>sim</v>
      </c>
      <c r="AE2938" t="str">
        <f>IF(OR(Configuracao!B9="",Configuracao!B10=""),"aguardando limiar",IF(AND(K2938&gt;=Configuracao!B9,K2938/MAX(Reconciliacao!C2,1)&gt;=Configuracao!B10/100),"sim","não"))</f>
        <v>aguardando limiar</v>
      </c>
    </row>
    <row r="2939" spans="1:31" x14ac:dyDescent="0.25">
      <c r="A2939">
        <v>7691</v>
      </c>
      <c r="C2939" t="s">
        <v>1696</v>
      </c>
      <c r="D2939" t="s">
        <v>1697</v>
      </c>
      <c r="E2939" t="s">
        <v>1094</v>
      </c>
      <c r="F2939" t="s">
        <v>201</v>
      </c>
      <c r="G2939" t="s">
        <v>200</v>
      </c>
      <c r="H2939" t="s">
        <v>199</v>
      </c>
      <c r="I2939" t="s">
        <v>424</v>
      </c>
      <c r="J2939" t="s">
        <v>424</v>
      </c>
      <c r="K2939" s="4">
        <v>250</v>
      </c>
      <c r="L2939" s="4">
        <v>250</v>
      </c>
      <c r="M2939" t="s">
        <v>44</v>
      </c>
      <c r="N2939" t="s">
        <v>77</v>
      </c>
      <c r="O2939" t="s">
        <v>99</v>
      </c>
      <c r="P2939" t="s">
        <v>99</v>
      </c>
      <c r="Q2939" t="s">
        <v>202</v>
      </c>
      <c r="R2939" t="s">
        <v>203</v>
      </c>
      <c r="S2939" t="s">
        <v>161</v>
      </c>
      <c r="T2939" t="s">
        <v>162</v>
      </c>
      <c r="U2939" t="s">
        <v>163</v>
      </c>
      <c r="V2939" t="s">
        <v>164</v>
      </c>
      <c r="W2939" t="s">
        <v>116</v>
      </c>
      <c r="X2939" t="s">
        <v>44</v>
      </c>
      <c r="Y2939" t="s">
        <v>99</v>
      </c>
      <c r="Z2939" t="s">
        <v>421</v>
      </c>
      <c r="AC2939" t="str">
        <f>IF(AA2939="",M2939,AA2939)</f>
        <v>sim</v>
      </c>
      <c r="AD2939" t="str">
        <f>IF(AB2939="",X2939,AB2939)</f>
        <v>sim</v>
      </c>
      <c r="AE2939" t="str">
        <f>IF(OR(Configuracao!B9="",Configuracao!B10=""),"aguardando limiar",IF(AND(K2939&gt;=Configuracao!B9,K2939/MAX(Reconciliacao!C2,1)&gt;=Configuracao!B10/100),"sim","não"))</f>
        <v>aguardando limiar</v>
      </c>
    </row>
    <row r="2940" spans="1:31" x14ac:dyDescent="0.25">
      <c r="A2940">
        <v>7692</v>
      </c>
      <c r="C2940" t="s">
        <v>1696</v>
      </c>
      <c r="D2940" t="s">
        <v>1697</v>
      </c>
      <c r="E2940" t="s">
        <v>1094</v>
      </c>
      <c r="F2940" t="s">
        <v>201</v>
      </c>
      <c r="G2940" t="s">
        <v>200</v>
      </c>
      <c r="H2940" t="s">
        <v>199</v>
      </c>
      <c r="I2940" t="s">
        <v>420</v>
      </c>
      <c r="J2940" t="s">
        <v>420</v>
      </c>
      <c r="K2940" s="4">
        <v>250</v>
      </c>
      <c r="L2940" s="4">
        <v>250</v>
      </c>
      <c r="M2940" t="s">
        <v>44</v>
      </c>
      <c r="N2940" t="s">
        <v>77</v>
      </c>
      <c r="O2940" t="s">
        <v>99</v>
      </c>
      <c r="P2940" t="s">
        <v>99</v>
      </c>
      <c r="Q2940" t="s">
        <v>202</v>
      </c>
      <c r="R2940" t="s">
        <v>203</v>
      </c>
      <c r="S2940" t="s">
        <v>161</v>
      </c>
      <c r="T2940" t="s">
        <v>162</v>
      </c>
      <c r="U2940" t="s">
        <v>163</v>
      </c>
      <c r="V2940" t="s">
        <v>164</v>
      </c>
      <c r="W2940" t="s">
        <v>116</v>
      </c>
      <c r="X2940" t="s">
        <v>44</v>
      </c>
      <c r="Y2940" t="s">
        <v>99</v>
      </c>
      <c r="Z2940" t="s">
        <v>421</v>
      </c>
      <c r="AC2940" t="str">
        <f>IF(AA2940="",M2940,AA2940)</f>
        <v>sim</v>
      </c>
      <c r="AD2940" t="str">
        <f>IF(AB2940="",X2940,AB2940)</f>
        <v>sim</v>
      </c>
      <c r="AE2940" t="str">
        <f>IF(OR(Configuracao!B9="",Configuracao!B10=""),"aguardando limiar",IF(AND(K2940&gt;=Configuracao!B9,K2940/MAX(Reconciliacao!C2,1)&gt;=Configuracao!B10/100),"sim","não"))</f>
        <v>aguardando limiar</v>
      </c>
    </row>
    <row r="2941" spans="1:31" x14ac:dyDescent="0.25">
      <c r="A2941">
        <v>7693</v>
      </c>
      <c r="C2941" t="s">
        <v>1696</v>
      </c>
      <c r="D2941" t="s">
        <v>1697</v>
      </c>
      <c r="E2941" t="s">
        <v>1094</v>
      </c>
      <c r="F2941" t="s">
        <v>201</v>
      </c>
      <c r="G2941" t="s">
        <v>200</v>
      </c>
      <c r="H2941" t="s">
        <v>199</v>
      </c>
      <c r="I2941" t="s">
        <v>454</v>
      </c>
      <c r="J2941" t="s">
        <v>454</v>
      </c>
      <c r="K2941" s="4">
        <v>250</v>
      </c>
      <c r="L2941" s="4">
        <v>250</v>
      </c>
      <c r="M2941" t="s">
        <v>44</v>
      </c>
      <c r="N2941" t="s">
        <v>77</v>
      </c>
      <c r="O2941" t="s">
        <v>99</v>
      </c>
      <c r="P2941" t="s">
        <v>99</v>
      </c>
      <c r="Q2941" t="s">
        <v>202</v>
      </c>
      <c r="R2941" t="s">
        <v>203</v>
      </c>
      <c r="S2941" t="s">
        <v>161</v>
      </c>
      <c r="T2941" t="s">
        <v>162</v>
      </c>
      <c r="U2941" t="s">
        <v>163</v>
      </c>
      <c r="V2941" t="s">
        <v>164</v>
      </c>
      <c r="W2941" t="s">
        <v>116</v>
      </c>
      <c r="X2941" t="s">
        <v>44</v>
      </c>
      <c r="Y2941" t="s">
        <v>99</v>
      </c>
      <c r="Z2941" t="s">
        <v>421</v>
      </c>
      <c r="AC2941" t="str">
        <f>IF(AA2941="",M2941,AA2941)</f>
        <v>sim</v>
      </c>
      <c r="AD2941" t="str">
        <f>IF(AB2941="",X2941,AB2941)</f>
        <v>sim</v>
      </c>
      <c r="AE2941" t="str">
        <f>IF(OR(Configuracao!B9="",Configuracao!B10=""),"aguardando limiar",IF(AND(K2941&gt;=Configuracao!B9,K2941/MAX(Reconciliacao!C2,1)&gt;=Configuracao!B10/100),"sim","não"))</f>
        <v>aguardando limiar</v>
      </c>
    </row>
    <row r="2942" spans="1:31" x14ac:dyDescent="0.25">
      <c r="A2942">
        <v>7694</v>
      </c>
      <c r="C2942" t="s">
        <v>1696</v>
      </c>
      <c r="D2942" t="s">
        <v>1697</v>
      </c>
      <c r="E2942" t="s">
        <v>1094</v>
      </c>
      <c r="F2942" t="s">
        <v>201</v>
      </c>
      <c r="G2942" t="s">
        <v>200</v>
      </c>
      <c r="H2942" t="s">
        <v>199</v>
      </c>
      <c r="I2942" t="s">
        <v>461</v>
      </c>
      <c r="J2942" t="s">
        <v>461</v>
      </c>
      <c r="K2942" s="4">
        <v>250</v>
      </c>
      <c r="L2942" s="4">
        <v>250</v>
      </c>
      <c r="M2942" t="s">
        <v>44</v>
      </c>
      <c r="N2942" t="s">
        <v>77</v>
      </c>
      <c r="O2942" t="s">
        <v>99</v>
      </c>
      <c r="P2942" t="s">
        <v>99</v>
      </c>
      <c r="Q2942" t="s">
        <v>202</v>
      </c>
      <c r="R2942" t="s">
        <v>203</v>
      </c>
      <c r="S2942" t="s">
        <v>161</v>
      </c>
      <c r="T2942" t="s">
        <v>162</v>
      </c>
      <c r="U2942" t="s">
        <v>163</v>
      </c>
      <c r="V2942" t="s">
        <v>164</v>
      </c>
      <c r="W2942" t="s">
        <v>116</v>
      </c>
      <c r="X2942" t="s">
        <v>44</v>
      </c>
      <c r="Y2942" t="s">
        <v>99</v>
      </c>
      <c r="Z2942" t="s">
        <v>421</v>
      </c>
      <c r="AC2942" t="str">
        <f>IF(AA2942="",M2942,AA2942)</f>
        <v>sim</v>
      </c>
      <c r="AD2942" t="str">
        <f>IF(AB2942="",X2942,AB2942)</f>
        <v>sim</v>
      </c>
      <c r="AE2942" t="str">
        <f>IF(OR(Configuracao!B9="",Configuracao!B10=""),"aguardando limiar",IF(AND(K2942&gt;=Configuracao!B9,K2942/MAX(Reconciliacao!C2,1)&gt;=Configuracao!B10/100),"sim","não"))</f>
        <v>aguardando limiar</v>
      </c>
    </row>
    <row r="2943" spans="1:31" x14ac:dyDescent="0.25">
      <c r="A2943">
        <v>7695</v>
      </c>
      <c r="C2943" t="s">
        <v>1696</v>
      </c>
      <c r="D2943" t="s">
        <v>1697</v>
      </c>
      <c r="E2943" t="s">
        <v>1094</v>
      </c>
      <c r="F2943" t="s">
        <v>201</v>
      </c>
      <c r="G2943" t="s">
        <v>200</v>
      </c>
      <c r="H2943" t="s">
        <v>199</v>
      </c>
      <c r="I2943" t="s">
        <v>442</v>
      </c>
      <c r="J2943" t="s">
        <v>442</v>
      </c>
      <c r="K2943" s="4">
        <v>250</v>
      </c>
      <c r="L2943" s="4">
        <v>250</v>
      </c>
      <c r="M2943" t="s">
        <v>44</v>
      </c>
      <c r="N2943" t="s">
        <v>77</v>
      </c>
      <c r="O2943" t="s">
        <v>99</v>
      </c>
      <c r="P2943" t="s">
        <v>99</v>
      </c>
      <c r="Q2943" t="s">
        <v>202</v>
      </c>
      <c r="R2943" t="s">
        <v>203</v>
      </c>
      <c r="S2943" t="s">
        <v>161</v>
      </c>
      <c r="T2943" t="s">
        <v>162</v>
      </c>
      <c r="U2943" t="s">
        <v>163</v>
      </c>
      <c r="V2943" t="s">
        <v>164</v>
      </c>
      <c r="W2943" t="s">
        <v>116</v>
      </c>
      <c r="X2943" t="s">
        <v>44</v>
      </c>
      <c r="Y2943" t="s">
        <v>99</v>
      </c>
      <c r="Z2943" t="s">
        <v>421</v>
      </c>
      <c r="AC2943" t="str">
        <f>IF(AA2943="",M2943,AA2943)</f>
        <v>sim</v>
      </c>
      <c r="AD2943" t="str">
        <f>IF(AB2943="",X2943,AB2943)</f>
        <v>sim</v>
      </c>
      <c r="AE2943" t="str">
        <f>IF(OR(Configuracao!B9="",Configuracao!B10=""),"aguardando limiar",IF(AND(K2943&gt;=Configuracao!B9,K2943/MAX(Reconciliacao!C2,1)&gt;=Configuracao!B10/100),"sim","não"))</f>
        <v>aguardando limiar</v>
      </c>
    </row>
    <row r="2944" spans="1:31" x14ac:dyDescent="0.25">
      <c r="A2944">
        <v>7696</v>
      </c>
      <c r="C2944" t="s">
        <v>1696</v>
      </c>
      <c r="D2944" t="s">
        <v>1697</v>
      </c>
      <c r="E2944" t="s">
        <v>1094</v>
      </c>
      <c r="F2944" t="s">
        <v>201</v>
      </c>
      <c r="G2944" t="s">
        <v>200</v>
      </c>
      <c r="H2944" t="s">
        <v>199</v>
      </c>
      <c r="I2944" t="s">
        <v>439</v>
      </c>
      <c r="J2944" t="s">
        <v>439</v>
      </c>
      <c r="K2944" s="4">
        <v>250</v>
      </c>
      <c r="L2944" s="4">
        <v>250</v>
      </c>
      <c r="M2944" t="s">
        <v>44</v>
      </c>
      <c r="N2944" t="s">
        <v>77</v>
      </c>
      <c r="O2944" t="s">
        <v>99</v>
      </c>
      <c r="P2944" t="s">
        <v>99</v>
      </c>
      <c r="Q2944" t="s">
        <v>202</v>
      </c>
      <c r="R2944" t="s">
        <v>203</v>
      </c>
      <c r="S2944" t="s">
        <v>161</v>
      </c>
      <c r="T2944" t="s">
        <v>162</v>
      </c>
      <c r="U2944" t="s">
        <v>163</v>
      </c>
      <c r="V2944" t="s">
        <v>164</v>
      </c>
      <c r="W2944" t="s">
        <v>116</v>
      </c>
      <c r="X2944" t="s">
        <v>44</v>
      </c>
      <c r="Y2944" t="s">
        <v>99</v>
      </c>
      <c r="Z2944" t="s">
        <v>421</v>
      </c>
      <c r="AC2944" t="str">
        <f>IF(AA2944="",M2944,AA2944)</f>
        <v>sim</v>
      </c>
      <c r="AD2944" t="str">
        <f>IF(AB2944="",X2944,AB2944)</f>
        <v>sim</v>
      </c>
      <c r="AE2944" t="str">
        <f>IF(OR(Configuracao!B9="",Configuracao!B10=""),"aguardando limiar",IF(AND(K2944&gt;=Configuracao!B9,K2944/MAX(Reconciliacao!C2,1)&gt;=Configuracao!B10/100),"sim","não"))</f>
        <v>aguardando limiar</v>
      </c>
    </row>
    <row r="2945" spans="1:31" x14ac:dyDescent="0.25">
      <c r="A2945">
        <v>7697</v>
      </c>
      <c r="C2945" t="s">
        <v>1696</v>
      </c>
      <c r="D2945" t="s">
        <v>1697</v>
      </c>
      <c r="E2945" t="s">
        <v>1094</v>
      </c>
      <c r="F2945" t="s">
        <v>201</v>
      </c>
      <c r="G2945" t="s">
        <v>200</v>
      </c>
      <c r="H2945" t="s">
        <v>199</v>
      </c>
      <c r="I2945" t="s">
        <v>35</v>
      </c>
      <c r="J2945" t="s">
        <v>35</v>
      </c>
      <c r="K2945" s="4">
        <v>250</v>
      </c>
      <c r="L2945" s="4">
        <v>250</v>
      </c>
      <c r="M2945" t="s">
        <v>44</v>
      </c>
      <c r="N2945" t="s">
        <v>77</v>
      </c>
      <c r="O2945" t="s">
        <v>99</v>
      </c>
      <c r="P2945" t="s">
        <v>99</v>
      </c>
      <c r="Q2945" t="s">
        <v>202</v>
      </c>
      <c r="R2945" t="s">
        <v>203</v>
      </c>
      <c r="S2945" t="s">
        <v>161</v>
      </c>
      <c r="T2945" t="s">
        <v>162</v>
      </c>
      <c r="U2945" t="s">
        <v>163</v>
      </c>
      <c r="V2945" t="s">
        <v>164</v>
      </c>
      <c r="W2945" t="s">
        <v>116</v>
      </c>
      <c r="X2945" t="s">
        <v>44</v>
      </c>
      <c r="Y2945" t="s">
        <v>99</v>
      </c>
      <c r="Z2945" t="s">
        <v>421</v>
      </c>
      <c r="AC2945" t="str">
        <f>IF(AA2945="",M2945,AA2945)</f>
        <v>sim</v>
      </c>
      <c r="AD2945" t="str">
        <f>IF(AB2945="",X2945,AB2945)</f>
        <v>sim</v>
      </c>
      <c r="AE2945" t="str">
        <f>IF(OR(Configuracao!B9="",Configuracao!B10=""),"aguardando limiar",IF(AND(K2945&gt;=Configuracao!B9,K2945/MAX(Reconciliacao!C2,1)&gt;=Configuracao!B10/100),"sim","não"))</f>
        <v>aguardando limiar</v>
      </c>
    </row>
    <row r="2946" spans="1:31" x14ac:dyDescent="0.25">
      <c r="A2946">
        <v>17855</v>
      </c>
      <c r="C2946" t="s">
        <v>1698</v>
      </c>
      <c r="D2946" t="s">
        <v>1693</v>
      </c>
      <c r="E2946" t="s">
        <v>1094</v>
      </c>
      <c r="F2946" t="s">
        <v>201</v>
      </c>
      <c r="G2946" t="s">
        <v>200</v>
      </c>
      <c r="H2946" t="s">
        <v>199</v>
      </c>
      <c r="I2946" t="s">
        <v>439</v>
      </c>
      <c r="J2946" t="s">
        <v>439</v>
      </c>
      <c r="K2946" s="4">
        <v>274.8</v>
      </c>
      <c r="L2946" s="4">
        <v>274.8</v>
      </c>
      <c r="M2946" t="s">
        <v>44</v>
      </c>
      <c r="N2946" t="s">
        <v>77</v>
      </c>
      <c r="O2946" t="s">
        <v>99</v>
      </c>
      <c r="P2946" t="s">
        <v>99</v>
      </c>
      <c r="Q2946" t="s">
        <v>202</v>
      </c>
      <c r="R2946" t="s">
        <v>203</v>
      </c>
      <c r="S2946" t="s">
        <v>161</v>
      </c>
      <c r="T2946" t="s">
        <v>162</v>
      </c>
      <c r="U2946" t="s">
        <v>163</v>
      </c>
      <c r="V2946" t="s">
        <v>164</v>
      </c>
      <c r="W2946" t="s">
        <v>116</v>
      </c>
      <c r="X2946" t="s">
        <v>44</v>
      </c>
      <c r="Y2946" t="s">
        <v>99</v>
      </c>
      <c r="Z2946" t="s">
        <v>421</v>
      </c>
      <c r="AC2946" t="str">
        <f>IF(AA2946="",M2946,AA2946)</f>
        <v>sim</v>
      </c>
      <c r="AD2946" t="str">
        <f>IF(AB2946="",X2946,AB2946)</f>
        <v>sim</v>
      </c>
      <c r="AE2946" t="str">
        <f>IF(OR(Configuracao!B9="",Configuracao!B10=""),"aguardando limiar",IF(AND(K2946&gt;=Configuracao!B9,K2946/MAX(Reconciliacao!C2,1)&gt;=Configuracao!B10/100),"sim","não"))</f>
        <v>aguardando limiar</v>
      </c>
    </row>
    <row r="2947" spans="1:31" x14ac:dyDescent="0.25">
      <c r="A2947">
        <v>10606</v>
      </c>
      <c r="D2947" t="s">
        <v>1699</v>
      </c>
      <c r="E2947" t="s">
        <v>1094</v>
      </c>
      <c r="F2947" t="s">
        <v>201</v>
      </c>
      <c r="G2947" t="s">
        <v>200</v>
      </c>
      <c r="H2947" t="s">
        <v>199</v>
      </c>
      <c r="I2947" t="s">
        <v>32</v>
      </c>
      <c r="J2947" t="s">
        <v>32</v>
      </c>
      <c r="K2947" s="4">
        <v>275</v>
      </c>
      <c r="L2947" s="4">
        <v>275</v>
      </c>
      <c r="M2947" t="s">
        <v>44</v>
      </c>
      <c r="N2947" t="s">
        <v>77</v>
      </c>
      <c r="O2947" t="s">
        <v>99</v>
      </c>
      <c r="P2947" t="s">
        <v>99</v>
      </c>
      <c r="Q2947" t="s">
        <v>202</v>
      </c>
      <c r="R2947" t="s">
        <v>203</v>
      </c>
      <c r="S2947" t="s">
        <v>161</v>
      </c>
      <c r="T2947" t="s">
        <v>162</v>
      </c>
      <c r="U2947" t="s">
        <v>163</v>
      </c>
      <c r="V2947" t="s">
        <v>164</v>
      </c>
      <c r="W2947" t="s">
        <v>116</v>
      </c>
      <c r="X2947" t="s">
        <v>44</v>
      </c>
      <c r="Y2947" t="s">
        <v>99</v>
      </c>
      <c r="Z2947" t="s">
        <v>421</v>
      </c>
      <c r="AC2947" t="str">
        <f>IF(AA2947="",M2947,AA2947)</f>
        <v>sim</v>
      </c>
      <c r="AD2947" t="str">
        <f>IF(AB2947="",X2947,AB2947)</f>
        <v>sim</v>
      </c>
      <c r="AE2947" t="str">
        <f>IF(OR(Configuracao!B9="",Configuracao!B10=""),"aguardando limiar",IF(AND(K2947&gt;=Configuracao!B9,K2947/MAX(Reconciliacao!C2,1)&gt;=Configuracao!B10/100),"sim","não"))</f>
        <v>aguardando limiar</v>
      </c>
    </row>
    <row r="2948" spans="1:31" x14ac:dyDescent="0.25">
      <c r="A2948">
        <v>10607</v>
      </c>
      <c r="D2948" t="s">
        <v>1699</v>
      </c>
      <c r="E2948" t="s">
        <v>1094</v>
      </c>
      <c r="F2948" t="s">
        <v>201</v>
      </c>
      <c r="G2948" t="s">
        <v>200</v>
      </c>
      <c r="H2948" t="s">
        <v>199</v>
      </c>
      <c r="I2948" t="s">
        <v>424</v>
      </c>
      <c r="J2948" t="s">
        <v>420</v>
      </c>
      <c r="K2948" s="4">
        <v>275</v>
      </c>
      <c r="L2948" s="4">
        <v>275</v>
      </c>
      <c r="M2948" t="s">
        <v>44</v>
      </c>
      <c r="N2948" t="s">
        <v>77</v>
      </c>
      <c r="O2948" t="s">
        <v>99</v>
      </c>
      <c r="P2948" t="s">
        <v>99</v>
      </c>
      <c r="Q2948" t="s">
        <v>202</v>
      </c>
      <c r="R2948" t="s">
        <v>203</v>
      </c>
      <c r="S2948" t="s">
        <v>161</v>
      </c>
      <c r="T2948" t="s">
        <v>162</v>
      </c>
      <c r="U2948" t="s">
        <v>163</v>
      </c>
      <c r="V2948" t="s">
        <v>164</v>
      </c>
      <c r="W2948" t="s">
        <v>116</v>
      </c>
      <c r="X2948" t="s">
        <v>44</v>
      </c>
      <c r="Y2948" t="s">
        <v>99</v>
      </c>
      <c r="Z2948" t="s">
        <v>421</v>
      </c>
      <c r="AC2948" t="str">
        <f>IF(AA2948="",M2948,AA2948)</f>
        <v>sim</v>
      </c>
      <c r="AD2948" t="str">
        <f>IF(AB2948="",X2948,AB2948)</f>
        <v>sim</v>
      </c>
      <c r="AE2948" t="str">
        <f>IF(OR(Configuracao!B9="",Configuracao!B10=""),"aguardando limiar",IF(AND(K2948&gt;=Configuracao!B9,K2948/MAX(Reconciliacao!C2,1)&gt;=Configuracao!B10/100),"sim","não"))</f>
        <v>aguardando limiar</v>
      </c>
    </row>
    <row r="2949" spans="1:31" x14ac:dyDescent="0.25">
      <c r="A2949">
        <v>10608</v>
      </c>
      <c r="D2949" t="s">
        <v>1699</v>
      </c>
      <c r="E2949" t="s">
        <v>1094</v>
      </c>
      <c r="F2949" t="s">
        <v>201</v>
      </c>
      <c r="G2949" t="s">
        <v>200</v>
      </c>
      <c r="H2949" t="s">
        <v>199</v>
      </c>
      <c r="I2949" t="s">
        <v>420</v>
      </c>
      <c r="J2949" t="s">
        <v>420</v>
      </c>
      <c r="K2949" s="4">
        <v>320</v>
      </c>
      <c r="L2949" s="4">
        <v>320</v>
      </c>
      <c r="M2949" t="s">
        <v>44</v>
      </c>
      <c r="N2949" t="s">
        <v>77</v>
      </c>
      <c r="O2949" t="s">
        <v>99</v>
      </c>
      <c r="P2949" t="s">
        <v>99</v>
      </c>
      <c r="Q2949" t="s">
        <v>202</v>
      </c>
      <c r="R2949" t="s">
        <v>203</v>
      </c>
      <c r="S2949" t="s">
        <v>161</v>
      </c>
      <c r="T2949" t="s">
        <v>162</v>
      </c>
      <c r="U2949" t="s">
        <v>163</v>
      </c>
      <c r="V2949" t="s">
        <v>164</v>
      </c>
      <c r="W2949" t="s">
        <v>116</v>
      </c>
      <c r="X2949" t="s">
        <v>44</v>
      </c>
      <c r="Y2949" t="s">
        <v>99</v>
      </c>
      <c r="Z2949" t="s">
        <v>421</v>
      </c>
      <c r="AC2949" t="str">
        <f>IF(AA2949="",M2949,AA2949)</f>
        <v>sim</v>
      </c>
      <c r="AD2949" t="str">
        <f>IF(AB2949="",X2949,AB2949)</f>
        <v>sim</v>
      </c>
      <c r="AE2949" t="str">
        <f>IF(OR(Configuracao!B9="",Configuracao!B10=""),"aguardando limiar",IF(AND(K2949&gt;=Configuracao!B9,K2949/MAX(Reconciliacao!C2,1)&gt;=Configuracao!B10/100),"sim","não"))</f>
        <v>aguardando limiar</v>
      </c>
    </row>
    <row r="2950" spans="1:31" x14ac:dyDescent="0.25">
      <c r="A2950">
        <v>10609</v>
      </c>
      <c r="D2950" t="s">
        <v>1699</v>
      </c>
      <c r="E2950" t="s">
        <v>1094</v>
      </c>
      <c r="F2950" t="s">
        <v>201</v>
      </c>
      <c r="G2950" t="s">
        <v>200</v>
      </c>
      <c r="H2950" t="s">
        <v>199</v>
      </c>
      <c r="I2950" t="s">
        <v>454</v>
      </c>
      <c r="J2950" t="s">
        <v>454</v>
      </c>
      <c r="K2950" s="4">
        <v>320</v>
      </c>
      <c r="L2950" s="4">
        <v>320</v>
      </c>
      <c r="M2950" t="s">
        <v>44</v>
      </c>
      <c r="N2950" t="s">
        <v>77</v>
      </c>
      <c r="O2950" t="s">
        <v>99</v>
      </c>
      <c r="P2950" t="s">
        <v>99</v>
      </c>
      <c r="Q2950" t="s">
        <v>202</v>
      </c>
      <c r="R2950" t="s">
        <v>203</v>
      </c>
      <c r="S2950" t="s">
        <v>161</v>
      </c>
      <c r="T2950" t="s">
        <v>162</v>
      </c>
      <c r="U2950" t="s">
        <v>163</v>
      </c>
      <c r="V2950" t="s">
        <v>164</v>
      </c>
      <c r="W2950" t="s">
        <v>116</v>
      </c>
      <c r="X2950" t="s">
        <v>44</v>
      </c>
      <c r="Y2950" t="s">
        <v>99</v>
      </c>
      <c r="Z2950" t="s">
        <v>421</v>
      </c>
      <c r="AC2950" t="str">
        <f>IF(AA2950="",M2950,AA2950)</f>
        <v>sim</v>
      </c>
      <c r="AD2950" t="str">
        <f>IF(AB2950="",X2950,AB2950)</f>
        <v>sim</v>
      </c>
      <c r="AE2950" t="str">
        <f>IF(OR(Configuracao!B9="",Configuracao!B10=""),"aguardando limiar",IF(AND(K2950&gt;=Configuracao!B9,K2950/MAX(Reconciliacao!C2,1)&gt;=Configuracao!B10/100),"sim","não"))</f>
        <v>aguardando limiar</v>
      </c>
    </row>
    <row r="2951" spans="1:31" x14ac:dyDescent="0.25">
      <c r="A2951">
        <v>10610</v>
      </c>
      <c r="D2951" t="s">
        <v>1699</v>
      </c>
      <c r="E2951" t="s">
        <v>1094</v>
      </c>
      <c r="F2951" t="s">
        <v>201</v>
      </c>
      <c r="G2951" t="s">
        <v>200</v>
      </c>
      <c r="H2951" t="s">
        <v>199</v>
      </c>
      <c r="I2951" t="s">
        <v>461</v>
      </c>
      <c r="J2951" t="s">
        <v>461</v>
      </c>
      <c r="K2951" s="4">
        <v>320</v>
      </c>
      <c r="L2951" s="4">
        <v>320</v>
      </c>
      <c r="M2951" t="s">
        <v>44</v>
      </c>
      <c r="N2951" t="s">
        <v>77</v>
      </c>
      <c r="O2951" t="s">
        <v>99</v>
      </c>
      <c r="P2951" t="s">
        <v>99</v>
      </c>
      <c r="Q2951" t="s">
        <v>202</v>
      </c>
      <c r="R2951" t="s">
        <v>203</v>
      </c>
      <c r="S2951" t="s">
        <v>161</v>
      </c>
      <c r="T2951" t="s">
        <v>162</v>
      </c>
      <c r="U2951" t="s">
        <v>163</v>
      </c>
      <c r="V2951" t="s">
        <v>164</v>
      </c>
      <c r="W2951" t="s">
        <v>116</v>
      </c>
      <c r="X2951" t="s">
        <v>44</v>
      </c>
      <c r="Y2951" t="s">
        <v>99</v>
      </c>
      <c r="Z2951" t="s">
        <v>421</v>
      </c>
      <c r="AC2951" t="str">
        <f>IF(AA2951="",M2951,AA2951)</f>
        <v>sim</v>
      </c>
      <c r="AD2951" t="str">
        <f>IF(AB2951="",X2951,AB2951)</f>
        <v>sim</v>
      </c>
      <c r="AE2951" t="str">
        <f>IF(OR(Configuracao!B9="",Configuracao!B10=""),"aguardando limiar",IF(AND(K2951&gt;=Configuracao!B9,K2951/MAX(Reconciliacao!C2,1)&gt;=Configuracao!B10/100),"sim","não"))</f>
        <v>aguardando limiar</v>
      </c>
    </row>
    <row r="2952" spans="1:31" x14ac:dyDescent="0.25">
      <c r="A2952">
        <v>10611</v>
      </c>
      <c r="D2952" t="s">
        <v>1699</v>
      </c>
      <c r="E2952" t="s">
        <v>1094</v>
      </c>
      <c r="F2952" t="s">
        <v>201</v>
      </c>
      <c r="G2952" t="s">
        <v>200</v>
      </c>
      <c r="H2952" t="s">
        <v>199</v>
      </c>
      <c r="I2952" t="s">
        <v>442</v>
      </c>
      <c r="J2952" t="s">
        <v>442</v>
      </c>
      <c r="K2952" s="4">
        <v>320</v>
      </c>
      <c r="L2952" s="4">
        <v>320</v>
      </c>
      <c r="M2952" t="s">
        <v>44</v>
      </c>
      <c r="N2952" t="s">
        <v>77</v>
      </c>
      <c r="O2952" t="s">
        <v>99</v>
      </c>
      <c r="P2952" t="s">
        <v>99</v>
      </c>
      <c r="Q2952" t="s">
        <v>202</v>
      </c>
      <c r="R2952" t="s">
        <v>203</v>
      </c>
      <c r="S2952" t="s">
        <v>161</v>
      </c>
      <c r="T2952" t="s">
        <v>162</v>
      </c>
      <c r="U2952" t="s">
        <v>163</v>
      </c>
      <c r="V2952" t="s">
        <v>164</v>
      </c>
      <c r="W2952" t="s">
        <v>116</v>
      </c>
      <c r="X2952" t="s">
        <v>44</v>
      </c>
      <c r="Y2952" t="s">
        <v>99</v>
      </c>
      <c r="Z2952" t="s">
        <v>421</v>
      </c>
      <c r="AC2952" t="str">
        <f>IF(AA2952="",M2952,AA2952)</f>
        <v>sim</v>
      </c>
      <c r="AD2952" t="str">
        <f>IF(AB2952="",X2952,AB2952)</f>
        <v>sim</v>
      </c>
      <c r="AE2952" t="str">
        <f>IF(OR(Configuracao!B9="",Configuracao!B10=""),"aguardando limiar",IF(AND(K2952&gt;=Configuracao!B9,K2952/MAX(Reconciliacao!C2,1)&gt;=Configuracao!B10/100),"sim","não"))</f>
        <v>aguardando limiar</v>
      </c>
    </row>
    <row r="2953" spans="1:31" x14ac:dyDescent="0.25">
      <c r="A2953">
        <v>10612</v>
      </c>
      <c r="D2953" t="s">
        <v>1699</v>
      </c>
      <c r="E2953" t="s">
        <v>1094</v>
      </c>
      <c r="F2953" t="s">
        <v>201</v>
      </c>
      <c r="G2953" t="s">
        <v>200</v>
      </c>
      <c r="H2953" t="s">
        <v>199</v>
      </c>
      <c r="I2953" t="s">
        <v>439</v>
      </c>
      <c r="J2953" t="s">
        <v>439</v>
      </c>
      <c r="K2953" s="4">
        <v>320</v>
      </c>
      <c r="L2953" s="4">
        <v>320</v>
      </c>
      <c r="M2953" t="s">
        <v>44</v>
      </c>
      <c r="N2953" t="s">
        <v>77</v>
      </c>
      <c r="O2953" t="s">
        <v>99</v>
      </c>
      <c r="P2953" t="s">
        <v>99</v>
      </c>
      <c r="Q2953" t="s">
        <v>202</v>
      </c>
      <c r="R2953" t="s">
        <v>203</v>
      </c>
      <c r="S2953" t="s">
        <v>161</v>
      </c>
      <c r="T2953" t="s">
        <v>162</v>
      </c>
      <c r="U2953" t="s">
        <v>163</v>
      </c>
      <c r="V2953" t="s">
        <v>164</v>
      </c>
      <c r="W2953" t="s">
        <v>116</v>
      </c>
      <c r="X2953" t="s">
        <v>44</v>
      </c>
      <c r="Y2953" t="s">
        <v>99</v>
      </c>
      <c r="Z2953" t="s">
        <v>421</v>
      </c>
      <c r="AC2953" t="str">
        <f>IF(AA2953="",M2953,AA2953)</f>
        <v>sim</v>
      </c>
      <c r="AD2953" t="str">
        <f>IF(AB2953="",X2953,AB2953)</f>
        <v>sim</v>
      </c>
      <c r="AE2953" t="str">
        <f>IF(OR(Configuracao!B9="",Configuracao!B10=""),"aguardando limiar",IF(AND(K2953&gt;=Configuracao!B9,K2953/MAX(Reconciliacao!C2,1)&gt;=Configuracao!B10/100),"sim","não"))</f>
        <v>aguardando limiar</v>
      </c>
    </row>
    <row r="2954" spans="1:31" x14ac:dyDescent="0.25">
      <c r="A2954">
        <v>10613</v>
      </c>
      <c r="D2954" t="s">
        <v>1699</v>
      </c>
      <c r="E2954" t="s">
        <v>1094</v>
      </c>
      <c r="F2954" t="s">
        <v>201</v>
      </c>
      <c r="G2954" t="s">
        <v>200</v>
      </c>
      <c r="H2954" t="s">
        <v>199</v>
      </c>
      <c r="I2954" t="s">
        <v>35</v>
      </c>
      <c r="J2954" t="s">
        <v>35</v>
      </c>
      <c r="K2954" s="4">
        <v>320</v>
      </c>
      <c r="L2954" s="4">
        <v>320</v>
      </c>
      <c r="M2954" t="s">
        <v>44</v>
      </c>
      <c r="N2954" t="s">
        <v>77</v>
      </c>
      <c r="O2954" t="s">
        <v>99</v>
      </c>
      <c r="P2954" t="s">
        <v>99</v>
      </c>
      <c r="Q2954" t="s">
        <v>202</v>
      </c>
      <c r="R2954" t="s">
        <v>203</v>
      </c>
      <c r="S2954" t="s">
        <v>161</v>
      </c>
      <c r="T2954" t="s">
        <v>162</v>
      </c>
      <c r="U2954" t="s">
        <v>163</v>
      </c>
      <c r="V2954" t="s">
        <v>164</v>
      </c>
      <c r="W2954" t="s">
        <v>116</v>
      </c>
      <c r="X2954" t="s">
        <v>44</v>
      </c>
      <c r="Y2954" t="s">
        <v>99</v>
      </c>
      <c r="Z2954" t="s">
        <v>421</v>
      </c>
      <c r="AC2954" t="str">
        <f>IF(AA2954="",M2954,AA2954)</f>
        <v>sim</v>
      </c>
      <c r="AD2954" t="str">
        <f>IF(AB2954="",X2954,AB2954)</f>
        <v>sim</v>
      </c>
      <c r="AE2954" t="str">
        <f>IF(OR(Configuracao!B9="",Configuracao!B10=""),"aguardando limiar",IF(AND(K2954&gt;=Configuracao!B9,K2954/MAX(Reconciliacao!C2,1)&gt;=Configuracao!B10/100),"sim","não"))</f>
        <v>aguardando limiar</v>
      </c>
    </row>
    <row r="2955" spans="1:31" x14ac:dyDescent="0.25">
      <c r="A2955">
        <v>7727</v>
      </c>
      <c r="D2955" t="s">
        <v>1700</v>
      </c>
      <c r="E2955" t="s">
        <v>1094</v>
      </c>
      <c r="F2955" t="s">
        <v>201</v>
      </c>
      <c r="G2955" t="s">
        <v>200</v>
      </c>
      <c r="H2955" t="s">
        <v>199</v>
      </c>
      <c r="I2955" t="s">
        <v>32</v>
      </c>
      <c r="J2955" t="s">
        <v>32</v>
      </c>
      <c r="K2955" s="4">
        <v>592.32</v>
      </c>
      <c r="L2955" s="4">
        <v>592.32</v>
      </c>
      <c r="M2955" t="s">
        <v>44</v>
      </c>
      <c r="N2955" t="s">
        <v>77</v>
      </c>
      <c r="O2955" t="s">
        <v>99</v>
      </c>
      <c r="P2955" t="s">
        <v>99</v>
      </c>
      <c r="Q2955" t="s">
        <v>202</v>
      </c>
      <c r="R2955" t="s">
        <v>203</v>
      </c>
      <c r="S2955" t="s">
        <v>161</v>
      </c>
      <c r="T2955" t="s">
        <v>162</v>
      </c>
      <c r="U2955" t="s">
        <v>163</v>
      </c>
      <c r="V2955" t="s">
        <v>164</v>
      </c>
      <c r="W2955" t="s">
        <v>116</v>
      </c>
      <c r="X2955" t="s">
        <v>44</v>
      </c>
      <c r="Y2955" t="s">
        <v>99</v>
      </c>
      <c r="Z2955" t="s">
        <v>421</v>
      </c>
      <c r="AC2955" t="str">
        <f>IF(AA2955="",M2955,AA2955)</f>
        <v>sim</v>
      </c>
      <c r="AD2955" t="str">
        <f>IF(AB2955="",X2955,AB2955)</f>
        <v>sim</v>
      </c>
      <c r="AE2955" t="str">
        <f>IF(OR(Configuracao!B9="",Configuracao!B10=""),"aguardando limiar",IF(AND(K2955&gt;=Configuracao!B9,K2955/MAX(Reconciliacao!C2,1)&gt;=Configuracao!B10/100),"sim","não"))</f>
        <v>aguardando limiar</v>
      </c>
    </row>
    <row r="2956" spans="1:31" x14ac:dyDescent="0.25">
      <c r="A2956">
        <v>7728</v>
      </c>
      <c r="D2956" t="s">
        <v>1700</v>
      </c>
      <c r="E2956" t="s">
        <v>1094</v>
      </c>
      <c r="F2956" t="s">
        <v>201</v>
      </c>
      <c r="G2956" t="s">
        <v>200</v>
      </c>
      <c r="H2956" t="s">
        <v>199</v>
      </c>
      <c r="I2956" t="s">
        <v>424</v>
      </c>
      <c r="J2956" t="s">
        <v>424</v>
      </c>
      <c r="K2956" s="4">
        <v>592.32</v>
      </c>
      <c r="L2956" s="4">
        <v>592.32</v>
      </c>
      <c r="M2956" t="s">
        <v>44</v>
      </c>
      <c r="N2956" t="s">
        <v>77</v>
      </c>
      <c r="O2956" t="s">
        <v>99</v>
      </c>
      <c r="P2956" t="s">
        <v>99</v>
      </c>
      <c r="Q2956" t="s">
        <v>202</v>
      </c>
      <c r="R2956" t="s">
        <v>203</v>
      </c>
      <c r="S2956" t="s">
        <v>161</v>
      </c>
      <c r="T2956" t="s">
        <v>162</v>
      </c>
      <c r="U2956" t="s">
        <v>163</v>
      </c>
      <c r="V2956" t="s">
        <v>164</v>
      </c>
      <c r="W2956" t="s">
        <v>116</v>
      </c>
      <c r="X2956" t="s">
        <v>44</v>
      </c>
      <c r="Y2956" t="s">
        <v>99</v>
      </c>
      <c r="Z2956" t="s">
        <v>421</v>
      </c>
      <c r="AC2956" t="str">
        <f>IF(AA2956="",M2956,AA2956)</f>
        <v>sim</v>
      </c>
      <c r="AD2956" t="str">
        <f>IF(AB2956="",X2956,AB2956)</f>
        <v>sim</v>
      </c>
      <c r="AE2956" t="str">
        <f>IF(OR(Configuracao!B9="",Configuracao!B10=""),"aguardando limiar",IF(AND(K2956&gt;=Configuracao!B9,K2956/MAX(Reconciliacao!C2,1)&gt;=Configuracao!B10/100),"sim","não"))</f>
        <v>aguardando limiar</v>
      </c>
    </row>
    <row r="2957" spans="1:31" x14ac:dyDescent="0.25">
      <c r="A2957">
        <v>7729</v>
      </c>
      <c r="D2957" t="s">
        <v>1700</v>
      </c>
      <c r="E2957" t="s">
        <v>1094</v>
      </c>
      <c r="F2957" t="s">
        <v>201</v>
      </c>
      <c r="G2957" t="s">
        <v>200</v>
      </c>
      <c r="H2957" t="s">
        <v>199</v>
      </c>
      <c r="I2957" t="s">
        <v>420</v>
      </c>
      <c r="J2957" t="s">
        <v>420</v>
      </c>
      <c r="K2957" s="4">
        <v>618.65</v>
      </c>
      <c r="L2957" s="4">
        <v>618.65</v>
      </c>
      <c r="M2957" t="s">
        <v>44</v>
      </c>
      <c r="N2957" t="s">
        <v>77</v>
      </c>
      <c r="O2957" t="s">
        <v>99</v>
      </c>
      <c r="P2957" t="s">
        <v>99</v>
      </c>
      <c r="Q2957" t="s">
        <v>202</v>
      </c>
      <c r="R2957" t="s">
        <v>203</v>
      </c>
      <c r="S2957" t="s">
        <v>161</v>
      </c>
      <c r="T2957" t="s">
        <v>162</v>
      </c>
      <c r="U2957" t="s">
        <v>163</v>
      </c>
      <c r="V2957" t="s">
        <v>164</v>
      </c>
      <c r="W2957" t="s">
        <v>116</v>
      </c>
      <c r="X2957" t="s">
        <v>44</v>
      </c>
      <c r="Y2957" t="s">
        <v>99</v>
      </c>
      <c r="Z2957" t="s">
        <v>421</v>
      </c>
      <c r="AC2957" t="str">
        <f>IF(AA2957="",M2957,AA2957)</f>
        <v>sim</v>
      </c>
      <c r="AD2957" t="str">
        <f>IF(AB2957="",X2957,AB2957)</f>
        <v>sim</v>
      </c>
      <c r="AE2957" t="str">
        <f>IF(OR(Configuracao!B9="",Configuracao!B10=""),"aguardando limiar",IF(AND(K2957&gt;=Configuracao!B9,K2957/MAX(Reconciliacao!C2,1)&gt;=Configuracao!B10/100),"sim","não"))</f>
        <v>aguardando limiar</v>
      </c>
    </row>
    <row r="2958" spans="1:31" x14ac:dyDescent="0.25">
      <c r="A2958">
        <v>7730</v>
      </c>
      <c r="D2958" t="s">
        <v>1700</v>
      </c>
      <c r="E2958" t="s">
        <v>1094</v>
      </c>
      <c r="F2958" t="s">
        <v>201</v>
      </c>
      <c r="G2958" t="s">
        <v>200</v>
      </c>
      <c r="H2958" t="s">
        <v>199</v>
      </c>
      <c r="I2958" t="s">
        <v>454</v>
      </c>
      <c r="J2958" t="s">
        <v>454</v>
      </c>
      <c r="K2958" s="4">
        <v>618.65</v>
      </c>
      <c r="L2958" s="4">
        <v>618.65</v>
      </c>
      <c r="M2958" t="s">
        <v>44</v>
      </c>
      <c r="N2958" t="s">
        <v>77</v>
      </c>
      <c r="O2958" t="s">
        <v>99</v>
      </c>
      <c r="P2958" t="s">
        <v>99</v>
      </c>
      <c r="Q2958" t="s">
        <v>202</v>
      </c>
      <c r="R2958" t="s">
        <v>203</v>
      </c>
      <c r="S2958" t="s">
        <v>161</v>
      </c>
      <c r="T2958" t="s">
        <v>162</v>
      </c>
      <c r="U2958" t="s">
        <v>163</v>
      </c>
      <c r="V2958" t="s">
        <v>164</v>
      </c>
      <c r="W2958" t="s">
        <v>116</v>
      </c>
      <c r="X2958" t="s">
        <v>44</v>
      </c>
      <c r="Y2958" t="s">
        <v>99</v>
      </c>
      <c r="Z2958" t="s">
        <v>421</v>
      </c>
      <c r="AC2958" t="str">
        <f>IF(AA2958="",M2958,AA2958)</f>
        <v>sim</v>
      </c>
      <c r="AD2958" t="str">
        <f>IF(AB2958="",X2958,AB2958)</f>
        <v>sim</v>
      </c>
      <c r="AE2958" t="str">
        <f>IF(OR(Configuracao!B9="",Configuracao!B10=""),"aguardando limiar",IF(AND(K2958&gt;=Configuracao!B9,K2958/MAX(Reconciliacao!C2,1)&gt;=Configuracao!B10/100),"sim","não"))</f>
        <v>aguardando limiar</v>
      </c>
    </row>
    <row r="2959" spans="1:31" x14ac:dyDescent="0.25">
      <c r="A2959">
        <v>7731</v>
      </c>
      <c r="D2959" t="s">
        <v>1700</v>
      </c>
      <c r="E2959" t="s">
        <v>1094</v>
      </c>
      <c r="F2959" t="s">
        <v>201</v>
      </c>
      <c r="G2959" t="s">
        <v>200</v>
      </c>
      <c r="H2959" t="s">
        <v>199</v>
      </c>
      <c r="I2959" t="s">
        <v>461</v>
      </c>
      <c r="J2959" t="s">
        <v>461</v>
      </c>
      <c r="K2959" s="4">
        <v>618.65</v>
      </c>
      <c r="L2959" s="4">
        <v>618.65</v>
      </c>
      <c r="M2959" t="s">
        <v>44</v>
      </c>
      <c r="N2959" t="s">
        <v>77</v>
      </c>
      <c r="O2959" t="s">
        <v>99</v>
      </c>
      <c r="P2959" t="s">
        <v>99</v>
      </c>
      <c r="Q2959" t="s">
        <v>202</v>
      </c>
      <c r="R2959" t="s">
        <v>203</v>
      </c>
      <c r="S2959" t="s">
        <v>161</v>
      </c>
      <c r="T2959" t="s">
        <v>162</v>
      </c>
      <c r="U2959" t="s">
        <v>163</v>
      </c>
      <c r="V2959" t="s">
        <v>164</v>
      </c>
      <c r="W2959" t="s">
        <v>116</v>
      </c>
      <c r="X2959" t="s">
        <v>44</v>
      </c>
      <c r="Y2959" t="s">
        <v>99</v>
      </c>
      <c r="Z2959" t="s">
        <v>421</v>
      </c>
      <c r="AC2959" t="str">
        <f>IF(AA2959="",M2959,AA2959)</f>
        <v>sim</v>
      </c>
      <c r="AD2959" t="str">
        <f>IF(AB2959="",X2959,AB2959)</f>
        <v>sim</v>
      </c>
      <c r="AE2959" t="str">
        <f>IF(OR(Configuracao!B9="",Configuracao!B10=""),"aguardando limiar",IF(AND(K2959&gt;=Configuracao!B9,K2959/MAX(Reconciliacao!C2,1)&gt;=Configuracao!B10/100),"sim","não"))</f>
        <v>aguardando limiar</v>
      </c>
    </row>
    <row r="2960" spans="1:31" x14ac:dyDescent="0.25">
      <c r="A2960">
        <v>7732</v>
      </c>
      <c r="D2960" t="s">
        <v>1700</v>
      </c>
      <c r="E2960" t="s">
        <v>1094</v>
      </c>
      <c r="F2960" t="s">
        <v>201</v>
      </c>
      <c r="G2960" t="s">
        <v>200</v>
      </c>
      <c r="H2960" t="s">
        <v>199</v>
      </c>
      <c r="I2960" t="s">
        <v>442</v>
      </c>
      <c r="J2960" t="s">
        <v>442</v>
      </c>
      <c r="K2960" s="4">
        <v>618.65</v>
      </c>
      <c r="L2960" s="4">
        <v>618.65</v>
      </c>
      <c r="M2960" t="s">
        <v>44</v>
      </c>
      <c r="N2960" t="s">
        <v>77</v>
      </c>
      <c r="O2960" t="s">
        <v>99</v>
      </c>
      <c r="P2960" t="s">
        <v>99</v>
      </c>
      <c r="Q2960" t="s">
        <v>202</v>
      </c>
      <c r="R2960" t="s">
        <v>203</v>
      </c>
      <c r="S2960" t="s">
        <v>161</v>
      </c>
      <c r="T2960" t="s">
        <v>162</v>
      </c>
      <c r="U2960" t="s">
        <v>163</v>
      </c>
      <c r="V2960" t="s">
        <v>164</v>
      </c>
      <c r="W2960" t="s">
        <v>116</v>
      </c>
      <c r="X2960" t="s">
        <v>44</v>
      </c>
      <c r="Y2960" t="s">
        <v>99</v>
      </c>
      <c r="Z2960" t="s">
        <v>421</v>
      </c>
      <c r="AC2960" t="str">
        <f>IF(AA2960="",M2960,AA2960)</f>
        <v>sim</v>
      </c>
      <c r="AD2960" t="str">
        <f>IF(AB2960="",X2960,AB2960)</f>
        <v>sim</v>
      </c>
      <c r="AE2960" t="str">
        <f>IF(OR(Configuracao!B9="",Configuracao!B10=""),"aguardando limiar",IF(AND(K2960&gt;=Configuracao!B9,K2960/MAX(Reconciliacao!C2,1)&gt;=Configuracao!B10/100),"sim","não"))</f>
        <v>aguardando limiar</v>
      </c>
    </row>
    <row r="2961" spans="1:31" x14ac:dyDescent="0.25">
      <c r="A2961">
        <v>7733</v>
      </c>
      <c r="D2961" t="s">
        <v>1700</v>
      </c>
      <c r="E2961" t="s">
        <v>1094</v>
      </c>
      <c r="F2961" t="s">
        <v>201</v>
      </c>
      <c r="G2961" t="s">
        <v>200</v>
      </c>
      <c r="H2961" t="s">
        <v>199</v>
      </c>
      <c r="I2961" t="s">
        <v>439</v>
      </c>
      <c r="J2961" t="s">
        <v>439</v>
      </c>
      <c r="K2961" s="4">
        <v>618.65</v>
      </c>
      <c r="L2961" s="4">
        <v>618.65</v>
      </c>
      <c r="M2961" t="s">
        <v>44</v>
      </c>
      <c r="N2961" t="s">
        <v>77</v>
      </c>
      <c r="O2961" t="s">
        <v>99</v>
      </c>
      <c r="P2961" t="s">
        <v>99</v>
      </c>
      <c r="Q2961" t="s">
        <v>202</v>
      </c>
      <c r="R2961" t="s">
        <v>203</v>
      </c>
      <c r="S2961" t="s">
        <v>161</v>
      </c>
      <c r="T2961" t="s">
        <v>162</v>
      </c>
      <c r="U2961" t="s">
        <v>163</v>
      </c>
      <c r="V2961" t="s">
        <v>164</v>
      </c>
      <c r="W2961" t="s">
        <v>116</v>
      </c>
      <c r="X2961" t="s">
        <v>44</v>
      </c>
      <c r="Y2961" t="s">
        <v>99</v>
      </c>
      <c r="Z2961" t="s">
        <v>421</v>
      </c>
      <c r="AC2961" t="str">
        <f>IF(AA2961="",M2961,AA2961)</f>
        <v>sim</v>
      </c>
      <c r="AD2961" t="str">
        <f>IF(AB2961="",X2961,AB2961)</f>
        <v>sim</v>
      </c>
      <c r="AE2961" t="str">
        <f>IF(OR(Configuracao!B9="",Configuracao!B10=""),"aguardando limiar",IF(AND(K2961&gt;=Configuracao!B9,K2961/MAX(Reconciliacao!C2,1)&gt;=Configuracao!B10/100),"sim","não"))</f>
        <v>aguardando limiar</v>
      </c>
    </row>
    <row r="2962" spans="1:31" x14ac:dyDescent="0.25">
      <c r="A2962">
        <v>7734</v>
      </c>
      <c r="D2962" t="s">
        <v>1700</v>
      </c>
      <c r="E2962" t="s">
        <v>1094</v>
      </c>
      <c r="F2962" t="s">
        <v>201</v>
      </c>
      <c r="G2962" t="s">
        <v>200</v>
      </c>
      <c r="H2962" t="s">
        <v>199</v>
      </c>
      <c r="I2962" t="s">
        <v>35</v>
      </c>
      <c r="J2962" t="s">
        <v>35</v>
      </c>
      <c r="K2962" s="4">
        <v>618.65</v>
      </c>
      <c r="L2962" s="4">
        <v>618.65</v>
      </c>
      <c r="M2962" t="s">
        <v>44</v>
      </c>
      <c r="N2962" t="s">
        <v>77</v>
      </c>
      <c r="O2962" t="s">
        <v>99</v>
      </c>
      <c r="P2962" t="s">
        <v>99</v>
      </c>
      <c r="Q2962" t="s">
        <v>202</v>
      </c>
      <c r="R2962" t="s">
        <v>203</v>
      </c>
      <c r="S2962" t="s">
        <v>161</v>
      </c>
      <c r="T2962" t="s">
        <v>162</v>
      </c>
      <c r="U2962" t="s">
        <v>163</v>
      </c>
      <c r="V2962" t="s">
        <v>164</v>
      </c>
      <c r="W2962" t="s">
        <v>116</v>
      </c>
      <c r="X2962" t="s">
        <v>44</v>
      </c>
      <c r="Y2962" t="s">
        <v>99</v>
      </c>
      <c r="Z2962" t="s">
        <v>421</v>
      </c>
      <c r="AC2962" t="str">
        <f>IF(AA2962="",M2962,AA2962)</f>
        <v>sim</v>
      </c>
      <c r="AD2962" t="str">
        <f>IF(AB2962="",X2962,AB2962)</f>
        <v>sim</v>
      </c>
      <c r="AE2962" t="str">
        <f>IF(OR(Configuracao!B9="",Configuracao!B10=""),"aguardando limiar",IF(AND(K2962&gt;=Configuracao!B9,K2962/MAX(Reconciliacao!C2,1)&gt;=Configuracao!B10/100),"sim","não"))</f>
        <v>aguardando limiar</v>
      </c>
    </row>
    <row r="2963" spans="1:31" x14ac:dyDescent="0.25">
      <c r="A2963">
        <v>16636</v>
      </c>
      <c r="C2963" t="s">
        <v>1701</v>
      </c>
      <c r="D2963" t="s">
        <v>1687</v>
      </c>
      <c r="E2963" t="s">
        <v>1138</v>
      </c>
      <c r="F2963" t="s">
        <v>201</v>
      </c>
      <c r="G2963" t="s">
        <v>200</v>
      </c>
      <c r="H2963" t="s">
        <v>199</v>
      </c>
      <c r="I2963" t="s">
        <v>461</v>
      </c>
      <c r="J2963" t="s">
        <v>461</v>
      </c>
      <c r="K2963" s="4">
        <v>640.5</v>
      </c>
      <c r="L2963" s="4">
        <v>640.5</v>
      </c>
      <c r="M2963" t="s">
        <v>44</v>
      </c>
      <c r="N2963" t="s">
        <v>77</v>
      </c>
      <c r="O2963" t="s">
        <v>99</v>
      </c>
      <c r="P2963" t="s">
        <v>99</v>
      </c>
      <c r="Q2963" t="s">
        <v>202</v>
      </c>
      <c r="R2963" t="s">
        <v>203</v>
      </c>
      <c r="S2963" t="s">
        <v>161</v>
      </c>
      <c r="T2963" t="s">
        <v>162</v>
      </c>
      <c r="U2963" t="s">
        <v>163</v>
      </c>
      <c r="V2963" t="s">
        <v>164</v>
      </c>
      <c r="W2963" t="s">
        <v>116</v>
      </c>
      <c r="X2963" t="s">
        <v>44</v>
      </c>
      <c r="Y2963" t="s">
        <v>99</v>
      </c>
      <c r="Z2963" t="s">
        <v>421</v>
      </c>
      <c r="AC2963" t="str">
        <f>IF(AA2963="",M2963,AA2963)</f>
        <v>sim</v>
      </c>
      <c r="AD2963" t="str">
        <f>IF(AB2963="",X2963,AB2963)</f>
        <v>sim</v>
      </c>
      <c r="AE2963" t="str">
        <f>IF(OR(Configuracao!B9="",Configuracao!B10=""),"aguardando limiar",IF(AND(K2963&gt;=Configuracao!B9,K2963/MAX(Reconciliacao!C2,1)&gt;=Configuracao!B10/100),"sim","não"))</f>
        <v>aguardando limiar</v>
      </c>
    </row>
    <row r="2964" spans="1:31" x14ac:dyDescent="0.25">
      <c r="A2964">
        <v>17746</v>
      </c>
      <c r="C2964" t="s">
        <v>1702</v>
      </c>
      <c r="D2964" t="s">
        <v>1687</v>
      </c>
      <c r="E2964" t="s">
        <v>1138</v>
      </c>
      <c r="F2964" t="s">
        <v>201</v>
      </c>
      <c r="G2964" t="s">
        <v>200</v>
      </c>
      <c r="H2964" t="s">
        <v>199</v>
      </c>
      <c r="I2964" t="s">
        <v>439</v>
      </c>
      <c r="J2964" t="s">
        <v>439</v>
      </c>
      <c r="K2964" s="4">
        <v>800.62</v>
      </c>
      <c r="L2964" s="4">
        <v>800.62</v>
      </c>
      <c r="M2964" t="s">
        <v>44</v>
      </c>
      <c r="N2964" t="s">
        <v>77</v>
      </c>
      <c r="O2964" t="s">
        <v>99</v>
      </c>
      <c r="P2964" t="s">
        <v>99</v>
      </c>
      <c r="Q2964" t="s">
        <v>202</v>
      </c>
      <c r="R2964" t="s">
        <v>203</v>
      </c>
      <c r="S2964" t="s">
        <v>161</v>
      </c>
      <c r="T2964" t="s">
        <v>162</v>
      </c>
      <c r="U2964" t="s">
        <v>163</v>
      </c>
      <c r="V2964" t="s">
        <v>164</v>
      </c>
      <c r="W2964" t="s">
        <v>116</v>
      </c>
      <c r="X2964" t="s">
        <v>44</v>
      </c>
      <c r="Y2964" t="s">
        <v>99</v>
      </c>
      <c r="Z2964" t="s">
        <v>421</v>
      </c>
      <c r="AC2964" t="str">
        <f>IF(AA2964="",M2964,AA2964)</f>
        <v>sim</v>
      </c>
      <c r="AD2964" t="str">
        <f>IF(AB2964="",X2964,AB2964)</f>
        <v>sim</v>
      </c>
      <c r="AE2964" t="str">
        <f>IF(OR(Configuracao!B9="",Configuracao!B10=""),"aguardando limiar",IF(AND(K2964&gt;=Configuracao!B9,K2964/MAX(Reconciliacao!C2,1)&gt;=Configuracao!B10/100),"sim","não"))</f>
        <v>aguardando limiar</v>
      </c>
    </row>
    <row r="2965" spans="1:31" x14ac:dyDescent="0.25">
      <c r="A2965">
        <v>17747</v>
      </c>
      <c r="C2965" t="s">
        <v>1702</v>
      </c>
      <c r="D2965" t="s">
        <v>1687</v>
      </c>
      <c r="E2965" t="s">
        <v>1138</v>
      </c>
      <c r="F2965" t="s">
        <v>201</v>
      </c>
      <c r="G2965" t="s">
        <v>200</v>
      </c>
      <c r="H2965" t="s">
        <v>199</v>
      </c>
      <c r="I2965" t="s">
        <v>35</v>
      </c>
      <c r="J2965" t="s">
        <v>35</v>
      </c>
      <c r="K2965" s="4">
        <v>800.62</v>
      </c>
      <c r="L2965" s="4">
        <v>800.62</v>
      </c>
      <c r="M2965" t="s">
        <v>44</v>
      </c>
      <c r="N2965" t="s">
        <v>77</v>
      </c>
      <c r="O2965" t="s">
        <v>99</v>
      </c>
      <c r="P2965" t="s">
        <v>99</v>
      </c>
      <c r="Q2965" t="s">
        <v>202</v>
      </c>
      <c r="R2965" t="s">
        <v>203</v>
      </c>
      <c r="S2965" t="s">
        <v>161</v>
      </c>
      <c r="T2965" t="s">
        <v>162</v>
      </c>
      <c r="U2965" t="s">
        <v>163</v>
      </c>
      <c r="V2965" t="s">
        <v>164</v>
      </c>
      <c r="W2965" t="s">
        <v>116</v>
      </c>
      <c r="X2965" t="s">
        <v>44</v>
      </c>
      <c r="Y2965" t="s">
        <v>99</v>
      </c>
      <c r="Z2965" t="s">
        <v>421</v>
      </c>
      <c r="AC2965" t="str">
        <f>IF(AA2965="",M2965,AA2965)</f>
        <v>sim</v>
      </c>
      <c r="AD2965" t="str">
        <f>IF(AB2965="",X2965,AB2965)</f>
        <v>sim</v>
      </c>
      <c r="AE2965" t="str">
        <f>IF(OR(Configuracao!B9="",Configuracao!B10=""),"aguardando limiar",IF(AND(K2965&gt;=Configuracao!B9,K2965/MAX(Reconciliacao!C2,1)&gt;=Configuracao!B10/100),"sim","não"))</f>
        <v>aguardando limiar</v>
      </c>
    </row>
    <row r="2966" spans="1:31" x14ac:dyDescent="0.25">
      <c r="A2966">
        <v>17599</v>
      </c>
      <c r="C2966" t="s">
        <v>1703</v>
      </c>
      <c r="D2966" t="s">
        <v>1704</v>
      </c>
      <c r="E2966" t="s">
        <v>1094</v>
      </c>
      <c r="F2966" t="s">
        <v>201</v>
      </c>
      <c r="G2966" t="s">
        <v>200</v>
      </c>
      <c r="H2966" t="s">
        <v>199</v>
      </c>
      <c r="I2966" t="s">
        <v>442</v>
      </c>
      <c r="J2966" t="s">
        <v>442</v>
      </c>
      <c r="K2966" s="4">
        <v>900.9</v>
      </c>
      <c r="L2966" s="4">
        <v>900.9</v>
      </c>
      <c r="M2966" t="s">
        <v>44</v>
      </c>
      <c r="N2966" t="s">
        <v>77</v>
      </c>
      <c r="O2966" t="s">
        <v>99</v>
      </c>
      <c r="P2966" t="s">
        <v>99</v>
      </c>
      <c r="Q2966" t="s">
        <v>202</v>
      </c>
      <c r="R2966" t="s">
        <v>203</v>
      </c>
      <c r="S2966" t="s">
        <v>161</v>
      </c>
      <c r="T2966" t="s">
        <v>162</v>
      </c>
      <c r="U2966" t="s">
        <v>163</v>
      </c>
      <c r="V2966" t="s">
        <v>164</v>
      </c>
      <c r="W2966" t="s">
        <v>116</v>
      </c>
      <c r="X2966" t="s">
        <v>44</v>
      </c>
      <c r="Y2966" t="s">
        <v>99</v>
      </c>
      <c r="Z2966" t="s">
        <v>421</v>
      </c>
      <c r="AC2966" t="str">
        <f>IF(AA2966="",M2966,AA2966)</f>
        <v>sim</v>
      </c>
      <c r="AD2966" t="str">
        <f>IF(AB2966="",X2966,AB2966)</f>
        <v>sim</v>
      </c>
      <c r="AE2966" t="str">
        <f>IF(OR(Configuracao!B9="",Configuracao!B10=""),"aguardando limiar",IF(AND(K2966&gt;=Configuracao!B9,K2966/MAX(Reconciliacao!C2,1)&gt;=Configuracao!B10/100),"sim","não"))</f>
        <v>aguardando limiar</v>
      </c>
    </row>
    <row r="2967" spans="1:31" x14ac:dyDescent="0.25">
      <c r="A2967">
        <v>6958</v>
      </c>
      <c r="D2967" t="s">
        <v>1705</v>
      </c>
      <c r="E2967" t="s">
        <v>511</v>
      </c>
      <c r="F2967" t="s">
        <v>201</v>
      </c>
      <c r="G2967" t="s">
        <v>200</v>
      </c>
      <c r="H2967" t="s">
        <v>199</v>
      </c>
      <c r="I2967" t="s">
        <v>32</v>
      </c>
      <c r="J2967" t="s">
        <v>32</v>
      </c>
      <c r="K2967" s="4">
        <v>1000</v>
      </c>
      <c r="L2967" s="4">
        <v>1000</v>
      </c>
      <c r="M2967" t="s">
        <v>44</v>
      </c>
      <c r="N2967" t="s">
        <v>77</v>
      </c>
      <c r="O2967" t="s">
        <v>99</v>
      </c>
      <c r="P2967" t="s">
        <v>99</v>
      </c>
      <c r="Q2967" t="s">
        <v>202</v>
      </c>
      <c r="R2967" t="s">
        <v>203</v>
      </c>
      <c r="S2967" t="s">
        <v>161</v>
      </c>
      <c r="T2967" t="s">
        <v>162</v>
      </c>
      <c r="U2967" t="s">
        <v>163</v>
      </c>
      <c r="V2967" t="s">
        <v>164</v>
      </c>
      <c r="W2967" t="s">
        <v>116</v>
      </c>
      <c r="X2967" t="s">
        <v>44</v>
      </c>
      <c r="Y2967" t="s">
        <v>99</v>
      </c>
      <c r="Z2967" t="s">
        <v>421</v>
      </c>
      <c r="AC2967" t="str">
        <f>IF(AA2967="",M2967,AA2967)</f>
        <v>sim</v>
      </c>
      <c r="AD2967" t="str">
        <f>IF(AB2967="",X2967,AB2967)</f>
        <v>sim</v>
      </c>
      <c r="AE2967" t="str">
        <f>IF(OR(Configuracao!B9="",Configuracao!B10=""),"aguardando limiar",IF(AND(K2967&gt;=Configuracao!B9,K2967/MAX(Reconciliacao!C2,1)&gt;=Configuracao!B10/100),"sim","não"))</f>
        <v>aguardando limiar</v>
      </c>
    </row>
    <row r="2968" spans="1:31" x14ac:dyDescent="0.25">
      <c r="A2968">
        <v>6959</v>
      </c>
      <c r="D2968" t="s">
        <v>1705</v>
      </c>
      <c r="E2968" t="s">
        <v>511</v>
      </c>
      <c r="F2968" t="s">
        <v>201</v>
      </c>
      <c r="G2968" t="s">
        <v>200</v>
      </c>
      <c r="H2968" t="s">
        <v>199</v>
      </c>
      <c r="I2968" t="s">
        <v>424</v>
      </c>
      <c r="J2968" t="s">
        <v>424</v>
      </c>
      <c r="K2968" s="4">
        <v>1000</v>
      </c>
      <c r="L2968" s="4">
        <v>1000</v>
      </c>
      <c r="M2968" t="s">
        <v>44</v>
      </c>
      <c r="N2968" t="s">
        <v>77</v>
      </c>
      <c r="O2968" t="s">
        <v>99</v>
      </c>
      <c r="P2968" t="s">
        <v>99</v>
      </c>
      <c r="Q2968" t="s">
        <v>202</v>
      </c>
      <c r="R2968" t="s">
        <v>203</v>
      </c>
      <c r="S2968" t="s">
        <v>161</v>
      </c>
      <c r="T2968" t="s">
        <v>162</v>
      </c>
      <c r="U2968" t="s">
        <v>163</v>
      </c>
      <c r="V2968" t="s">
        <v>164</v>
      </c>
      <c r="W2968" t="s">
        <v>116</v>
      </c>
      <c r="X2968" t="s">
        <v>44</v>
      </c>
      <c r="Y2968" t="s">
        <v>99</v>
      </c>
      <c r="Z2968" t="s">
        <v>421</v>
      </c>
      <c r="AC2968" t="str">
        <f>IF(AA2968="",M2968,AA2968)</f>
        <v>sim</v>
      </c>
      <c r="AD2968" t="str">
        <f>IF(AB2968="",X2968,AB2968)</f>
        <v>sim</v>
      </c>
      <c r="AE2968" t="str">
        <f>IF(OR(Configuracao!B9="",Configuracao!B10=""),"aguardando limiar",IF(AND(K2968&gt;=Configuracao!B9,K2968/MAX(Reconciliacao!C2,1)&gt;=Configuracao!B10/100),"sim","não"))</f>
        <v>aguardando limiar</v>
      </c>
    </row>
    <row r="2969" spans="1:31" x14ac:dyDescent="0.25">
      <c r="A2969">
        <v>6960</v>
      </c>
      <c r="D2969" t="s">
        <v>1705</v>
      </c>
      <c r="E2969" t="s">
        <v>511</v>
      </c>
      <c r="F2969" t="s">
        <v>201</v>
      </c>
      <c r="G2969" t="s">
        <v>200</v>
      </c>
      <c r="H2969" t="s">
        <v>199</v>
      </c>
      <c r="I2969" t="s">
        <v>420</v>
      </c>
      <c r="J2969" t="s">
        <v>420</v>
      </c>
      <c r="K2969" s="4">
        <v>1000</v>
      </c>
      <c r="L2969" s="4">
        <v>1000</v>
      </c>
      <c r="M2969" t="s">
        <v>44</v>
      </c>
      <c r="N2969" t="s">
        <v>77</v>
      </c>
      <c r="O2969" t="s">
        <v>99</v>
      </c>
      <c r="P2969" t="s">
        <v>99</v>
      </c>
      <c r="Q2969" t="s">
        <v>202</v>
      </c>
      <c r="R2969" t="s">
        <v>203</v>
      </c>
      <c r="S2969" t="s">
        <v>161</v>
      </c>
      <c r="T2969" t="s">
        <v>162</v>
      </c>
      <c r="U2969" t="s">
        <v>163</v>
      </c>
      <c r="V2969" t="s">
        <v>164</v>
      </c>
      <c r="W2969" t="s">
        <v>116</v>
      </c>
      <c r="X2969" t="s">
        <v>44</v>
      </c>
      <c r="Y2969" t="s">
        <v>99</v>
      </c>
      <c r="Z2969" t="s">
        <v>421</v>
      </c>
      <c r="AC2969" t="str">
        <f>IF(AA2969="",M2969,AA2969)</f>
        <v>sim</v>
      </c>
      <c r="AD2969" t="str">
        <f>IF(AB2969="",X2969,AB2969)</f>
        <v>sim</v>
      </c>
      <c r="AE2969" t="str">
        <f>IF(OR(Configuracao!B9="",Configuracao!B10=""),"aguardando limiar",IF(AND(K2969&gt;=Configuracao!B9,K2969/MAX(Reconciliacao!C2,1)&gt;=Configuracao!B10/100),"sim","não"))</f>
        <v>aguardando limiar</v>
      </c>
    </row>
    <row r="2970" spans="1:31" x14ac:dyDescent="0.25">
      <c r="A2970">
        <v>6961</v>
      </c>
      <c r="D2970" t="s">
        <v>1705</v>
      </c>
      <c r="E2970" t="s">
        <v>511</v>
      </c>
      <c r="F2970" t="s">
        <v>201</v>
      </c>
      <c r="G2970" t="s">
        <v>200</v>
      </c>
      <c r="H2970" t="s">
        <v>199</v>
      </c>
      <c r="I2970" t="s">
        <v>454</v>
      </c>
      <c r="J2970" t="s">
        <v>454</v>
      </c>
      <c r="K2970" s="4">
        <v>1000</v>
      </c>
      <c r="L2970" s="4">
        <v>1000</v>
      </c>
      <c r="M2970" t="s">
        <v>44</v>
      </c>
      <c r="N2970" t="s">
        <v>77</v>
      </c>
      <c r="O2970" t="s">
        <v>99</v>
      </c>
      <c r="P2970" t="s">
        <v>99</v>
      </c>
      <c r="Q2970" t="s">
        <v>202</v>
      </c>
      <c r="R2970" t="s">
        <v>203</v>
      </c>
      <c r="S2970" t="s">
        <v>161</v>
      </c>
      <c r="T2970" t="s">
        <v>162</v>
      </c>
      <c r="U2970" t="s">
        <v>163</v>
      </c>
      <c r="V2970" t="s">
        <v>164</v>
      </c>
      <c r="W2970" t="s">
        <v>116</v>
      </c>
      <c r="X2970" t="s">
        <v>44</v>
      </c>
      <c r="Y2970" t="s">
        <v>99</v>
      </c>
      <c r="Z2970" t="s">
        <v>421</v>
      </c>
      <c r="AC2970" t="str">
        <f>IF(AA2970="",M2970,AA2970)</f>
        <v>sim</v>
      </c>
      <c r="AD2970" t="str">
        <f>IF(AB2970="",X2970,AB2970)</f>
        <v>sim</v>
      </c>
      <c r="AE2970" t="str">
        <f>IF(OR(Configuracao!B9="",Configuracao!B10=""),"aguardando limiar",IF(AND(K2970&gt;=Configuracao!B9,K2970/MAX(Reconciliacao!C2,1)&gt;=Configuracao!B10/100),"sim","não"))</f>
        <v>aguardando limiar</v>
      </c>
    </row>
    <row r="2971" spans="1:31" x14ac:dyDescent="0.25">
      <c r="A2971">
        <v>6962</v>
      </c>
      <c r="D2971" t="s">
        <v>1705</v>
      </c>
      <c r="E2971" t="s">
        <v>511</v>
      </c>
      <c r="F2971" t="s">
        <v>201</v>
      </c>
      <c r="G2971" t="s">
        <v>200</v>
      </c>
      <c r="H2971" t="s">
        <v>199</v>
      </c>
      <c r="I2971" t="s">
        <v>461</v>
      </c>
      <c r="J2971" t="s">
        <v>461</v>
      </c>
      <c r="K2971" s="4">
        <v>1000</v>
      </c>
      <c r="L2971" s="4">
        <v>1000</v>
      </c>
      <c r="M2971" t="s">
        <v>44</v>
      </c>
      <c r="N2971" t="s">
        <v>77</v>
      </c>
      <c r="O2971" t="s">
        <v>99</v>
      </c>
      <c r="P2971" t="s">
        <v>99</v>
      </c>
      <c r="Q2971" t="s">
        <v>202</v>
      </c>
      <c r="R2971" t="s">
        <v>203</v>
      </c>
      <c r="S2971" t="s">
        <v>161</v>
      </c>
      <c r="T2971" t="s">
        <v>162</v>
      </c>
      <c r="U2971" t="s">
        <v>163</v>
      </c>
      <c r="V2971" t="s">
        <v>164</v>
      </c>
      <c r="W2971" t="s">
        <v>116</v>
      </c>
      <c r="X2971" t="s">
        <v>44</v>
      </c>
      <c r="Y2971" t="s">
        <v>99</v>
      </c>
      <c r="Z2971" t="s">
        <v>421</v>
      </c>
      <c r="AC2971" t="str">
        <f>IF(AA2971="",M2971,AA2971)</f>
        <v>sim</v>
      </c>
      <c r="AD2971" t="str">
        <f>IF(AB2971="",X2971,AB2971)</f>
        <v>sim</v>
      </c>
      <c r="AE2971" t="str">
        <f>IF(OR(Configuracao!B9="",Configuracao!B10=""),"aguardando limiar",IF(AND(K2971&gt;=Configuracao!B9,K2971/MAX(Reconciliacao!C2,1)&gt;=Configuracao!B10/100),"sim","não"))</f>
        <v>aguardando limiar</v>
      </c>
    </row>
    <row r="2972" spans="1:31" x14ac:dyDescent="0.25">
      <c r="A2972">
        <v>6963</v>
      </c>
      <c r="D2972" t="s">
        <v>1705</v>
      </c>
      <c r="E2972" t="s">
        <v>511</v>
      </c>
      <c r="F2972" t="s">
        <v>201</v>
      </c>
      <c r="G2972" t="s">
        <v>200</v>
      </c>
      <c r="H2972" t="s">
        <v>199</v>
      </c>
      <c r="I2972" t="s">
        <v>442</v>
      </c>
      <c r="J2972" t="s">
        <v>442</v>
      </c>
      <c r="K2972" s="4">
        <v>1000</v>
      </c>
      <c r="L2972" s="4">
        <v>1000</v>
      </c>
      <c r="M2972" t="s">
        <v>44</v>
      </c>
      <c r="N2972" t="s">
        <v>77</v>
      </c>
      <c r="O2972" t="s">
        <v>99</v>
      </c>
      <c r="P2972" t="s">
        <v>99</v>
      </c>
      <c r="Q2972" t="s">
        <v>202</v>
      </c>
      <c r="R2972" t="s">
        <v>203</v>
      </c>
      <c r="S2972" t="s">
        <v>161</v>
      </c>
      <c r="T2972" t="s">
        <v>162</v>
      </c>
      <c r="U2972" t="s">
        <v>163</v>
      </c>
      <c r="V2972" t="s">
        <v>164</v>
      </c>
      <c r="W2972" t="s">
        <v>116</v>
      </c>
      <c r="X2972" t="s">
        <v>44</v>
      </c>
      <c r="Y2972" t="s">
        <v>99</v>
      </c>
      <c r="Z2972" t="s">
        <v>421</v>
      </c>
      <c r="AC2972" t="str">
        <f>IF(AA2972="",M2972,AA2972)</f>
        <v>sim</v>
      </c>
      <c r="AD2972" t="str">
        <f>IF(AB2972="",X2972,AB2972)</f>
        <v>sim</v>
      </c>
      <c r="AE2972" t="str">
        <f>IF(OR(Configuracao!B9="",Configuracao!B10=""),"aguardando limiar",IF(AND(K2972&gt;=Configuracao!B9,K2972/MAX(Reconciliacao!C2,1)&gt;=Configuracao!B10/100),"sim","não"))</f>
        <v>aguardando limiar</v>
      </c>
    </row>
    <row r="2973" spans="1:31" x14ac:dyDescent="0.25">
      <c r="A2973">
        <v>6964</v>
      </c>
      <c r="D2973" t="s">
        <v>1705</v>
      </c>
      <c r="E2973" t="s">
        <v>511</v>
      </c>
      <c r="F2973" t="s">
        <v>201</v>
      </c>
      <c r="G2973" t="s">
        <v>200</v>
      </c>
      <c r="H2973" t="s">
        <v>199</v>
      </c>
      <c r="I2973" t="s">
        <v>439</v>
      </c>
      <c r="J2973" t="s">
        <v>439</v>
      </c>
      <c r="K2973" s="4">
        <v>1000</v>
      </c>
      <c r="L2973" s="4">
        <v>1000</v>
      </c>
      <c r="M2973" t="s">
        <v>44</v>
      </c>
      <c r="N2973" t="s">
        <v>77</v>
      </c>
      <c r="O2973" t="s">
        <v>99</v>
      </c>
      <c r="P2973" t="s">
        <v>99</v>
      </c>
      <c r="Q2973" t="s">
        <v>202</v>
      </c>
      <c r="R2973" t="s">
        <v>203</v>
      </c>
      <c r="S2973" t="s">
        <v>161</v>
      </c>
      <c r="T2973" t="s">
        <v>162</v>
      </c>
      <c r="U2973" t="s">
        <v>163</v>
      </c>
      <c r="V2973" t="s">
        <v>164</v>
      </c>
      <c r="W2973" t="s">
        <v>116</v>
      </c>
      <c r="X2973" t="s">
        <v>44</v>
      </c>
      <c r="Y2973" t="s">
        <v>99</v>
      </c>
      <c r="Z2973" t="s">
        <v>421</v>
      </c>
      <c r="AC2973" t="str">
        <f>IF(AA2973="",M2973,AA2973)</f>
        <v>sim</v>
      </c>
      <c r="AD2973" t="str">
        <f>IF(AB2973="",X2973,AB2973)</f>
        <v>sim</v>
      </c>
      <c r="AE2973" t="str">
        <f>IF(OR(Configuracao!B9="",Configuracao!B10=""),"aguardando limiar",IF(AND(K2973&gt;=Configuracao!B9,K2973/MAX(Reconciliacao!C2,1)&gt;=Configuracao!B10/100),"sim","não"))</f>
        <v>aguardando limiar</v>
      </c>
    </row>
    <row r="2974" spans="1:31" x14ac:dyDescent="0.25">
      <c r="A2974">
        <v>6965</v>
      </c>
      <c r="D2974" t="s">
        <v>1705</v>
      </c>
      <c r="E2974" t="s">
        <v>511</v>
      </c>
      <c r="F2974" t="s">
        <v>201</v>
      </c>
      <c r="G2974" t="s">
        <v>200</v>
      </c>
      <c r="H2974" t="s">
        <v>199</v>
      </c>
      <c r="I2974" t="s">
        <v>35</v>
      </c>
      <c r="J2974" t="s">
        <v>35</v>
      </c>
      <c r="K2974" s="4">
        <v>1000</v>
      </c>
      <c r="L2974" s="4">
        <v>1000</v>
      </c>
      <c r="M2974" t="s">
        <v>44</v>
      </c>
      <c r="N2974" t="s">
        <v>77</v>
      </c>
      <c r="O2974" t="s">
        <v>99</v>
      </c>
      <c r="P2974" t="s">
        <v>99</v>
      </c>
      <c r="Q2974" t="s">
        <v>202</v>
      </c>
      <c r="R2974" t="s">
        <v>203</v>
      </c>
      <c r="S2974" t="s">
        <v>161</v>
      </c>
      <c r="T2974" t="s">
        <v>162</v>
      </c>
      <c r="U2974" t="s">
        <v>163</v>
      </c>
      <c r="V2974" t="s">
        <v>164</v>
      </c>
      <c r="W2974" t="s">
        <v>116</v>
      </c>
      <c r="X2974" t="s">
        <v>44</v>
      </c>
      <c r="Y2974" t="s">
        <v>99</v>
      </c>
      <c r="Z2974" t="s">
        <v>421</v>
      </c>
      <c r="AC2974" t="str">
        <f>IF(AA2974="",M2974,AA2974)</f>
        <v>sim</v>
      </c>
      <c r="AD2974" t="str">
        <f>IF(AB2974="",X2974,AB2974)</f>
        <v>sim</v>
      </c>
      <c r="AE2974" t="str">
        <f>IF(OR(Configuracao!B9="",Configuracao!B10=""),"aguardando limiar",IF(AND(K2974&gt;=Configuracao!B9,K2974/MAX(Reconciliacao!C2,1)&gt;=Configuracao!B10/100),"sim","não"))</f>
        <v>aguardando limiar</v>
      </c>
    </row>
    <row r="2975" spans="1:31" x14ac:dyDescent="0.25">
      <c r="A2975">
        <v>11350</v>
      </c>
      <c r="D2975" t="s">
        <v>1705</v>
      </c>
      <c r="E2975" t="s">
        <v>467</v>
      </c>
      <c r="F2975" t="s">
        <v>201</v>
      </c>
      <c r="G2975" t="s">
        <v>200</v>
      </c>
      <c r="H2975" t="s">
        <v>199</v>
      </c>
      <c r="I2975" t="s">
        <v>32</v>
      </c>
      <c r="J2975" t="s">
        <v>32</v>
      </c>
      <c r="K2975" s="4">
        <v>1000</v>
      </c>
      <c r="L2975" s="4">
        <v>1000</v>
      </c>
      <c r="M2975" t="s">
        <v>44</v>
      </c>
      <c r="N2975" t="s">
        <v>77</v>
      </c>
      <c r="O2975" t="s">
        <v>99</v>
      </c>
      <c r="P2975" t="s">
        <v>99</v>
      </c>
      <c r="Q2975" t="s">
        <v>202</v>
      </c>
      <c r="R2975" t="s">
        <v>203</v>
      </c>
      <c r="S2975" t="s">
        <v>161</v>
      </c>
      <c r="T2975" t="s">
        <v>162</v>
      </c>
      <c r="U2975" t="s">
        <v>163</v>
      </c>
      <c r="V2975" t="s">
        <v>164</v>
      </c>
      <c r="W2975" t="s">
        <v>116</v>
      </c>
      <c r="X2975" t="s">
        <v>44</v>
      </c>
      <c r="Y2975" t="s">
        <v>99</v>
      </c>
      <c r="Z2975" t="s">
        <v>421</v>
      </c>
      <c r="AC2975" t="str">
        <f>IF(AA2975="",M2975,AA2975)</f>
        <v>sim</v>
      </c>
      <c r="AD2975" t="str">
        <f>IF(AB2975="",X2975,AB2975)</f>
        <v>sim</v>
      </c>
      <c r="AE2975" t="str">
        <f>IF(OR(Configuracao!B9="",Configuracao!B10=""),"aguardando limiar",IF(AND(K2975&gt;=Configuracao!B9,K2975/MAX(Reconciliacao!C2,1)&gt;=Configuracao!B10/100),"sim","não"))</f>
        <v>aguardando limiar</v>
      </c>
    </row>
    <row r="2976" spans="1:31" x14ac:dyDescent="0.25">
      <c r="A2976">
        <v>11351</v>
      </c>
      <c r="D2976" t="s">
        <v>1705</v>
      </c>
      <c r="E2976" t="s">
        <v>477</v>
      </c>
      <c r="F2976" t="s">
        <v>201</v>
      </c>
      <c r="G2976" t="s">
        <v>200</v>
      </c>
      <c r="H2976" t="s">
        <v>199</v>
      </c>
      <c r="I2976" t="s">
        <v>32</v>
      </c>
      <c r="J2976" t="s">
        <v>32</v>
      </c>
      <c r="K2976" s="4">
        <v>1000</v>
      </c>
      <c r="L2976" s="4">
        <v>1000</v>
      </c>
      <c r="M2976" t="s">
        <v>44</v>
      </c>
      <c r="N2976" t="s">
        <v>77</v>
      </c>
      <c r="O2976" t="s">
        <v>99</v>
      </c>
      <c r="P2976" t="s">
        <v>99</v>
      </c>
      <c r="Q2976" t="s">
        <v>202</v>
      </c>
      <c r="R2976" t="s">
        <v>203</v>
      </c>
      <c r="S2976" t="s">
        <v>161</v>
      </c>
      <c r="T2976" t="s">
        <v>162</v>
      </c>
      <c r="U2976" t="s">
        <v>163</v>
      </c>
      <c r="V2976" t="s">
        <v>164</v>
      </c>
      <c r="W2976" t="s">
        <v>116</v>
      </c>
      <c r="X2976" t="s">
        <v>44</v>
      </c>
      <c r="Y2976" t="s">
        <v>99</v>
      </c>
      <c r="Z2976" t="s">
        <v>421</v>
      </c>
      <c r="AC2976" t="str">
        <f>IF(AA2976="",M2976,AA2976)</f>
        <v>sim</v>
      </c>
      <c r="AD2976" t="str">
        <f>IF(AB2976="",X2976,AB2976)</f>
        <v>sim</v>
      </c>
      <c r="AE2976" t="str">
        <f>IF(OR(Configuracao!B9="",Configuracao!B10=""),"aguardando limiar",IF(AND(K2976&gt;=Configuracao!B9,K2976/MAX(Reconciliacao!C2,1)&gt;=Configuracao!B10/100),"sim","não"))</f>
        <v>aguardando limiar</v>
      </c>
    </row>
    <row r="2977" spans="1:31" x14ac:dyDescent="0.25">
      <c r="A2977">
        <v>12102</v>
      </c>
      <c r="D2977" t="s">
        <v>1705</v>
      </c>
      <c r="E2977" t="s">
        <v>467</v>
      </c>
      <c r="F2977" t="s">
        <v>201</v>
      </c>
      <c r="G2977" t="s">
        <v>200</v>
      </c>
      <c r="H2977" t="s">
        <v>199</v>
      </c>
      <c r="I2977" t="s">
        <v>424</v>
      </c>
      <c r="J2977" t="s">
        <v>424</v>
      </c>
      <c r="K2977" s="4">
        <v>1000</v>
      </c>
      <c r="L2977" s="4">
        <v>1000</v>
      </c>
      <c r="M2977" t="s">
        <v>44</v>
      </c>
      <c r="N2977" t="s">
        <v>77</v>
      </c>
      <c r="O2977" t="s">
        <v>99</v>
      </c>
      <c r="P2977" t="s">
        <v>99</v>
      </c>
      <c r="Q2977" t="s">
        <v>202</v>
      </c>
      <c r="R2977" t="s">
        <v>203</v>
      </c>
      <c r="S2977" t="s">
        <v>161</v>
      </c>
      <c r="T2977" t="s">
        <v>162</v>
      </c>
      <c r="U2977" t="s">
        <v>163</v>
      </c>
      <c r="V2977" t="s">
        <v>164</v>
      </c>
      <c r="W2977" t="s">
        <v>116</v>
      </c>
      <c r="X2977" t="s">
        <v>44</v>
      </c>
      <c r="Y2977" t="s">
        <v>99</v>
      </c>
      <c r="Z2977" t="s">
        <v>421</v>
      </c>
      <c r="AC2977" t="str">
        <f>IF(AA2977="",M2977,AA2977)</f>
        <v>sim</v>
      </c>
      <c r="AD2977" t="str">
        <f>IF(AB2977="",X2977,AB2977)</f>
        <v>sim</v>
      </c>
      <c r="AE2977" t="str">
        <f>IF(OR(Configuracao!B9="",Configuracao!B10=""),"aguardando limiar",IF(AND(K2977&gt;=Configuracao!B9,K2977/MAX(Reconciliacao!C2,1)&gt;=Configuracao!B10/100),"sim","não"))</f>
        <v>aguardando limiar</v>
      </c>
    </row>
    <row r="2978" spans="1:31" x14ac:dyDescent="0.25">
      <c r="A2978">
        <v>12103</v>
      </c>
      <c r="D2978" t="s">
        <v>1705</v>
      </c>
      <c r="E2978" t="s">
        <v>477</v>
      </c>
      <c r="F2978" t="s">
        <v>201</v>
      </c>
      <c r="G2978" t="s">
        <v>200</v>
      </c>
      <c r="H2978" t="s">
        <v>199</v>
      </c>
      <c r="I2978" t="s">
        <v>424</v>
      </c>
      <c r="J2978" t="s">
        <v>424</v>
      </c>
      <c r="K2978" s="4">
        <v>1000</v>
      </c>
      <c r="L2978" s="4">
        <v>1000</v>
      </c>
      <c r="M2978" t="s">
        <v>44</v>
      </c>
      <c r="N2978" t="s">
        <v>77</v>
      </c>
      <c r="O2978" t="s">
        <v>99</v>
      </c>
      <c r="P2978" t="s">
        <v>99</v>
      </c>
      <c r="Q2978" t="s">
        <v>202</v>
      </c>
      <c r="R2978" t="s">
        <v>203</v>
      </c>
      <c r="S2978" t="s">
        <v>161</v>
      </c>
      <c r="T2978" t="s">
        <v>162</v>
      </c>
      <c r="U2978" t="s">
        <v>163</v>
      </c>
      <c r="V2978" t="s">
        <v>164</v>
      </c>
      <c r="W2978" t="s">
        <v>116</v>
      </c>
      <c r="X2978" t="s">
        <v>44</v>
      </c>
      <c r="Y2978" t="s">
        <v>99</v>
      </c>
      <c r="Z2978" t="s">
        <v>421</v>
      </c>
      <c r="AC2978" t="str">
        <f>IF(AA2978="",M2978,AA2978)</f>
        <v>sim</v>
      </c>
      <c r="AD2978" t="str">
        <f>IF(AB2978="",X2978,AB2978)</f>
        <v>sim</v>
      </c>
      <c r="AE2978" t="str">
        <f>IF(OR(Configuracao!B9="",Configuracao!B10=""),"aguardando limiar",IF(AND(K2978&gt;=Configuracao!B9,K2978/MAX(Reconciliacao!C2,1)&gt;=Configuracao!B10/100),"sim","não"))</f>
        <v>aguardando limiar</v>
      </c>
    </row>
    <row r="2979" spans="1:31" x14ac:dyDescent="0.25">
      <c r="A2979">
        <v>12410</v>
      </c>
      <c r="D2979" t="s">
        <v>1705</v>
      </c>
      <c r="E2979" t="s">
        <v>467</v>
      </c>
      <c r="F2979" t="s">
        <v>201</v>
      </c>
      <c r="G2979" t="s">
        <v>200</v>
      </c>
      <c r="H2979" t="s">
        <v>199</v>
      </c>
      <c r="I2979" t="s">
        <v>420</v>
      </c>
      <c r="J2979" t="s">
        <v>420</v>
      </c>
      <c r="K2979" s="4">
        <v>1000</v>
      </c>
      <c r="L2979" s="4">
        <v>1000</v>
      </c>
      <c r="M2979" t="s">
        <v>44</v>
      </c>
      <c r="N2979" t="s">
        <v>77</v>
      </c>
      <c r="O2979" t="s">
        <v>99</v>
      </c>
      <c r="P2979" t="s">
        <v>99</v>
      </c>
      <c r="Q2979" t="s">
        <v>202</v>
      </c>
      <c r="R2979" t="s">
        <v>203</v>
      </c>
      <c r="S2979" t="s">
        <v>161</v>
      </c>
      <c r="T2979" t="s">
        <v>162</v>
      </c>
      <c r="U2979" t="s">
        <v>163</v>
      </c>
      <c r="V2979" t="s">
        <v>164</v>
      </c>
      <c r="W2979" t="s">
        <v>116</v>
      </c>
      <c r="X2979" t="s">
        <v>44</v>
      </c>
      <c r="Y2979" t="s">
        <v>99</v>
      </c>
      <c r="Z2979" t="s">
        <v>421</v>
      </c>
      <c r="AC2979" t="str">
        <f>IF(AA2979="",M2979,AA2979)</f>
        <v>sim</v>
      </c>
      <c r="AD2979" t="str">
        <f>IF(AB2979="",X2979,AB2979)</f>
        <v>sim</v>
      </c>
      <c r="AE2979" t="str">
        <f>IF(OR(Configuracao!B9="",Configuracao!B10=""),"aguardando limiar",IF(AND(K2979&gt;=Configuracao!B9,K2979/MAX(Reconciliacao!C2,1)&gt;=Configuracao!B10/100),"sim","não"))</f>
        <v>aguardando limiar</v>
      </c>
    </row>
    <row r="2980" spans="1:31" x14ac:dyDescent="0.25">
      <c r="A2980">
        <v>12411</v>
      </c>
      <c r="D2980" t="s">
        <v>1705</v>
      </c>
      <c r="E2980" t="s">
        <v>477</v>
      </c>
      <c r="F2980" t="s">
        <v>201</v>
      </c>
      <c r="G2980" t="s">
        <v>200</v>
      </c>
      <c r="H2980" t="s">
        <v>199</v>
      </c>
      <c r="I2980" t="s">
        <v>420</v>
      </c>
      <c r="J2980" t="s">
        <v>420</v>
      </c>
      <c r="K2980" s="4">
        <v>1000</v>
      </c>
      <c r="L2980" s="4">
        <v>1000</v>
      </c>
      <c r="M2980" t="s">
        <v>44</v>
      </c>
      <c r="N2980" t="s">
        <v>77</v>
      </c>
      <c r="O2980" t="s">
        <v>99</v>
      </c>
      <c r="P2980" t="s">
        <v>99</v>
      </c>
      <c r="Q2980" t="s">
        <v>202</v>
      </c>
      <c r="R2980" t="s">
        <v>203</v>
      </c>
      <c r="S2980" t="s">
        <v>161</v>
      </c>
      <c r="T2980" t="s">
        <v>162</v>
      </c>
      <c r="U2980" t="s">
        <v>163</v>
      </c>
      <c r="V2980" t="s">
        <v>164</v>
      </c>
      <c r="W2980" t="s">
        <v>116</v>
      </c>
      <c r="X2980" t="s">
        <v>44</v>
      </c>
      <c r="Y2980" t="s">
        <v>99</v>
      </c>
      <c r="Z2980" t="s">
        <v>421</v>
      </c>
      <c r="AC2980" t="str">
        <f>IF(AA2980="",M2980,AA2980)</f>
        <v>sim</v>
      </c>
      <c r="AD2980" t="str">
        <f>IF(AB2980="",X2980,AB2980)</f>
        <v>sim</v>
      </c>
      <c r="AE2980" t="str">
        <f>IF(OR(Configuracao!B9="",Configuracao!B10=""),"aguardando limiar",IF(AND(K2980&gt;=Configuracao!B9,K2980/MAX(Reconciliacao!C2,1)&gt;=Configuracao!B10/100),"sim","não"))</f>
        <v>aguardando limiar</v>
      </c>
    </row>
    <row r="2981" spans="1:31" x14ac:dyDescent="0.25">
      <c r="A2981">
        <v>13811</v>
      </c>
      <c r="D2981" t="s">
        <v>1705</v>
      </c>
      <c r="E2981" t="s">
        <v>467</v>
      </c>
      <c r="F2981" t="s">
        <v>201</v>
      </c>
      <c r="G2981" t="s">
        <v>200</v>
      </c>
      <c r="H2981" t="s">
        <v>199</v>
      </c>
      <c r="I2981" t="s">
        <v>454</v>
      </c>
      <c r="J2981" t="s">
        <v>454</v>
      </c>
      <c r="K2981" s="4">
        <v>1000</v>
      </c>
      <c r="L2981" s="4">
        <v>1000</v>
      </c>
      <c r="M2981" t="s">
        <v>44</v>
      </c>
      <c r="N2981" t="s">
        <v>77</v>
      </c>
      <c r="O2981" t="s">
        <v>99</v>
      </c>
      <c r="P2981" t="s">
        <v>99</v>
      </c>
      <c r="Q2981" t="s">
        <v>202</v>
      </c>
      <c r="R2981" t="s">
        <v>203</v>
      </c>
      <c r="S2981" t="s">
        <v>161</v>
      </c>
      <c r="T2981" t="s">
        <v>162</v>
      </c>
      <c r="U2981" t="s">
        <v>163</v>
      </c>
      <c r="V2981" t="s">
        <v>164</v>
      </c>
      <c r="W2981" t="s">
        <v>116</v>
      </c>
      <c r="X2981" t="s">
        <v>44</v>
      </c>
      <c r="Y2981" t="s">
        <v>99</v>
      </c>
      <c r="Z2981" t="s">
        <v>421</v>
      </c>
      <c r="AC2981" t="str">
        <f>IF(AA2981="",M2981,AA2981)</f>
        <v>sim</v>
      </c>
      <c r="AD2981" t="str">
        <f>IF(AB2981="",X2981,AB2981)</f>
        <v>sim</v>
      </c>
      <c r="AE2981" t="str">
        <f>IF(OR(Configuracao!B9="",Configuracao!B10=""),"aguardando limiar",IF(AND(K2981&gt;=Configuracao!B9,K2981/MAX(Reconciliacao!C2,1)&gt;=Configuracao!B10/100),"sim","não"))</f>
        <v>aguardando limiar</v>
      </c>
    </row>
    <row r="2982" spans="1:31" x14ac:dyDescent="0.25">
      <c r="A2982">
        <v>13812</v>
      </c>
      <c r="D2982" t="s">
        <v>1705</v>
      </c>
      <c r="E2982" t="s">
        <v>486</v>
      </c>
      <c r="F2982" t="s">
        <v>201</v>
      </c>
      <c r="G2982" t="s">
        <v>200</v>
      </c>
      <c r="H2982" t="s">
        <v>199</v>
      </c>
      <c r="I2982" t="s">
        <v>454</v>
      </c>
      <c r="J2982" t="s">
        <v>454</v>
      </c>
      <c r="K2982" s="4">
        <v>1000</v>
      </c>
      <c r="L2982" s="4">
        <v>1000</v>
      </c>
      <c r="M2982" t="s">
        <v>44</v>
      </c>
      <c r="N2982" t="s">
        <v>77</v>
      </c>
      <c r="O2982" t="s">
        <v>99</v>
      </c>
      <c r="P2982" t="s">
        <v>99</v>
      </c>
      <c r="Q2982" t="s">
        <v>202</v>
      </c>
      <c r="R2982" t="s">
        <v>203</v>
      </c>
      <c r="S2982" t="s">
        <v>161</v>
      </c>
      <c r="T2982" t="s">
        <v>162</v>
      </c>
      <c r="U2982" t="s">
        <v>163</v>
      </c>
      <c r="V2982" t="s">
        <v>164</v>
      </c>
      <c r="W2982" t="s">
        <v>116</v>
      </c>
      <c r="X2982" t="s">
        <v>44</v>
      </c>
      <c r="Y2982" t="s">
        <v>99</v>
      </c>
      <c r="Z2982" t="s">
        <v>421</v>
      </c>
      <c r="AC2982" t="str">
        <f>IF(AA2982="",M2982,AA2982)</f>
        <v>sim</v>
      </c>
      <c r="AD2982" t="str">
        <f>IF(AB2982="",X2982,AB2982)</f>
        <v>sim</v>
      </c>
      <c r="AE2982" t="str">
        <f>IF(OR(Configuracao!B9="",Configuracao!B10=""),"aguardando limiar",IF(AND(K2982&gt;=Configuracao!B9,K2982/MAX(Reconciliacao!C2,1)&gt;=Configuracao!B10/100),"sim","não"))</f>
        <v>aguardando limiar</v>
      </c>
    </row>
    <row r="2983" spans="1:31" x14ac:dyDescent="0.25">
      <c r="A2983">
        <v>14944</v>
      </c>
      <c r="D2983" t="s">
        <v>1705</v>
      </c>
      <c r="E2983" t="s">
        <v>467</v>
      </c>
      <c r="F2983" t="s">
        <v>201</v>
      </c>
      <c r="G2983" t="s">
        <v>200</v>
      </c>
      <c r="H2983" t="s">
        <v>199</v>
      </c>
      <c r="I2983" t="s">
        <v>461</v>
      </c>
      <c r="J2983" t="s">
        <v>461</v>
      </c>
      <c r="K2983" s="4">
        <v>1000</v>
      </c>
      <c r="L2983" s="4">
        <v>1000</v>
      </c>
      <c r="M2983" t="s">
        <v>44</v>
      </c>
      <c r="N2983" t="s">
        <v>77</v>
      </c>
      <c r="O2983" t="s">
        <v>99</v>
      </c>
      <c r="P2983" t="s">
        <v>99</v>
      </c>
      <c r="Q2983" t="s">
        <v>202</v>
      </c>
      <c r="R2983" t="s">
        <v>203</v>
      </c>
      <c r="S2983" t="s">
        <v>161</v>
      </c>
      <c r="T2983" t="s">
        <v>162</v>
      </c>
      <c r="U2983" t="s">
        <v>163</v>
      </c>
      <c r="V2983" t="s">
        <v>164</v>
      </c>
      <c r="W2983" t="s">
        <v>116</v>
      </c>
      <c r="X2983" t="s">
        <v>44</v>
      </c>
      <c r="Y2983" t="s">
        <v>99</v>
      </c>
      <c r="Z2983" t="s">
        <v>421</v>
      </c>
      <c r="AC2983" t="str">
        <f>IF(AA2983="",M2983,AA2983)</f>
        <v>sim</v>
      </c>
      <c r="AD2983" t="str">
        <f>IF(AB2983="",X2983,AB2983)</f>
        <v>sim</v>
      </c>
      <c r="AE2983" t="str">
        <f>IF(OR(Configuracao!B9="",Configuracao!B10=""),"aguardando limiar",IF(AND(K2983&gt;=Configuracao!B9,K2983/MAX(Reconciliacao!C2,1)&gt;=Configuracao!B10/100),"sim","não"))</f>
        <v>aguardando limiar</v>
      </c>
    </row>
    <row r="2984" spans="1:31" x14ac:dyDescent="0.25">
      <c r="A2984">
        <v>14945</v>
      </c>
      <c r="D2984" t="s">
        <v>1705</v>
      </c>
      <c r="E2984" t="s">
        <v>486</v>
      </c>
      <c r="F2984" t="s">
        <v>201</v>
      </c>
      <c r="G2984" t="s">
        <v>200</v>
      </c>
      <c r="H2984" t="s">
        <v>199</v>
      </c>
      <c r="I2984" t="s">
        <v>461</v>
      </c>
      <c r="J2984" t="s">
        <v>461</v>
      </c>
      <c r="K2984" s="4">
        <v>1000</v>
      </c>
      <c r="L2984" s="4">
        <v>1000</v>
      </c>
      <c r="M2984" t="s">
        <v>44</v>
      </c>
      <c r="N2984" t="s">
        <v>77</v>
      </c>
      <c r="O2984" t="s">
        <v>99</v>
      </c>
      <c r="P2984" t="s">
        <v>99</v>
      </c>
      <c r="Q2984" t="s">
        <v>202</v>
      </c>
      <c r="R2984" t="s">
        <v>203</v>
      </c>
      <c r="S2984" t="s">
        <v>161</v>
      </c>
      <c r="T2984" t="s">
        <v>162</v>
      </c>
      <c r="U2984" t="s">
        <v>163</v>
      </c>
      <c r="V2984" t="s">
        <v>164</v>
      </c>
      <c r="W2984" t="s">
        <v>116</v>
      </c>
      <c r="X2984" t="s">
        <v>44</v>
      </c>
      <c r="Y2984" t="s">
        <v>99</v>
      </c>
      <c r="Z2984" t="s">
        <v>421</v>
      </c>
      <c r="AC2984" t="str">
        <f>IF(AA2984="",M2984,AA2984)</f>
        <v>sim</v>
      </c>
      <c r="AD2984" t="str">
        <f>IF(AB2984="",X2984,AB2984)</f>
        <v>sim</v>
      </c>
      <c r="AE2984" t="str">
        <f>IF(OR(Configuracao!B9="",Configuracao!B10=""),"aguardando limiar",IF(AND(K2984&gt;=Configuracao!B9,K2984/MAX(Reconciliacao!C2,1)&gt;=Configuracao!B10/100),"sim","não"))</f>
        <v>aguardando limiar</v>
      </c>
    </row>
    <row r="2985" spans="1:31" x14ac:dyDescent="0.25">
      <c r="A2985">
        <v>14946</v>
      </c>
      <c r="D2985" t="s">
        <v>1705</v>
      </c>
      <c r="E2985" t="s">
        <v>467</v>
      </c>
      <c r="F2985" t="s">
        <v>201</v>
      </c>
      <c r="G2985" t="s">
        <v>200</v>
      </c>
      <c r="H2985" t="s">
        <v>199</v>
      </c>
      <c r="I2985" t="s">
        <v>442</v>
      </c>
      <c r="J2985" t="s">
        <v>442</v>
      </c>
      <c r="K2985" s="4">
        <v>1000</v>
      </c>
      <c r="L2985" s="4">
        <v>1000</v>
      </c>
      <c r="M2985" t="s">
        <v>44</v>
      </c>
      <c r="N2985" t="s">
        <v>77</v>
      </c>
      <c r="O2985" t="s">
        <v>99</v>
      </c>
      <c r="P2985" t="s">
        <v>99</v>
      </c>
      <c r="Q2985" t="s">
        <v>202</v>
      </c>
      <c r="R2985" t="s">
        <v>203</v>
      </c>
      <c r="S2985" t="s">
        <v>161</v>
      </c>
      <c r="T2985" t="s">
        <v>162</v>
      </c>
      <c r="U2985" t="s">
        <v>163</v>
      </c>
      <c r="V2985" t="s">
        <v>164</v>
      </c>
      <c r="W2985" t="s">
        <v>116</v>
      </c>
      <c r="X2985" t="s">
        <v>44</v>
      </c>
      <c r="Y2985" t="s">
        <v>99</v>
      </c>
      <c r="Z2985" t="s">
        <v>421</v>
      </c>
      <c r="AC2985" t="str">
        <f>IF(AA2985="",M2985,AA2985)</f>
        <v>sim</v>
      </c>
      <c r="AD2985" t="str">
        <f>IF(AB2985="",X2985,AB2985)</f>
        <v>sim</v>
      </c>
      <c r="AE2985" t="str">
        <f>IF(OR(Configuracao!B9="",Configuracao!B10=""),"aguardando limiar",IF(AND(K2985&gt;=Configuracao!B9,K2985/MAX(Reconciliacao!C2,1)&gt;=Configuracao!B10/100),"sim","não"))</f>
        <v>aguardando limiar</v>
      </c>
    </row>
    <row r="2986" spans="1:31" x14ac:dyDescent="0.25">
      <c r="A2986">
        <v>14947</v>
      </c>
      <c r="D2986" t="s">
        <v>1705</v>
      </c>
      <c r="E2986" t="s">
        <v>486</v>
      </c>
      <c r="F2986" t="s">
        <v>201</v>
      </c>
      <c r="G2986" t="s">
        <v>200</v>
      </c>
      <c r="H2986" t="s">
        <v>199</v>
      </c>
      <c r="I2986" t="s">
        <v>442</v>
      </c>
      <c r="J2986" t="s">
        <v>442</v>
      </c>
      <c r="K2986" s="4">
        <v>1000</v>
      </c>
      <c r="L2986" s="4">
        <v>1000</v>
      </c>
      <c r="M2986" t="s">
        <v>44</v>
      </c>
      <c r="N2986" t="s">
        <v>77</v>
      </c>
      <c r="O2986" t="s">
        <v>99</v>
      </c>
      <c r="P2986" t="s">
        <v>99</v>
      </c>
      <c r="Q2986" t="s">
        <v>202</v>
      </c>
      <c r="R2986" t="s">
        <v>203</v>
      </c>
      <c r="S2986" t="s">
        <v>161</v>
      </c>
      <c r="T2986" t="s">
        <v>162</v>
      </c>
      <c r="U2986" t="s">
        <v>163</v>
      </c>
      <c r="V2986" t="s">
        <v>164</v>
      </c>
      <c r="W2986" t="s">
        <v>116</v>
      </c>
      <c r="X2986" t="s">
        <v>44</v>
      </c>
      <c r="Y2986" t="s">
        <v>99</v>
      </c>
      <c r="Z2986" t="s">
        <v>421</v>
      </c>
      <c r="AC2986" t="str">
        <f>IF(AA2986="",M2986,AA2986)</f>
        <v>sim</v>
      </c>
      <c r="AD2986" t="str">
        <f>IF(AB2986="",X2986,AB2986)</f>
        <v>sim</v>
      </c>
      <c r="AE2986" t="str">
        <f>IF(OR(Configuracao!B9="",Configuracao!B10=""),"aguardando limiar",IF(AND(K2986&gt;=Configuracao!B9,K2986/MAX(Reconciliacao!C2,1)&gt;=Configuracao!B10/100),"sim","não"))</f>
        <v>aguardando limiar</v>
      </c>
    </row>
    <row r="2987" spans="1:31" x14ac:dyDescent="0.25">
      <c r="A2987">
        <v>14948</v>
      </c>
      <c r="D2987" t="s">
        <v>1705</v>
      </c>
      <c r="E2987" t="s">
        <v>467</v>
      </c>
      <c r="F2987" t="s">
        <v>201</v>
      </c>
      <c r="G2987" t="s">
        <v>200</v>
      </c>
      <c r="H2987" t="s">
        <v>199</v>
      </c>
      <c r="I2987" t="s">
        <v>439</v>
      </c>
      <c r="J2987" t="s">
        <v>439</v>
      </c>
      <c r="K2987" s="4">
        <v>1000</v>
      </c>
      <c r="L2987" s="4">
        <v>1000</v>
      </c>
      <c r="M2987" t="s">
        <v>44</v>
      </c>
      <c r="N2987" t="s">
        <v>77</v>
      </c>
      <c r="O2987" t="s">
        <v>99</v>
      </c>
      <c r="P2987" t="s">
        <v>99</v>
      </c>
      <c r="Q2987" t="s">
        <v>202</v>
      </c>
      <c r="R2987" t="s">
        <v>203</v>
      </c>
      <c r="S2987" t="s">
        <v>161</v>
      </c>
      <c r="T2987" t="s">
        <v>162</v>
      </c>
      <c r="U2987" t="s">
        <v>163</v>
      </c>
      <c r="V2987" t="s">
        <v>164</v>
      </c>
      <c r="W2987" t="s">
        <v>116</v>
      </c>
      <c r="X2987" t="s">
        <v>44</v>
      </c>
      <c r="Y2987" t="s">
        <v>99</v>
      </c>
      <c r="Z2987" t="s">
        <v>421</v>
      </c>
      <c r="AC2987" t="str">
        <f>IF(AA2987="",M2987,AA2987)</f>
        <v>sim</v>
      </c>
      <c r="AD2987" t="str">
        <f>IF(AB2987="",X2987,AB2987)</f>
        <v>sim</v>
      </c>
      <c r="AE2987" t="str">
        <f>IF(OR(Configuracao!B9="",Configuracao!B10=""),"aguardando limiar",IF(AND(K2987&gt;=Configuracao!B9,K2987/MAX(Reconciliacao!C2,1)&gt;=Configuracao!B10/100),"sim","não"))</f>
        <v>aguardando limiar</v>
      </c>
    </row>
    <row r="2988" spans="1:31" x14ac:dyDescent="0.25">
      <c r="A2988">
        <v>14949</v>
      </c>
      <c r="D2988" t="s">
        <v>1705</v>
      </c>
      <c r="E2988" t="s">
        <v>486</v>
      </c>
      <c r="F2988" t="s">
        <v>201</v>
      </c>
      <c r="G2988" t="s">
        <v>200</v>
      </c>
      <c r="H2988" t="s">
        <v>199</v>
      </c>
      <c r="I2988" t="s">
        <v>439</v>
      </c>
      <c r="J2988" t="s">
        <v>439</v>
      </c>
      <c r="K2988" s="4">
        <v>1000</v>
      </c>
      <c r="L2988" s="4">
        <v>1000</v>
      </c>
      <c r="M2988" t="s">
        <v>44</v>
      </c>
      <c r="N2988" t="s">
        <v>77</v>
      </c>
      <c r="O2988" t="s">
        <v>99</v>
      </c>
      <c r="P2988" t="s">
        <v>99</v>
      </c>
      <c r="Q2988" t="s">
        <v>202</v>
      </c>
      <c r="R2988" t="s">
        <v>203</v>
      </c>
      <c r="S2988" t="s">
        <v>161</v>
      </c>
      <c r="T2988" t="s">
        <v>162</v>
      </c>
      <c r="U2988" t="s">
        <v>163</v>
      </c>
      <c r="V2988" t="s">
        <v>164</v>
      </c>
      <c r="W2988" t="s">
        <v>116</v>
      </c>
      <c r="X2988" t="s">
        <v>44</v>
      </c>
      <c r="Y2988" t="s">
        <v>99</v>
      </c>
      <c r="Z2988" t="s">
        <v>421</v>
      </c>
      <c r="AC2988" t="str">
        <f>IF(AA2988="",M2988,AA2988)</f>
        <v>sim</v>
      </c>
      <c r="AD2988" t="str">
        <f>IF(AB2988="",X2988,AB2988)</f>
        <v>sim</v>
      </c>
      <c r="AE2988" t="str">
        <f>IF(OR(Configuracao!B9="",Configuracao!B10=""),"aguardando limiar",IF(AND(K2988&gt;=Configuracao!B9,K2988/MAX(Reconciliacao!C2,1)&gt;=Configuracao!B10/100),"sim","não"))</f>
        <v>aguardando limiar</v>
      </c>
    </row>
    <row r="2989" spans="1:31" x14ac:dyDescent="0.25">
      <c r="A2989">
        <v>14950</v>
      </c>
      <c r="D2989" t="s">
        <v>1705</v>
      </c>
      <c r="E2989" t="s">
        <v>467</v>
      </c>
      <c r="F2989" t="s">
        <v>201</v>
      </c>
      <c r="G2989" t="s">
        <v>200</v>
      </c>
      <c r="H2989" t="s">
        <v>199</v>
      </c>
      <c r="I2989" t="s">
        <v>35</v>
      </c>
      <c r="J2989" t="s">
        <v>35</v>
      </c>
      <c r="K2989" s="4">
        <v>1000</v>
      </c>
      <c r="L2989" s="4">
        <v>1000</v>
      </c>
      <c r="M2989" t="s">
        <v>44</v>
      </c>
      <c r="N2989" t="s">
        <v>77</v>
      </c>
      <c r="O2989" t="s">
        <v>99</v>
      </c>
      <c r="P2989" t="s">
        <v>99</v>
      </c>
      <c r="Q2989" t="s">
        <v>202</v>
      </c>
      <c r="R2989" t="s">
        <v>203</v>
      </c>
      <c r="S2989" t="s">
        <v>161</v>
      </c>
      <c r="T2989" t="s">
        <v>162</v>
      </c>
      <c r="U2989" t="s">
        <v>163</v>
      </c>
      <c r="V2989" t="s">
        <v>164</v>
      </c>
      <c r="W2989" t="s">
        <v>116</v>
      </c>
      <c r="X2989" t="s">
        <v>44</v>
      </c>
      <c r="Y2989" t="s">
        <v>99</v>
      </c>
      <c r="Z2989" t="s">
        <v>421</v>
      </c>
      <c r="AC2989" t="str">
        <f>IF(AA2989="",M2989,AA2989)</f>
        <v>sim</v>
      </c>
      <c r="AD2989" t="str">
        <f>IF(AB2989="",X2989,AB2989)</f>
        <v>sim</v>
      </c>
      <c r="AE2989" t="str">
        <f>IF(OR(Configuracao!B9="",Configuracao!B10=""),"aguardando limiar",IF(AND(K2989&gt;=Configuracao!B9,K2989/MAX(Reconciliacao!C2,1)&gt;=Configuracao!B10/100),"sim","não"))</f>
        <v>aguardando limiar</v>
      </c>
    </row>
    <row r="2990" spans="1:31" x14ac:dyDescent="0.25">
      <c r="A2990">
        <v>14951</v>
      </c>
      <c r="D2990" t="s">
        <v>1705</v>
      </c>
      <c r="E2990" t="s">
        <v>486</v>
      </c>
      <c r="F2990" t="s">
        <v>201</v>
      </c>
      <c r="G2990" t="s">
        <v>200</v>
      </c>
      <c r="H2990" t="s">
        <v>199</v>
      </c>
      <c r="I2990" t="s">
        <v>35</v>
      </c>
      <c r="J2990" t="s">
        <v>35</v>
      </c>
      <c r="K2990" s="4">
        <v>1000</v>
      </c>
      <c r="L2990" s="4">
        <v>1000</v>
      </c>
      <c r="M2990" t="s">
        <v>44</v>
      </c>
      <c r="N2990" t="s">
        <v>77</v>
      </c>
      <c r="O2990" t="s">
        <v>99</v>
      </c>
      <c r="P2990" t="s">
        <v>99</v>
      </c>
      <c r="Q2990" t="s">
        <v>202</v>
      </c>
      <c r="R2990" t="s">
        <v>203</v>
      </c>
      <c r="S2990" t="s">
        <v>161</v>
      </c>
      <c r="T2990" t="s">
        <v>162</v>
      </c>
      <c r="U2990" t="s">
        <v>163</v>
      </c>
      <c r="V2990" t="s">
        <v>164</v>
      </c>
      <c r="W2990" t="s">
        <v>116</v>
      </c>
      <c r="X2990" t="s">
        <v>44</v>
      </c>
      <c r="Y2990" t="s">
        <v>99</v>
      </c>
      <c r="Z2990" t="s">
        <v>421</v>
      </c>
      <c r="AC2990" t="str">
        <f>IF(AA2990="",M2990,AA2990)</f>
        <v>sim</v>
      </c>
      <c r="AD2990" t="str">
        <f>IF(AB2990="",X2990,AB2990)</f>
        <v>sim</v>
      </c>
      <c r="AE2990" t="str">
        <f>IF(OR(Configuracao!B9="",Configuracao!B10=""),"aguardando limiar",IF(AND(K2990&gt;=Configuracao!B9,K2990/MAX(Reconciliacao!C2,1)&gt;=Configuracao!B10/100),"sim","não"))</f>
        <v>aguardando limiar</v>
      </c>
    </row>
    <row r="2991" spans="1:31" x14ac:dyDescent="0.25">
      <c r="A2991">
        <v>17603</v>
      </c>
      <c r="C2991" t="s">
        <v>1706</v>
      </c>
      <c r="D2991" t="s">
        <v>1704</v>
      </c>
      <c r="E2991" t="s">
        <v>1094</v>
      </c>
      <c r="F2991" t="s">
        <v>201</v>
      </c>
      <c r="G2991" t="s">
        <v>200</v>
      </c>
      <c r="H2991" t="s">
        <v>199</v>
      </c>
      <c r="I2991" t="s">
        <v>35</v>
      </c>
      <c r="J2991" t="s">
        <v>35</v>
      </c>
      <c r="K2991" s="4">
        <v>1003.8</v>
      </c>
      <c r="L2991" s="4">
        <v>1003.8</v>
      </c>
      <c r="M2991" t="s">
        <v>44</v>
      </c>
      <c r="N2991" t="s">
        <v>77</v>
      </c>
      <c r="O2991" t="s">
        <v>99</v>
      </c>
      <c r="P2991" t="s">
        <v>99</v>
      </c>
      <c r="Q2991" t="s">
        <v>202</v>
      </c>
      <c r="R2991" t="s">
        <v>203</v>
      </c>
      <c r="S2991" t="s">
        <v>161</v>
      </c>
      <c r="T2991" t="s">
        <v>162</v>
      </c>
      <c r="U2991" t="s">
        <v>163</v>
      </c>
      <c r="V2991" t="s">
        <v>164</v>
      </c>
      <c r="W2991" t="s">
        <v>116</v>
      </c>
      <c r="X2991" t="s">
        <v>44</v>
      </c>
      <c r="Y2991" t="s">
        <v>99</v>
      </c>
      <c r="Z2991" t="s">
        <v>421</v>
      </c>
      <c r="AC2991" t="str">
        <f>IF(AA2991="",M2991,AA2991)</f>
        <v>sim</v>
      </c>
      <c r="AD2991" t="str">
        <f>IF(AB2991="",X2991,AB2991)</f>
        <v>sim</v>
      </c>
      <c r="AE2991" t="str">
        <f>IF(OR(Configuracao!B9="",Configuracao!B10=""),"aguardando limiar",IF(AND(K2991&gt;=Configuracao!B9,K2991/MAX(Reconciliacao!C2,1)&gt;=Configuracao!B10/100),"sim","não"))</f>
        <v>aguardando limiar</v>
      </c>
    </row>
    <row r="2992" spans="1:31" x14ac:dyDescent="0.25">
      <c r="A2992">
        <v>17079</v>
      </c>
      <c r="C2992" t="s">
        <v>1707</v>
      </c>
      <c r="D2992" t="s">
        <v>1704</v>
      </c>
      <c r="E2992" t="s">
        <v>1094</v>
      </c>
      <c r="F2992" t="s">
        <v>201</v>
      </c>
      <c r="G2992" t="s">
        <v>200</v>
      </c>
      <c r="H2992" t="s">
        <v>199</v>
      </c>
      <c r="I2992" t="s">
        <v>442</v>
      </c>
      <c r="J2992" t="s">
        <v>442</v>
      </c>
      <c r="K2992" s="4">
        <v>1068.2</v>
      </c>
      <c r="L2992" s="4">
        <v>1068.2</v>
      </c>
      <c r="M2992" t="s">
        <v>44</v>
      </c>
      <c r="N2992" t="s">
        <v>77</v>
      </c>
      <c r="O2992" t="s">
        <v>99</v>
      </c>
      <c r="P2992" t="s">
        <v>99</v>
      </c>
      <c r="Q2992" t="s">
        <v>202</v>
      </c>
      <c r="R2992" t="s">
        <v>203</v>
      </c>
      <c r="S2992" t="s">
        <v>161</v>
      </c>
      <c r="T2992" t="s">
        <v>162</v>
      </c>
      <c r="U2992" t="s">
        <v>163</v>
      </c>
      <c r="V2992" t="s">
        <v>164</v>
      </c>
      <c r="W2992" t="s">
        <v>116</v>
      </c>
      <c r="X2992" t="s">
        <v>44</v>
      </c>
      <c r="Y2992" t="s">
        <v>99</v>
      </c>
      <c r="Z2992" t="s">
        <v>421</v>
      </c>
      <c r="AC2992" t="str">
        <f>IF(AA2992="",M2992,AA2992)</f>
        <v>sim</v>
      </c>
      <c r="AD2992" t="str">
        <f>IF(AB2992="",X2992,AB2992)</f>
        <v>sim</v>
      </c>
      <c r="AE2992" t="str">
        <f>IF(OR(Configuracao!B9="",Configuracao!B10=""),"aguardando limiar",IF(AND(K2992&gt;=Configuracao!B9,K2992/MAX(Reconciliacao!C2,1)&gt;=Configuracao!B10/100),"sim","não"))</f>
        <v>aguardando limiar</v>
      </c>
    </row>
    <row r="2993" spans="1:31" x14ac:dyDescent="0.25">
      <c r="A2993">
        <v>17752</v>
      </c>
      <c r="C2993" t="s">
        <v>1708</v>
      </c>
      <c r="D2993" t="s">
        <v>1709</v>
      </c>
      <c r="E2993" t="s">
        <v>1094</v>
      </c>
      <c r="F2993" t="s">
        <v>201</v>
      </c>
      <c r="G2993" t="s">
        <v>200</v>
      </c>
      <c r="H2993" t="s">
        <v>199</v>
      </c>
      <c r="I2993" t="s">
        <v>439</v>
      </c>
      <c r="J2993" t="s">
        <v>35</v>
      </c>
      <c r="K2993" s="4">
        <v>1078.92</v>
      </c>
      <c r="L2993" s="4">
        <v>1078.92</v>
      </c>
      <c r="M2993" t="s">
        <v>44</v>
      </c>
      <c r="N2993" t="s">
        <v>77</v>
      </c>
      <c r="O2993" t="s">
        <v>99</v>
      </c>
      <c r="P2993" t="s">
        <v>99</v>
      </c>
      <c r="Q2993" t="s">
        <v>202</v>
      </c>
      <c r="R2993" t="s">
        <v>203</v>
      </c>
      <c r="S2993" t="s">
        <v>161</v>
      </c>
      <c r="T2993" t="s">
        <v>162</v>
      </c>
      <c r="U2993" t="s">
        <v>163</v>
      </c>
      <c r="V2993" t="s">
        <v>164</v>
      </c>
      <c r="W2993" t="s">
        <v>116</v>
      </c>
      <c r="X2993" t="s">
        <v>166</v>
      </c>
      <c r="Y2993" t="s">
        <v>472</v>
      </c>
      <c r="Z2993" t="s">
        <v>434</v>
      </c>
      <c r="AC2993" t="str">
        <f>IF(AA2993="",M2993,AA2993)</f>
        <v>sim</v>
      </c>
      <c r="AD2993" t="str">
        <f>IF(AB2993="",X2993,AB2993)</f>
        <v>não</v>
      </c>
      <c r="AE2993" t="str">
        <f>IF(OR(Configuracao!B9="",Configuracao!B10=""),"aguardando limiar",IF(AND(K2993&gt;=Configuracao!B9,K2993/MAX(Reconciliacao!C2,1)&gt;=Configuracao!B10/100),"sim","não"))</f>
        <v>aguardando limiar</v>
      </c>
    </row>
    <row r="2994" spans="1:31" x14ac:dyDescent="0.25">
      <c r="A2994">
        <v>7595</v>
      </c>
      <c r="C2994" t="s">
        <v>1710</v>
      </c>
      <c r="D2994" t="s">
        <v>1689</v>
      </c>
      <c r="E2994" t="s">
        <v>1094</v>
      </c>
      <c r="F2994" t="s">
        <v>201</v>
      </c>
      <c r="G2994" t="s">
        <v>200</v>
      </c>
      <c r="H2994" t="s">
        <v>199</v>
      </c>
      <c r="I2994" t="s">
        <v>424</v>
      </c>
      <c r="J2994" t="s">
        <v>424</v>
      </c>
      <c r="K2994" s="4">
        <v>1137.2</v>
      </c>
      <c r="L2994" s="4">
        <v>1137.2</v>
      </c>
      <c r="M2994" t="s">
        <v>44</v>
      </c>
      <c r="N2994" t="s">
        <v>77</v>
      </c>
      <c r="O2994" t="s">
        <v>99</v>
      </c>
      <c r="P2994" t="s">
        <v>99</v>
      </c>
      <c r="Q2994" t="s">
        <v>202</v>
      </c>
      <c r="R2994" t="s">
        <v>203</v>
      </c>
      <c r="S2994" t="s">
        <v>161</v>
      </c>
      <c r="T2994" t="s">
        <v>162</v>
      </c>
      <c r="U2994" t="s">
        <v>163</v>
      </c>
      <c r="V2994" t="s">
        <v>164</v>
      </c>
      <c r="W2994" t="s">
        <v>116</v>
      </c>
      <c r="X2994" t="s">
        <v>44</v>
      </c>
      <c r="Y2994" t="s">
        <v>99</v>
      </c>
      <c r="Z2994" t="s">
        <v>421</v>
      </c>
      <c r="AC2994" t="str">
        <f>IF(AA2994="",M2994,AA2994)</f>
        <v>sim</v>
      </c>
      <c r="AD2994" t="str">
        <f>IF(AB2994="",X2994,AB2994)</f>
        <v>sim</v>
      </c>
      <c r="AE2994" t="str">
        <f>IF(OR(Configuracao!B9="",Configuracao!B10=""),"aguardando limiar",IF(AND(K2994&gt;=Configuracao!B9,K2994/MAX(Reconciliacao!C2,1)&gt;=Configuracao!B10/100),"sim","não"))</f>
        <v>aguardando limiar</v>
      </c>
    </row>
    <row r="2995" spans="1:31" x14ac:dyDescent="0.25">
      <c r="A2995">
        <v>7596</v>
      </c>
      <c r="C2995" t="s">
        <v>1710</v>
      </c>
      <c r="D2995" t="s">
        <v>1689</v>
      </c>
      <c r="E2995" t="s">
        <v>1094</v>
      </c>
      <c r="F2995" t="s">
        <v>201</v>
      </c>
      <c r="G2995" t="s">
        <v>200</v>
      </c>
      <c r="H2995" t="s">
        <v>199</v>
      </c>
      <c r="I2995" t="s">
        <v>420</v>
      </c>
      <c r="J2995" t="s">
        <v>420</v>
      </c>
      <c r="K2995" s="4">
        <v>1137.2</v>
      </c>
      <c r="L2995" s="4">
        <v>1137.2</v>
      </c>
      <c r="M2995" t="s">
        <v>44</v>
      </c>
      <c r="N2995" t="s">
        <v>77</v>
      </c>
      <c r="O2995" t="s">
        <v>99</v>
      </c>
      <c r="P2995" t="s">
        <v>99</v>
      </c>
      <c r="Q2995" t="s">
        <v>202</v>
      </c>
      <c r="R2995" t="s">
        <v>203</v>
      </c>
      <c r="S2995" t="s">
        <v>161</v>
      </c>
      <c r="T2995" t="s">
        <v>162</v>
      </c>
      <c r="U2995" t="s">
        <v>163</v>
      </c>
      <c r="V2995" t="s">
        <v>164</v>
      </c>
      <c r="W2995" t="s">
        <v>116</v>
      </c>
      <c r="X2995" t="s">
        <v>44</v>
      </c>
      <c r="Y2995" t="s">
        <v>99</v>
      </c>
      <c r="Z2995" t="s">
        <v>421</v>
      </c>
      <c r="AC2995" t="str">
        <f>IF(AA2995="",M2995,AA2995)</f>
        <v>sim</v>
      </c>
      <c r="AD2995" t="str">
        <f>IF(AB2995="",X2995,AB2995)</f>
        <v>sim</v>
      </c>
      <c r="AE2995" t="str">
        <f>IF(OR(Configuracao!B9="",Configuracao!B10=""),"aguardando limiar",IF(AND(K2995&gt;=Configuracao!B9,K2995/MAX(Reconciliacao!C2,1)&gt;=Configuracao!B10/100),"sim","não"))</f>
        <v>aguardando limiar</v>
      </c>
    </row>
    <row r="2996" spans="1:31" x14ac:dyDescent="0.25">
      <c r="A2996">
        <v>7597</v>
      </c>
      <c r="C2996" t="s">
        <v>1710</v>
      </c>
      <c r="D2996" t="s">
        <v>1689</v>
      </c>
      <c r="E2996" t="s">
        <v>1094</v>
      </c>
      <c r="F2996" t="s">
        <v>201</v>
      </c>
      <c r="G2996" t="s">
        <v>200</v>
      </c>
      <c r="H2996" t="s">
        <v>199</v>
      </c>
      <c r="I2996" t="s">
        <v>454</v>
      </c>
      <c r="J2996" t="s">
        <v>454</v>
      </c>
      <c r="K2996" s="4">
        <v>1137.2</v>
      </c>
      <c r="L2996" s="4">
        <v>1137.2</v>
      </c>
      <c r="M2996" t="s">
        <v>44</v>
      </c>
      <c r="N2996" t="s">
        <v>77</v>
      </c>
      <c r="O2996" t="s">
        <v>99</v>
      </c>
      <c r="P2996" t="s">
        <v>99</v>
      </c>
      <c r="Q2996" t="s">
        <v>202</v>
      </c>
      <c r="R2996" t="s">
        <v>203</v>
      </c>
      <c r="S2996" t="s">
        <v>161</v>
      </c>
      <c r="T2996" t="s">
        <v>162</v>
      </c>
      <c r="U2996" t="s">
        <v>163</v>
      </c>
      <c r="V2996" t="s">
        <v>164</v>
      </c>
      <c r="W2996" t="s">
        <v>116</v>
      </c>
      <c r="X2996" t="s">
        <v>44</v>
      </c>
      <c r="Y2996" t="s">
        <v>99</v>
      </c>
      <c r="Z2996" t="s">
        <v>421</v>
      </c>
      <c r="AC2996" t="str">
        <f>IF(AA2996="",M2996,AA2996)</f>
        <v>sim</v>
      </c>
      <c r="AD2996" t="str">
        <f>IF(AB2996="",X2996,AB2996)</f>
        <v>sim</v>
      </c>
      <c r="AE2996" t="str">
        <f>IF(OR(Configuracao!B9="",Configuracao!B10=""),"aguardando limiar",IF(AND(K2996&gt;=Configuracao!B9,K2996/MAX(Reconciliacao!C2,1)&gt;=Configuracao!B10/100),"sim","não"))</f>
        <v>aguardando limiar</v>
      </c>
    </row>
    <row r="2997" spans="1:31" x14ac:dyDescent="0.25">
      <c r="A2997">
        <v>7598</v>
      </c>
      <c r="C2997" t="s">
        <v>1710</v>
      </c>
      <c r="D2997" t="s">
        <v>1689</v>
      </c>
      <c r="E2997" t="s">
        <v>1094</v>
      </c>
      <c r="F2997" t="s">
        <v>201</v>
      </c>
      <c r="G2997" t="s">
        <v>200</v>
      </c>
      <c r="H2997" t="s">
        <v>199</v>
      </c>
      <c r="I2997" t="s">
        <v>461</v>
      </c>
      <c r="J2997" t="s">
        <v>461</v>
      </c>
      <c r="K2997" s="4">
        <v>1137.2</v>
      </c>
      <c r="L2997" s="4">
        <v>1137.2</v>
      </c>
      <c r="M2997" t="s">
        <v>44</v>
      </c>
      <c r="N2997" t="s">
        <v>77</v>
      </c>
      <c r="O2997" t="s">
        <v>99</v>
      </c>
      <c r="P2997" t="s">
        <v>99</v>
      </c>
      <c r="Q2997" t="s">
        <v>202</v>
      </c>
      <c r="R2997" t="s">
        <v>203</v>
      </c>
      <c r="S2997" t="s">
        <v>161</v>
      </c>
      <c r="T2997" t="s">
        <v>162</v>
      </c>
      <c r="U2997" t="s">
        <v>163</v>
      </c>
      <c r="V2997" t="s">
        <v>164</v>
      </c>
      <c r="W2997" t="s">
        <v>116</v>
      </c>
      <c r="X2997" t="s">
        <v>44</v>
      </c>
      <c r="Y2997" t="s">
        <v>99</v>
      </c>
      <c r="Z2997" t="s">
        <v>421</v>
      </c>
      <c r="AC2997" t="str">
        <f>IF(AA2997="",M2997,AA2997)</f>
        <v>sim</v>
      </c>
      <c r="AD2997" t="str">
        <f>IF(AB2997="",X2997,AB2997)</f>
        <v>sim</v>
      </c>
      <c r="AE2997" t="str">
        <f>IF(OR(Configuracao!B9="",Configuracao!B10=""),"aguardando limiar",IF(AND(K2997&gt;=Configuracao!B9,K2997/MAX(Reconciliacao!C2,1)&gt;=Configuracao!B10/100),"sim","não"))</f>
        <v>aguardando limiar</v>
      </c>
    </row>
    <row r="2998" spans="1:31" x14ac:dyDescent="0.25">
      <c r="A2998">
        <v>7599</v>
      </c>
      <c r="C2998" t="s">
        <v>1710</v>
      </c>
      <c r="D2998" t="s">
        <v>1689</v>
      </c>
      <c r="E2998" t="s">
        <v>1094</v>
      </c>
      <c r="F2998" t="s">
        <v>201</v>
      </c>
      <c r="G2998" t="s">
        <v>200</v>
      </c>
      <c r="H2998" t="s">
        <v>199</v>
      </c>
      <c r="I2998" t="s">
        <v>442</v>
      </c>
      <c r="J2998" t="s">
        <v>442</v>
      </c>
      <c r="K2998" s="4">
        <v>1137.2</v>
      </c>
      <c r="L2998" s="4">
        <v>1137.2</v>
      </c>
      <c r="M2998" t="s">
        <v>44</v>
      </c>
      <c r="N2998" t="s">
        <v>77</v>
      </c>
      <c r="O2998" t="s">
        <v>99</v>
      </c>
      <c r="P2998" t="s">
        <v>99</v>
      </c>
      <c r="Q2998" t="s">
        <v>202</v>
      </c>
      <c r="R2998" t="s">
        <v>203</v>
      </c>
      <c r="S2998" t="s">
        <v>161</v>
      </c>
      <c r="T2998" t="s">
        <v>162</v>
      </c>
      <c r="U2998" t="s">
        <v>163</v>
      </c>
      <c r="V2998" t="s">
        <v>164</v>
      </c>
      <c r="W2998" t="s">
        <v>116</v>
      </c>
      <c r="X2998" t="s">
        <v>44</v>
      </c>
      <c r="Y2998" t="s">
        <v>99</v>
      </c>
      <c r="Z2998" t="s">
        <v>421</v>
      </c>
      <c r="AC2998" t="str">
        <f>IF(AA2998="",M2998,AA2998)</f>
        <v>sim</v>
      </c>
      <c r="AD2998" t="str">
        <f>IF(AB2998="",X2998,AB2998)</f>
        <v>sim</v>
      </c>
      <c r="AE2998" t="str">
        <f>IF(OR(Configuracao!B9="",Configuracao!B10=""),"aguardando limiar",IF(AND(K2998&gt;=Configuracao!B9,K2998/MAX(Reconciliacao!C2,1)&gt;=Configuracao!B10/100),"sim","não"))</f>
        <v>aguardando limiar</v>
      </c>
    </row>
    <row r="2999" spans="1:31" x14ac:dyDescent="0.25">
      <c r="A2999">
        <v>7600</v>
      </c>
      <c r="C2999" t="s">
        <v>1710</v>
      </c>
      <c r="D2999" t="s">
        <v>1689</v>
      </c>
      <c r="E2999" t="s">
        <v>1094</v>
      </c>
      <c r="F2999" t="s">
        <v>201</v>
      </c>
      <c r="G2999" t="s">
        <v>200</v>
      </c>
      <c r="H2999" t="s">
        <v>199</v>
      </c>
      <c r="I2999" t="s">
        <v>439</v>
      </c>
      <c r="J2999" t="s">
        <v>439</v>
      </c>
      <c r="K2999" s="4">
        <v>1137.2</v>
      </c>
      <c r="L2999" s="4">
        <v>1137.2</v>
      </c>
      <c r="M2999" t="s">
        <v>44</v>
      </c>
      <c r="N2999" t="s">
        <v>77</v>
      </c>
      <c r="O2999" t="s">
        <v>99</v>
      </c>
      <c r="P2999" t="s">
        <v>99</v>
      </c>
      <c r="Q2999" t="s">
        <v>202</v>
      </c>
      <c r="R2999" t="s">
        <v>203</v>
      </c>
      <c r="S2999" t="s">
        <v>161</v>
      </c>
      <c r="T2999" t="s">
        <v>162</v>
      </c>
      <c r="U2999" t="s">
        <v>163</v>
      </c>
      <c r="V2999" t="s">
        <v>164</v>
      </c>
      <c r="W2999" t="s">
        <v>116</v>
      </c>
      <c r="X2999" t="s">
        <v>44</v>
      </c>
      <c r="Y2999" t="s">
        <v>99</v>
      </c>
      <c r="Z2999" t="s">
        <v>421</v>
      </c>
      <c r="AC2999" t="str">
        <f>IF(AA2999="",M2999,AA2999)</f>
        <v>sim</v>
      </c>
      <c r="AD2999" t="str">
        <f>IF(AB2999="",X2999,AB2999)</f>
        <v>sim</v>
      </c>
      <c r="AE2999" t="str">
        <f>IF(OR(Configuracao!B9="",Configuracao!B10=""),"aguardando limiar",IF(AND(K2999&gt;=Configuracao!B9,K2999/MAX(Reconciliacao!C2,1)&gt;=Configuracao!B10/100),"sim","não"))</f>
        <v>aguardando limiar</v>
      </c>
    </row>
    <row r="3000" spans="1:31" x14ac:dyDescent="0.25">
      <c r="A3000">
        <v>7594</v>
      </c>
      <c r="C3000" t="s">
        <v>1710</v>
      </c>
      <c r="D3000" t="s">
        <v>1689</v>
      </c>
      <c r="E3000" t="s">
        <v>1094</v>
      </c>
      <c r="F3000" t="s">
        <v>201</v>
      </c>
      <c r="G3000" t="s">
        <v>200</v>
      </c>
      <c r="H3000" t="s">
        <v>199</v>
      </c>
      <c r="I3000" t="s">
        <v>32</v>
      </c>
      <c r="J3000" t="s">
        <v>32</v>
      </c>
      <c r="K3000" s="4">
        <v>1155.39</v>
      </c>
      <c r="L3000" s="4">
        <v>1155.39</v>
      </c>
      <c r="M3000" t="s">
        <v>44</v>
      </c>
      <c r="N3000" t="s">
        <v>77</v>
      </c>
      <c r="O3000" t="s">
        <v>99</v>
      </c>
      <c r="P3000" t="s">
        <v>99</v>
      </c>
      <c r="Q3000" t="s">
        <v>202</v>
      </c>
      <c r="R3000" t="s">
        <v>203</v>
      </c>
      <c r="S3000" t="s">
        <v>161</v>
      </c>
      <c r="T3000" t="s">
        <v>162</v>
      </c>
      <c r="U3000" t="s">
        <v>163</v>
      </c>
      <c r="V3000" t="s">
        <v>164</v>
      </c>
      <c r="W3000" t="s">
        <v>116</v>
      </c>
      <c r="X3000" t="s">
        <v>44</v>
      </c>
      <c r="Y3000" t="s">
        <v>99</v>
      </c>
      <c r="Z3000" t="s">
        <v>421</v>
      </c>
      <c r="AC3000" t="str">
        <f>IF(AA3000="",M3000,AA3000)</f>
        <v>sim</v>
      </c>
      <c r="AD3000" t="str">
        <f>IF(AB3000="",X3000,AB3000)</f>
        <v>sim</v>
      </c>
      <c r="AE3000" t="str">
        <f>IF(OR(Configuracao!B9="",Configuracao!B10=""),"aguardando limiar",IF(AND(K3000&gt;=Configuracao!B9,K3000/MAX(Reconciliacao!C2,1)&gt;=Configuracao!B10/100),"sim","não"))</f>
        <v>aguardando limiar</v>
      </c>
    </row>
    <row r="3001" spans="1:31" x14ac:dyDescent="0.25">
      <c r="A3001">
        <v>7854</v>
      </c>
      <c r="D3001" t="s">
        <v>1711</v>
      </c>
      <c r="E3001" t="s">
        <v>445</v>
      </c>
      <c r="F3001" t="s">
        <v>201</v>
      </c>
      <c r="G3001" t="s">
        <v>200</v>
      </c>
      <c r="H3001" t="s">
        <v>199</v>
      </c>
      <c r="I3001" t="s">
        <v>32</v>
      </c>
      <c r="J3001" t="s">
        <v>32</v>
      </c>
      <c r="K3001" s="4">
        <v>1169.82</v>
      </c>
      <c r="L3001" s="4">
        <v>1169.82</v>
      </c>
      <c r="M3001" t="s">
        <v>44</v>
      </c>
      <c r="N3001" t="s">
        <v>77</v>
      </c>
      <c r="O3001" t="s">
        <v>99</v>
      </c>
      <c r="P3001" t="s">
        <v>99</v>
      </c>
      <c r="Q3001" t="s">
        <v>202</v>
      </c>
      <c r="R3001" t="s">
        <v>203</v>
      </c>
      <c r="S3001" t="s">
        <v>161</v>
      </c>
      <c r="T3001" t="s">
        <v>162</v>
      </c>
      <c r="U3001" t="s">
        <v>163</v>
      </c>
      <c r="V3001" t="s">
        <v>164</v>
      </c>
      <c r="W3001" t="s">
        <v>116</v>
      </c>
      <c r="X3001" t="s">
        <v>44</v>
      </c>
      <c r="Y3001" t="s">
        <v>99</v>
      </c>
      <c r="Z3001" t="s">
        <v>421</v>
      </c>
      <c r="AC3001" t="str">
        <f>IF(AA3001="",M3001,AA3001)</f>
        <v>sim</v>
      </c>
      <c r="AD3001" t="str">
        <f>IF(AB3001="",X3001,AB3001)</f>
        <v>sim</v>
      </c>
      <c r="AE3001" t="str">
        <f>IF(OR(Configuracao!B9="",Configuracao!B10=""),"aguardando limiar",IF(AND(K3001&gt;=Configuracao!B9,K3001/MAX(Reconciliacao!C2,1)&gt;=Configuracao!B10/100),"sim","não"))</f>
        <v>aguardando limiar</v>
      </c>
    </row>
    <row r="3002" spans="1:31" x14ac:dyDescent="0.25">
      <c r="A3002">
        <v>7855</v>
      </c>
      <c r="D3002" t="s">
        <v>1711</v>
      </c>
      <c r="E3002" t="s">
        <v>445</v>
      </c>
      <c r="F3002" t="s">
        <v>201</v>
      </c>
      <c r="G3002" t="s">
        <v>200</v>
      </c>
      <c r="H3002" t="s">
        <v>199</v>
      </c>
      <c r="I3002" t="s">
        <v>424</v>
      </c>
      <c r="J3002" t="s">
        <v>424</v>
      </c>
      <c r="K3002" s="4">
        <v>1169.82</v>
      </c>
      <c r="L3002" s="4">
        <v>1169.82</v>
      </c>
      <c r="M3002" t="s">
        <v>44</v>
      </c>
      <c r="N3002" t="s">
        <v>77</v>
      </c>
      <c r="O3002" t="s">
        <v>99</v>
      </c>
      <c r="P3002" t="s">
        <v>99</v>
      </c>
      <c r="Q3002" t="s">
        <v>202</v>
      </c>
      <c r="R3002" t="s">
        <v>203</v>
      </c>
      <c r="S3002" t="s">
        <v>161</v>
      </c>
      <c r="T3002" t="s">
        <v>162</v>
      </c>
      <c r="U3002" t="s">
        <v>163</v>
      </c>
      <c r="V3002" t="s">
        <v>164</v>
      </c>
      <c r="W3002" t="s">
        <v>116</v>
      </c>
      <c r="X3002" t="s">
        <v>44</v>
      </c>
      <c r="Y3002" t="s">
        <v>99</v>
      </c>
      <c r="Z3002" t="s">
        <v>421</v>
      </c>
      <c r="AC3002" t="str">
        <f>IF(AA3002="",M3002,AA3002)</f>
        <v>sim</v>
      </c>
      <c r="AD3002" t="str">
        <f>IF(AB3002="",X3002,AB3002)</f>
        <v>sim</v>
      </c>
      <c r="AE3002" t="str">
        <f>IF(OR(Configuracao!B9="",Configuracao!B10=""),"aguardando limiar",IF(AND(K3002&gt;=Configuracao!B9,K3002/MAX(Reconciliacao!C2,1)&gt;=Configuracao!B10/100),"sim","não"))</f>
        <v>aguardando limiar</v>
      </c>
    </row>
    <row r="3003" spans="1:31" x14ac:dyDescent="0.25">
      <c r="A3003">
        <v>7856</v>
      </c>
      <c r="D3003" t="s">
        <v>1711</v>
      </c>
      <c r="E3003" t="s">
        <v>445</v>
      </c>
      <c r="F3003" t="s">
        <v>201</v>
      </c>
      <c r="G3003" t="s">
        <v>200</v>
      </c>
      <c r="H3003" t="s">
        <v>199</v>
      </c>
      <c r="I3003" t="s">
        <v>420</v>
      </c>
      <c r="J3003" t="s">
        <v>420</v>
      </c>
      <c r="K3003" s="4">
        <v>1169.82</v>
      </c>
      <c r="L3003" s="4">
        <v>1169.82</v>
      </c>
      <c r="M3003" t="s">
        <v>44</v>
      </c>
      <c r="N3003" t="s">
        <v>77</v>
      </c>
      <c r="O3003" t="s">
        <v>99</v>
      </c>
      <c r="P3003" t="s">
        <v>99</v>
      </c>
      <c r="Q3003" t="s">
        <v>202</v>
      </c>
      <c r="R3003" t="s">
        <v>203</v>
      </c>
      <c r="S3003" t="s">
        <v>161</v>
      </c>
      <c r="T3003" t="s">
        <v>162</v>
      </c>
      <c r="U3003" t="s">
        <v>163</v>
      </c>
      <c r="V3003" t="s">
        <v>164</v>
      </c>
      <c r="W3003" t="s">
        <v>116</v>
      </c>
      <c r="X3003" t="s">
        <v>44</v>
      </c>
      <c r="Y3003" t="s">
        <v>99</v>
      </c>
      <c r="Z3003" t="s">
        <v>421</v>
      </c>
      <c r="AC3003" t="str">
        <f>IF(AA3003="",M3003,AA3003)</f>
        <v>sim</v>
      </c>
      <c r="AD3003" t="str">
        <f>IF(AB3003="",X3003,AB3003)</f>
        <v>sim</v>
      </c>
      <c r="AE3003" t="str">
        <f>IF(OR(Configuracao!B9="",Configuracao!B10=""),"aguardando limiar",IF(AND(K3003&gt;=Configuracao!B9,K3003/MAX(Reconciliacao!C2,1)&gt;=Configuracao!B10/100),"sim","não"))</f>
        <v>aguardando limiar</v>
      </c>
    </row>
    <row r="3004" spans="1:31" x14ac:dyDescent="0.25">
      <c r="A3004">
        <v>7857</v>
      </c>
      <c r="D3004" t="s">
        <v>1711</v>
      </c>
      <c r="E3004" t="s">
        <v>445</v>
      </c>
      <c r="F3004" t="s">
        <v>201</v>
      </c>
      <c r="G3004" t="s">
        <v>200</v>
      </c>
      <c r="H3004" t="s">
        <v>199</v>
      </c>
      <c r="I3004" t="s">
        <v>454</v>
      </c>
      <c r="J3004" t="s">
        <v>454</v>
      </c>
      <c r="K3004" s="4">
        <v>1169.82</v>
      </c>
      <c r="L3004" s="4">
        <v>1169.82</v>
      </c>
      <c r="M3004" t="s">
        <v>44</v>
      </c>
      <c r="N3004" t="s">
        <v>77</v>
      </c>
      <c r="O3004" t="s">
        <v>99</v>
      </c>
      <c r="P3004" t="s">
        <v>99</v>
      </c>
      <c r="Q3004" t="s">
        <v>202</v>
      </c>
      <c r="R3004" t="s">
        <v>203</v>
      </c>
      <c r="S3004" t="s">
        <v>161</v>
      </c>
      <c r="T3004" t="s">
        <v>162</v>
      </c>
      <c r="U3004" t="s">
        <v>163</v>
      </c>
      <c r="V3004" t="s">
        <v>164</v>
      </c>
      <c r="W3004" t="s">
        <v>116</v>
      </c>
      <c r="X3004" t="s">
        <v>44</v>
      </c>
      <c r="Y3004" t="s">
        <v>99</v>
      </c>
      <c r="Z3004" t="s">
        <v>421</v>
      </c>
      <c r="AC3004" t="str">
        <f>IF(AA3004="",M3004,AA3004)</f>
        <v>sim</v>
      </c>
      <c r="AD3004" t="str">
        <f>IF(AB3004="",X3004,AB3004)</f>
        <v>sim</v>
      </c>
      <c r="AE3004" t="str">
        <f>IF(OR(Configuracao!B9="",Configuracao!B10=""),"aguardando limiar",IF(AND(K3004&gt;=Configuracao!B9,K3004/MAX(Reconciliacao!C2,1)&gt;=Configuracao!B10/100),"sim","não"))</f>
        <v>aguardando limiar</v>
      </c>
    </row>
    <row r="3005" spans="1:31" x14ac:dyDescent="0.25">
      <c r="A3005">
        <v>7858</v>
      </c>
      <c r="D3005" t="s">
        <v>1711</v>
      </c>
      <c r="E3005" t="s">
        <v>445</v>
      </c>
      <c r="F3005" t="s">
        <v>201</v>
      </c>
      <c r="G3005" t="s">
        <v>200</v>
      </c>
      <c r="H3005" t="s">
        <v>199</v>
      </c>
      <c r="I3005" t="s">
        <v>461</v>
      </c>
      <c r="J3005" t="s">
        <v>461</v>
      </c>
      <c r="K3005" s="4">
        <v>1169.82</v>
      </c>
      <c r="L3005" s="4">
        <v>1169.82</v>
      </c>
      <c r="M3005" t="s">
        <v>44</v>
      </c>
      <c r="N3005" t="s">
        <v>77</v>
      </c>
      <c r="O3005" t="s">
        <v>99</v>
      </c>
      <c r="P3005" t="s">
        <v>99</v>
      </c>
      <c r="Q3005" t="s">
        <v>202</v>
      </c>
      <c r="R3005" t="s">
        <v>203</v>
      </c>
      <c r="S3005" t="s">
        <v>161</v>
      </c>
      <c r="T3005" t="s">
        <v>162</v>
      </c>
      <c r="U3005" t="s">
        <v>163</v>
      </c>
      <c r="V3005" t="s">
        <v>164</v>
      </c>
      <c r="W3005" t="s">
        <v>116</v>
      </c>
      <c r="X3005" t="s">
        <v>44</v>
      </c>
      <c r="Y3005" t="s">
        <v>99</v>
      </c>
      <c r="Z3005" t="s">
        <v>421</v>
      </c>
      <c r="AC3005" t="str">
        <f>IF(AA3005="",M3005,AA3005)</f>
        <v>sim</v>
      </c>
      <c r="AD3005" t="str">
        <f>IF(AB3005="",X3005,AB3005)</f>
        <v>sim</v>
      </c>
      <c r="AE3005" t="str">
        <f>IF(OR(Configuracao!B9="",Configuracao!B10=""),"aguardando limiar",IF(AND(K3005&gt;=Configuracao!B9,K3005/MAX(Reconciliacao!C2,1)&gt;=Configuracao!B10/100),"sim","não"))</f>
        <v>aguardando limiar</v>
      </c>
    </row>
    <row r="3006" spans="1:31" x14ac:dyDescent="0.25">
      <c r="A3006">
        <v>7859</v>
      </c>
      <c r="D3006" t="s">
        <v>1711</v>
      </c>
      <c r="E3006" t="s">
        <v>445</v>
      </c>
      <c r="F3006" t="s">
        <v>201</v>
      </c>
      <c r="G3006" t="s">
        <v>200</v>
      </c>
      <c r="H3006" t="s">
        <v>199</v>
      </c>
      <c r="I3006" t="s">
        <v>442</v>
      </c>
      <c r="J3006" t="s">
        <v>442</v>
      </c>
      <c r="K3006" s="4">
        <v>1182.86</v>
      </c>
      <c r="L3006" s="4">
        <v>1182.86</v>
      </c>
      <c r="M3006" t="s">
        <v>44</v>
      </c>
      <c r="N3006" t="s">
        <v>77</v>
      </c>
      <c r="O3006" t="s">
        <v>99</v>
      </c>
      <c r="P3006" t="s">
        <v>99</v>
      </c>
      <c r="Q3006" t="s">
        <v>202</v>
      </c>
      <c r="R3006" t="s">
        <v>203</v>
      </c>
      <c r="S3006" t="s">
        <v>161</v>
      </c>
      <c r="T3006" t="s">
        <v>162</v>
      </c>
      <c r="U3006" t="s">
        <v>163</v>
      </c>
      <c r="V3006" t="s">
        <v>164</v>
      </c>
      <c r="W3006" t="s">
        <v>116</v>
      </c>
      <c r="X3006" t="s">
        <v>44</v>
      </c>
      <c r="Y3006" t="s">
        <v>99</v>
      </c>
      <c r="Z3006" t="s">
        <v>421</v>
      </c>
      <c r="AC3006" t="str">
        <f>IF(AA3006="",M3006,AA3006)</f>
        <v>sim</v>
      </c>
      <c r="AD3006" t="str">
        <f>IF(AB3006="",X3006,AB3006)</f>
        <v>sim</v>
      </c>
      <c r="AE3006" t="str">
        <f>IF(OR(Configuracao!B9="",Configuracao!B10=""),"aguardando limiar",IF(AND(K3006&gt;=Configuracao!B9,K3006/MAX(Reconciliacao!C2,1)&gt;=Configuracao!B10/100),"sim","não"))</f>
        <v>aguardando limiar</v>
      </c>
    </row>
    <row r="3007" spans="1:31" x14ac:dyDescent="0.25">
      <c r="A3007">
        <v>7860</v>
      </c>
      <c r="D3007" t="s">
        <v>1711</v>
      </c>
      <c r="E3007" t="s">
        <v>445</v>
      </c>
      <c r="F3007" t="s">
        <v>201</v>
      </c>
      <c r="G3007" t="s">
        <v>200</v>
      </c>
      <c r="H3007" t="s">
        <v>199</v>
      </c>
      <c r="I3007" t="s">
        <v>439</v>
      </c>
      <c r="J3007" t="s">
        <v>439</v>
      </c>
      <c r="K3007" s="4">
        <v>1182.86</v>
      </c>
      <c r="L3007" s="4">
        <v>1182.86</v>
      </c>
      <c r="M3007" t="s">
        <v>44</v>
      </c>
      <c r="N3007" t="s">
        <v>77</v>
      </c>
      <c r="O3007" t="s">
        <v>99</v>
      </c>
      <c r="P3007" t="s">
        <v>99</v>
      </c>
      <c r="Q3007" t="s">
        <v>202</v>
      </c>
      <c r="R3007" t="s">
        <v>203</v>
      </c>
      <c r="S3007" t="s">
        <v>161</v>
      </c>
      <c r="T3007" t="s">
        <v>162</v>
      </c>
      <c r="U3007" t="s">
        <v>163</v>
      </c>
      <c r="V3007" t="s">
        <v>164</v>
      </c>
      <c r="W3007" t="s">
        <v>116</v>
      </c>
      <c r="X3007" t="s">
        <v>44</v>
      </c>
      <c r="Y3007" t="s">
        <v>99</v>
      </c>
      <c r="Z3007" t="s">
        <v>421</v>
      </c>
      <c r="AC3007" t="str">
        <f>IF(AA3007="",M3007,AA3007)</f>
        <v>sim</v>
      </c>
      <c r="AD3007" t="str">
        <f>IF(AB3007="",X3007,AB3007)</f>
        <v>sim</v>
      </c>
      <c r="AE3007" t="str">
        <f>IF(OR(Configuracao!B9="",Configuracao!B10=""),"aguardando limiar",IF(AND(K3007&gt;=Configuracao!B9,K3007/MAX(Reconciliacao!C2,1)&gt;=Configuracao!B10/100),"sim","não"))</f>
        <v>aguardando limiar</v>
      </c>
    </row>
    <row r="3008" spans="1:31" x14ac:dyDescent="0.25">
      <c r="A3008">
        <v>7861</v>
      </c>
      <c r="D3008" t="s">
        <v>1711</v>
      </c>
      <c r="E3008" t="s">
        <v>445</v>
      </c>
      <c r="F3008" t="s">
        <v>201</v>
      </c>
      <c r="G3008" t="s">
        <v>200</v>
      </c>
      <c r="H3008" t="s">
        <v>199</v>
      </c>
      <c r="I3008" t="s">
        <v>35</v>
      </c>
      <c r="J3008" t="s">
        <v>35</v>
      </c>
      <c r="K3008" s="4">
        <v>1182.86</v>
      </c>
      <c r="L3008" s="4">
        <v>1182.86</v>
      </c>
      <c r="M3008" t="s">
        <v>44</v>
      </c>
      <c r="N3008" t="s">
        <v>77</v>
      </c>
      <c r="O3008" t="s">
        <v>99</v>
      </c>
      <c r="P3008" t="s">
        <v>99</v>
      </c>
      <c r="Q3008" t="s">
        <v>202</v>
      </c>
      <c r="R3008" t="s">
        <v>203</v>
      </c>
      <c r="S3008" t="s">
        <v>161</v>
      </c>
      <c r="T3008" t="s">
        <v>162</v>
      </c>
      <c r="U3008" t="s">
        <v>163</v>
      </c>
      <c r="V3008" t="s">
        <v>164</v>
      </c>
      <c r="W3008" t="s">
        <v>116</v>
      </c>
      <c r="X3008" t="s">
        <v>44</v>
      </c>
      <c r="Y3008" t="s">
        <v>99</v>
      </c>
      <c r="Z3008" t="s">
        <v>421</v>
      </c>
      <c r="AC3008" t="str">
        <f>IF(AA3008="",M3008,AA3008)</f>
        <v>sim</v>
      </c>
      <c r="AD3008" t="str">
        <f>IF(AB3008="",X3008,AB3008)</f>
        <v>sim</v>
      </c>
      <c r="AE3008" t="str">
        <f>IF(OR(Configuracao!B9="",Configuracao!B10=""),"aguardando limiar",IF(AND(K3008&gt;=Configuracao!B9,K3008/MAX(Reconciliacao!C2,1)&gt;=Configuracao!B10/100),"sim","não"))</f>
        <v>aguardando limiar</v>
      </c>
    </row>
    <row r="3009" spans="1:31" x14ac:dyDescent="0.25">
      <c r="A3009">
        <v>7601</v>
      </c>
      <c r="C3009" t="s">
        <v>1710</v>
      </c>
      <c r="D3009" t="s">
        <v>1689</v>
      </c>
      <c r="E3009" t="s">
        <v>1094</v>
      </c>
      <c r="F3009" t="s">
        <v>201</v>
      </c>
      <c r="G3009" t="s">
        <v>200</v>
      </c>
      <c r="H3009" t="s">
        <v>199</v>
      </c>
      <c r="I3009" t="s">
        <v>35</v>
      </c>
      <c r="J3009" t="s">
        <v>35</v>
      </c>
      <c r="K3009" s="4">
        <v>1189.98</v>
      </c>
      <c r="L3009" s="4">
        <v>1189.98</v>
      </c>
      <c r="M3009" t="s">
        <v>44</v>
      </c>
      <c r="N3009" t="s">
        <v>77</v>
      </c>
      <c r="O3009" t="s">
        <v>99</v>
      </c>
      <c r="P3009" t="s">
        <v>99</v>
      </c>
      <c r="Q3009" t="s">
        <v>202</v>
      </c>
      <c r="R3009" t="s">
        <v>203</v>
      </c>
      <c r="S3009" t="s">
        <v>161</v>
      </c>
      <c r="T3009" t="s">
        <v>162</v>
      </c>
      <c r="U3009" t="s">
        <v>163</v>
      </c>
      <c r="V3009" t="s">
        <v>164</v>
      </c>
      <c r="W3009" t="s">
        <v>116</v>
      </c>
      <c r="X3009" t="s">
        <v>44</v>
      </c>
      <c r="Y3009" t="s">
        <v>99</v>
      </c>
      <c r="Z3009" t="s">
        <v>421</v>
      </c>
      <c r="AC3009" t="str">
        <f>IF(AA3009="",M3009,AA3009)</f>
        <v>sim</v>
      </c>
      <c r="AD3009" t="str">
        <f>IF(AB3009="",X3009,AB3009)</f>
        <v>sim</v>
      </c>
      <c r="AE3009" t="str">
        <f>IF(OR(Configuracao!B9="",Configuracao!B10=""),"aguardando limiar",IF(AND(K3009&gt;=Configuracao!B9,K3009/MAX(Reconciliacao!C2,1)&gt;=Configuracao!B10/100),"sim","não"))</f>
        <v>aguardando limiar</v>
      </c>
    </row>
    <row r="3010" spans="1:31" x14ac:dyDescent="0.25">
      <c r="A3010">
        <v>16637</v>
      </c>
      <c r="C3010" t="s">
        <v>1712</v>
      </c>
      <c r="D3010" t="s">
        <v>1687</v>
      </c>
      <c r="E3010" t="s">
        <v>1094</v>
      </c>
      <c r="F3010" t="s">
        <v>201</v>
      </c>
      <c r="G3010" t="s">
        <v>200</v>
      </c>
      <c r="H3010" t="s">
        <v>199</v>
      </c>
      <c r="I3010" t="s">
        <v>461</v>
      </c>
      <c r="J3010" t="s">
        <v>461</v>
      </c>
      <c r="K3010" s="4">
        <v>1281</v>
      </c>
      <c r="L3010" s="4">
        <v>1281</v>
      </c>
      <c r="M3010" t="s">
        <v>44</v>
      </c>
      <c r="N3010" t="s">
        <v>77</v>
      </c>
      <c r="O3010" t="s">
        <v>99</v>
      </c>
      <c r="P3010" t="s">
        <v>99</v>
      </c>
      <c r="Q3010" t="s">
        <v>202</v>
      </c>
      <c r="R3010" t="s">
        <v>203</v>
      </c>
      <c r="S3010" t="s">
        <v>161</v>
      </c>
      <c r="T3010" t="s">
        <v>162</v>
      </c>
      <c r="U3010" t="s">
        <v>163</v>
      </c>
      <c r="V3010" t="s">
        <v>164</v>
      </c>
      <c r="W3010" t="s">
        <v>116</v>
      </c>
      <c r="X3010" t="s">
        <v>44</v>
      </c>
      <c r="Y3010" t="s">
        <v>99</v>
      </c>
      <c r="Z3010" t="s">
        <v>421</v>
      </c>
      <c r="AC3010" t="str">
        <f>IF(AA3010="",M3010,AA3010)</f>
        <v>sim</v>
      </c>
      <c r="AD3010" t="str">
        <f>IF(AB3010="",X3010,AB3010)</f>
        <v>sim</v>
      </c>
      <c r="AE3010" t="str">
        <f>IF(OR(Configuracao!B9="",Configuracao!B10=""),"aguardando limiar",IF(AND(K3010&gt;=Configuracao!B9,K3010/MAX(Reconciliacao!C2,1)&gt;=Configuracao!B10/100),"sim","não"))</f>
        <v>aguardando limiar</v>
      </c>
    </row>
    <row r="3011" spans="1:31" x14ac:dyDescent="0.25">
      <c r="A3011">
        <v>17600</v>
      </c>
      <c r="C3011" t="s">
        <v>1713</v>
      </c>
      <c r="D3011" t="s">
        <v>1704</v>
      </c>
      <c r="E3011" t="s">
        <v>1094</v>
      </c>
      <c r="F3011" t="s">
        <v>201</v>
      </c>
      <c r="G3011" t="s">
        <v>200</v>
      </c>
      <c r="H3011" t="s">
        <v>199</v>
      </c>
      <c r="I3011" t="s">
        <v>442</v>
      </c>
      <c r="J3011" t="s">
        <v>442</v>
      </c>
      <c r="K3011" s="4">
        <v>1298.22</v>
      </c>
      <c r="L3011" s="4">
        <v>1298.22</v>
      </c>
      <c r="M3011" t="s">
        <v>44</v>
      </c>
      <c r="N3011" t="s">
        <v>77</v>
      </c>
      <c r="O3011" t="s">
        <v>99</v>
      </c>
      <c r="P3011" t="s">
        <v>99</v>
      </c>
      <c r="Q3011" t="s">
        <v>202</v>
      </c>
      <c r="R3011" t="s">
        <v>203</v>
      </c>
      <c r="S3011" t="s">
        <v>161</v>
      </c>
      <c r="T3011" t="s">
        <v>162</v>
      </c>
      <c r="U3011" t="s">
        <v>163</v>
      </c>
      <c r="V3011" t="s">
        <v>164</v>
      </c>
      <c r="W3011" t="s">
        <v>116</v>
      </c>
      <c r="X3011" t="s">
        <v>44</v>
      </c>
      <c r="Y3011" t="s">
        <v>99</v>
      </c>
      <c r="Z3011" t="s">
        <v>421</v>
      </c>
      <c r="AC3011" t="str">
        <f>IF(AA3011="",M3011,AA3011)</f>
        <v>sim</v>
      </c>
      <c r="AD3011" t="str">
        <f>IF(AB3011="",X3011,AB3011)</f>
        <v>sim</v>
      </c>
      <c r="AE3011" t="str">
        <f>IF(OR(Configuracao!B9="",Configuracao!B10=""),"aguardando limiar",IF(AND(K3011&gt;=Configuracao!B9,K3011/MAX(Reconciliacao!C2,1)&gt;=Configuracao!B10/100),"sim","não"))</f>
        <v>aguardando limiar</v>
      </c>
    </row>
    <row r="3012" spans="1:31" x14ac:dyDescent="0.25">
      <c r="A3012">
        <v>16807</v>
      </c>
      <c r="C3012" t="s">
        <v>1714</v>
      </c>
      <c r="D3012" t="s">
        <v>1704</v>
      </c>
      <c r="E3012" t="s">
        <v>1094</v>
      </c>
      <c r="F3012" t="s">
        <v>201</v>
      </c>
      <c r="G3012" t="s">
        <v>200</v>
      </c>
      <c r="H3012" t="s">
        <v>199</v>
      </c>
      <c r="I3012" t="s">
        <v>442</v>
      </c>
      <c r="J3012" t="s">
        <v>442</v>
      </c>
      <c r="K3012" s="4">
        <v>1339.8</v>
      </c>
      <c r="L3012" s="4">
        <v>1339.8</v>
      </c>
      <c r="M3012" t="s">
        <v>44</v>
      </c>
      <c r="N3012" t="s">
        <v>77</v>
      </c>
      <c r="O3012" t="s">
        <v>99</v>
      </c>
      <c r="P3012" t="s">
        <v>99</v>
      </c>
      <c r="Q3012" t="s">
        <v>202</v>
      </c>
      <c r="R3012" t="s">
        <v>203</v>
      </c>
      <c r="S3012" t="s">
        <v>161</v>
      </c>
      <c r="T3012" t="s">
        <v>162</v>
      </c>
      <c r="U3012" t="s">
        <v>163</v>
      </c>
      <c r="V3012" t="s">
        <v>164</v>
      </c>
      <c r="W3012" t="s">
        <v>116</v>
      </c>
      <c r="X3012" t="s">
        <v>44</v>
      </c>
      <c r="Y3012" t="s">
        <v>99</v>
      </c>
      <c r="Z3012" t="s">
        <v>421</v>
      </c>
      <c r="AC3012" t="str">
        <f>IF(AA3012="",M3012,AA3012)</f>
        <v>sim</v>
      </c>
      <c r="AD3012" t="str">
        <f>IF(AB3012="",X3012,AB3012)</f>
        <v>sim</v>
      </c>
      <c r="AE3012" t="str">
        <f>IF(OR(Configuracao!B9="",Configuracao!B10=""),"aguardando limiar",IF(AND(K3012&gt;=Configuracao!B9,K3012/MAX(Reconciliacao!C2,1)&gt;=Configuracao!B10/100),"sim","não"))</f>
        <v>aguardando limiar</v>
      </c>
    </row>
    <row r="3013" spans="1:31" x14ac:dyDescent="0.25">
      <c r="A3013">
        <v>7068</v>
      </c>
      <c r="C3013" t="s">
        <v>1715</v>
      </c>
      <c r="D3013" t="s">
        <v>736</v>
      </c>
      <c r="E3013" t="s">
        <v>1094</v>
      </c>
      <c r="F3013" t="s">
        <v>201</v>
      </c>
      <c r="G3013" t="s">
        <v>200</v>
      </c>
      <c r="H3013" t="s">
        <v>199</v>
      </c>
      <c r="I3013" t="s">
        <v>32</v>
      </c>
      <c r="J3013" t="s">
        <v>32</v>
      </c>
      <c r="K3013" s="4">
        <v>4277.22</v>
      </c>
      <c r="L3013" s="4">
        <v>4277.22</v>
      </c>
      <c r="M3013" t="s">
        <v>44</v>
      </c>
      <c r="N3013" t="s">
        <v>77</v>
      </c>
      <c r="O3013" t="s">
        <v>99</v>
      </c>
      <c r="P3013" t="s">
        <v>99</v>
      </c>
      <c r="Q3013" t="s">
        <v>202</v>
      </c>
      <c r="R3013" t="s">
        <v>203</v>
      </c>
      <c r="S3013" t="s">
        <v>161</v>
      </c>
      <c r="T3013" t="s">
        <v>162</v>
      </c>
      <c r="U3013" t="s">
        <v>163</v>
      </c>
      <c r="V3013" t="s">
        <v>164</v>
      </c>
      <c r="W3013" t="s">
        <v>116</v>
      </c>
      <c r="X3013" t="s">
        <v>166</v>
      </c>
      <c r="Y3013" t="s">
        <v>1716</v>
      </c>
      <c r="Z3013" t="s">
        <v>434</v>
      </c>
      <c r="AC3013" t="str">
        <f>IF(AA3013="",M3013,AA3013)</f>
        <v>sim</v>
      </c>
      <c r="AD3013" t="str">
        <f>IF(AB3013="",X3013,AB3013)</f>
        <v>não</v>
      </c>
      <c r="AE3013" t="str">
        <f>IF(OR(Configuracao!B9="",Configuracao!B10=""),"aguardando limiar",IF(AND(K3013&gt;=Configuracao!B9,K3013/MAX(Reconciliacao!C2,1)&gt;=Configuracao!B10/100),"sim","não"))</f>
        <v>aguardando limiar</v>
      </c>
    </row>
    <row r="3014" spans="1:31" x14ac:dyDescent="0.25">
      <c r="A3014">
        <v>7069</v>
      </c>
      <c r="C3014" t="s">
        <v>1715</v>
      </c>
      <c r="D3014" t="s">
        <v>736</v>
      </c>
      <c r="E3014" t="s">
        <v>1094</v>
      </c>
      <c r="F3014" t="s">
        <v>201</v>
      </c>
      <c r="G3014" t="s">
        <v>200</v>
      </c>
      <c r="H3014" t="s">
        <v>199</v>
      </c>
      <c r="I3014" t="s">
        <v>424</v>
      </c>
      <c r="J3014" t="s">
        <v>424</v>
      </c>
      <c r="K3014" s="4">
        <v>4277.22</v>
      </c>
      <c r="L3014" s="4">
        <v>4277.22</v>
      </c>
      <c r="M3014" t="s">
        <v>44</v>
      </c>
      <c r="N3014" t="s">
        <v>77</v>
      </c>
      <c r="O3014" t="s">
        <v>99</v>
      </c>
      <c r="P3014" t="s">
        <v>99</v>
      </c>
      <c r="Q3014" t="s">
        <v>202</v>
      </c>
      <c r="R3014" t="s">
        <v>203</v>
      </c>
      <c r="S3014" t="s">
        <v>161</v>
      </c>
      <c r="T3014" t="s">
        <v>162</v>
      </c>
      <c r="U3014" t="s">
        <v>163</v>
      </c>
      <c r="V3014" t="s">
        <v>164</v>
      </c>
      <c r="W3014" t="s">
        <v>116</v>
      </c>
      <c r="X3014" t="s">
        <v>166</v>
      </c>
      <c r="Y3014" t="s">
        <v>1716</v>
      </c>
      <c r="Z3014" t="s">
        <v>434</v>
      </c>
      <c r="AC3014" t="str">
        <f>IF(AA3014="",M3014,AA3014)</f>
        <v>sim</v>
      </c>
      <c r="AD3014" t="str">
        <f>IF(AB3014="",X3014,AB3014)</f>
        <v>não</v>
      </c>
      <c r="AE3014" t="str">
        <f>IF(OR(Configuracao!B9="",Configuracao!B10=""),"aguardando limiar",IF(AND(K3014&gt;=Configuracao!B9,K3014/MAX(Reconciliacao!C2,1)&gt;=Configuracao!B10/100),"sim","não"))</f>
        <v>aguardando limiar</v>
      </c>
    </row>
    <row r="3015" spans="1:31" x14ac:dyDescent="0.25">
      <c r="A3015">
        <v>7070</v>
      </c>
      <c r="C3015" t="s">
        <v>1715</v>
      </c>
      <c r="D3015" t="s">
        <v>736</v>
      </c>
      <c r="E3015" t="s">
        <v>1094</v>
      </c>
      <c r="F3015" t="s">
        <v>201</v>
      </c>
      <c r="G3015" t="s">
        <v>200</v>
      </c>
      <c r="H3015" t="s">
        <v>199</v>
      </c>
      <c r="I3015" t="s">
        <v>420</v>
      </c>
      <c r="J3015" t="s">
        <v>420</v>
      </c>
      <c r="K3015" s="4">
        <v>4277.22</v>
      </c>
      <c r="L3015" s="4">
        <v>4277.22</v>
      </c>
      <c r="M3015" t="s">
        <v>44</v>
      </c>
      <c r="N3015" t="s">
        <v>77</v>
      </c>
      <c r="O3015" t="s">
        <v>99</v>
      </c>
      <c r="P3015" t="s">
        <v>99</v>
      </c>
      <c r="Q3015" t="s">
        <v>202</v>
      </c>
      <c r="R3015" t="s">
        <v>203</v>
      </c>
      <c r="S3015" t="s">
        <v>161</v>
      </c>
      <c r="T3015" t="s">
        <v>162</v>
      </c>
      <c r="U3015" t="s">
        <v>163</v>
      </c>
      <c r="V3015" t="s">
        <v>164</v>
      </c>
      <c r="W3015" t="s">
        <v>116</v>
      </c>
      <c r="X3015" t="s">
        <v>166</v>
      </c>
      <c r="Y3015" t="s">
        <v>1716</v>
      </c>
      <c r="Z3015" t="s">
        <v>434</v>
      </c>
      <c r="AC3015" t="str">
        <f>IF(AA3015="",M3015,AA3015)</f>
        <v>sim</v>
      </c>
      <c r="AD3015" t="str">
        <f>IF(AB3015="",X3015,AB3015)</f>
        <v>não</v>
      </c>
      <c r="AE3015" t="str">
        <f>IF(OR(Configuracao!B9="",Configuracao!B10=""),"aguardando limiar",IF(AND(K3015&gt;=Configuracao!B9,K3015/MAX(Reconciliacao!C2,1)&gt;=Configuracao!B10/100),"sim","não"))</f>
        <v>aguardando limiar</v>
      </c>
    </row>
    <row r="3016" spans="1:31" x14ac:dyDescent="0.25">
      <c r="A3016">
        <v>7071</v>
      </c>
      <c r="C3016" t="s">
        <v>1715</v>
      </c>
      <c r="D3016" t="s">
        <v>736</v>
      </c>
      <c r="E3016" t="s">
        <v>1094</v>
      </c>
      <c r="F3016" t="s">
        <v>201</v>
      </c>
      <c r="G3016" t="s">
        <v>200</v>
      </c>
      <c r="H3016" t="s">
        <v>199</v>
      </c>
      <c r="I3016" t="s">
        <v>454</v>
      </c>
      <c r="J3016" t="s">
        <v>454</v>
      </c>
      <c r="K3016" s="4">
        <v>4277.22</v>
      </c>
      <c r="L3016" s="4">
        <v>4277.22</v>
      </c>
      <c r="M3016" t="s">
        <v>44</v>
      </c>
      <c r="N3016" t="s">
        <v>77</v>
      </c>
      <c r="O3016" t="s">
        <v>99</v>
      </c>
      <c r="P3016" t="s">
        <v>99</v>
      </c>
      <c r="Q3016" t="s">
        <v>202</v>
      </c>
      <c r="R3016" t="s">
        <v>203</v>
      </c>
      <c r="S3016" t="s">
        <v>161</v>
      </c>
      <c r="T3016" t="s">
        <v>162</v>
      </c>
      <c r="U3016" t="s">
        <v>163</v>
      </c>
      <c r="V3016" t="s">
        <v>164</v>
      </c>
      <c r="W3016" t="s">
        <v>116</v>
      </c>
      <c r="X3016" t="s">
        <v>166</v>
      </c>
      <c r="Y3016" t="s">
        <v>1716</v>
      </c>
      <c r="Z3016" t="s">
        <v>434</v>
      </c>
      <c r="AC3016" t="str">
        <f>IF(AA3016="",M3016,AA3016)</f>
        <v>sim</v>
      </c>
      <c r="AD3016" t="str">
        <f>IF(AB3016="",X3016,AB3016)</f>
        <v>não</v>
      </c>
      <c r="AE3016" t="str">
        <f>IF(OR(Configuracao!B9="",Configuracao!B10=""),"aguardando limiar",IF(AND(K3016&gt;=Configuracao!B9,K3016/MAX(Reconciliacao!C2,1)&gt;=Configuracao!B10/100),"sim","não"))</f>
        <v>aguardando limiar</v>
      </c>
    </row>
    <row r="3017" spans="1:31" x14ac:dyDescent="0.25">
      <c r="A3017">
        <v>7072</v>
      </c>
      <c r="C3017" t="s">
        <v>1715</v>
      </c>
      <c r="D3017" t="s">
        <v>736</v>
      </c>
      <c r="E3017" t="s">
        <v>1094</v>
      </c>
      <c r="F3017" t="s">
        <v>201</v>
      </c>
      <c r="G3017" t="s">
        <v>200</v>
      </c>
      <c r="H3017" t="s">
        <v>199</v>
      </c>
      <c r="I3017" t="s">
        <v>461</v>
      </c>
      <c r="J3017" t="s">
        <v>461</v>
      </c>
      <c r="K3017" s="4">
        <v>4407.32</v>
      </c>
      <c r="L3017" s="4">
        <v>4407.32</v>
      </c>
      <c r="M3017" t="s">
        <v>44</v>
      </c>
      <c r="N3017" t="s">
        <v>77</v>
      </c>
      <c r="O3017" t="s">
        <v>99</v>
      </c>
      <c r="P3017" t="s">
        <v>99</v>
      </c>
      <c r="Q3017" t="s">
        <v>202</v>
      </c>
      <c r="R3017" t="s">
        <v>203</v>
      </c>
      <c r="S3017" t="s">
        <v>161</v>
      </c>
      <c r="T3017" t="s">
        <v>162</v>
      </c>
      <c r="U3017" t="s">
        <v>163</v>
      </c>
      <c r="V3017" t="s">
        <v>164</v>
      </c>
      <c r="W3017" t="s">
        <v>116</v>
      </c>
      <c r="X3017" t="s">
        <v>166</v>
      </c>
      <c r="Y3017" t="s">
        <v>1716</v>
      </c>
      <c r="Z3017" t="s">
        <v>434</v>
      </c>
      <c r="AC3017" t="str">
        <f>IF(AA3017="",M3017,AA3017)</f>
        <v>sim</v>
      </c>
      <c r="AD3017" t="str">
        <f>IF(AB3017="",X3017,AB3017)</f>
        <v>não</v>
      </c>
      <c r="AE3017" t="str">
        <f>IF(OR(Configuracao!B9="",Configuracao!B10=""),"aguardando limiar",IF(AND(K3017&gt;=Configuracao!B9,K3017/MAX(Reconciliacao!C2,1)&gt;=Configuracao!B10/100),"sim","não"))</f>
        <v>aguardando limiar</v>
      </c>
    </row>
    <row r="3018" spans="1:31" x14ac:dyDescent="0.25">
      <c r="A3018">
        <v>7073</v>
      </c>
      <c r="C3018" t="s">
        <v>1715</v>
      </c>
      <c r="D3018" t="s">
        <v>736</v>
      </c>
      <c r="E3018" t="s">
        <v>1094</v>
      </c>
      <c r="F3018" t="s">
        <v>201</v>
      </c>
      <c r="G3018" t="s">
        <v>200</v>
      </c>
      <c r="H3018" t="s">
        <v>199</v>
      </c>
      <c r="I3018" t="s">
        <v>442</v>
      </c>
      <c r="J3018" t="s">
        <v>442</v>
      </c>
      <c r="K3018" s="4">
        <v>4432.52</v>
      </c>
      <c r="L3018" s="4">
        <v>4432.52</v>
      </c>
      <c r="M3018" t="s">
        <v>44</v>
      </c>
      <c r="N3018" t="s">
        <v>77</v>
      </c>
      <c r="O3018" t="s">
        <v>99</v>
      </c>
      <c r="P3018" t="s">
        <v>99</v>
      </c>
      <c r="Q3018" t="s">
        <v>202</v>
      </c>
      <c r="R3018" t="s">
        <v>203</v>
      </c>
      <c r="S3018" t="s">
        <v>161</v>
      </c>
      <c r="T3018" t="s">
        <v>162</v>
      </c>
      <c r="U3018" t="s">
        <v>163</v>
      </c>
      <c r="V3018" t="s">
        <v>164</v>
      </c>
      <c r="W3018" t="s">
        <v>116</v>
      </c>
      <c r="X3018" t="s">
        <v>166</v>
      </c>
      <c r="Y3018" t="s">
        <v>1716</v>
      </c>
      <c r="Z3018" t="s">
        <v>434</v>
      </c>
      <c r="AC3018" t="str">
        <f>IF(AA3018="",M3018,AA3018)</f>
        <v>sim</v>
      </c>
      <c r="AD3018" t="str">
        <f>IF(AB3018="",X3018,AB3018)</f>
        <v>não</v>
      </c>
      <c r="AE3018" t="str">
        <f>IF(OR(Configuracao!B9="",Configuracao!B10=""),"aguardando limiar",IF(AND(K3018&gt;=Configuracao!B9,K3018/MAX(Reconciliacao!C2,1)&gt;=Configuracao!B10/100),"sim","não"))</f>
        <v>aguardando limiar</v>
      </c>
    </row>
    <row r="3019" spans="1:31" x14ac:dyDescent="0.25">
      <c r="A3019">
        <v>7074</v>
      </c>
      <c r="C3019" t="s">
        <v>1715</v>
      </c>
      <c r="D3019" t="s">
        <v>736</v>
      </c>
      <c r="E3019" t="s">
        <v>1094</v>
      </c>
      <c r="F3019" t="s">
        <v>201</v>
      </c>
      <c r="G3019" t="s">
        <v>200</v>
      </c>
      <c r="H3019" t="s">
        <v>199</v>
      </c>
      <c r="I3019" t="s">
        <v>439</v>
      </c>
      <c r="J3019" t="s">
        <v>439</v>
      </c>
      <c r="K3019" s="4">
        <v>4432.82</v>
      </c>
      <c r="L3019" s="4">
        <v>4432.82</v>
      </c>
      <c r="M3019" t="s">
        <v>44</v>
      </c>
      <c r="N3019" t="s">
        <v>77</v>
      </c>
      <c r="O3019" t="s">
        <v>99</v>
      </c>
      <c r="P3019" t="s">
        <v>99</v>
      </c>
      <c r="Q3019" t="s">
        <v>202</v>
      </c>
      <c r="R3019" t="s">
        <v>203</v>
      </c>
      <c r="S3019" t="s">
        <v>161</v>
      </c>
      <c r="T3019" t="s">
        <v>162</v>
      </c>
      <c r="U3019" t="s">
        <v>163</v>
      </c>
      <c r="V3019" t="s">
        <v>164</v>
      </c>
      <c r="W3019" t="s">
        <v>116</v>
      </c>
      <c r="X3019" t="s">
        <v>166</v>
      </c>
      <c r="Y3019" t="s">
        <v>1716</v>
      </c>
      <c r="Z3019" t="s">
        <v>434</v>
      </c>
      <c r="AC3019" t="str">
        <f>IF(AA3019="",M3019,AA3019)</f>
        <v>sim</v>
      </c>
      <c r="AD3019" t="str">
        <f>IF(AB3019="",X3019,AB3019)</f>
        <v>não</v>
      </c>
      <c r="AE3019" t="str">
        <f>IF(OR(Configuracao!B9="",Configuracao!B10=""),"aguardando limiar",IF(AND(K3019&gt;=Configuracao!B9,K3019/MAX(Reconciliacao!C2,1)&gt;=Configuracao!B10/100),"sim","não"))</f>
        <v>aguardando limiar</v>
      </c>
    </row>
    <row r="3020" spans="1:31" x14ac:dyDescent="0.25">
      <c r="A3020">
        <v>7075</v>
      </c>
      <c r="C3020" t="s">
        <v>1715</v>
      </c>
      <c r="D3020" t="s">
        <v>736</v>
      </c>
      <c r="E3020" t="s">
        <v>1094</v>
      </c>
      <c r="F3020" t="s">
        <v>201</v>
      </c>
      <c r="G3020" t="s">
        <v>200</v>
      </c>
      <c r="H3020" t="s">
        <v>199</v>
      </c>
      <c r="I3020" t="s">
        <v>35</v>
      </c>
      <c r="J3020" t="s">
        <v>35</v>
      </c>
      <c r="K3020" s="4">
        <v>4432.82</v>
      </c>
      <c r="L3020" s="4">
        <v>4432.82</v>
      </c>
      <c r="M3020" t="s">
        <v>44</v>
      </c>
      <c r="N3020" t="s">
        <v>77</v>
      </c>
      <c r="O3020" t="s">
        <v>99</v>
      </c>
      <c r="P3020" t="s">
        <v>99</v>
      </c>
      <c r="Q3020" t="s">
        <v>202</v>
      </c>
      <c r="R3020" t="s">
        <v>203</v>
      </c>
      <c r="S3020" t="s">
        <v>161</v>
      </c>
      <c r="T3020" t="s">
        <v>162</v>
      </c>
      <c r="U3020" t="s">
        <v>163</v>
      </c>
      <c r="V3020" t="s">
        <v>164</v>
      </c>
      <c r="W3020" t="s">
        <v>116</v>
      </c>
      <c r="X3020" t="s">
        <v>166</v>
      </c>
      <c r="Y3020" t="s">
        <v>1716</v>
      </c>
      <c r="Z3020" t="s">
        <v>434</v>
      </c>
      <c r="AC3020" t="str">
        <f>IF(AA3020="",M3020,AA3020)</f>
        <v>sim</v>
      </c>
      <c r="AD3020" t="str">
        <f>IF(AB3020="",X3020,AB3020)</f>
        <v>não</v>
      </c>
      <c r="AE3020" t="str">
        <f>IF(OR(Configuracao!B9="",Configuracao!B10=""),"aguardando limiar",IF(AND(K3020&gt;=Configuracao!B9,K3020/MAX(Reconciliacao!C2,1)&gt;=Configuracao!B10/100),"sim","não"))</f>
        <v>aguardando limiar</v>
      </c>
    </row>
    <row r="3021" spans="1:31" x14ac:dyDescent="0.25">
      <c r="A3021">
        <v>8242</v>
      </c>
      <c r="D3021" t="s">
        <v>1687</v>
      </c>
      <c r="E3021" t="s">
        <v>1094</v>
      </c>
      <c r="F3021" t="s">
        <v>201</v>
      </c>
      <c r="G3021" t="s">
        <v>200</v>
      </c>
      <c r="H3021" t="s">
        <v>199</v>
      </c>
      <c r="I3021" t="s">
        <v>424</v>
      </c>
      <c r="J3021" t="s">
        <v>424</v>
      </c>
      <c r="K3021" s="4">
        <v>8104.65</v>
      </c>
      <c r="L3021" s="4">
        <v>8104.65</v>
      </c>
      <c r="M3021" t="s">
        <v>44</v>
      </c>
      <c r="N3021" t="s">
        <v>77</v>
      </c>
      <c r="O3021" t="s">
        <v>99</v>
      </c>
      <c r="P3021" t="s">
        <v>99</v>
      </c>
      <c r="Q3021" t="s">
        <v>202</v>
      </c>
      <c r="R3021" t="s">
        <v>203</v>
      </c>
      <c r="S3021" t="s">
        <v>161</v>
      </c>
      <c r="T3021" t="s">
        <v>162</v>
      </c>
      <c r="U3021" t="s">
        <v>163</v>
      </c>
      <c r="V3021" t="s">
        <v>164</v>
      </c>
      <c r="W3021" t="s">
        <v>116</v>
      </c>
      <c r="X3021" t="s">
        <v>166</v>
      </c>
      <c r="Y3021" t="s">
        <v>1716</v>
      </c>
      <c r="Z3021" t="s">
        <v>434</v>
      </c>
      <c r="AC3021" t="str">
        <f>IF(AA3021="",M3021,AA3021)</f>
        <v>sim</v>
      </c>
      <c r="AD3021" t="str">
        <f>IF(AB3021="",X3021,AB3021)</f>
        <v>não</v>
      </c>
      <c r="AE3021" t="str">
        <f>IF(OR(Configuracao!B9="",Configuracao!B10=""),"aguardando limiar",IF(AND(K3021&gt;=Configuracao!B9,K3021/MAX(Reconciliacao!C2,1)&gt;=Configuracao!B10/100),"sim","não"))</f>
        <v>aguardando limiar</v>
      </c>
    </row>
    <row r="3022" spans="1:31" x14ac:dyDescent="0.25">
      <c r="A3022">
        <v>8245</v>
      </c>
      <c r="D3022" t="s">
        <v>1687</v>
      </c>
      <c r="E3022" t="s">
        <v>1094</v>
      </c>
      <c r="F3022" t="s">
        <v>201</v>
      </c>
      <c r="G3022" t="s">
        <v>200</v>
      </c>
      <c r="H3022" t="s">
        <v>199</v>
      </c>
      <c r="I3022" t="s">
        <v>461</v>
      </c>
      <c r="J3022" t="s">
        <v>461</v>
      </c>
      <c r="K3022" s="4">
        <v>8356.3</v>
      </c>
      <c r="L3022" s="4">
        <v>8356.3</v>
      </c>
      <c r="M3022" t="s">
        <v>44</v>
      </c>
      <c r="N3022" t="s">
        <v>77</v>
      </c>
      <c r="O3022" t="s">
        <v>99</v>
      </c>
      <c r="P3022" t="s">
        <v>99</v>
      </c>
      <c r="Q3022" t="s">
        <v>202</v>
      </c>
      <c r="R3022" t="s">
        <v>203</v>
      </c>
      <c r="S3022" t="s">
        <v>161</v>
      </c>
      <c r="T3022" t="s">
        <v>162</v>
      </c>
      <c r="U3022" t="s">
        <v>163</v>
      </c>
      <c r="V3022" t="s">
        <v>164</v>
      </c>
      <c r="W3022" t="s">
        <v>116</v>
      </c>
      <c r="X3022" t="s">
        <v>166</v>
      </c>
      <c r="Y3022" t="s">
        <v>1716</v>
      </c>
      <c r="Z3022" t="s">
        <v>434</v>
      </c>
      <c r="AC3022" t="str">
        <f>IF(AA3022="",M3022,AA3022)</f>
        <v>sim</v>
      </c>
      <c r="AD3022" t="str">
        <f>IF(AB3022="",X3022,AB3022)</f>
        <v>não</v>
      </c>
      <c r="AE3022" t="str">
        <f>IF(OR(Configuracao!B9="",Configuracao!B10=""),"aguardando limiar",IF(AND(K3022&gt;=Configuracao!B9,K3022/MAX(Reconciliacao!C2,1)&gt;=Configuracao!B10/100),"sim","não"))</f>
        <v>aguardando limiar</v>
      </c>
    </row>
    <row r="3023" spans="1:31" x14ac:dyDescent="0.25">
      <c r="A3023">
        <v>8243</v>
      </c>
      <c r="D3023" t="s">
        <v>1687</v>
      </c>
      <c r="E3023" t="s">
        <v>1094</v>
      </c>
      <c r="F3023" t="s">
        <v>201</v>
      </c>
      <c r="G3023" t="s">
        <v>200</v>
      </c>
      <c r="H3023" t="s">
        <v>199</v>
      </c>
      <c r="I3023" t="s">
        <v>420</v>
      </c>
      <c r="J3023" t="s">
        <v>420</v>
      </c>
      <c r="K3023" s="4">
        <v>8615.2</v>
      </c>
      <c r="L3023" s="4">
        <v>8615.2</v>
      </c>
      <c r="M3023" t="s">
        <v>44</v>
      </c>
      <c r="N3023" t="s">
        <v>77</v>
      </c>
      <c r="O3023" t="s">
        <v>99</v>
      </c>
      <c r="P3023" t="s">
        <v>99</v>
      </c>
      <c r="Q3023" t="s">
        <v>202</v>
      </c>
      <c r="R3023" t="s">
        <v>203</v>
      </c>
      <c r="S3023" t="s">
        <v>161</v>
      </c>
      <c r="T3023" t="s">
        <v>162</v>
      </c>
      <c r="U3023" t="s">
        <v>163</v>
      </c>
      <c r="V3023" t="s">
        <v>164</v>
      </c>
      <c r="W3023" t="s">
        <v>116</v>
      </c>
      <c r="X3023" t="s">
        <v>166</v>
      </c>
      <c r="Y3023" t="s">
        <v>1716</v>
      </c>
      <c r="Z3023" t="s">
        <v>434</v>
      </c>
      <c r="AC3023" t="str">
        <f>IF(AA3023="",M3023,AA3023)</f>
        <v>sim</v>
      </c>
      <c r="AD3023" t="str">
        <f>IF(AB3023="",X3023,AB3023)</f>
        <v>não</v>
      </c>
      <c r="AE3023" t="str">
        <f>IF(OR(Configuracao!B9="",Configuracao!B10=""),"aguardando limiar",IF(AND(K3023&gt;=Configuracao!B9,K3023/MAX(Reconciliacao!C2,1)&gt;=Configuracao!B10/100),"sim","não"))</f>
        <v>aguardando limiar</v>
      </c>
    </row>
    <row r="3024" spans="1:31" x14ac:dyDescent="0.25">
      <c r="A3024">
        <v>8244</v>
      </c>
      <c r="D3024" t="s">
        <v>1687</v>
      </c>
      <c r="E3024" t="s">
        <v>1094</v>
      </c>
      <c r="F3024" t="s">
        <v>201</v>
      </c>
      <c r="G3024" t="s">
        <v>200</v>
      </c>
      <c r="H3024" t="s">
        <v>199</v>
      </c>
      <c r="I3024" t="s">
        <v>454</v>
      </c>
      <c r="J3024" t="s">
        <v>454</v>
      </c>
      <c r="K3024" s="4">
        <v>8786.85</v>
      </c>
      <c r="L3024" s="4">
        <v>8786.85</v>
      </c>
      <c r="M3024" t="s">
        <v>44</v>
      </c>
      <c r="N3024" t="s">
        <v>77</v>
      </c>
      <c r="O3024" t="s">
        <v>99</v>
      </c>
      <c r="P3024" t="s">
        <v>99</v>
      </c>
      <c r="Q3024" t="s">
        <v>202</v>
      </c>
      <c r="R3024" t="s">
        <v>203</v>
      </c>
      <c r="S3024" t="s">
        <v>161</v>
      </c>
      <c r="T3024" t="s">
        <v>162</v>
      </c>
      <c r="U3024" t="s">
        <v>163</v>
      </c>
      <c r="V3024" t="s">
        <v>164</v>
      </c>
      <c r="W3024" t="s">
        <v>116</v>
      </c>
      <c r="X3024" t="s">
        <v>166</v>
      </c>
      <c r="Y3024" t="s">
        <v>1716</v>
      </c>
      <c r="Z3024" t="s">
        <v>434</v>
      </c>
      <c r="AC3024" t="str">
        <f>IF(AA3024="",M3024,AA3024)</f>
        <v>sim</v>
      </c>
      <c r="AD3024" t="str">
        <f>IF(AB3024="",X3024,AB3024)</f>
        <v>não</v>
      </c>
      <c r="AE3024" t="str">
        <f>IF(OR(Configuracao!B9="",Configuracao!B10=""),"aguardando limiar",IF(AND(K3024&gt;=Configuracao!B9,K3024/MAX(Reconciliacao!C2,1)&gt;=Configuracao!B10/100),"sim","não"))</f>
        <v>aguardando limiar</v>
      </c>
    </row>
    <row r="3025" spans="1:31" x14ac:dyDescent="0.25">
      <c r="A3025">
        <v>8246</v>
      </c>
      <c r="D3025" t="s">
        <v>1687</v>
      </c>
      <c r="E3025" t="s">
        <v>1094</v>
      </c>
      <c r="F3025" t="s">
        <v>201</v>
      </c>
      <c r="G3025" t="s">
        <v>200</v>
      </c>
      <c r="H3025" t="s">
        <v>199</v>
      </c>
      <c r="I3025" t="s">
        <v>442</v>
      </c>
      <c r="J3025" t="s">
        <v>442</v>
      </c>
      <c r="K3025" s="4">
        <v>9164.65</v>
      </c>
      <c r="L3025" s="4">
        <v>9164.65</v>
      </c>
      <c r="M3025" t="s">
        <v>44</v>
      </c>
      <c r="N3025" t="s">
        <v>77</v>
      </c>
      <c r="O3025" t="s">
        <v>99</v>
      </c>
      <c r="P3025" t="s">
        <v>99</v>
      </c>
      <c r="Q3025" t="s">
        <v>202</v>
      </c>
      <c r="R3025" t="s">
        <v>203</v>
      </c>
      <c r="S3025" t="s">
        <v>161</v>
      </c>
      <c r="T3025" t="s">
        <v>162</v>
      </c>
      <c r="U3025" t="s">
        <v>163</v>
      </c>
      <c r="V3025" t="s">
        <v>164</v>
      </c>
      <c r="W3025" t="s">
        <v>116</v>
      </c>
      <c r="X3025" t="s">
        <v>166</v>
      </c>
      <c r="Y3025" t="s">
        <v>1716</v>
      </c>
      <c r="Z3025" t="s">
        <v>434</v>
      </c>
      <c r="AC3025" t="str">
        <f>IF(AA3025="",M3025,AA3025)</f>
        <v>sim</v>
      </c>
      <c r="AD3025" t="str">
        <f>IF(AB3025="",X3025,AB3025)</f>
        <v>não</v>
      </c>
      <c r="AE3025" t="str">
        <f>IF(OR(Configuracao!B9="",Configuracao!B10=""),"aguardando limiar",IF(AND(K3025&gt;=Configuracao!B9,K3025/MAX(Reconciliacao!C2,1)&gt;=Configuracao!B10/100),"sim","não"))</f>
        <v>aguardando limiar</v>
      </c>
    </row>
    <row r="3026" spans="1:31" x14ac:dyDescent="0.25">
      <c r="A3026">
        <v>8247</v>
      </c>
      <c r="D3026" t="s">
        <v>1687</v>
      </c>
      <c r="E3026" t="s">
        <v>1094</v>
      </c>
      <c r="F3026" t="s">
        <v>201</v>
      </c>
      <c r="G3026" t="s">
        <v>200</v>
      </c>
      <c r="H3026" t="s">
        <v>199</v>
      </c>
      <c r="I3026" t="s">
        <v>439</v>
      </c>
      <c r="J3026" t="s">
        <v>439</v>
      </c>
      <c r="K3026" s="4">
        <v>9445.75</v>
      </c>
      <c r="L3026" s="4">
        <v>9445.75</v>
      </c>
      <c r="M3026" t="s">
        <v>44</v>
      </c>
      <c r="N3026" t="s">
        <v>77</v>
      </c>
      <c r="O3026" t="s">
        <v>99</v>
      </c>
      <c r="P3026" t="s">
        <v>99</v>
      </c>
      <c r="Q3026" t="s">
        <v>202</v>
      </c>
      <c r="R3026" t="s">
        <v>203</v>
      </c>
      <c r="S3026" t="s">
        <v>161</v>
      </c>
      <c r="T3026" t="s">
        <v>162</v>
      </c>
      <c r="U3026" t="s">
        <v>163</v>
      </c>
      <c r="V3026" t="s">
        <v>164</v>
      </c>
      <c r="W3026" t="s">
        <v>116</v>
      </c>
      <c r="X3026" t="s">
        <v>166</v>
      </c>
      <c r="Y3026" t="s">
        <v>1716</v>
      </c>
      <c r="Z3026" t="s">
        <v>434</v>
      </c>
      <c r="AC3026" t="str">
        <f>IF(AA3026="",M3026,AA3026)</f>
        <v>sim</v>
      </c>
      <c r="AD3026" t="str">
        <f>IF(AB3026="",X3026,AB3026)</f>
        <v>não</v>
      </c>
      <c r="AE3026" t="str">
        <f>IF(OR(Configuracao!B9="",Configuracao!B10=""),"aguardando limiar",IF(AND(K3026&gt;=Configuracao!B9,K3026/MAX(Reconciliacao!C2,1)&gt;=Configuracao!B10/100),"sim","não"))</f>
        <v>aguardando limiar</v>
      </c>
    </row>
    <row r="3027" spans="1:31" x14ac:dyDescent="0.25">
      <c r="A3027">
        <v>8248</v>
      </c>
      <c r="D3027" t="s">
        <v>1687</v>
      </c>
      <c r="E3027" t="s">
        <v>1094</v>
      </c>
      <c r="F3027" t="s">
        <v>201</v>
      </c>
      <c r="G3027" t="s">
        <v>200</v>
      </c>
      <c r="H3027" t="s">
        <v>199</v>
      </c>
      <c r="I3027" t="s">
        <v>35</v>
      </c>
      <c r="J3027" t="s">
        <v>35</v>
      </c>
      <c r="K3027" s="4">
        <v>9455.2</v>
      </c>
      <c r="L3027" s="4">
        <v>9455.2</v>
      </c>
      <c r="M3027" t="s">
        <v>44</v>
      </c>
      <c r="N3027" t="s">
        <v>77</v>
      </c>
      <c r="O3027" t="s">
        <v>99</v>
      </c>
      <c r="P3027" t="s">
        <v>99</v>
      </c>
      <c r="Q3027" t="s">
        <v>202</v>
      </c>
      <c r="R3027" t="s">
        <v>203</v>
      </c>
      <c r="S3027" t="s">
        <v>161</v>
      </c>
      <c r="T3027" t="s">
        <v>162</v>
      </c>
      <c r="U3027" t="s">
        <v>163</v>
      </c>
      <c r="V3027" t="s">
        <v>164</v>
      </c>
      <c r="W3027" t="s">
        <v>116</v>
      </c>
      <c r="X3027" t="s">
        <v>166</v>
      </c>
      <c r="Y3027" t="s">
        <v>1716</v>
      </c>
      <c r="Z3027" t="s">
        <v>434</v>
      </c>
      <c r="AC3027" t="str">
        <f>IF(AA3027="",M3027,AA3027)</f>
        <v>sim</v>
      </c>
      <c r="AD3027" t="str">
        <f>IF(AB3027="",X3027,AB3027)</f>
        <v>não</v>
      </c>
      <c r="AE3027" t="str">
        <f>IF(OR(Configuracao!B9="",Configuracao!B10=""),"aguardando limiar",IF(AND(K3027&gt;=Configuracao!B9,K3027/MAX(Reconciliacao!C2,1)&gt;=Configuracao!B10/100),"sim","não"))</f>
        <v>aguardando limiar</v>
      </c>
    </row>
    <row r="3028" spans="1:31" x14ac:dyDescent="0.25">
      <c r="A3028">
        <v>8241</v>
      </c>
      <c r="D3028" t="s">
        <v>1687</v>
      </c>
      <c r="E3028" t="s">
        <v>1094</v>
      </c>
      <c r="F3028" t="s">
        <v>201</v>
      </c>
      <c r="G3028" t="s">
        <v>200</v>
      </c>
      <c r="H3028" t="s">
        <v>199</v>
      </c>
      <c r="I3028" t="s">
        <v>32</v>
      </c>
      <c r="J3028" t="s">
        <v>32</v>
      </c>
      <c r="K3028" s="4">
        <v>10273</v>
      </c>
      <c r="L3028" s="4">
        <v>10273</v>
      </c>
      <c r="M3028" t="s">
        <v>44</v>
      </c>
      <c r="N3028" t="s">
        <v>77</v>
      </c>
      <c r="O3028" t="s">
        <v>99</v>
      </c>
      <c r="P3028" t="s">
        <v>99</v>
      </c>
      <c r="Q3028" t="s">
        <v>202</v>
      </c>
      <c r="R3028" t="s">
        <v>203</v>
      </c>
      <c r="S3028" t="s">
        <v>161</v>
      </c>
      <c r="T3028" t="s">
        <v>162</v>
      </c>
      <c r="U3028" t="s">
        <v>163</v>
      </c>
      <c r="V3028" t="s">
        <v>164</v>
      </c>
      <c r="W3028" t="s">
        <v>116</v>
      </c>
      <c r="X3028" t="s">
        <v>166</v>
      </c>
      <c r="Y3028" t="s">
        <v>1716</v>
      </c>
      <c r="Z3028" t="s">
        <v>434</v>
      </c>
      <c r="AC3028" t="str">
        <f>IF(AA3028="",M3028,AA3028)</f>
        <v>sim</v>
      </c>
      <c r="AD3028" t="str">
        <f>IF(AB3028="",X3028,AB3028)</f>
        <v>não</v>
      </c>
      <c r="AE3028" t="str">
        <f>IF(OR(Configuracao!B9="",Configuracao!B10=""),"aguardando limiar",IF(AND(K3028&gt;=Configuracao!B9,K3028/MAX(Reconciliacao!C2,1)&gt;=Configuracao!B10/100),"sim","não"))</f>
        <v>aguardando limiar</v>
      </c>
    </row>
  </sheetData>
  <autoFilter ref="A1:AE30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5" width="20" customWidth="1"/>
    <col min="6" max="6" width="24" customWidth="1"/>
    <col min="7" max="7" width="16" customWidth="1"/>
    <col min="8" max="8" width="12" customWidth="1"/>
  </cols>
  <sheetData>
    <row r="1" ht="30" customHeight="1" spans="1:8" s="2" customFormat="1" x14ac:dyDescent="0.25">
      <c r="A1" s="2" t="s">
        <v>1717</v>
      </c>
      <c r="B1" s="2" t="s">
        <v>1718</v>
      </c>
      <c r="C1" s="2" t="s">
        <v>1719</v>
      </c>
      <c r="D1" s="2" t="s">
        <v>1720</v>
      </c>
      <c r="E1" s="2" t="s">
        <v>1721</v>
      </c>
      <c r="F1" s="2" t="s">
        <v>1722</v>
      </c>
      <c r="G1" s="2" t="s">
        <v>1723</v>
      </c>
      <c r="H1" s="2" t="s">
        <v>1724</v>
      </c>
    </row>
    <row r="2" spans="1:3" x14ac:dyDescent="0.25">
      <c r="A2" t="s">
        <v>1725</v>
      </c>
      <c r="B2" t="s">
        <v>1726</v>
      </c>
      <c r="C2" s="4">
        <v>4438396.77</v>
      </c>
    </row>
    <row r="3" spans="1:8" x14ac:dyDescent="0.25">
      <c r="A3" t="s">
        <v>32</v>
      </c>
      <c r="B3" t="s">
        <v>38</v>
      </c>
      <c r="C3" s="4">
        <f>SUMIFS(Lancamentos!K$2:K$3028,Lancamentos!I$2:I$3028,A3)</f>
        <v>652200.32</v>
      </c>
      <c r="D3" s="4">
        <f>SUMIFS(Lancamentos!K$2:K$3028,Lancamentos!I$2:I$3028,A3,Lancamentos!AC$2:AC$3028,"sim")</f>
        <v>320693.36</v>
      </c>
      <c r="E3" s="4">
        <f>C3-D3</f>
        <v>331506.96</v>
      </c>
      <c r="F3" s="4">
        <f>D3+E3</f>
        <v>652200.32</v>
      </c>
      <c r="G3" s="4">
        <f>F3-C3</f>
        <v>0</v>
      </c>
      <c r="H3" t="str">
        <f>IF(ABS(G3)&lt;0.05,"sim","não")</f>
        <v>sim</v>
      </c>
    </row>
    <row r="4" spans="1:8" x14ac:dyDescent="0.25">
      <c r="A4" t="s">
        <v>32</v>
      </c>
      <c r="B4" t="s">
        <v>41</v>
      </c>
      <c r="C4" s="4">
        <f>SUMIFS(Lancamentos!L$2:L$3028,Lancamentos!J$2:J$3028,A4)</f>
        <v>938756.48</v>
      </c>
      <c r="D4" s="4">
        <f>SUMIFS(Lancamentos!L$2:L$3028,Lancamentos!J$2:J$3028,A4,Lancamentos!AC$2:AC$3028,"sim")</f>
        <v>585282.33</v>
      </c>
      <c r="E4" s="4">
        <f>C4-D4</f>
        <v>353474.15</v>
      </c>
      <c r="F4" s="4">
        <f>D4+E4</f>
        <v>938756.48</v>
      </c>
      <c r="G4" s="4">
        <f>F4-C4</f>
        <v>0</v>
      </c>
      <c r="H4" t="str">
        <f>IF(ABS(G4)&lt;0.05,"sim","não")</f>
        <v>sim</v>
      </c>
    </row>
    <row r="5" spans="1:8" x14ac:dyDescent="0.25">
      <c r="A5" t="s">
        <v>424</v>
      </c>
      <c r="B5" t="s">
        <v>38</v>
      </c>
      <c r="C5" s="4">
        <f>SUMIFS(Lancamentos!K$2:K$3028,Lancamentos!I$2:I$3028,A5)</f>
        <v>1163641.25</v>
      </c>
      <c r="D5" s="4">
        <f>SUMIFS(Lancamentos!K$2:K$3028,Lancamentos!I$2:I$3028,A5,Lancamentos!AC$2:AC$3028,"sim")</f>
        <v>810278.94</v>
      </c>
      <c r="E5" s="4">
        <f>C5-D5</f>
        <v>353362.31</v>
      </c>
      <c r="F5" s="4">
        <f>D5+E5</f>
        <v>1163641.25</v>
      </c>
      <c r="G5" s="4">
        <f>F5-C5</f>
        <v>0</v>
      </c>
      <c r="H5" t="str">
        <f>IF(ABS(G5)&lt;0.05,"sim","não")</f>
        <v>sim</v>
      </c>
    </row>
    <row r="6" spans="1:8" x14ac:dyDescent="0.25">
      <c r="A6" t="s">
        <v>424</v>
      </c>
      <c r="B6" t="s">
        <v>41</v>
      </c>
      <c r="C6" s="4">
        <f>SUMIFS(Lancamentos!L$2:L$3028,Lancamentos!J$2:J$3028,A6)</f>
        <v>862622.25</v>
      </c>
      <c r="D6" s="4">
        <f>SUMIFS(Lancamentos!L$2:L$3028,Lancamentos!J$2:J$3028,A6,Lancamentos!AC$2:AC$3028,"sim")</f>
        <v>509697.87</v>
      </c>
      <c r="E6" s="4">
        <f>C6-D6</f>
        <v>352924.38</v>
      </c>
      <c r="F6" s="4">
        <f>D6+E6</f>
        <v>862622.25</v>
      </c>
      <c r="G6" s="4">
        <f>F6-C6</f>
        <v>0</v>
      </c>
      <c r="H6" t="str">
        <f>IF(ABS(G6)&lt;0.05,"sim","não")</f>
        <v>sim</v>
      </c>
    </row>
    <row r="7" spans="1:8" x14ac:dyDescent="0.25">
      <c r="A7" t="s">
        <v>420</v>
      </c>
      <c r="B7" t="s">
        <v>38</v>
      </c>
      <c r="C7" s="4">
        <f>SUMIFS(Lancamentos!K$2:K$3028,Lancamentos!I$2:I$3028,A7)</f>
        <v>1243292.78</v>
      </c>
      <c r="D7" s="4">
        <f>SUMIFS(Lancamentos!K$2:K$3028,Lancamentos!I$2:I$3028,A7,Lancamentos!AC$2:AC$3028,"sim")</f>
        <v>610109.78</v>
      </c>
      <c r="E7" s="4">
        <f>C7-D7</f>
        <v>633183</v>
      </c>
      <c r="F7" s="4">
        <f>D7+E7</f>
        <v>1243292.78</v>
      </c>
      <c r="G7" s="4">
        <f>F7-C7</f>
        <v>0</v>
      </c>
      <c r="H7" t="str">
        <f>IF(ABS(G7)&lt;0.05,"sim","não")</f>
        <v>sim</v>
      </c>
    </row>
    <row r="8" spans="1:8" x14ac:dyDescent="0.25">
      <c r="A8" t="s">
        <v>420</v>
      </c>
      <c r="B8" t="s">
        <v>41</v>
      </c>
      <c r="C8" s="4">
        <f>SUMIFS(Lancamentos!L$2:L$3028,Lancamentos!J$2:J$3028,A8)</f>
        <v>1201756.62</v>
      </c>
      <c r="D8" s="4">
        <f>SUMIFS(Lancamentos!L$2:L$3028,Lancamentos!J$2:J$3028,A8,Lancamentos!AC$2:AC$3028,"sim")</f>
        <v>568135.69</v>
      </c>
      <c r="E8" s="4">
        <f>C8-D8</f>
        <v>633620.93</v>
      </c>
      <c r="F8" s="4">
        <f>D8+E8</f>
        <v>1201756.62</v>
      </c>
      <c r="G8" s="4">
        <f>F8-C8</f>
        <v>0</v>
      </c>
      <c r="H8" t="str">
        <f>IF(ABS(G8)&lt;0.05,"sim","não")</f>
        <v>sim</v>
      </c>
    </row>
    <row r="9" spans="1:8" x14ac:dyDescent="0.25">
      <c r="A9" t="s">
        <v>454</v>
      </c>
      <c r="B9" t="s">
        <v>38</v>
      </c>
      <c r="C9" s="4">
        <f>SUMIFS(Lancamentos!K$2:K$3028,Lancamentos!I$2:I$3028,A9)</f>
        <v>1281104.52</v>
      </c>
      <c r="D9" s="4">
        <f>SUMIFS(Lancamentos!K$2:K$3028,Lancamentos!I$2:I$3028,A9,Lancamentos!AC$2:AC$3028,"sim")</f>
        <v>598072.55</v>
      </c>
      <c r="E9" s="4">
        <f>C9-D9</f>
        <v>683031.97</v>
      </c>
      <c r="F9" s="4">
        <f>D9+E9</f>
        <v>1281104.52</v>
      </c>
      <c r="G9" s="4">
        <f>F9-C9</f>
        <v>0</v>
      </c>
      <c r="H9" t="str">
        <f>IF(ABS(G9)&lt;0.05,"sim","não")</f>
        <v>sim</v>
      </c>
    </row>
    <row r="10" spans="1:8" x14ac:dyDescent="0.25">
      <c r="A10" t="s">
        <v>454</v>
      </c>
      <c r="B10" t="s">
        <v>41</v>
      </c>
      <c r="C10" s="4">
        <f>SUMIFS(Lancamentos!L$2:L$3028,Lancamentos!J$2:J$3028,A10)</f>
        <v>1280718.15</v>
      </c>
      <c r="D10" s="4">
        <f>SUMIFS(Lancamentos!L$2:L$3028,Lancamentos!J$2:J$3028,A10,Lancamentos!AC$2:AC$3028,"sim")</f>
        <v>597686.18</v>
      </c>
      <c r="E10" s="4">
        <f>C10-D10</f>
        <v>683031.97</v>
      </c>
      <c r="F10" s="4">
        <f>D10+E10</f>
        <v>1280718.15</v>
      </c>
      <c r="G10" s="4">
        <f>F10-C10</f>
        <v>0</v>
      </c>
      <c r="H10" t="str">
        <f>IF(ABS(G10)&lt;0.05,"sim","não")</f>
        <v>sim</v>
      </c>
    </row>
    <row r="11" spans="1:8" x14ac:dyDescent="0.25">
      <c r="A11" t="s">
        <v>461</v>
      </c>
      <c r="B11" t="s">
        <v>38</v>
      </c>
      <c r="C11" s="4">
        <f>SUMIFS(Lancamentos!K$2:K$3028,Lancamentos!I$2:I$3028,A11)</f>
        <v>1181725.37</v>
      </c>
      <c r="D11" s="4">
        <f>SUMIFS(Lancamentos!K$2:K$3028,Lancamentos!I$2:I$3028,A11,Lancamentos!AC$2:AC$3028,"sim")</f>
        <v>592766.37</v>
      </c>
      <c r="E11" s="4">
        <f>C11-D11</f>
        <v>588959</v>
      </c>
      <c r="F11" s="4">
        <f>D11+E11</f>
        <v>1181725.37</v>
      </c>
      <c r="G11" s="4">
        <f>F11-C11</f>
        <v>0</v>
      </c>
      <c r="H11" t="str">
        <f>IF(ABS(G11)&lt;0.05,"sim","não")</f>
        <v>sim</v>
      </c>
    </row>
    <row r="12" spans="1:8" x14ac:dyDescent="0.25">
      <c r="A12" t="s">
        <v>461</v>
      </c>
      <c r="B12" t="s">
        <v>41</v>
      </c>
      <c r="C12" s="4">
        <f>SUMIFS(Lancamentos!L$2:L$3028,Lancamentos!J$2:J$3028,A12)</f>
        <v>1170175.3</v>
      </c>
      <c r="D12" s="4">
        <f>SUMIFS(Lancamentos!L$2:L$3028,Lancamentos!J$2:J$3028,A12,Lancamentos!AC$2:AC$3028,"sim")</f>
        <v>581216.3</v>
      </c>
      <c r="E12" s="4">
        <f>C12-D12</f>
        <v>588959</v>
      </c>
      <c r="F12" s="4">
        <f>D12+E12</f>
        <v>1170175.3</v>
      </c>
      <c r="G12" s="4">
        <f>F12-C12</f>
        <v>0</v>
      </c>
      <c r="H12" t="str">
        <f>IF(ABS(G12)&lt;0.05,"sim","não")</f>
        <v>sim</v>
      </c>
    </row>
    <row r="13" spans="1:8" x14ac:dyDescent="0.25">
      <c r="A13" t="s">
        <v>442</v>
      </c>
      <c r="B13" t="s">
        <v>38</v>
      </c>
      <c r="C13" s="4">
        <f>SUMIFS(Lancamentos!K$2:K$3028,Lancamentos!I$2:I$3028,A13)</f>
        <v>1206702.55</v>
      </c>
      <c r="D13" s="4">
        <f>SUMIFS(Lancamentos!K$2:K$3028,Lancamentos!I$2:I$3028,A13,Lancamentos!AC$2:AC$3028,"sim")</f>
        <v>594221.63</v>
      </c>
      <c r="E13" s="4">
        <f>C13-D13</f>
        <v>612480.92</v>
      </c>
      <c r="F13" s="4">
        <f>D13+E13</f>
        <v>1206702.55</v>
      </c>
      <c r="G13" s="4">
        <f>F13-C13</f>
        <v>0</v>
      </c>
      <c r="H13" t="str">
        <f>IF(ABS(G13)&lt;0.05,"sim","não")</f>
        <v>sim</v>
      </c>
    </row>
    <row r="14" spans="1:8" x14ac:dyDescent="0.25">
      <c r="A14" t="s">
        <v>442</v>
      </c>
      <c r="B14" t="s">
        <v>41</v>
      </c>
      <c r="C14" s="4">
        <f>SUMIFS(Lancamentos!L$2:L$3028,Lancamentos!J$2:J$3028,A14)</f>
        <v>1215671.93</v>
      </c>
      <c r="D14" s="4">
        <f>SUMIFS(Lancamentos!L$2:L$3028,Lancamentos!J$2:J$3028,A14,Lancamentos!AC$2:AC$3028,"sim")</f>
        <v>598643.97</v>
      </c>
      <c r="E14" s="4">
        <f>C14-D14</f>
        <v>617027.96</v>
      </c>
      <c r="F14" s="4">
        <f>D14+E14</f>
        <v>1215671.93</v>
      </c>
      <c r="G14" s="4">
        <f>F14-C14</f>
        <v>0</v>
      </c>
      <c r="H14" t="str">
        <f>IF(ABS(G14)&lt;0.05,"sim","não")</f>
        <v>sim</v>
      </c>
    </row>
    <row r="15" spans="1:8" x14ac:dyDescent="0.25">
      <c r="A15" t="s">
        <v>439</v>
      </c>
      <c r="B15" t="s">
        <v>38</v>
      </c>
      <c r="C15" s="4">
        <f>SUMIFS(Lancamentos!K$2:K$3028,Lancamentos!I$2:I$3028,A15)</f>
        <v>1269958.42</v>
      </c>
      <c r="D15" s="4">
        <f>SUMIFS(Lancamentos!K$2:K$3028,Lancamentos!I$2:I$3028,A15,Lancamentos!AC$2:AC$3028,"sim")</f>
        <v>610906.05</v>
      </c>
      <c r="E15" s="4">
        <f>C15-D15</f>
        <v>659052.37</v>
      </c>
      <c r="F15" s="4">
        <f>D15+E15</f>
        <v>1269958.42</v>
      </c>
      <c r="G15" s="4">
        <f>F15-C15</f>
        <v>0</v>
      </c>
      <c r="H15" t="str">
        <f>IF(ABS(G15)&lt;0.05,"sim","não")</f>
        <v>sim</v>
      </c>
    </row>
    <row r="16" spans="1:8" x14ac:dyDescent="0.25">
      <c r="A16" t="s">
        <v>439</v>
      </c>
      <c r="B16" t="s">
        <v>41</v>
      </c>
      <c r="C16" s="4">
        <f>SUMIFS(Lancamentos!L$2:L$3028,Lancamentos!J$2:J$3028,A16)</f>
        <v>1267063.95</v>
      </c>
      <c r="D16" s="4">
        <f>SUMIFS(Lancamentos!L$2:L$3028,Lancamentos!J$2:J$3028,A16,Lancamentos!AC$2:AC$3028,"sim")</f>
        <v>612228.57</v>
      </c>
      <c r="E16" s="4">
        <f>C16-D16</f>
        <v>654835.38</v>
      </c>
      <c r="F16" s="4">
        <f>D16+E16</f>
        <v>1267063.95</v>
      </c>
      <c r="G16" s="4">
        <f>F16-C16</f>
        <v>0</v>
      </c>
      <c r="H16" t="str">
        <f>IF(ABS(G16)&lt;0.05,"sim","não")</f>
        <v>sim</v>
      </c>
    </row>
    <row r="17" spans="1:8" x14ac:dyDescent="0.25">
      <c r="A17" t="s">
        <v>35</v>
      </c>
      <c r="B17" t="s">
        <v>38</v>
      </c>
      <c r="C17" s="4">
        <f>SUMIFS(Lancamentos!K$2:K$3028,Lancamentos!I$2:I$3028,A17)</f>
        <v>921776.25</v>
      </c>
      <c r="D17" s="4">
        <f>SUMIFS(Lancamentos!K$2:K$3028,Lancamentos!I$2:I$3028,A17,Lancamentos!AC$2:AC$3028,"sim")</f>
        <v>301348.09</v>
      </c>
      <c r="E17" s="4">
        <f>C17-D17</f>
        <v>620428.16</v>
      </c>
      <c r="F17" s="4">
        <f>D17+E17</f>
        <v>921776.25</v>
      </c>
      <c r="G17" s="4">
        <f>F17-C17</f>
        <v>0</v>
      </c>
      <c r="H17" t="str">
        <f>IF(ABS(G17)&lt;0.05,"sim","não")</f>
        <v>sim</v>
      </c>
    </row>
    <row r="18" spans="1:8" x14ac:dyDescent="0.25">
      <c r="A18" t="s">
        <v>35</v>
      </c>
      <c r="B18" t="s">
        <v>41</v>
      </c>
      <c r="C18" s="4">
        <f>SUMIFS(Lancamentos!L$2:L$3028,Lancamentos!J$2:J$3028,A18)</f>
        <v>1253629.47</v>
      </c>
      <c r="D18" s="4">
        <f>SUMIFS(Lancamentos!L$2:L$3028,Lancamentos!J$2:J$3028,A18,Lancamentos!AC$2:AC$3028,"sim")</f>
        <v>633474.23</v>
      </c>
      <c r="E18" s="4">
        <f>C18-D18</f>
        <v>620155.24</v>
      </c>
      <c r="F18" s="4">
        <f>D18+E18</f>
        <v>1253629.47</v>
      </c>
      <c r="G18" s="4">
        <f>F18-C18</f>
        <v>0</v>
      </c>
      <c r="H18" t="str">
        <f>IF(ABS(G18)&lt;0.05,"sim","não")</f>
        <v>sim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8" customWidth="1"/>
  </cols>
  <sheetData>
    <row r="1" ht="30" customHeight="1" spans="1:3" s="2" customFormat="1" x14ac:dyDescent="0.25">
      <c r="A1" s="2" t="s">
        <v>1727</v>
      </c>
      <c r="B1" s="2" t="s">
        <v>153</v>
      </c>
      <c r="C1" s="2" t="s">
        <v>1728</v>
      </c>
    </row>
    <row r="2" spans="1:3" x14ac:dyDescent="0.25">
      <c r="A2" t="s">
        <v>86</v>
      </c>
      <c r="B2" s="4">
        <v>2768959.48</v>
      </c>
      <c r="C2" s="6">
        <v>0.31040749594245276</v>
      </c>
    </row>
    <row r="3" spans="1:3" x14ac:dyDescent="0.25">
      <c r="A3" t="s">
        <v>174</v>
      </c>
      <c r="B3" s="4">
        <v>835346.5</v>
      </c>
      <c r="C3" s="6">
        <v>0.09364449613011026</v>
      </c>
    </row>
    <row r="4" spans="1:3" x14ac:dyDescent="0.25">
      <c r="A4" t="s">
        <v>104</v>
      </c>
      <c r="B4" s="4">
        <v>543223.31</v>
      </c>
      <c r="C4" s="6">
        <v>0.06089673345262198</v>
      </c>
    </row>
    <row r="5" spans="1:3" x14ac:dyDescent="0.25">
      <c r="A5" t="s">
        <v>76</v>
      </c>
      <c r="B5" s="4">
        <v>315147.79</v>
      </c>
      <c r="C5" s="6">
        <v>0.03532887969371728</v>
      </c>
    </row>
    <row r="6" spans="1:3" x14ac:dyDescent="0.25">
      <c r="A6" t="s">
        <v>98</v>
      </c>
      <c r="B6" s="4">
        <v>9727.61</v>
      </c>
      <c r="C6" s="6">
        <v>0.0010904901582759034</v>
      </c>
    </row>
    <row r="7" spans="1:3" x14ac:dyDescent="0.25">
      <c r="A7" t="s">
        <v>318</v>
      </c>
      <c r="B7" s="4">
        <v>7600</v>
      </c>
      <c r="C7" s="6">
        <v>0.0008519795924072681</v>
      </c>
    </row>
    <row r="8" spans="1:3" x14ac:dyDescent="0.25">
      <c r="A8" t="s">
        <v>361</v>
      </c>
      <c r="B8" s="4">
        <v>2000</v>
      </c>
      <c r="C8" s="6">
        <v>0.0002242051558966495</v>
      </c>
    </row>
    <row r="9" spans="1:3" s="7" customFormat="1" x14ac:dyDescent="0.25">
      <c r="A9" s="7" t="s">
        <v>1729</v>
      </c>
      <c r="B9" s="8">
        <v>4482004.69</v>
      </c>
      <c r="C9" s="9">
        <v>0.5024442801254821</v>
      </c>
    </row>
    <row r="10" spans="1:3" x14ac:dyDescent="0.25">
      <c r="A10" t="s">
        <v>1730</v>
      </c>
      <c r="B10" s="4">
        <v>4438396.77</v>
      </c>
      <c r="C10" s="6">
        <v>0.49755571987451774</v>
      </c>
    </row>
    <row r="11" spans="1:3" x14ac:dyDescent="0.25">
      <c r="A11" t="s">
        <v>1731</v>
      </c>
      <c r="B11" s="4">
        <v>8920401.46</v>
      </c>
      <c r="C11" s="6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28" customWidth="1"/>
    <col min="4" max="4" width="10" customWidth="1"/>
    <col min="5" max="5" width="20" customWidth="1"/>
    <col min="6" max="6" width="18" customWidth="1"/>
    <col min="7" max="7" width="42" customWidth="1"/>
  </cols>
  <sheetData>
    <row r="1" ht="30" customHeight="1" spans="1:7" s="2" customFormat="1" x14ac:dyDescent="0.25">
      <c r="A1" s="2" t="s">
        <v>138</v>
      </c>
      <c r="B1" s="2" t="s">
        <v>139</v>
      </c>
      <c r="C1" s="2" t="s">
        <v>73</v>
      </c>
      <c r="D1" s="2" t="s">
        <v>1732</v>
      </c>
      <c r="E1" s="2" t="s">
        <v>153</v>
      </c>
      <c r="F1" s="2" t="s">
        <v>154</v>
      </c>
      <c r="G1" s="2" t="s">
        <v>1733</v>
      </c>
    </row>
    <row r="2" spans="1:7" x14ac:dyDescent="0.25">
      <c r="A2" t="s">
        <v>246</v>
      </c>
      <c r="B2" t="s">
        <v>247</v>
      </c>
      <c r="C2" t="s">
        <v>74</v>
      </c>
      <c r="D2">
        <v>70</v>
      </c>
      <c r="E2" s="4">
        <v>26902.35</v>
      </c>
      <c r="F2" s="4">
        <v>26902.35</v>
      </c>
      <c r="G2" t="s">
        <v>1734</v>
      </c>
    </row>
    <row r="3" spans="1:7" x14ac:dyDescent="0.25">
      <c r="A3" t="s">
        <v>270</v>
      </c>
      <c r="B3" t="s">
        <v>271</v>
      </c>
      <c r="C3" t="s">
        <v>74</v>
      </c>
      <c r="D3">
        <v>77</v>
      </c>
      <c r="E3" s="4">
        <v>12167.08</v>
      </c>
      <c r="F3" s="4">
        <v>12167.08</v>
      </c>
      <c r="G3" t="s">
        <v>1734</v>
      </c>
    </row>
    <row r="4" spans="1:7" x14ac:dyDescent="0.25">
      <c r="A4" t="s">
        <v>270</v>
      </c>
      <c r="B4" t="s">
        <v>271</v>
      </c>
      <c r="C4" t="s">
        <v>511</v>
      </c>
      <c r="D4">
        <v>4</v>
      </c>
      <c r="E4" s="4">
        <v>8920.22</v>
      </c>
      <c r="F4" s="4">
        <v>8920.22</v>
      </c>
      <c r="G4" t="s">
        <v>1735</v>
      </c>
    </row>
    <row r="5" spans="1:7" x14ac:dyDescent="0.25">
      <c r="A5" t="s">
        <v>270</v>
      </c>
      <c r="B5" t="s">
        <v>271</v>
      </c>
      <c r="C5" t="s">
        <v>467</v>
      </c>
      <c r="D5">
        <v>8</v>
      </c>
      <c r="E5" s="4">
        <v>5500.15</v>
      </c>
      <c r="F5" s="4">
        <v>5500.15</v>
      </c>
      <c r="G5" t="s">
        <v>1735</v>
      </c>
    </row>
    <row r="6" spans="1:7" x14ac:dyDescent="0.25">
      <c r="A6" t="s">
        <v>270</v>
      </c>
      <c r="B6" t="s">
        <v>271</v>
      </c>
      <c r="C6" t="s">
        <v>486</v>
      </c>
      <c r="D6">
        <v>22</v>
      </c>
      <c r="E6" s="4">
        <v>2584.03</v>
      </c>
      <c r="F6" s="4">
        <v>2584.03</v>
      </c>
      <c r="G6" t="s">
        <v>1735</v>
      </c>
    </row>
    <row r="7" spans="1:7" x14ac:dyDescent="0.25">
      <c r="A7" t="s">
        <v>270</v>
      </c>
      <c r="B7" t="s">
        <v>271</v>
      </c>
      <c r="C7" t="s">
        <v>477</v>
      </c>
      <c r="D7">
        <v>16</v>
      </c>
      <c r="E7" s="4">
        <v>1827.99</v>
      </c>
      <c r="F7" s="4">
        <v>1827.99</v>
      </c>
      <c r="G7" t="s">
        <v>1735</v>
      </c>
    </row>
    <row r="8" spans="1:7" x14ac:dyDescent="0.25">
      <c r="A8" t="s">
        <v>270</v>
      </c>
      <c r="B8" t="s">
        <v>271</v>
      </c>
      <c r="C8" t="s">
        <v>474</v>
      </c>
      <c r="D8">
        <v>1</v>
      </c>
      <c r="E8" s="4">
        <v>192.1</v>
      </c>
      <c r="F8" s="4">
        <v>192.1</v>
      </c>
      <c r="G8" t="s">
        <v>1735</v>
      </c>
    </row>
    <row r="9" spans="1:7" x14ac:dyDescent="0.25">
      <c r="A9" t="s">
        <v>1736</v>
      </c>
      <c r="B9" t="s">
        <v>1737</v>
      </c>
      <c r="C9" t="s">
        <v>167</v>
      </c>
      <c r="D9">
        <v>0</v>
      </c>
      <c r="E9">
        <v>0</v>
      </c>
      <c r="F9">
        <v>0</v>
      </c>
      <c r="G9" t="s">
        <v>1738</v>
      </c>
    </row>
    <row r="10" spans="1:7" x14ac:dyDescent="0.25">
      <c r="A10" t="s">
        <v>1739</v>
      </c>
      <c r="B10" t="s">
        <v>1740</v>
      </c>
      <c r="C10" t="s">
        <v>167</v>
      </c>
      <c r="D10">
        <v>0</v>
      </c>
      <c r="E10">
        <v>0</v>
      </c>
      <c r="F10">
        <v>0</v>
      </c>
      <c r="G10" t="s">
        <v>1738</v>
      </c>
    </row>
    <row r="11" spans="1:7" x14ac:dyDescent="0.25">
      <c r="A11" t="s">
        <v>1741</v>
      </c>
      <c r="B11" t="s">
        <v>1742</v>
      </c>
      <c r="C11" t="s">
        <v>167</v>
      </c>
      <c r="D11">
        <v>0</v>
      </c>
      <c r="E11">
        <v>0</v>
      </c>
      <c r="F11">
        <v>0</v>
      </c>
      <c r="G11" t="s">
        <v>1738</v>
      </c>
    </row>
    <row r="12" spans="1:7" x14ac:dyDescent="0.25">
      <c r="A12" t="s">
        <v>1743</v>
      </c>
      <c r="B12" t="s">
        <v>1744</v>
      </c>
      <c r="C12" t="s">
        <v>167</v>
      </c>
      <c r="D12">
        <v>0</v>
      </c>
      <c r="E12">
        <v>0</v>
      </c>
      <c r="F12">
        <v>0</v>
      </c>
      <c r="G12" t="s">
        <v>1738</v>
      </c>
    </row>
  </sheetData>
  <autoFilter ref="A1:G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36" customWidth="1"/>
    <col min="4" max="4" width="22" customWidth="1"/>
    <col min="5" max="5" width="24" customWidth="1"/>
    <col min="6" max="7" width="30" customWidth="1"/>
    <col min="8" max="8" width="18" customWidth="1"/>
    <col min="9" max="9" width="20" customWidth="1"/>
  </cols>
  <sheetData>
    <row r="1" ht="30" customHeight="1" spans="1:9" s="2" customFormat="1" x14ac:dyDescent="0.25">
      <c r="A1" s="2" t="s">
        <v>1717</v>
      </c>
      <c r="B1" s="2" t="s">
        <v>1745</v>
      </c>
      <c r="C1" s="2" t="s">
        <v>1746</v>
      </c>
      <c r="D1" s="2" t="s">
        <v>1747</v>
      </c>
      <c r="E1" s="2" t="s">
        <v>1748</v>
      </c>
      <c r="F1" s="2" t="s">
        <v>1749</v>
      </c>
      <c r="G1" s="2" t="s">
        <v>1750</v>
      </c>
      <c r="H1" s="2" t="s">
        <v>1751</v>
      </c>
      <c r="I1" s="2" t="s">
        <v>1752</v>
      </c>
    </row>
    <row r="2" spans="1:9" x14ac:dyDescent="0.25">
      <c r="A2" t="s">
        <v>1753</v>
      </c>
      <c r="B2" t="s">
        <v>1754</v>
      </c>
      <c r="C2" t="s">
        <v>99</v>
      </c>
      <c r="D2" t="s">
        <v>99</v>
      </c>
      <c r="E2" t="s">
        <v>99</v>
      </c>
      <c r="F2" t="s">
        <v>99</v>
      </c>
      <c r="G2" t="s">
        <v>99</v>
      </c>
      <c r="H2" t="s">
        <v>99</v>
      </c>
      <c r="I2" t="s">
        <v>99</v>
      </c>
    </row>
    <row r="3" spans="1:9" x14ac:dyDescent="0.25">
      <c r="A3" t="s">
        <v>32</v>
      </c>
      <c r="B3" s="4">
        <v>20315.58</v>
      </c>
      <c r="C3" s="4">
        <v>7842.48</v>
      </c>
      <c r="D3" s="4">
        <v>12473.1</v>
      </c>
      <c r="E3" s="4">
        <v>12473.1</v>
      </c>
      <c r="F3" s="4">
        <v>20315.58</v>
      </c>
      <c r="G3" s="4">
        <v>7842.68</v>
      </c>
      <c r="H3" s="4">
        <v>12472.9</v>
      </c>
      <c r="I3" s="4">
        <v>12472.9</v>
      </c>
    </row>
    <row r="4" spans="1:9" x14ac:dyDescent="0.25">
      <c r="A4" t="s">
        <v>424</v>
      </c>
      <c r="B4" s="4">
        <v>7281.76</v>
      </c>
      <c r="C4" s="4">
        <v>3979.98</v>
      </c>
      <c r="D4" s="4">
        <v>3301.78</v>
      </c>
      <c r="E4" s="4">
        <v>15774.88</v>
      </c>
      <c r="F4" s="4">
        <v>7281.76</v>
      </c>
      <c r="G4" s="4">
        <v>2673.55</v>
      </c>
      <c r="H4" s="4">
        <v>4608.21</v>
      </c>
      <c r="I4" s="4">
        <v>17081.11</v>
      </c>
    </row>
    <row r="5" spans="1:9" x14ac:dyDescent="0.25">
      <c r="A5" t="s">
        <v>420</v>
      </c>
      <c r="B5" s="4">
        <v>207232.2</v>
      </c>
      <c r="C5" s="4">
        <v>2751.02</v>
      </c>
      <c r="D5" s="4">
        <v>204481.18</v>
      </c>
      <c r="E5" s="4">
        <v>220256.06</v>
      </c>
      <c r="F5" s="4">
        <v>207232.2</v>
      </c>
      <c r="G5" s="4">
        <v>3912.39</v>
      </c>
      <c r="H5" s="4">
        <v>203319.81</v>
      </c>
      <c r="I5" s="4">
        <v>220400.92</v>
      </c>
    </row>
    <row r="6" spans="1:9" x14ac:dyDescent="0.25">
      <c r="A6" t="s">
        <v>454</v>
      </c>
      <c r="B6" s="4">
        <v>34637.08</v>
      </c>
      <c r="C6" s="4">
        <v>2604.31</v>
      </c>
      <c r="D6" s="4">
        <v>32032.77</v>
      </c>
      <c r="E6" s="4">
        <v>252288.83</v>
      </c>
      <c r="F6" s="4">
        <v>34637.08</v>
      </c>
      <c r="G6" s="4">
        <v>1715.94</v>
      </c>
      <c r="H6" s="4">
        <v>32921.14</v>
      </c>
      <c r="I6" s="4">
        <v>253322.06</v>
      </c>
    </row>
    <row r="7" spans="1:9" x14ac:dyDescent="0.25">
      <c r="A7" t="s">
        <v>461</v>
      </c>
      <c r="B7" s="4">
        <v>5791.45</v>
      </c>
      <c r="C7" s="4">
        <v>3514.47</v>
      </c>
      <c r="D7" s="4">
        <v>2276.98</v>
      </c>
      <c r="E7" s="4">
        <v>254565.81</v>
      </c>
      <c r="F7" s="4">
        <v>5791.45</v>
      </c>
      <c r="G7" s="4">
        <v>2419.44</v>
      </c>
      <c r="H7" s="4">
        <v>3372.01</v>
      </c>
      <c r="I7" s="4">
        <v>256694.07</v>
      </c>
    </row>
    <row r="8" spans="1:9" x14ac:dyDescent="0.25">
      <c r="A8" t="s">
        <v>442</v>
      </c>
      <c r="B8" s="4">
        <v>10213.58</v>
      </c>
      <c r="C8" s="4">
        <v>7658.32</v>
      </c>
      <c r="D8" s="4">
        <v>2555.26</v>
      </c>
      <c r="E8" s="4">
        <v>257121.07</v>
      </c>
      <c r="F8" s="4">
        <v>10213.58</v>
      </c>
      <c r="G8" s="4">
        <v>7797.52</v>
      </c>
      <c r="H8" s="4">
        <v>2416.06</v>
      </c>
      <c r="I8" s="4">
        <v>259110.13</v>
      </c>
    </row>
    <row r="9" spans="1:9" x14ac:dyDescent="0.25">
      <c r="A9" t="s">
        <v>439</v>
      </c>
      <c r="B9" s="4">
        <v>25748.93</v>
      </c>
      <c r="C9" s="4">
        <v>3025.83</v>
      </c>
      <c r="D9" s="4">
        <v>22723.1</v>
      </c>
      <c r="E9" s="4">
        <v>279844.17</v>
      </c>
      <c r="F9" s="4">
        <v>25748.93</v>
      </c>
      <c r="G9" s="4">
        <v>3751.99</v>
      </c>
      <c r="H9" s="4">
        <v>21996.94</v>
      </c>
      <c r="I9" s="4">
        <v>281107.07</v>
      </c>
    </row>
    <row r="10" spans="1:9" x14ac:dyDescent="0.25">
      <c r="A10" t="s">
        <v>35</v>
      </c>
      <c r="B10" s="4">
        <v>3927.21</v>
      </c>
      <c r="C10" s="4">
        <v>2178.42</v>
      </c>
      <c r="D10" s="4">
        <v>1748.79</v>
      </c>
      <c r="E10" s="4">
        <v>281592.96</v>
      </c>
      <c r="F10" s="4">
        <v>3927.21</v>
      </c>
      <c r="G10" s="4">
        <v>1334.88</v>
      </c>
      <c r="H10" s="4">
        <v>2592.33</v>
      </c>
      <c r="I10" s="4">
        <v>283699.4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34" customWidth="1"/>
    <col min="4" max="4" width="18" customWidth="1"/>
    <col min="5" max="5" width="80" customWidth="1"/>
  </cols>
  <sheetData>
    <row r="1" ht="30" customHeight="1" spans="1:5" s="2" customFormat="1" x14ac:dyDescent="0.25">
      <c r="A1" s="2" t="s">
        <v>1717</v>
      </c>
      <c r="B1" s="2" t="s">
        <v>1755</v>
      </c>
      <c r="C1" s="2" t="s">
        <v>1756</v>
      </c>
      <c r="D1" s="2" t="s">
        <v>1723</v>
      </c>
      <c r="E1" s="2" t="s">
        <v>1757</v>
      </c>
    </row>
    <row r="2" spans="1:5" x14ac:dyDescent="0.25">
      <c r="A2" t="s">
        <v>1753</v>
      </c>
      <c r="B2" t="s">
        <v>1758</v>
      </c>
      <c r="C2" t="s">
        <v>99</v>
      </c>
      <c r="D2" t="s">
        <v>99</v>
      </c>
      <c r="E2" t="s">
        <v>99</v>
      </c>
    </row>
    <row r="3" spans="1:5" x14ac:dyDescent="0.25">
      <c r="A3" t="s">
        <v>32</v>
      </c>
      <c r="B3" s="4">
        <v>31299.52</v>
      </c>
      <c r="C3" s="4">
        <v>22820.57</v>
      </c>
      <c r="D3" s="4">
        <v>8478.95</v>
      </c>
      <c r="E3" t="s">
        <v>1759</v>
      </c>
    </row>
    <row r="4" spans="1:5" x14ac:dyDescent="0.25">
      <c r="A4" t="s">
        <v>424</v>
      </c>
      <c r="B4" s="4">
        <v>19103.78</v>
      </c>
      <c r="C4" s="4">
        <v>18789.77</v>
      </c>
      <c r="D4" s="4">
        <v>314.01</v>
      </c>
      <c r="E4" t="s">
        <v>1759</v>
      </c>
    </row>
    <row r="5" spans="1:5" x14ac:dyDescent="0.25">
      <c r="A5" t="s">
        <v>420</v>
      </c>
      <c r="B5" s="4">
        <v>232934.97</v>
      </c>
      <c r="C5" s="4">
        <v>236752.69</v>
      </c>
      <c r="D5" s="4">
        <v>-3817.72</v>
      </c>
      <c r="E5" t="s">
        <v>1759</v>
      </c>
    </row>
    <row r="6" spans="1:5" x14ac:dyDescent="0.25">
      <c r="A6" t="s">
        <v>454</v>
      </c>
      <c r="B6" s="4">
        <v>213235</v>
      </c>
      <c r="C6" s="4">
        <v>183025</v>
      </c>
      <c r="D6" s="4">
        <v>30210</v>
      </c>
      <c r="E6" t="s">
        <v>1759</v>
      </c>
    </row>
    <row r="7" spans="1:5" x14ac:dyDescent="0.25">
      <c r="A7" t="s">
        <v>461</v>
      </c>
      <c r="B7" s="4">
        <v>105937.03</v>
      </c>
      <c r="C7" s="4">
        <v>105173.03</v>
      </c>
      <c r="D7" s="4">
        <v>764</v>
      </c>
      <c r="E7" t="s">
        <v>1759</v>
      </c>
    </row>
    <row r="8" spans="1:5" x14ac:dyDescent="0.25">
      <c r="A8" t="s">
        <v>442</v>
      </c>
      <c r="B8" s="4">
        <v>166779.38</v>
      </c>
      <c r="C8" s="4">
        <v>127214.34</v>
      </c>
      <c r="D8" s="4">
        <v>39565.04</v>
      </c>
      <c r="E8" t="s">
        <v>1759</v>
      </c>
    </row>
    <row r="9" spans="1:5" x14ac:dyDescent="0.25">
      <c r="A9" t="s">
        <v>439</v>
      </c>
      <c r="B9" s="4">
        <v>176471.91</v>
      </c>
      <c r="C9" s="4">
        <v>150770.64</v>
      </c>
      <c r="D9" s="4">
        <v>25701.27</v>
      </c>
      <c r="E9" t="s">
        <v>1759</v>
      </c>
    </row>
    <row r="10" spans="1:5" x14ac:dyDescent="0.25">
      <c r="A10" t="s">
        <v>35</v>
      </c>
      <c r="B10" s="4">
        <v>122613.72</v>
      </c>
      <c r="C10" s="4">
        <v>100320.9</v>
      </c>
      <c r="D10" s="4">
        <v>22292.82</v>
      </c>
      <c r="E10" t="s">
        <v>1759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12" customWidth="1"/>
    <col min="4" max="4" width="28" customWidth="1"/>
    <col min="5" max="5" width="16" customWidth="1"/>
    <col min="6" max="6" width="36" customWidth="1"/>
    <col min="7" max="7" width="50" customWidth="1"/>
    <col min="8" max="8" width="20" customWidth="1"/>
    <col min="9" max="9" width="22" customWidth="1"/>
    <col min="10" max="10" width="28" customWidth="1"/>
  </cols>
  <sheetData>
    <row r="1" ht="30" customHeight="1" spans="1:10" s="2" customFormat="1" x14ac:dyDescent="0.25">
      <c r="A1" s="2" t="s">
        <v>1760</v>
      </c>
      <c r="B1" s="2" t="s">
        <v>403</v>
      </c>
      <c r="C1" s="2" t="s">
        <v>1717</v>
      </c>
      <c r="D1" s="2" t="s">
        <v>73</v>
      </c>
      <c r="E1" s="2" t="s">
        <v>79</v>
      </c>
      <c r="F1" s="2" t="s">
        <v>1761</v>
      </c>
      <c r="G1" s="2" t="s">
        <v>405</v>
      </c>
      <c r="H1" s="2" t="s">
        <v>153</v>
      </c>
      <c r="I1" s="2" t="s">
        <v>1762</v>
      </c>
      <c r="J1" s="2" t="s">
        <v>1763</v>
      </c>
    </row>
    <row r="2" spans="1:10" x14ac:dyDescent="0.25">
      <c r="A2" t="s">
        <v>1764</v>
      </c>
      <c r="B2">
        <v>6001</v>
      </c>
      <c r="C2" t="s">
        <v>478</v>
      </c>
      <c r="D2" t="s">
        <v>477</v>
      </c>
      <c r="E2" t="s">
        <v>83</v>
      </c>
      <c r="F2" t="s">
        <v>172</v>
      </c>
      <c r="G2" t="s">
        <v>475</v>
      </c>
      <c r="H2" s="4">
        <v>0</v>
      </c>
      <c r="I2" t="s">
        <v>99</v>
      </c>
      <c r="J2" t="s">
        <v>1765</v>
      </c>
    </row>
    <row r="3" spans="1:10" x14ac:dyDescent="0.25">
      <c r="A3" t="s">
        <v>1764</v>
      </c>
      <c r="B3">
        <v>17019</v>
      </c>
      <c r="C3" t="s">
        <v>442</v>
      </c>
      <c r="D3" t="s">
        <v>467</v>
      </c>
      <c r="E3" t="s">
        <v>83</v>
      </c>
      <c r="F3" t="s">
        <v>172</v>
      </c>
      <c r="G3" t="s">
        <v>479</v>
      </c>
      <c r="H3" s="4">
        <v>191.7</v>
      </c>
      <c r="I3" t="s">
        <v>99</v>
      </c>
      <c r="J3" t="s">
        <v>1765</v>
      </c>
    </row>
    <row r="4" spans="1:10" x14ac:dyDescent="0.25">
      <c r="A4" t="s">
        <v>1764</v>
      </c>
      <c r="B4">
        <v>17833</v>
      </c>
      <c r="C4" t="s">
        <v>439</v>
      </c>
      <c r="D4" t="s">
        <v>467</v>
      </c>
      <c r="E4" t="s">
        <v>83</v>
      </c>
      <c r="F4" t="s">
        <v>172</v>
      </c>
      <c r="G4" t="s">
        <v>479</v>
      </c>
      <c r="H4" s="4">
        <v>191.99</v>
      </c>
      <c r="I4" t="s">
        <v>99</v>
      </c>
      <c r="J4" t="s">
        <v>1765</v>
      </c>
    </row>
    <row r="5" spans="1:10" x14ac:dyDescent="0.25">
      <c r="A5" t="s">
        <v>1764</v>
      </c>
      <c r="B5">
        <v>18691</v>
      </c>
      <c r="C5" t="s">
        <v>35</v>
      </c>
      <c r="D5" t="s">
        <v>467</v>
      </c>
      <c r="E5" t="s">
        <v>83</v>
      </c>
      <c r="F5" t="s">
        <v>172</v>
      </c>
      <c r="G5" t="s">
        <v>479</v>
      </c>
      <c r="H5" s="4">
        <v>192.27</v>
      </c>
      <c r="I5" t="s">
        <v>99</v>
      </c>
      <c r="J5" t="s">
        <v>1765</v>
      </c>
    </row>
    <row r="6" spans="1:10" x14ac:dyDescent="0.25">
      <c r="A6" t="s">
        <v>1764</v>
      </c>
      <c r="B6">
        <v>13358</v>
      </c>
      <c r="C6" t="s">
        <v>420</v>
      </c>
      <c r="D6" t="s">
        <v>477</v>
      </c>
      <c r="E6" t="s">
        <v>83</v>
      </c>
      <c r="F6" t="s">
        <v>172</v>
      </c>
      <c r="G6" t="s">
        <v>480</v>
      </c>
      <c r="H6" s="4">
        <v>302.49</v>
      </c>
      <c r="I6">
        <v>16023</v>
      </c>
      <c r="J6" t="s">
        <v>1766</v>
      </c>
    </row>
    <row r="7" spans="1:10" x14ac:dyDescent="0.25">
      <c r="A7" t="s">
        <v>1764</v>
      </c>
      <c r="B7">
        <v>13359</v>
      </c>
      <c r="C7" t="s">
        <v>420</v>
      </c>
      <c r="D7" t="s">
        <v>477</v>
      </c>
      <c r="E7" t="s">
        <v>83</v>
      </c>
      <c r="F7" t="s">
        <v>172</v>
      </c>
      <c r="G7" t="s">
        <v>482</v>
      </c>
      <c r="H7" s="4">
        <v>312.41</v>
      </c>
      <c r="I7">
        <v>16018</v>
      </c>
      <c r="J7" t="s">
        <v>1766</v>
      </c>
    </row>
    <row r="8" spans="1:10" x14ac:dyDescent="0.25">
      <c r="A8" t="s">
        <v>1764</v>
      </c>
      <c r="B8">
        <v>12238</v>
      </c>
      <c r="C8" t="s">
        <v>424</v>
      </c>
      <c r="D8" t="s">
        <v>74</v>
      </c>
      <c r="E8" t="s">
        <v>83</v>
      </c>
      <c r="F8" t="s">
        <v>172</v>
      </c>
      <c r="G8" t="s">
        <v>483</v>
      </c>
      <c r="H8" s="4">
        <v>314.01</v>
      </c>
      <c r="I8" t="s">
        <v>99</v>
      </c>
      <c r="J8" t="s">
        <v>1765</v>
      </c>
    </row>
    <row r="9" spans="1:10" x14ac:dyDescent="0.25">
      <c r="A9" t="s">
        <v>1764</v>
      </c>
      <c r="B9">
        <v>17330</v>
      </c>
      <c r="C9" t="s">
        <v>442</v>
      </c>
      <c r="D9" t="s">
        <v>486</v>
      </c>
      <c r="E9" t="s">
        <v>83</v>
      </c>
      <c r="F9" t="s">
        <v>172</v>
      </c>
      <c r="G9" t="s">
        <v>485</v>
      </c>
      <c r="H9" s="4">
        <v>516.92</v>
      </c>
      <c r="I9" t="s">
        <v>99</v>
      </c>
      <c r="J9" t="s">
        <v>1765</v>
      </c>
    </row>
    <row r="10" spans="1:10" x14ac:dyDescent="0.25">
      <c r="A10" t="s">
        <v>1764</v>
      </c>
      <c r="B10">
        <v>18480</v>
      </c>
      <c r="C10" t="s">
        <v>439</v>
      </c>
      <c r="D10" t="s">
        <v>486</v>
      </c>
      <c r="E10" t="s">
        <v>83</v>
      </c>
      <c r="F10" t="s">
        <v>172</v>
      </c>
      <c r="G10" t="s">
        <v>487</v>
      </c>
      <c r="H10" s="4">
        <v>686.63</v>
      </c>
      <c r="I10" t="s">
        <v>99</v>
      </c>
      <c r="J10" t="s">
        <v>1765</v>
      </c>
    </row>
    <row r="11" spans="1:10" x14ac:dyDescent="0.25">
      <c r="A11" t="s">
        <v>1764</v>
      </c>
      <c r="B11">
        <v>19041</v>
      </c>
      <c r="C11" t="s">
        <v>35</v>
      </c>
      <c r="D11" t="s">
        <v>486</v>
      </c>
      <c r="E11" t="s">
        <v>83</v>
      </c>
      <c r="F11" t="s">
        <v>172</v>
      </c>
      <c r="G11" t="s">
        <v>487</v>
      </c>
      <c r="H11" s="4">
        <v>686.63</v>
      </c>
      <c r="I11" t="s">
        <v>99</v>
      </c>
      <c r="J11" t="s">
        <v>1765</v>
      </c>
    </row>
    <row r="12" spans="1:10" x14ac:dyDescent="0.25">
      <c r="A12" t="s">
        <v>1764</v>
      </c>
      <c r="B12">
        <v>12900</v>
      </c>
      <c r="C12" t="s">
        <v>420</v>
      </c>
      <c r="D12" t="s">
        <v>477</v>
      </c>
      <c r="E12" t="s">
        <v>83</v>
      </c>
      <c r="F12" t="s">
        <v>172</v>
      </c>
      <c r="G12" t="s">
        <v>488</v>
      </c>
      <c r="H12" s="4">
        <v>699.5</v>
      </c>
      <c r="I12">
        <v>12821</v>
      </c>
      <c r="J12" t="s">
        <v>1766</v>
      </c>
    </row>
    <row r="13" spans="1:10" x14ac:dyDescent="0.25">
      <c r="A13" t="s">
        <v>1764</v>
      </c>
      <c r="B13">
        <v>16657</v>
      </c>
      <c r="C13" t="s">
        <v>461</v>
      </c>
      <c r="D13" t="s">
        <v>467</v>
      </c>
      <c r="E13" t="s">
        <v>83</v>
      </c>
      <c r="F13" t="s">
        <v>172</v>
      </c>
      <c r="G13" t="s">
        <v>490</v>
      </c>
      <c r="H13" s="4">
        <v>764</v>
      </c>
      <c r="I13" t="s">
        <v>99</v>
      </c>
      <c r="J13" t="s">
        <v>1765</v>
      </c>
    </row>
    <row r="14" spans="1:10" x14ac:dyDescent="0.25">
      <c r="A14" t="s">
        <v>1764</v>
      </c>
      <c r="B14">
        <v>13085</v>
      </c>
      <c r="C14" t="s">
        <v>424</v>
      </c>
      <c r="D14" t="s">
        <v>467</v>
      </c>
      <c r="E14" t="s">
        <v>83</v>
      </c>
      <c r="F14" t="s">
        <v>172</v>
      </c>
      <c r="G14" t="s">
        <v>491</v>
      </c>
      <c r="H14" s="4">
        <v>864.12</v>
      </c>
      <c r="I14">
        <v>12927</v>
      </c>
      <c r="J14" t="s">
        <v>1766</v>
      </c>
    </row>
    <row r="15" spans="1:10" x14ac:dyDescent="0.25">
      <c r="A15" t="s">
        <v>1764</v>
      </c>
      <c r="B15">
        <v>17332</v>
      </c>
      <c r="C15" t="s">
        <v>442</v>
      </c>
      <c r="D15" t="s">
        <v>486</v>
      </c>
      <c r="E15" t="s">
        <v>83</v>
      </c>
      <c r="F15" t="s">
        <v>172</v>
      </c>
      <c r="G15" t="s">
        <v>485</v>
      </c>
      <c r="H15" s="4">
        <v>1000</v>
      </c>
      <c r="I15" t="s">
        <v>99</v>
      </c>
      <c r="J15" t="s">
        <v>1765</v>
      </c>
    </row>
    <row r="16" spans="1:10" x14ac:dyDescent="0.25">
      <c r="A16" t="s">
        <v>1764</v>
      </c>
      <c r="B16">
        <v>11643</v>
      </c>
      <c r="C16" t="s">
        <v>32</v>
      </c>
      <c r="D16" t="s">
        <v>467</v>
      </c>
      <c r="E16" t="s">
        <v>83</v>
      </c>
      <c r="F16" t="s">
        <v>172</v>
      </c>
      <c r="G16" t="s">
        <v>493</v>
      </c>
      <c r="H16" s="4">
        <v>1107.98</v>
      </c>
      <c r="I16" t="s">
        <v>99</v>
      </c>
      <c r="J16" t="s">
        <v>1765</v>
      </c>
    </row>
    <row r="17" spans="1:10" x14ac:dyDescent="0.25">
      <c r="A17" t="s">
        <v>1764</v>
      </c>
      <c r="B17">
        <v>17995</v>
      </c>
      <c r="C17" t="s">
        <v>439</v>
      </c>
      <c r="D17" t="s">
        <v>486</v>
      </c>
      <c r="E17" t="s">
        <v>83</v>
      </c>
      <c r="F17" t="s">
        <v>172</v>
      </c>
      <c r="G17" t="s">
        <v>495</v>
      </c>
      <c r="H17" s="4">
        <v>1147.45</v>
      </c>
      <c r="I17" t="s">
        <v>99</v>
      </c>
      <c r="J17" t="s">
        <v>1765</v>
      </c>
    </row>
    <row r="18" spans="1:10" x14ac:dyDescent="0.25">
      <c r="A18" t="s">
        <v>1764</v>
      </c>
      <c r="B18">
        <v>17378</v>
      </c>
      <c r="C18" t="s">
        <v>442</v>
      </c>
      <c r="D18" t="s">
        <v>445</v>
      </c>
      <c r="E18" t="s">
        <v>83</v>
      </c>
      <c r="F18" t="s">
        <v>172</v>
      </c>
      <c r="G18" t="s">
        <v>496</v>
      </c>
      <c r="H18" s="4">
        <v>1439.42</v>
      </c>
      <c r="I18" t="s">
        <v>99</v>
      </c>
      <c r="J18" t="s">
        <v>1765</v>
      </c>
    </row>
    <row r="19" spans="1:10" x14ac:dyDescent="0.25">
      <c r="A19" t="s">
        <v>1764</v>
      </c>
      <c r="B19">
        <v>18870</v>
      </c>
      <c r="C19" t="s">
        <v>35</v>
      </c>
      <c r="D19" t="s">
        <v>486</v>
      </c>
      <c r="E19" t="s">
        <v>83</v>
      </c>
      <c r="F19" t="s">
        <v>172</v>
      </c>
      <c r="G19" t="s">
        <v>498</v>
      </c>
      <c r="H19" s="4">
        <v>1512.21</v>
      </c>
      <c r="I19" t="s">
        <v>99</v>
      </c>
      <c r="J19" t="s">
        <v>1765</v>
      </c>
    </row>
    <row r="20" spans="1:10" x14ac:dyDescent="0.25">
      <c r="A20" t="s">
        <v>1764</v>
      </c>
      <c r="B20">
        <v>11829</v>
      </c>
      <c r="C20" t="s">
        <v>32</v>
      </c>
      <c r="D20" t="s">
        <v>477</v>
      </c>
      <c r="E20" t="s">
        <v>83</v>
      </c>
      <c r="F20" t="s">
        <v>172</v>
      </c>
      <c r="G20" t="s">
        <v>499</v>
      </c>
      <c r="H20" s="4">
        <v>1875</v>
      </c>
      <c r="I20">
        <v>9339</v>
      </c>
      <c r="J20" t="s">
        <v>1766</v>
      </c>
    </row>
    <row r="21" spans="1:10" x14ac:dyDescent="0.25">
      <c r="A21" t="s">
        <v>1764</v>
      </c>
      <c r="B21">
        <v>13048</v>
      </c>
      <c r="C21" t="s">
        <v>424</v>
      </c>
      <c r="D21" t="s">
        <v>477</v>
      </c>
      <c r="E21" t="s">
        <v>83</v>
      </c>
      <c r="F21" t="s">
        <v>172</v>
      </c>
      <c r="G21" t="s">
        <v>499</v>
      </c>
      <c r="H21" s="4">
        <v>1875</v>
      </c>
      <c r="I21">
        <v>9340</v>
      </c>
      <c r="J21" t="s">
        <v>1766</v>
      </c>
    </row>
    <row r="22" spans="1:10" x14ac:dyDescent="0.25">
      <c r="A22" t="s">
        <v>1764</v>
      </c>
      <c r="B22">
        <v>14913</v>
      </c>
      <c r="C22" t="s">
        <v>454</v>
      </c>
      <c r="D22" t="s">
        <v>486</v>
      </c>
      <c r="E22" t="s">
        <v>83</v>
      </c>
      <c r="F22" t="s">
        <v>172</v>
      </c>
      <c r="G22" t="s">
        <v>499</v>
      </c>
      <c r="H22" s="4">
        <v>1875</v>
      </c>
      <c r="I22">
        <v>9342</v>
      </c>
      <c r="J22" t="s">
        <v>1766</v>
      </c>
    </row>
    <row r="23" spans="1:10" x14ac:dyDescent="0.25">
      <c r="A23" t="s">
        <v>1764</v>
      </c>
      <c r="B23">
        <v>16656</v>
      </c>
      <c r="C23" t="s">
        <v>461</v>
      </c>
      <c r="D23" t="s">
        <v>486</v>
      </c>
      <c r="E23" t="s">
        <v>83</v>
      </c>
      <c r="F23" t="s">
        <v>172</v>
      </c>
      <c r="G23" t="s">
        <v>499</v>
      </c>
      <c r="H23" s="4">
        <v>1875</v>
      </c>
      <c r="I23">
        <v>9343</v>
      </c>
      <c r="J23" t="s">
        <v>1766</v>
      </c>
    </row>
    <row r="24" spans="1:10" x14ac:dyDescent="0.25">
      <c r="A24" t="s">
        <v>1764</v>
      </c>
      <c r="B24">
        <v>17401</v>
      </c>
      <c r="C24" t="s">
        <v>442</v>
      </c>
      <c r="D24" t="s">
        <v>486</v>
      </c>
      <c r="E24" t="s">
        <v>83</v>
      </c>
      <c r="F24" t="s">
        <v>172</v>
      </c>
      <c r="G24" t="s">
        <v>499</v>
      </c>
      <c r="H24" s="4">
        <v>1875</v>
      </c>
      <c r="I24">
        <v>9344</v>
      </c>
      <c r="J24" t="s">
        <v>1766</v>
      </c>
    </row>
    <row r="25" spans="1:10" x14ac:dyDescent="0.25">
      <c r="A25" t="s">
        <v>1764</v>
      </c>
      <c r="B25">
        <v>17996</v>
      </c>
      <c r="C25" t="s">
        <v>439</v>
      </c>
      <c r="D25" t="s">
        <v>486</v>
      </c>
      <c r="E25" t="s">
        <v>83</v>
      </c>
      <c r="F25" t="s">
        <v>172</v>
      </c>
      <c r="G25" t="s">
        <v>499</v>
      </c>
      <c r="H25" s="4">
        <v>1875</v>
      </c>
      <c r="I25">
        <v>9345</v>
      </c>
      <c r="J25" t="s">
        <v>1766</v>
      </c>
    </row>
    <row r="26" spans="1:10" x14ac:dyDescent="0.25">
      <c r="A26" t="s">
        <v>1764</v>
      </c>
      <c r="B26">
        <v>18869</v>
      </c>
      <c r="C26" t="s">
        <v>35</v>
      </c>
      <c r="D26" t="s">
        <v>486</v>
      </c>
      <c r="E26" t="s">
        <v>83</v>
      </c>
      <c r="F26" t="s">
        <v>172</v>
      </c>
      <c r="G26" t="s">
        <v>499</v>
      </c>
      <c r="H26" s="4">
        <v>1875</v>
      </c>
      <c r="I26">
        <v>9346</v>
      </c>
      <c r="J26" t="s">
        <v>1766</v>
      </c>
    </row>
    <row r="27" spans="1:10" x14ac:dyDescent="0.25">
      <c r="A27" t="s">
        <v>1764</v>
      </c>
      <c r="B27">
        <v>17331</v>
      </c>
      <c r="C27" t="s">
        <v>442</v>
      </c>
      <c r="D27" t="s">
        <v>486</v>
      </c>
      <c r="E27" t="s">
        <v>83</v>
      </c>
      <c r="F27" t="s">
        <v>172</v>
      </c>
      <c r="G27" t="s">
        <v>485</v>
      </c>
      <c r="H27" s="4">
        <v>2000</v>
      </c>
      <c r="I27" t="s">
        <v>99</v>
      </c>
      <c r="J27" t="s">
        <v>1765</v>
      </c>
    </row>
    <row r="28" spans="1:10" x14ac:dyDescent="0.25">
      <c r="A28" t="s">
        <v>1764</v>
      </c>
      <c r="B28">
        <v>18187</v>
      </c>
      <c r="C28" t="s">
        <v>439</v>
      </c>
      <c r="D28" t="s">
        <v>486</v>
      </c>
      <c r="E28" t="s">
        <v>83</v>
      </c>
      <c r="F28" t="s">
        <v>172</v>
      </c>
      <c r="G28" t="s">
        <v>498</v>
      </c>
      <c r="H28" s="4">
        <v>2442.25</v>
      </c>
      <c r="I28">
        <v>18188</v>
      </c>
      <c r="J28" t="s">
        <v>1766</v>
      </c>
    </row>
    <row r="29" spans="1:10" x14ac:dyDescent="0.25">
      <c r="A29" t="s">
        <v>1764</v>
      </c>
      <c r="B29">
        <v>17358</v>
      </c>
      <c r="C29" t="s">
        <v>442</v>
      </c>
      <c r="D29" t="s">
        <v>486</v>
      </c>
      <c r="E29" t="s">
        <v>83</v>
      </c>
      <c r="F29" t="s">
        <v>172</v>
      </c>
      <c r="G29" t="s">
        <v>485</v>
      </c>
      <c r="H29" s="4">
        <v>2939.44</v>
      </c>
      <c r="I29" t="s">
        <v>99</v>
      </c>
      <c r="J29" t="s">
        <v>1765</v>
      </c>
    </row>
    <row r="30" spans="1:10" x14ac:dyDescent="0.25">
      <c r="A30" t="s">
        <v>1764</v>
      </c>
      <c r="B30">
        <v>12433</v>
      </c>
      <c r="C30" t="s">
        <v>424</v>
      </c>
      <c r="D30" t="s">
        <v>477</v>
      </c>
      <c r="E30" t="s">
        <v>83</v>
      </c>
      <c r="F30" t="s">
        <v>172</v>
      </c>
      <c r="G30" t="s">
        <v>501</v>
      </c>
      <c r="H30" s="4">
        <v>4050.65</v>
      </c>
      <c r="I30">
        <v>12827</v>
      </c>
      <c r="J30" t="s">
        <v>1766</v>
      </c>
    </row>
    <row r="31" spans="1:10" x14ac:dyDescent="0.25">
      <c r="A31" t="s">
        <v>1764</v>
      </c>
      <c r="B31">
        <v>16093</v>
      </c>
      <c r="C31" t="s">
        <v>420</v>
      </c>
      <c r="D31" t="s">
        <v>477</v>
      </c>
      <c r="E31" t="s">
        <v>83</v>
      </c>
      <c r="F31" t="s">
        <v>172</v>
      </c>
      <c r="G31" t="s">
        <v>502</v>
      </c>
      <c r="H31" s="4">
        <v>7615.77</v>
      </c>
      <c r="I31">
        <v>16083</v>
      </c>
      <c r="J31" t="s">
        <v>1766</v>
      </c>
    </row>
    <row r="32" spans="1:10" x14ac:dyDescent="0.25">
      <c r="A32" t="s">
        <v>1764</v>
      </c>
      <c r="B32">
        <v>11833</v>
      </c>
      <c r="C32" t="s">
        <v>32</v>
      </c>
      <c r="D32" t="s">
        <v>477</v>
      </c>
      <c r="E32" t="s">
        <v>83</v>
      </c>
      <c r="F32" t="s">
        <v>172</v>
      </c>
      <c r="G32" t="s">
        <v>503</v>
      </c>
      <c r="H32" s="4">
        <v>7670.57</v>
      </c>
      <c r="I32">
        <v>12366</v>
      </c>
      <c r="J32" t="s">
        <v>1766</v>
      </c>
    </row>
    <row r="33" spans="1:10" x14ac:dyDescent="0.25">
      <c r="A33" t="s">
        <v>1764</v>
      </c>
      <c r="B33">
        <v>17355</v>
      </c>
      <c r="C33" t="s">
        <v>442</v>
      </c>
      <c r="D33" t="s">
        <v>486</v>
      </c>
      <c r="E33" t="s">
        <v>83</v>
      </c>
      <c r="F33" t="s">
        <v>172</v>
      </c>
      <c r="G33" t="s">
        <v>485</v>
      </c>
      <c r="H33" s="4">
        <v>7917</v>
      </c>
      <c r="I33" t="s">
        <v>99</v>
      </c>
      <c r="J33" t="s">
        <v>1765</v>
      </c>
    </row>
    <row r="34" spans="1:10" x14ac:dyDescent="0.25">
      <c r="A34" t="s">
        <v>1764</v>
      </c>
      <c r="B34">
        <v>18591</v>
      </c>
      <c r="C34" t="s">
        <v>35</v>
      </c>
      <c r="D34" t="s">
        <v>445</v>
      </c>
      <c r="E34" t="s">
        <v>83</v>
      </c>
      <c r="F34" t="s">
        <v>172</v>
      </c>
      <c r="G34" t="s">
        <v>504</v>
      </c>
      <c r="H34" s="4">
        <v>8061.71</v>
      </c>
      <c r="I34" t="s">
        <v>99</v>
      </c>
      <c r="J34" t="s">
        <v>1765</v>
      </c>
    </row>
    <row r="35" spans="1:10" x14ac:dyDescent="0.25">
      <c r="A35" t="s">
        <v>1764</v>
      </c>
      <c r="B35">
        <v>18481</v>
      </c>
      <c r="C35" t="s">
        <v>439</v>
      </c>
      <c r="D35" t="s">
        <v>486</v>
      </c>
      <c r="E35" t="s">
        <v>83</v>
      </c>
      <c r="F35" t="s">
        <v>172</v>
      </c>
      <c r="G35" t="s">
        <v>506</v>
      </c>
      <c r="H35" s="4">
        <v>8365.24</v>
      </c>
      <c r="I35">
        <v>18225</v>
      </c>
      <c r="J35" t="s">
        <v>1766</v>
      </c>
    </row>
    <row r="36" spans="1:10" x14ac:dyDescent="0.25">
      <c r="A36" t="s">
        <v>1764</v>
      </c>
      <c r="B36">
        <v>11377</v>
      </c>
      <c r="C36" t="s">
        <v>32</v>
      </c>
      <c r="D36" t="s">
        <v>477</v>
      </c>
      <c r="E36" t="s">
        <v>83</v>
      </c>
      <c r="F36" t="s">
        <v>172</v>
      </c>
      <c r="G36" t="s">
        <v>508</v>
      </c>
      <c r="H36" s="4">
        <v>8645.97</v>
      </c>
      <c r="I36" t="s">
        <v>99</v>
      </c>
      <c r="J36" t="s">
        <v>1765</v>
      </c>
    </row>
    <row r="37" spans="1:10" x14ac:dyDescent="0.25">
      <c r="A37" t="s">
        <v>1764</v>
      </c>
      <c r="B37">
        <v>17356</v>
      </c>
      <c r="C37" t="s">
        <v>442</v>
      </c>
      <c r="D37" t="s">
        <v>486</v>
      </c>
      <c r="E37" t="s">
        <v>83</v>
      </c>
      <c r="F37" t="s">
        <v>172</v>
      </c>
      <c r="G37" t="s">
        <v>485</v>
      </c>
      <c r="H37" s="4">
        <v>10500</v>
      </c>
      <c r="I37" t="s">
        <v>99</v>
      </c>
      <c r="J37" t="s">
        <v>1765</v>
      </c>
    </row>
    <row r="38" spans="1:10" x14ac:dyDescent="0.25">
      <c r="A38" t="s">
        <v>1764</v>
      </c>
      <c r="B38">
        <v>14912</v>
      </c>
      <c r="C38" t="s">
        <v>420</v>
      </c>
      <c r="D38" t="s">
        <v>477</v>
      </c>
      <c r="E38" t="s">
        <v>83</v>
      </c>
      <c r="F38" t="s">
        <v>172</v>
      </c>
      <c r="G38" t="s">
        <v>499</v>
      </c>
      <c r="H38" s="4">
        <v>11250</v>
      </c>
      <c r="I38">
        <v>9341</v>
      </c>
      <c r="J38" t="s">
        <v>1766</v>
      </c>
    </row>
    <row r="39" spans="1:10" x14ac:dyDescent="0.25">
      <c r="A39" t="s">
        <v>1764</v>
      </c>
      <c r="B39">
        <v>18575</v>
      </c>
      <c r="C39" t="s">
        <v>439</v>
      </c>
      <c r="D39" t="s">
        <v>511</v>
      </c>
      <c r="E39" t="s">
        <v>83</v>
      </c>
      <c r="F39" t="s">
        <v>172</v>
      </c>
      <c r="G39" t="s">
        <v>509</v>
      </c>
      <c r="H39" s="4">
        <v>11835.2</v>
      </c>
      <c r="I39" t="s">
        <v>99</v>
      </c>
      <c r="J39" t="s">
        <v>1765</v>
      </c>
    </row>
    <row r="40" spans="1:10" x14ac:dyDescent="0.25">
      <c r="A40" t="s">
        <v>1764</v>
      </c>
      <c r="B40">
        <v>18581</v>
      </c>
      <c r="C40" t="s">
        <v>439</v>
      </c>
      <c r="D40" t="s">
        <v>511</v>
      </c>
      <c r="E40" t="s">
        <v>83</v>
      </c>
      <c r="F40" t="s">
        <v>172</v>
      </c>
      <c r="G40" t="s">
        <v>509</v>
      </c>
      <c r="H40" s="4">
        <v>11840</v>
      </c>
      <c r="I40" t="s">
        <v>99</v>
      </c>
      <c r="J40" t="s">
        <v>1765</v>
      </c>
    </row>
    <row r="41" spans="1:10" x14ac:dyDescent="0.25">
      <c r="A41" t="s">
        <v>1764</v>
      </c>
      <c r="B41">
        <v>19343</v>
      </c>
      <c r="C41" t="s">
        <v>35</v>
      </c>
      <c r="D41" t="s">
        <v>511</v>
      </c>
      <c r="E41" t="s">
        <v>83</v>
      </c>
      <c r="F41" t="s">
        <v>172</v>
      </c>
      <c r="G41" t="s">
        <v>509</v>
      </c>
      <c r="H41" s="4">
        <v>11840</v>
      </c>
      <c r="I41" t="s">
        <v>99</v>
      </c>
      <c r="J41" t="s">
        <v>1765</v>
      </c>
    </row>
    <row r="42" spans="1:10" x14ac:dyDescent="0.25">
      <c r="A42" t="s">
        <v>1764</v>
      </c>
      <c r="B42">
        <v>11553</v>
      </c>
      <c r="C42" t="s">
        <v>32</v>
      </c>
      <c r="D42" t="s">
        <v>511</v>
      </c>
      <c r="E42" t="s">
        <v>83</v>
      </c>
      <c r="F42" t="s">
        <v>172</v>
      </c>
      <c r="G42" t="s">
        <v>509</v>
      </c>
      <c r="H42" s="4">
        <v>12000</v>
      </c>
      <c r="I42">
        <v>12527</v>
      </c>
      <c r="J42" t="s">
        <v>1766</v>
      </c>
    </row>
    <row r="43" spans="1:10" x14ac:dyDescent="0.25">
      <c r="A43" t="s">
        <v>1764</v>
      </c>
      <c r="B43">
        <v>12320</v>
      </c>
      <c r="C43" t="s">
        <v>424</v>
      </c>
      <c r="D43" t="s">
        <v>511</v>
      </c>
      <c r="E43" t="s">
        <v>83</v>
      </c>
      <c r="F43" t="s">
        <v>172</v>
      </c>
      <c r="G43" t="s">
        <v>509</v>
      </c>
      <c r="H43" s="4">
        <v>12000</v>
      </c>
      <c r="I43">
        <v>12526</v>
      </c>
      <c r="J43" t="s">
        <v>1766</v>
      </c>
    </row>
    <row r="44" spans="1:10" x14ac:dyDescent="0.25">
      <c r="A44" t="s">
        <v>1764</v>
      </c>
      <c r="B44">
        <v>12610</v>
      </c>
      <c r="C44" t="s">
        <v>420</v>
      </c>
      <c r="D44" t="s">
        <v>511</v>
      </c>
      <c r="E44" t="s">
        <v>83</v>
      </c>
      <c r="F44" t="s">
        <v>172</v>
      </c>
      <c r="G44" t="s">
        <v>509</v>
      </c>
      <c r="H44" s="4">
        <v>12000</v>
      </c>
      <c r="I44">
        <v>12528</v>
      </c>
      <c r="J44" t="s">
        <v>1766</v>
      </c>
    </row>
    <row r="45" spans="1:10" x14ac:dyDescent="0.25">
      <c r="A45" t="s">
        <v>1764</v>
      </c>
      <c r="B45">
        <v>17314</v>
      </c>
      <c r="C45" t="s">
        <v>454</v>
      </c>
      <c r="D45" t="s">
        <v>511</v>
      </c>
      <c r="E45" t="s">
        <v>83</v>
      </c>
      <c r="F45" t="s">
        <v>172</v>
      </c>
      <c r="G45" t="s">
        <v>509</v>
      </c>
      <c r="H45" s="4">
        <v>12000</v>
      </c>
      <c r="I45">
        <v>12529</v>
      </c>
      <c r="J45" t="s">
        <v>1766</v>
      </c>
    </row>
    <row r="46" spans="1:10" x14ac:dyDescent="0.25">
      <c r="A46" t="s">
        <v>1764</v>
      </c>
      <c r="B46">
        <v>17323</v>
      </c>
      <c r="C46" t="s">
        <v>461</v>
      </c>
      <c r="D46" t="s">
        <v>511</v>
      </c>
      <c r="E46" t="s">
        <v>83</v>
      </c>
      <c r="F46" t="s">
        <v>172</v>
      </c>
      <c r="G46" t="s">
        <v>509</v>
      </c>
      <c r="H46" s="4">
        <v>12000</v>
      </c>
      <c r="I46">
        <v>12530</v>
      </c>
      <c r="J46" t="s">
        <v>1766</v>
      </c>
    </row>
    <row r="47" spans="1:10" x14ac:dyDescent="0.25">
      <c r="A47" t="s">
        <v>1764</v>
      </c>
      <c r="B47">
        <v>17791</v>
      </c>
      <c r="C47" t="s">
        <v>442</v>
      </c>
      <c r="D47" t="s">
        <v>511</v>
      </c>
      <c r="E47" t="s">
        <v>83</v>
      </c>
      <c r="F47" t="s">
        <v>172</v>
      </c>
      <c r="G47" t="s">
        <v>509</v>
      </c>
      <c r="H47" s="4">
        <v>12000</v>
      </c>
      <c r="I47">
        <v>12531</v>
      </c>
      <c r="J47" t="s">
        <v>1766</v>
      </c>
    </row>
    <row r="48" spans="1:10" x14ac:dyDescent="0.25">
      <c r="A48" t="s">
        <v>1764</v>
      </c>
      <c r="B48">
        <v>17517</v>
      </c>
      <c r="C48" t="s">
        <v>442</v>
      </c>
      <c r="D48" t="s">
        <v>486</v>
      </c>
      <c r="E48" t="s">
        <v>83</v>
      </c>
      <c r="F48" t="s">
        <v>172</v>
      </c>
      <c r="G48" t="s">
        <v>485</v>
      </c>
      <c r="H48" s="4">
        <v>13060.56</v>
      </c>
      <c r="I48" t="s">
        <v>99</v>
      </c>
      <c r="J48" t="s">
        <v>1765</v>
      </c>
    </row>
    <row r="49" spans="1:10" x14ac:dyDescent="0.25">
      <c r="A49" t="s">
        <v>1764</v>
      </c>
      <c r="B49">
        <v>17172</v>
      </c>
      <c r="C49" t="s">
        <v>442</v>
      </c>
      <c r="D49" t="s">
        <v>486</v>
      </c>
      <c r="E49" t="s">
        <v>83</v>
      </c>
      <c r="F49" t="s">
        <v>172</v>
      </c>
      <c r="G49" t="s">
        <v>512</v>
      </c>
      <c r="H49" s="4">
        <v>22041.31</v>
      </c>
      <c r="I49">
        <v>17097</v>
      </c>
      <c r="J49" t="s">
        <v>1766</v>
      </c>
    </row>
    <row r="50" spans="1:10" x14ac:dyDescent="0.25">
      <c r="A50" t="s">
        <v>1764</v>
      </c>
      <c r="B50">
        <v>15855</v>
      </c>
      <c r="C50" t="s">
        <v>454</v>
      </c>
      <c r="D50" t="s">
        <v>74</v>
      </c>
      <c r="E50" t="s">
        <v>83</v>
      </c>
      <c r="F50" t="s">
        <v>172</v>
      </c>
      <c r="G50" t="s">
        <v>514</v>
      </c>
      <c r="H50" s="4">
        <v>31960</v>
      </c>
      <c r="I50" t="s">
        <v>99</v>
      </c>
      <c r="J50" t="s">
        <v>1765</v>
      </c>
    </row>
    <row r="51" spans="1:10" x14ac:dyDescent="0.25">
      <c r="A51" t="s">
        <v>1764</v>
      </c>
      <c r="B51">
        <v>17994</v>
      </c>
      <c r="C51" t="s">
        <v>439</v>
      </c>
      <c r="D51" t="s">
        <v>486</v>
      </c>
      <c r="E51" t="s">
        <v>83</v>
      </c>
      <c r="F51" t="s">
        <v>172</v>
      </c>
      <c r="G51" t="s">
        <v>516</v>
      </c>
      <c r="H51" s="4">
        <v>46790.12</v>
      </c>
      <c r="I51">
        <v>17923</v>
      </c>
      <c r="J51" t="s">
        <v>1766</v>
      </c>
    </row>
    <row r="52" spans="1:10" x14ac:dyDescent="0.25">
      <c r="A52" t="s">
        <v>1764</v>
      </c>
      <c r="B52">
        <v>16664</v>
      </c>
      <c r="C52" t="s">
        <v>461</v>
      </c>
      <c r="D52" t="s">
        <v>486</v>
      </c>
      <c r="E52" t="s">
        <v>83</v>
      </c>
      <c r="F52" t="s">
        <v>172</v>
      </c>
      <c r="G52" t="s">
        <v>518</v>
      </c>
      <c r="H52" s="4">
        <v>91298.03</v>
      </c>
      <c r="I52">
        <v>16900</v>
      </c>
      <c r="J52" t="s">
        <v>1766</v>
      </c>
    </row>
    <row r="53" spans="1:10" x14ac:dyDescent="0.25">
      <c r="A53" t="s">
        <v>1764</v>
      </c>
      <c r="B53">
        <v>17549</v>
      </c>
      <c r="C53" t="s">
        <v>442</v>
      </c>
      <c r="D53" t="s">
        <v>486</v>
      </c>
      <c r="E53" t="s">
        <v>83</v>
      </c>
      <c r="F53" t="s">
        <v>172</v>
      </c>
      <c r="G53" t="s">
        <v>518</v>
      </c>
      <c r="H53" s="4">
        <v>91298.03</v>
      </c>
      <c r="I53">
        <v>16903</v>
      </c>
      <c r="J53" t="s">
        <v>1766</v>
      </c>
    </row>
    <row r="54" spans="1:10" x14ac:dyDescent="0.25">
      <c r="A54" t="s">
        <v>1764</v>
      </c>
      <c r="B54">
        <v>18178</v>
      </c>
      <c r="C54" t="s">
        <v>439</v>
      </c>
      <c r="D54" t="s">
        <v>486</v>
      </c>
      <c r="E54" t="s">
        <v>83</v>
      </c>
      <c r="F54" t="s">
        <v>172</v>
      </c>
      <c r="G54" t="s">
        <v>518</v>
      </c>
      <c r="H54" s="4">
        <v>91298.03</v>
      </c>
      <c r="I54">
        <v>16906</v>
      </c>
      <c r="J54" t="s">
        <v>1766</v>
      </c>
    </row>
    <row r="55" spans="1:10" x14ac:dyDescent="0.25">
      <c r="A55" t="s">
        <v>1764</v>
      </c>
      <c r="B55">
        <v>18901</v>
      </c>
      <c r="C55" t="s">
        <v>35</v>
      </c>
      <c r="D55" t="s">
        <v>486</v>
      </c>
      <c r="E55" t="s">
        <v>83</v>
      </c>
      <c r="F55" t="s">
        <v>172</v>
      </c>
      <c r="G55" t="s">
        <v>519</v>
      </c>
      <c r="H55" s="4">
        <v>98445.9</v>
      </c>
      <c r="I55">
        <v>18900</v>
      </c>
      <c r="J55" t="s">
        <v>1766</v>
      </c>
    </row>
    <row r="56" spans="1:10" x14ac:dyDescent="0.25">
      <c r="A56" t="s">
        <v>1764</v>
      </c>
      <c r="B56">
        <v>16481</v>
      </c>
      <c r="C56" t="s">
        <v>454</v>
      </c>
      <c r="D56" t="s">
        <v>486</v>
      </c>
      <c r="E56" t="s">
        <v>83</v>
      </c>
      <c r="F56" t="s">
        <v>172</v>
      </c>
      <c r="G56" t="s">
        <v>518</v>
      </c>
      <c r="H56" s="4">
        <v>167400</v>
      </c>
      <c r="I56">
        <v>16231</v>
      </c>
      <c r="J56" t="s">
        <v>1766</v>
      </c>
    </row>
    <row r="57" spans="1:10" x14ac:dyDescent="0.25">
      <c r="A57" t="s">
        <v>1764</v>
      </c>
      <c r="B57">
        <v>14888</v>
      </c>
      <c r="C57" t="s">
        <v>420</v>
      </c>
      <c r="D57" t="s">
        <v>74</v>
      </c>
      <c r="E57" t="s">
        <v>83</v>
      </c>
      <c r="F57" t="s">
        <v>172</v>
      </c>
      <c r="G57" t="s">
        <v>520</v>
      </c>
      <c r="H57" s="4">
        <v>200754.8</v>
      </c>
      <c r="I57">
        <v>14886</v>
      </c>
      <c r="J57" t="s">
        <v>1766</v>
      </c>
    </row>
    <row r="58" spans="1:10" x14ac:dyDescent="0.25">
      <c r="A58" t="s">
        <v>1767</v>
      </c>
      <c r="B58">
        <v>12367</v>
      </c>
      <c r="C58" t="s">
        <v>32</v>
      </c>
      <c r="D58" t="s">
        <v>74</v>
      </c>
      <c r="E58" t="s">
        <v>1768</v>
      </c>
      <c r="F58" t="s">
        <v>1769</v>
      </c>
      <c r="G58" t="s">
        <v>1770</v>
      </c>
      <c r="H58" s="4">
        <v>1275</v>
      </c>
      <c r="I58" t="s">
        <v>99</v>
      </c>
      <c r="J58" t="s">
        <v>1771</v>
      </c>
    </row>
    <row r="59" spans="1:10" x14ac:dyDescent="0.25">
      <c r="A59" t="s">
        <v>1767</v>
      </c>
      <c r="B59">
        <v>16013</v>
      </c>
      <c r="C59" t="s">
        <v>420</v>
      </c>
      <c r="D59" t="s">
        <v>451</v>
      </c>
      <c r="E59" t="s">
        <v>1772</v>
      </c>
      <c r="F59" t="s">
        <v>1773</v>
      </c>
      <c r="G59" t="s">
        <v>1774</v>
      </c>
      <c r="H59" s="4">
        <v>1908.86</v>
      </c>
      <c r="I59" t="s">
        <v>99</v>
      </c>
      <c r="J59" t="s">
        <v>1771</v>
      </c>
    </row>
    <row r="60" spans="1:10" x14ac:dyDescent="0.25">
      <c r="A60" t="s">
        <v>1767</v>
      </c>
      <c r="B60">
        <v>16079</v>
      </c>
      <c r="C60" t="s">
        <v>420</v>
      </c>
      <c r="D60" t="s">
        <v>451</v>
      </c>
      <c r="E60" t="s">
        <v>1772</v>
      </c>
      <c r="F60" t="s">
        <v>1773</v>
      </c>
      <c r="G60" t="s">
        <v>1774</v>
      </c>
      <c r="H60" s="4">
        <v>1908.86</v>
      </c>
      <c r="I60" t="s">
        <v>99</v>
      </c>
      <c r="J60" t="s">
        <v>1771</v>
      </c>
    </row>
    <row r="61" spans="1:10" x14ac:dyDescent="0.25">
      <c r="A61" t="s">
        <v>1767</v>
      </c>
      <c r="B61">
        <v>16229</v>
      </c>
      <c r="C61" t="s">
        <v>454</v>
      </c>
      <c r="D61" t="s">
        <v>451</v>
      </c>
      <c r="E61" t="s">
        <v>1772</v>
      </c>
      <c r="F61" t="s">
        <v>1773</v>
      </c>
      <c r="G61" t="s">
        <v>1774</v>
      </c>
      <c r="H61" s="4">
        <v>1750</v>
      </c>
      <c r="I61" t="s">
        <v>99</v>
      </c>
      <c r="J61" t="s">
        <v>1771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28" customWidth="1"/>
    <col min="4" max="4" width="16" customWidth="1"/>
    <col min="5" max="5" width="28" customWidth="1"/>
    <col min="6" max="6" width="50" customWidth="1"/>
    <col min="7" max="7" width="20" customWidth="1"/>
    <col min="8" max="8" width="42" customWidth="1"/>
  </cols>
  <sheetData>
    <row r="1" ht="30" customHeight="1" spans="1:8" s="2" customFormat="1" x14ac:dyDescent="0.25">
      <c r="A1" s="2" t="s">
        <v>403</v>
      </c>
      <c r="B1" s="2" t="s">
        <v>1717</v>
      </c>
      <c r="C1" s="2" t="s">
        <v>73</v>
      </c>
      <c r="D1" s="2" t="s">
        <v>79</v>
      </c>
      <c r="E1" s="2" t="s">
        <v>1761</v>
      </c>
      <c r="F1" s="2" t="s">
        <v>405</v>
      </c>
      <c r="G1" s="2" t="s">
        <v>153</v>
      </c>
      <c r="H1" s="2" t="s">
        <v>71</v>
      </c>
    </row>
    <row r="2" spans="1:8" x14ac:dyDescent="0.25">
      <c r="A2">
        <v>11932</v>
      </c>
      <c r="B2" t="s">
        <v>32</v>
      </c>
      <c r="C2" t="s">
        <v>74</v>
      </c>
      <c r="D2" t="s">
        <v>1775</v>
      </c>
      <c r="E2" t="s">
        <v>1776</v>
      </c>
      <c r="F2" t="s">
        <v>1777</v>
      </c>
      <c r="G2" s="4">
        <v>18000</v>
      </c>
      <c r="H2" t="s">
        <v>1778</v>
      </c>
    </row>
    <row r="3" spans="1:8" x14ac:dyDescent="0.25">
      <c r="A3">
        <v>11974</v>
      </c>
      <c r="B3" t="s">
        <v>32</v>
      </c>
      <c r="C3" t="s">
        <v>477</v>
      </c>
      <c r="D3" t="s">
        <v>1775</v>
      </c>
      <c r="E3" t="s">
        <v>1776</v>
      </c>
      <c r="F3" t="s">
        <v>1779</v>
      </c>
      <c r="G3" s="4">
        <v>183.62</v>
      </c>
      <c r="H3" t="s">
        <v>1778</v>
      </c>
    </row>
    <row r="4" spans="1:8" x14ac:dyDescent="0.25">
      <c r="A4">
        <v>12242</v>
      </c>
      <c r="B4" t="s">
        <v>424</v>
      </c>
      <c r="C4" t="s">
        <v>451</v>
      </c>
      <c r="D4" t="s">
        <v>1775</v>
      </c>
      <c r="E4" t="s">
        <v>1776</v>
      </c>
      <c r="F4" t="s">
        <v>1780</v>
      </c>
      <c r="G4" s="4">
        <v>12</v>
      </c>
      <c r="H4" t="s">
        <v>1778</v>
      </c>
    </row>
    <row r="5" spans="1:8" x14ac:dyDescent="0.25">
      <c r="A5">
        <v>12391</v>
      </c>
      <c r="B5" t="s">
        <v>424</v>
      </c>
      <c r="C5" t="s">
        <v>477</v>
      </c>
      <c r="D5" t="s">
        <v>1775</v>
      </c>
      <c r="E5" t="s">
        <v>1776</v>
      </c>
      <c r="F5" t="s">
        <v>1779</v>
      </c>
      <c r="G5" s="4">
        <v>6.97</v>
      </c>
      <c r="H5" t="s">
        <v>1778</v>
      </c>
    </row>
    <row r="6" spans="1:8" x14ac:dyDescent="0.25">
      <c r="A6">
        <v>12392</v>
      </c>
      <c r="B6" t="s">
        <v>424</v>
      </c>
      <c r="C6" t="s">
        <v>477</v>
      </c>
      <c r="D6" t="s">
        <v>1775</v>
      </c>
      <c r="E6" t="s">
        <v>1776</v>
      </c>
      <c r="F6" t="s">
        <v>1779</v>
      </c>
      <c r="G6" s="4">
        <v>183.89</v>
      </c>
      <c r="H6" t="s">
        <v>1778</v>
      </c>
    </row>
    <row r="7" spans="1:8" x14ac:dyDescent="0.25">
      <c r="A7">
        <v>12532</v>
      </c>
      <c r="B7" t="s">
        <v>439</v>
      </c>
      <c r="C7" t="s">
        <v>511</v>
      </c>
      <c r="D7" t="s">
        <v>1775</v>
      </c>
      <c r="E7" t="s">
        <v>1776</v>
      </c>
      <c r="F7" t="s">
        <v>1781</v>
      </c>
      <c r="G7" s="4">
        <v>12000</v>
      </c>
      <c r="H7" t="s">
        <v>1778</v>
      </c>
    </row>
    <row r="8" spans="1:8" x14ac:dyDescent="0.25">
      <c r="A8">
        <v>12533</v>
      </c>
      <c r="B8" t="s">
        <v>35</v>
      </c>
      <c r="C8" t="s">
        <v>511</v>
      </c>
      <c r="D8" t="s">
        <v>1775</v>
      </c>
      <c r="E8" t="s">
        <v>1776</v>
      </c>
      <c r="F8" t="s">
        <v>1781</v>
      </c>
      <c r="G8" s="4">
        <v>12000</v>
      </c>
      <c r="H8" t="s">
        <v>1778</v>
      </c>
    </row>
    <row r="9" spans="1:8" x14ac:dyDescent="0.25">
      <c r="A9">
        <v>12928</v>
      </c>
      <c r="B9" t="s">
        <v>424</v>
      </c>
      <c r="C9" t="s">
        <v>467</v>
      </c>
      <c r="D9" t="s">
        <v>1775</v>
      </c>
      <c r="E9" t="s">
        <v>1776</v>
      </c>
      <c r="F9" t="s">
        <v>1782</v>
      </c>
      <c r="G9" s="4">
        <v>314.01</v>
      </c>
      <c r="H9" t="s">
        <v>1778</v>
      </c>
    </row>
    <row r="10" spans="1:8" x14ac:dyDescent="0.25">
      <c r="A10">
        <v>13092</v>
      </c>
      <c r="B10" t="s">
        <v>424</v>
      </c>
      <c r="C10" t="s">
        <v>451</v>
      </c>
      <c r="D10" t="s">
        <v>1775</v>
      </c>
      <c r="E10" t="s">
        <v>1776</v>
      </c>
      <c r="F10" t="s">
        <v>1783</v>
      </c>
      <c r="G10" s="4">
        <v>10.04</v>
      </c>
      <c r="H10" t="s">
        <v>1778</v>
      </c>
    </row>
    <row r="11" spans="1:8" x14ac:dyDescent="0.25">
      <c r="A11">
        <v>13368</v>
      </c>
      <c r="B11" t="s">
        <v>420</v>
      </c>
      <c r="C11" t="s">
        <v>477</v>
      </c>
      <c r="D11" t="s">
        <v>1775</v>
      </c>
      <c r="E11" t="s">
        <v>1776</v>
      </c>
      <c r="F11" t="s">
        <v>1779</v>
      </c>
      <c r="G11" s="4">
        <v>6.98</v>
      </c>
      <c r="H11" t="s">
        <v>1778</v>
      </c>
    </row>
    <row r="12" spans="1:8" x14ac:dyDescent="0.25">
      <c r="A12">
        <v>13369</v>
      </c>
      <c r="B12" t="s">
        <v>420</v>
      </c>
      <c r="C12" t="s">
        <v>477</v>
      </c>
      <c r="D12" t="s">
        <v>1775</v>
      </c>
      <c r="E12" t="s">
        <v>1776</v>
      </c>
      <c r="F12" t="s">
        <v>1779</v>
      </c>
      <c r="G12" s="4">
        <v>184.16</v>
      </c>
      <c r="H12" t="s">
        <v>1778</v>
      </c>
    </row>
    <row r="13" spans="1:8" x14ac:dyDescent="0.25">
      <c r="A13">
        <v>14113</v>
      </c>
      <c r="B13" t="s">
        <v>454</v>
      </c>
      <c r="C13" t="s">
        <v>477</v>
      </c>
      <c r="D13" t="s">
        <v>1775</v>
      </c>
      <c r="E13" t="s">
        <v>1776</v>
      </c>
      <c r="F13" t="s">
        <v>1784</v>
      </c>
      <c r="G13" s="4">
        <v>31960</v>
      </c>
      <c r="H13" t="s">
        <v>1778</v>
      </c>
    </row>
    <row r="14" spans="1:8" x14ac:dyDescent="0.25">
      <c r="A14">
        <v>16568</v>
      </c>
      <c r="B14" t="s">
        <v>454</v>
      </c>
      <c r="C14" t="s">
        <v>467</v>
      </c>
      <c r="D14" t="s">
        <v>1775</v>
      </c>
      <c r="E14" t="s">
        <v>1776</v>
      </c>
      <c r="F14" t="s">
        <v>1779</v>
      </c>
      <c r="G14" s="4">
        <v>6.99</v>
      </c>
      <c r="H14" t="s">
        <v>1778</v>
      </c>
    </row>
    <row r="15" spans="1:8" x14ac:dyDescent="0.25">
      <c r="A15">
        <v>16570</v>
      </c>
      <c r="B15" t="s">
        <v>454</v>
      </c>
      <c r="C15" t="s">
        <v>467</v>
      </c>
      <c r="D15" t="s">
        <v>1775</v>
      </c>
      <c r="E15" t="s">
        <v>1776</v>
      </c>
      <c r="F15" t="s">
        <v>1779</v>
      </c>
      <c r="G15" s="4">
        <v>184.43</v>
      </c>
      <c r="H15" t="s">
        <v>1778</v>
      </c>
    </row>
    <row r="16" spans="1:8" x14ac:dyDescent="0.25">
      <c r="A16">
        <v>16909</v>
      </c>
      <c r="B16" t="s">
        <v>35</v>
      </c>
      <c r="C16" t="s">
        <v>486</v>
      </c>
      <c r="D16" t="s">
        <v>1775</v>
      </c>
      <c r="E16" t="s">
        <v>1776</v>
      </c>
      <c r="F16" t="s">
        <v>1785</v>
      </c>
      <c r="G16" s="4">
        <v>91298.03</v>
      </c>
      <c r="H16" t="s">
        <v>1778</v>
      </c>
    </row>
    <row r="17" spans="1:8" x14ac:dyDescent="0.25">
      <c r="A17">
        <v>17009</v>
      </c>
      <c r="B17" t="s">
        <v>32</v>
      </c>
      <c r="C17" t="s">
        <v>477</v>
      </c>
      <c r="D17" t="s">
        <v>1775</v>
      </c>
      <c r="E17" t="s">
        <v>1776</v>
      </c>
      <c r="F17" t="s">
        <v>1779</v>
      </c>
      <c r="G17" s="4">
        <v>6.96</v>
      </c>
      <c r="H17" t="s">
        <v>1778</v>
      </c>
    </row>
    <row r="18" spans="1:8" x14ac:dyDescent="0.25">
      <c r="A18">
        <v>17015</v>
      </c>
      <c r="B18" t="s">
        <v>461</v>
      </c>
      <c r="C18" t="s">
        <v>467</v>
      </c>
      <c r="D18" t="s">
        <v>1775</v>
      </c>
      <c r="E18" t="s">
        <v>1776</v>
      </c>
      <c r="F18" t="s">
        <v>1779</v>
      </c>
      <c r="G18" s="4">
        <v>7</v>
      </c>
      <c r="H18" t="s">
        <v>1778</v>
      </c>
    </row>
    <row r="19" spans="1:8" x14ac:dyDescent="0.25">
      <c r="A19">
        <v>17017</v>
      </c>
      <c r="B19" t="s">
        <v>461</v>
      </c>
      <c r="C19" t="s">
        <v>467</v>
      </c>
      <c r="D19" t="s">
        <v>1775</v>
      </c>
      <c r="E19" t="s">
        <v>1776</v>
      </c>
      <c r="F19" t="s">
        <v>1779</v>
      </c>
      <c r="G19" s="4">
        <v>184.7</v>
      </c>
      <c r="H19" t="s">
        <v>1778</v>
      </c>
    </row>
    <row r="20" spans="1:8" x14ac:dyDescent="0.25">
      <c r="A20">
        <v>17088</v>
      </c>
      <c r="B20" t="s">
        <v>442</v>
      </c>
      <c r="C20" t="s">
        <v>486</v>
      </c>
      <c r="D20" t="s">
        <v>1775</v>
      </c>
      <c r="E20" t="s">
        <v>1776</v>
      </c>
      <c r="F20" t="s">
        <v>1786</v>
      </c>
      <c r="G20" s="4">
        <v>38.67</v>
      </c>
      <c r="H20" t="s">
        <v>1778</v>
      </c>
    </row>
    <row r="21" spans="1:8" x14ac:dyDescent="0.25">
      <c r="A21">
        <v>17091</v>
      </c>
      <c r="B21" t="s">
        <v>442</v>
      </c>
      <c r="C21" t="s">
        <v>486</v>
      </c>
      <c r="D21" t="s">
        <v>1775</v>
      </c>
      <c r="E21" t="s">
        <v>1776</v>
      </c>
      <c r="F21" t="s">
        <v>1786</v>
      </c>
      <c r="G21" s="4">
        <v>21156.24</v>
      </c>
      <c r="H21" t="s">
        <v>1778</v>
      </c>
    </row>
    <row r="22" spans="1:8" x14ac:dyDescent="0.25">
      <c r="A22">
        <v>17094</v>
      </c>
      <c r="B22" t="s">
        <v>442</v>
      </c>
      <c r="C22" t="s">
        <v>486</v>
      </c>
      <c r="D22" t="s">
        <v>1775</v>
      </c>
      <c r="E22" t="s">
        <v>1776</v>
      </c>
      <c r="F22" t="s">
        <v>1786</v>
      </c>
      <c r="G22" s="4">
        <v>16739.01</v>
      </c>
      <c r="H22" t="s">
        <v>1778</v>
      </c>
    </row>
    <row r="23" spans="1:8" x14ac:dyDescent="0.25">
      <c r="A23">
        <v>17166</v>
      </c>
      <c r="B23" t="s">
        <v>461</v>
      </c>
      <c r="C23" t="s">
        <v>445</v>
      </c>
      <c r="D23" t="s">
        <v>1775</v>
      </c>
      <c r="E23" t="s">
        <v>1776</v>
      </c>
      <c r="F23" t="s">
        <v>1787</v>
      </c>
      <c r="G23" s="4">
        <v>1439.42</v>
      </c>
      <c r="H23" t="s">
        <v>1778</v>
      </c>
    </row>
    <row r="24" spans="1:8" x14ac:dyDescent="0.25">
      <c r="A24">
        <v>17402</v>
      </c>
      <c r="B24" t="s">
        <v>442</v>
      </c>
      <c r="C24" t="s">
        <v>451</v>
      </c>
      <c r="D24" t="s">
        <v>1775</v>
      </c>
      <c r="E24" t="s">
        <v>1776</v>
      </c>
      <c r="F24" t="s">
        <v>1788</v>
      </c>
      <c r="G24" s="4">
        <v>39.8</v>
      </c>
      <c r="H24" t="s">
        <v>1778</v>
      </c>
    </row>
    <row r="25" spans="1:8" x14ac:dyDescent="0.25">
      <c r="A25">
        <v>17662</v>
      </c>
      <c r="B25" t="s">
        <v>442</v>
      </c>
      <c r="C25" t="s">
        <v>451</v>
      </c>
      <c r="D25" t="s">
        <v>1775</v>
      </c>
      <c r="E25" t="s">
        <v>1776</v>
      </c>
      <c r="F25" t="s">
        <v>1788</v>
      </c>
      <c r="G25" s="4">
        <v>39.8</v>
      </c>
      <c r="H25" t="s">
        <v>1778</v>
      </c>
    </row>
    <row r="26" spans="1:8" x14ac:dyDescent="0.25">
      <c r="A26">
        <v>17663</v>
      </c>
      <c r="B26" t="s">
        <v>442</v>
      </c>
      <c r="C26" t="s">
        <v>451</v>
      </c>
      <c r="D26" t="s">
        <v>1775</v>
      </c>
      <c r="E26" t="s">
        <v>1776</v>
      </c>
      <c r="F26" t="s">
        <v>1788</v>
      </c>
      <c r="G26" s="4">
        <v>39.8</v>
      </c>
      <c r="H26" t="s">
        <v>1778</v>
      </c>
    </row>
    <row r="27" spans="1:8" x14ac:dyDescent="0.25">
      <c r="A27">
        <v>17664</v>
      </c>
      <c r="B27" t="s">
        <v>442</v>
      </c>
      <c r="C27" t="s">
        <v>451</v>
      </c>
      <c r="D27" t="s">
        <v>1775</v>
      </c>
      <c r="E27" t="s">
        <v>1776</v>
      </c>
      <c r="F27" t="s">
        <v>1788</v>
      </c>
      <c r="G27" s="4">
        <v>39.8</v>
      </c>
      <c r="H27" t="s">
        <v>1778</v>
      </c>
    </row>
    <row r="28" spans="1:8" x14ac:dyDescent="0.25">
      <c r="A28">
        <v>17665</v>
      </c>
      <c r="B28" t="s">
        <v>442</v>
      </c>
      <c r="C28" t="s">
        <v>451</v>
      </c>
      <c r="D28" t="s">
        <v>1775</v>
      </c>
      <c r="E28" t="s">
        <v>1776</v>
      </c>
      <c r="F28" t="s">
        <v>1788</v>
      </c>
      <c r="G28" s="4">
        <v>38.9</v>
      </c>
      <c r="H28" t="s">
        <v>1778</v>
      </c>
    </row>
    <row r="29" spans="1:8" x14ac:dyDescent="0.25">
      <c r="A29">
        <v>17670</v>
      </c>
      <c r="B29" t="s">
        <v>442</v>
      </c>
      <c r="C29" t="s">
        <v>451</v>
      </c>
      <c r="D29" t="s">
        <v>1775</v>
      </c>
      <c r="E29" t="s">
        <v>1776</v>
      </c>
      <c r="F29" t="s">
        <v>1788</v>
      </c>
      <c r="G29" s="4">
        <v>1</v>
      </c>
      <c r="H29" t="s">
        <v>1778</v>
      </c>
    </row>
    <row r="30" spans="1:8" x14ac:dyDescent="0.25">
      <c r="A30">
        <v>17689</v>
      </c>
      <c r="B30" t="s">
        <v>442</v>
      </c>
      <c r="C30" t="s">
        <v>74</v>
      </c>
      <c r="D30" t="s">
        <v>1775</v>
      </c>
      <c r="E30" t="s">
        <v>1776</v>
      </c>
      <c r="F30" t="s">
        <v>1789</v>
      </c>
      <c r="G30" s="4">
        <v>24.88</v>
      </c>
      <c r="H30" t="s">
        <v>1778</v>
      </c>
    </row>
    <row r="31" spans="1:8" x14ac:dyDescent="0.25">
      <c r="A31">
        <v>17691</v>
      </c>
      <c r="B31" t="s">
        <v>442</v>
      </c>
      <c r="C31" t="s">
        <v>486</v>
      </c>
      <c r="D31" t="s">
        <v>1775</v>
      </c>
      <c r="E31" t="s">
        <v>1776</v>
      </c>
      <c r="F31" t="s">
        <v>1790</v>
      </c>
      <c r="G31" s="4">
        <v>1147.45</v>
      </c>
      <c r="H31" t="s">
        <v>1778</v>
      </c>
    </row>
    <row r="32" spans="1:8" x14ac:dyDescent="0.25">
      <c r="A32">
        <v>17693</v>
      </c>
      <c r="B32" t="s">
        <v>442</v>
      </c>
      <c r="C32" t="s">
        <v>467</v>
      </c>
      <c r="D32" t="s">
        <v>1775</v>
      </c>
      <c r="E32" t="s">
        <v>1776</v>
      </c>
      <c r="F32" t="s">
        <v>1779</v>
      </c>
      <c r="G32" s="4">
        <v>184.98</v>
      </c>
      <c r="H32" t="s">
        <v>1778</v>
      </c>
    </row>
    <row r="33" spans="1:8" x14ac:dyDescent="0.25">
      <c r="A33">
        <v>17694</v>
      </c>
      <c r="B33" t="s">
        <v>442</v>
      </c>
      <c r="C33" t="s">
        <v>467</v>
      </c>
      <c r="D33" t="s">
        <v>1775</v>
      </c>
      <c r="E33" t="s">
        <v>1776</v>
      </c>
      <c r="F33" t="s">
        <v>1779</v>
      </c>
      <c r="G33" s="4">
        <v>7.01</v>
      </c>
      <c r="H33" t="s">
        <v>1778</v>
      </c>
    </row>
    <row r="34" spans="1:8" x14ac:dyDescent="0.25">
      <c r="A34">
        <v>17982</v>
      </c>
      <c r="B34" t="s">
        <v>439</v>
      </c>
      <c r="C34" t="s">
        <v>74</v>
      </c>
      <c r="D34" t="s">
        <v>1775</v>
      </c>
      <c r="E34" t="s">
        <v>1776</v>
      </c>
      <c r="F34" t="s">
        <v>1791</v>
      </c>
      <c r="G34" s="4">
        <v>19821.69</v>
      </c>
      <c r="H34" t="s">
        <v>1778</v>
      </c>
    </row>
    <row r="35" spans="1:8" x14ac:dyDescent="0.25">
      <c r="A35">
        <v>18191</v>
      </c>
      <c r="B35" t="s">
        <v>439</v>
      </c>
      <c r="C35" t="s">
        <v>486</v>
      </c>
      <c r="D35" t="s">
        <v>1775</v>
      </c>
      <c r="E35" t="s">
        <v>1776</v>
      </c>
      <c r="F35" t="s">
        <v>1792</v>
      </c>
      <c r="G35" s="4">
        <v>1512.21</v>
      </c>
      <c r="H35" t="s">
        <v>1778</v>
      </c>
    </row>
    <row r="36" spans="1:8" x14ac:dyDescent="0.25">
      <c r="A36">
        <v>18341</v>
      </c>
      <c r="B36" t="s">
        <v>439</v>
      </c>
      <c r="C36" t="s">
        <v>486</v>
      </c>
      <c r="D36" t="s">
        <v>1775</v>
      </c>
      <c r="E36" t="s">
        <v>1776</v>
      </c>
      <c r="F36" t="s">
        <v>1793</v>
      </c>
      <c r="G36" s="4">
        <v>686.64</v>
      </c>
      <c r="H36" t="s">
        <v>1778</v>
      </c>
    </row>
    <row r="37" spans="1:8" x14ac:dyDescent="0.25">
      <c r="A37">
        <v>18343</v>
      </c>
      <c r="B37" t="s">
        <v>439</v>
      </c>
      <c r="C37" t="s">
        <v>486</v>
      </c>
      <c r="D37" t="s">
        <v>1775</v>
      </c>
      <c r="E37" t="s">
        <v>1776</v>
      </c>
      <c r="F37" t="s">
        <v>1793</v>
      </c>
      <c r="G37" s="4">
        <v>686.64</v>
      </c>
      <c r="H37" t="s">
        <v>1778</v>
      </c>
    </row>
    <row r="38" spans="1:8" x14ac:dyDescent="0.25">
      <c r="A38">
        <v>18543</v>
      </c>
      <c r="B38" t="s">
        <v>439</v>
      </c>
      <c r="C38" t="s">
        <v>445</v>
      </c>
      <c r="D38" t="s">
        <v>1775</v>
      </c>
      <c r="E38" t="s">
        <v>1776</v>
      </c>
      <c r="F38" t="s">
        <v>1794</v>
      </c>
      <c r="G38" s="4">
        <v>8061.71</v>
      </c>
      <c r="H38" t="s">
        <v>1778</v>
      </c>
    </row>
    <row r="39" spans="1:8" x14ac:dyDescent="0.25">
      <c r="A39">
        <v>18561</v>
      </c>
      <c r="B39" t="s">
        <v>439</v>
      </c>
      <c r="C39" t="s">
        <v>467</v>
      </c>
      <c r="D39" t="s">
        <v>1775</v>
      </c>
      <c r="E39" t="s">
        <v>1776</v>
      </c>
      <c r="F39" t="s">
        <v>1779</v>
      </c>
      <c r="G39" s="4">
        <v>185.25</v>
      </c>
      <c r="H39" t="s">
        <v>1778</v>
      </c>
    </row>
    <row r="40" spans="1:8" x14ac:dyDescent="0.25">
      <c r="A40">
        <v>18564</v>
      </c>
      <c r="B40" t="s">
        <v>439</v>
      </c>
      <c r="C40" t="s">
        <v>467</v>
      </c>
      <c r="D40" t="s">
        <v>1775</v>
      </c>
      <c r="E40" t="s">
        <v>1776</v>
      </c>
      <c r="F40" t="s">
        <v>1779</v>
      </c>
      <c r="G40" s="4">
        <v>7.02</v>
      </c>
      <c r="H40" t="s">
        <v>1778</v>
      </c>
    </row>
    <row r="41" spans="1:8" x14ac:dyDescent="0.25">
      <c r="A41">
        <v>18836</v>
      </c>
      <c r="B41" t="s">
        <v>35</v>
      </c>
      <c r="C41" t="s">
        <v>467</v>
      </c>
      <c r="D41" t="s">
        <v>1775</v>
      </c>
      <c r="E41" t="s">
        <v>1776</v>
      </c>
      <c r="F41" t="s">
        <v>1795</v>
      </c>
      <c r="G41" s="4">
        <v>1996.81</v>
      </c>
      <c r="H41" t="s">
        <v>1778</v>
      </c>
    </row>
    <row r="42" spans="1:8" x14ac:dyDescent="0.25">
      <c r="A42">
        <v>19189</v>
      </c>
      <c r="B42" t="s">
        <v>35</v>
      </c>
      <c r="C42" t="s">
        <v>467</v>
      </c>
      <c r="D42" t="s">
        <v>1775</v>
      </c>
      <c r="E42" t="s">
        <v>1776</v>
      </c>
      <c r="F42" t="s">
        <v>1779</v>
      </c>
      <c r="G42" s="4">
        <v>185.52</v>
      </c>
      <c r="H42" t="s">
        <v>1778</v>
      </c>
    </row>
    <row r="43" spans="1:8" x14ac:dyDescent="0.25">
      <c r="A43">
        <v>19192</v>
      </c>
      <c r="B43" t="s">
        <v>35</v>
      </c>
      <c r="C43" t="s">
        <v>467</v>
      </c>
      <c r="D43" t="s">
        <v>1775</v>
      </c>
      <c r="E43" t="s">
        <v>1776</v>
      </c>
      <c r="F43" t="s">
        <v>1779</v>
      </c>
      <c r="G43" s="4">
        <v>7.03</v>
      </c>
      <c r="H43" t="s">
        <v>1778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6" customWidth="1"/>
    <col min="3" max="3" width="12" customWidth="1"/>
    <col min="4" max="4" width="20" customWidth="1"/>
    <col min="5" max="5" width="18" customWidth="1"/>
    <col min="6" max="6" width="24" customWidth="1"/>
  </cols>
  <sheetData>
    <row r="1" ht="30" customHeight="1" spans="1:6" s="2" customFormat="1" x14ac:dyDescent="0.25">
      <c r="A1" s="2" t="s">
        <v>79</v>
      </c>
      <c r="B1" s="2" t="s">
        <v>1761</v>
      </c>
      <c r="C1" s="2" t="s">
        <v>1717</v>
      </c>
      <c r="D1" s="2" t="s">
        <v>153</v>
      </c>
      <c r="E1" s="2" t="s">
        <v>154</v>
      </c>
      <c r="F1" s="2" t="s">
        <v>151</v>
      </c>
    </row>
    <row r="2" spans="1:6" x14ac:dyDescent="0.25">
      <c r="A2" t="s">
        <v>108</v>
      </c>
      <c r="B2" t="s">
        <v>395</v>
      </c>
      <c r="C2" t="s">
        <v>32</v>
      </c>
      <c r="D2" s="4">
        <v>31.7</v>
      </c>
      <c r="E2" s="4">
        <v>31.7</v>
      </c>
      <c r="F2" t="s">
        <v>397</v>
      </c>
    </row>
    <row r="3" spans="1:6" x14ac:dyDescent="0.25">
      <c r="A3" t="s">
        <v>108</v>
      </c>
      <c r="B3" t="s">
        <v>395</v>
      </c>
      <c r="C3" t="s">
        <v>424</v>
      </c>
      <c r="D3" s="4">
        <v>37.25</v>
      </c>
      <c r="E3" s="4">
        <v>37.25</v>
      </c>
      <c r="F3" t="s">
        <v>397</v>
      </c>
    </row>
    <row r="4" spans="1:6" x14ac:dyDescent="0.25">
      <c r="A4" t="s">
        <v>108</v>
      </c>
      <c r="B4" t="s">
        <v>395</v>
      </c>
      <c r="C4" t="s">
        <v>420</v>
      </c>
      <c r="D4" s="4">
        <v>9.59</v>
      </c>
      <c r="E4" s="4">
        <v>9.59</v>
      </c>
      <c r="F4" t="s">
        <v>397</v>
      </c>
    </row>
    <row r="5" spans="1:6" x14ac:dyDescent="0.25">
      <c r="A5" t="s">
        <v>108</v>
      </c>
      <c r="B5" t="s">
        <v>395</v>
      </c>
      <c r="C5" t="s">
        <v>454</v>
      </c>
      <c r="D5" s="4">
        <v>9.59</v>
      </c>
      <c r="E5" s="4">
        <v>9.59</v>
      </c>
      <c r="F5" t="s">
        <v>397</v>
      </c>
    </row>
    <row r="6" spans="1:6" x14ac:dyDescent="0.25">
      <c r="A6" t="s">
        <v>108</v>
      </c>
      <c r="B6" t="s">
        <v>395</v>
      </c>
      <c r="C6" t="s">
        <v>461</v>
      </c>
      <c r="D6" s="4">
        <v>9.59</v>
      </c>
      <c r="E6" s="4">
        <v>9.59</v>
      </c>
      <c r="F6" t="s">
        <v>397</v>
      </c>
    </row>
    <row r="7" spans="1:6" x14ac:dyDescent="0.25">
      <c r="A7" t="s">
        <v>108</v>
      </c>
      <c r="B7" t="s">
        <v>395</v>
      </c>
      <c r="C7" t="s">
        <v>442</v>
      </c>
      <c r="D7" s="4">
        <v>28.12</v>
      </c>
      <c r="E7" s="4">
        <v>28.12</v>
      </c>
      <c r="F7" t="s">
        <v>397</v>
      </c>
    </row>
    <row r="8" spans="1:6" x14ac:dyDescent="0.25">
      <c r="A8" t="s">
        <v>108</v>
      </c>
      <c r="B8" t="s">
        <v>395</v>
      </c>
      <c r="C8" t="s">
        <v>439</v>
      </c>
      <c r="D8" s="4">
        <v>73.7</v>
      </c>
      <c r="E8" s="4">
        <v>73.7</v>
      </c>
      <c r="F8" t="s">
        <v>397</v>
      </c>
    </row>
    <row r="9" spans="1:6" x14ac:dyDescent="0.25">
      <c r="A9" t="s">
        <v>108</v>
      </c>
      <c r="B9" t="s">
        <v>395</v>
      </c>
      <c r="C9" t="s">
        <v>35</v>
      </c>
      <c r="D9" s="4">
        <v>9.59</v>
      </c>
      <c r="E9" s="4">
        <v>9.59</v>
      </c>
      <c r="F9" t="s">
        <v>397</v>
      </c>
    </row>
    <row r="10" spans="1:6" x14ac:dyDescent="0.25">
      <c r="A10" t="s">
        <v>176</v>
      </c>
      <c r="B10" t="s">
        <v>177</v>
      </c>
      <c r="C10" t="s">
        <v>32</v>
      </c>
      <c r="D10" s="4">
        <v>75447.27</v>
      </c>
      <c r="E10" s="4">
        <v>75447.27</v>
      </c>
      <c r="F10" t="s">
        <v>397</v>
      </c>
    </row>
    <row r="11" spans="1:6" x14ac:dyDescent="0.25">
      <c r="A11" t="s">
        <v>176</v>
      </c>
      <c r="B11" t="s">
        <v>177</v>
      </c>
      <c r="C11" t="s">
        <v>424</v>
      </c>
      <c r="D11" s="4">
        <v>40614.41</v>
      </c>
      <c r="E11" s="4">
        <v>40614.41</v>
      </c>
      <c r="F11" t="s">
        <v>397</v>
      </c>
    </row>
    <row r="12" spans="1:6" x14ac:dyDescent="0.25">
      <c r="A12" t="s">
        <v>176</v>
      </c>
      <c r="B12" t="s">
        <v>177</v>
      </c>
      <c r="C12" t="s">
        <v>420</v>
      </c>
      <c r="D12" s="4">
        <v>46006.62</v>
      </c>
      <c r="E12" s="4">
        <v>46006.62</v>
      </c>
      <c r="F12" t="s">
        <v>397</v>
      </c>
    </row>
    <row r="13" spans="1:6" x14ac:dyDescent="0.25">
      <c r="A13" t="s">
        <v>176</v>
      </c>
      <c r="B13" t="s">
        <v>177</v>
      </c>
      <c r="C13" t="s">
        <v>454</v>
      </c>
      <c r="D13" s="4">
        <v>63450.81</v>
      </c>
      <c r="E13" s="4">
        <v>63450.81</v>
      </c>
      <c r="F13" t="s">
        <v>397</v>
      </c>
    </row>
    <row r="14" spans="1:6" x14ac:dyDescent="0.25">
      <c r="A14" t="s">
        <v>176</v>
      </c>
      <c r="B14" t="s">
        <v>177</v>
      </c>
      <c r="C14" t="s">
        <v>461</v>
      </c>
      <c r="D14" s="4">
        <v>78481.77</v>
      </c>
      <c r="E14" s="4">
        <v>78481.77</v>
      </c>
      <c r="F14" t="s">
        <v>397</v>
      </c>
    </row>
    <row r="15" spans="1:6" x14ac:dyDescent="0.25">
      <c r="A15" t="s">
        <v>176</v>
      </c>
      <c r="B15" t="s">
        <v>177</v>
      </c>
      <c r="C15" t="s">
        <v>442</v>
      </c>
      <c r="D15" s="4">
        <v>70232.88</v>
      </c>
      <c r="E15" s="4">
        <v>70232.88</v>
      </c>
      <c r="F15" t="s">
        <v>397</v>
      </c>
    </row>
    <row r="16" spans="1:6" x14ac:dyDescent="0.25">
      <c r="A16" t="s">
        <v>176</v>
      </c>
      <c r="B16" t="s">
        <v>177</v>
      </c>
      <c r="C16" t="s">
        <v>439</v>
      </c>
      <c r="D16" s="4">
        <v>82877</v>
      </c>
      <c r="E16" s="4">
        <v>82877</v>
      </c>
      <c r="F16" t="s">
        <v>397</v>
      </c>
    </row>
    <row r="17" spans="1:6" x14ac:dyDescent="0.25">
      <c r="A17" t="s">
        <v>176</v>
      </c>
      <c r="B17" t="s">
        <v>177</v>
      </c>
      <c r="C17" t="s">
        <v>35</v>
      </c>
      <c r="D17" s="4">
        <v>85903.42</v>
      </c>
      <c r="E17" s="4">
        <v>85903.42</v>
      </c>
      <c r="F17" t="s">
        <v>397</v>
      </c>
    </row>
    <row r="18" spans="1:6" x14ac:dyDescent="0.25">
      <c r="A18" t="s">
        <v>103</v>
      </c>
      <c r="B18" t="s">
        <v>1796</v>
      </c>
      <c r="C18" t="s">
        <v>1725</v>
      </c>
      <c r="D18">
        <v>0</v>
      </c>
      <c r="E18">
        <v>0</v>
      </c>
      <c r="F18" t="s">
        <v>1797</v>
      </c>
    </row>
    <row r="19" spans="1:6" x14ac:dyDescent="0.25">
      <c r="A19" t="s">
        <v>106</v>
      </c>
      <c r="B19" t="s">
        <v>1798</v>
      </c>
      <c r="C19" t="s">
        <v>1725</v>
      </c>
      <c r="D19">
        <v>0</v>
      </c>
      <c r="E19">
        <v>0</v>
      </c>
      <c r="F19" t="s">
        <v>1797</v>
      </c>
    </row>
    <row r="20" spans="1:6" x14ac:dyDescent="0.25">
      <c r="A20" t="s">
        <v>110</v>
      </c>
      <c r="B20" t="s">
        <v>1799</v>
      </c>
      <c r="C20" t="s">
        <v>1725</v>
      </c>
      <c r="D20">
        <v>0</v>
      </c>
      <c r="E20">
        <v>0</v>
      </c>
      <c r="F20" t="s">
        <v>1797</v>
      </c>
    </row>
    <row r="21" spans="1:6" x14ac:dyDescent="0.25">
      <c r="A21" t="s">
        <v>112</v>
      </c>
      <c r="B21" t="s">
        <v>16</v>
      </c>
      <c r="C21" t="s">
        <v>1725</v>
      </c>
      <c r="D21">
        <v>0</v>
      </c>
      <c r="E21">
        <v>0</v>
      </c>
      <c r="F21" t="s">
        <v>1797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26" customWidth="1"/>
    <col min="4" max="4" width="24" customWidth="1"/>
    <col min="5" max="5" width="34" customWidth="1"/>
  </cols>
  <sheetData>
    <row r="1" ht="30" customHeight="1" spans="1:5" s="2" customFormat="1" x14ac:dyDescent="0.25">
      <c r="A1" s="2" t="s">
        <v>1717</v>
      </c>
      <c r="B1" s="2" t="s">
        <v>1800</v>
      </c>
      <c r="C1" s="2" t="s">
        <v>1801</v>
      </c>
      <c r="D1" s="2" t="s">
        <v>1802</v>
      </c>
      <c r="E1" s="2" t="s">
        <v>1803</v>
      </c>
    </row>
    <row r="2" spans="1:5" x14ac:dyDescent="0.25">
      <c r="A2" t="s">
        <v>1804</v>
      </c>
      <c r="B2" t="s">
        <v>1805</v>
      </c>
      <c r="C2" t="s">
        <v>99</v>
      </c>
      <c r="D2" t="s">
        <v>99</v>
      </c>
      <c r="E2" t="s">
        <v>99</v>
      </c>
    </row>
    <row r="3" spans="1:5" x14ac:dyDescent="0.25">
      <c r="A3" t="s">
        <v>32</v>
      </c>
      <c r="B3" s="4">
        <v>102000</v>
      </c>
      <c r="C3" s="4">
        <v>0</v>
      </c>
      <c r="D3" s="4">
        <v>100246.41</v>
      </c>
      <c r="E3" s="4">
        <v>202246.41</v>
      </c>
    </row>
    <row r="4" spans="1:5" x14ac:dyDescent="0.25">
      <c r="A4" t="s">
        <v>424</v>
      </c>
      <c r="B4" s="4">
        <v>120000</v>
      </c>
      <c r="C4" s="4">
        <v>0</v>
      </c>
      <c r="D4" s="4">
        <v>158070.98</v>
      </c>
      <c r="E4" s="4">
        <v>278070.98</v>
      </c>
    </row>
    <row r="5" spans="1:5" x14ac:dyDescent="0.25">
      <c r="A5" t="s">
        <v>420</v>
      </c>
      <c r="B5" s="4">
        <v>120000</v>
      </c>
      <c r="C5" s="4">
        <v>0</v>
      </c>
      <c r="D5" s="4">
        <v>227427.74</v>
      </c>
      <c r="E5" s="4">
        <v>347427.74</v>
      </c>
    </row>
    <row r="6" spans="1:5" x14ac:dyDescent="0.25">
      <c r="A6" t="s">
        <v>454</v>
      </c>
      <c r="B6" s="4">
        <v>120000</v>
      </c>
      <c r="C6" s="4">
        <v>0</v>
      </c>
      <c r="D6" s="4">
        <v>282322.16</v>
      </c>
      <c r="E6" s="4">
        <v>402322.16</v>
      </c>
    </row>
    <row r="7" spans="1:5" x14ac:dyDescent="0.25">
      <c r="A7" t="s">
        <v>461</v>
      </c>
      <c r="B7" s="4">
        <v>120000</v>
      </c>
      <c r="C7" s="4">
        <v>0</v>
      </c>
      <c r="D7" s="4">
        <v>277856.6</v>
      </c>
      <c r="E7" s="4">
        <v>397856.6</v>
      </c>
    </row>
    <row r="8" spans="1:5" x14ac:dyDescent="0.25">
      <c r="A8" t="s">
        <v>442</v>
      </c>
      <c r="B8" s="4">
        <v>120000</v>
      </c>
      <c r="C8" s="4">
        <v>0</v>
      </c>
      <c r="D8" s="4">
        <v>244021.16</v>
      </c>
      <c r="E8" s="4">
        <v>364021.16</v>
      </c>
    </row>
    <row r="9" spans="1:5" x14ac:dyDescent="0.25">
      <c r="A9" t="s">
        <v>439</v>
      </c>
      <c r="B9" s="4">
        <v>120000</v>
      </c>
      <c r="C9" s="4">
        <v>0</v>
      </c>
      <c r="D9" s="4">
        <v>250465.89</v>
      </c>
      <c r="E9" s="4">
        <v>370465.89</v>
      </c>
    </row>
    <row r="10" spans="1:5" x14ac:dyDescent="0.25">
      <c r="A10" t="s">
        <v>35</v>
      </c>
      <c r="B10" s="4">
        <v>120000</v>
      </c>
      <c r="C10" s="4">
        <v>0</v>
      </c>
      <c r="D10" s="4">
        <v>286548.54</v>
      </c>
      <c r="E10" s="4">
        <v>406548.54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12" customWidth="1"/>
    <col min="4" max="4" width="24" customWidth="1"/>
    <col min="5" max="5" width="28" customWidth="1"/>
    <col min="6" max="6" width="20" customWidth="1"/>
    <col min="7" max="7" width="16" customWidth="1"/>
  </cols>
  <sheetData>
    <row r="1" ht="30" customHeight="1" spans="1:7" s="2" customFormat="1" x14ac:dyDescent="0.25">
      <c r="A1" s="2" t="s">
        <v>79</v>
      </c>
      <c r="B1" s="2" t="s">
        <v>1761</v>
      </c>
      <c r="C1" s="2" t="s">
        <v>1717</v>
      </c>
      <c r="D1" s="2" t="s">
        <v>1806</v>
      </c>
      <c r="E1" s="2" t="s">
        <v>1807</v>
      </c>
      <c r="F1" s="2" t="s">
        <v>1808</v>
      </c>
      <c r="G1" s="2" t="s">
        <v>71</v>
      </c>
    </row>
    <row r="2" spans="1:7" x14ac:dyDescent="0.25">
      <c r="A2" t="s">
        <v>1809</v>
      </c>
      <c r="B2" t="s">
        <v>1810</v>
      </c>
      <c r="C2" t="s">
        <v>32</v>
      </c>
      <c r="D2" s="4">
        <v>0</v>
      </c>
      <c r="E2" s="4">
        <v>0</v>
      </c>
      <c r="F2" s="4">
        <v>0</v>
      </c>
      <c r="G2" t="s">
        <v>116</v>
      </c>
    </row>
    <row r="3" spans="1:7" x14ac:dyDescent="0.25">
      <c r="A3" t="s">
        <v>1809</v>
      </c>
      <c r="B3" t="s">
        <v>1810</v>
      </c>
      <c r="C3" t="s">
        <v>424</v>
      </c>
      <c r="D3" s="4">
        <v>0</v>
      </c>
      <c r="E3" s="4">
        <v>0</v>
      </c>
      <c r="F3" s="4">
        <v>0</v>
      </c>
      <c r="G3" t="s">
        <v>116</v>
      </c>
    </row>
    <row r="4" spans="1:7" x14ac:dyDescent="0.25">
      <c r="A4" t="s">
        <v>1809</v>
      </c>
      <c r="B4" t="s">
        <v>1810</v>
      </c>
      <c r="C4" t="s">
        <v>420</v>
      </c>
      <c r="D4" s="4">
        <v>0</v>
      </c>
      <c r="E4" s="4">
        <v>0</v>
      </c>
      <c r="F4" s="4">
        <v>0</v>
      </c>
      <c r="G4" t="s">
        <v>116</v>
      </c>
    </row>
    <row r="5" spans="1:7" x14ac:dyDescent="0.25">
      <c r="A5" t="s">
        <v>1809</v>
      </c>
      <c r="B5" t="s">
        <v>1810</v>
      </c>
      <c r="C5" t="s">
        <v>454</v>
      </c>
      <c r="D5" s="4">
        <v>0</v>
      </c>
      <c r="E5" s="4">
        <v>0</v>
      </c>
      <c r="F5" s="4">
        <v>0</v>
      </c>
      <c r="G5" t="s">
        <v>116</v>
      </c>
    </row>
    <row r="6" spans="1:7" x14ac:dyDescent="0.25">
      <c r="A6" t="s">
        <v>1809</v>
      </c>
      <c r="B6" t="s">
        <v>1810</v>
      </c>
      <c r="C6" t="s">
        <v>461</v>
      </c>
      <c r="D6" s="4">
        <v>0</v>
      </c>
      <c r="E6" s="4">
        <v>0</v>
      </c>
      <c r="F6" s="4">
        <v>0</v>
      </c>
      <c r="G6" t="s">
        <v>116</v>
      </c>
    </row>
    <row r="7" spans="1:7" x14ac:dyDescent="0.25">
      <c r="A7" t="s">
        <v>1809</v>
      </c>
      <c r="B7" t="s">
        <v>1810</v>
      </c>
      <c r="C7" t="s">
        <v>442</v>
      </c>
      <c r="D7" s="4">
        <v>0</v>
      </c>
      <c r="E7" s="4">
        <v>0</v>
      </c>
      <c r="F7" s="4">
        <v>0</v>
      </c>
      <c r="G7" t="s">
        <v>116</v>
      </c>
    </row>
    <row r="8" spans="1:7" x14ac:dyDescent="0.25">
      <c r="A8" t="s">
        <v>1809</v>
      </c>
      <c r="B8" t="s">
        <v>1810</v>
      </c>
      <c r="C8" t="s">
        <v>439</v>
      </c>
      <c r="D8" s="4">
        <v>0</v>
      </c>
      <c r="E8" s="4">
        <v>0</v>
      </c>
      <c r="F8" s="4">
        <v>0</v>
      </c>
      <c r="G8" t="s">
        <v>116</v>
      </c>
    </row>
    <row r="9" spans="1:7" x14ac:dyDescent="0.25">
      <c r="A9" t="s">
        <v>1809</v>
      </c>
      <c r="B9" t="s">
        <v>1810</v>
      </c>
      <c r="C9" t="s">
        <v>35</v>
      </c>
      <c r="D9" s="4">
        <v>0</v>
      </c>
      <c r="E9" s="4">
        <v>0</v>
      </c>
      <c r="F9" s="4">
        <v>0</v>
      </c>
      <c r="G9" t="s">
        <v>116</v>
      </c>
    </row>
    <row r="10" spans="1:7" x14ac:dyDescent="0.25">
      <c r="A10" t="s">
        <v>335</v>
      </c>
      <c r="B10" t="s">
        <v>336</v>
      </c>
      <c r="C10" t="s">
        <v>32</v>
      </c>
      <c r="D10" s="4">
        <v>0</v>
      </c>
      <c r="E10" s="4">
        <v>577.87</v>
      </c>
      <c r="F10" s="4">
        <v>577.87</v>
      </c>
      <c r="G10" t="s">
        <v>116</v>
      </c>
    </row>
    <row r="11" spans="1:7" x14ac:dyDescent="0.25">
      <c r="A11" t="s">
        <v>335</v>
      </c>
      <c r="B11" t="s">
        <v>336</v>
      </c>
      <c r="C11" t="s">
        <v>424</v>
      </c>
      <c r="D11" s="4">
        <v>2225.3</v>
      </c>
      <c r="E11" s="4">
        <v>577.87</v>
      </c>
      <c r="F11" s="4">
        <v>-1647.43</v>
      </c>
      <c r="G11" t="s">
        <v>116</v>
      </c>
    </row>
    <row r="12" spans="1:7" x14ac:dyDescent="0.25">
      <c r="A12" t="s">
        <v>335</v>
      </c>
      <c r="B12" t="s">
        <v>336</v>
      </c>
      <c r="C12" t="s">
        <v>420</v>
      </c>
      <c r="D12" s="4">
        <v>420.89</v>
      </c>
      <c r="E12" s="4">
        <v>577.87</v>
      </c>
      <c r="F12" s="4">
        <v>156.98</v>
      </c>
      <c r="G12" t="s">
        <v>116</v>
      </c>
    </row>
    <row r="13" spans="1:7" x14ac:dyDescent="0.25">
      <c r="A13" t="s">
        <v>335</v>
      </c>
      <c r="B13" t="s">
        <v>336</v>
      </c>
      <c r="C13" t="s">
        <v>454</v>
      </c>
      <c r="D13" s="4">
        <v>0</v>
      </c>
      <c r="E13" s="4">
        <v>577.87</v>
      </c>
      <c r="F13" s="4">
        <v>577.87</v>
      </c>
      <c r="G13" t="s">
        <v>116</v>
      </c>
    </row>
    <row r="14" spans="1:7" x14ac:dyDescent="0.25">
      <c r="A14" t="s">
        <v>335</v>
      </c>
      <c r="B14" t="s">
        <v>336</v>
      </c>
      <c r="C14" t="s">
        <v>461</v>
      </c>
      <c r="D14" s="4">
        <v>0</v>
      </c>
      <c r="E14" s="4">
        <v>577.87</v>
      </c>
      <c r="F14" s="4">
        <v>577.87</v>
      </c>
      <c r="G14" t="s">
        <v>116</v>
      </c>
    </row>
    <row r="15" spans="1:7" x14ac:dyDescent="0.25">
      <c r="A15" t="s">
        <v>335</v>
      </c>
      <c r="B15" t="s">
        <v>336</v>
      </c>
      <c r="C15" t="s">
        <v>442</v>
      </c>
      <c r="D15" s="4">
        <v>1976.78</v>
      </c>
      <c r="E15" s="4">
        <v>577.87</v>
      </c>
      <c r="F15" s="4">
        <v>-1398.91</v>
      </c>
      <c r="G15" t="s">
        <v>116</v>
      </c>
    </row>
    <row r="16" spans="1:7" x14ac:dyDescent="0.25">
      <c r="A16" t="s">
        <v>335</v>
      </c>
      <c r="B16" t="s">
        <v>336</v>
      </c>
      <c r="C16" t="s">
        <v>439</v>
      </c>
      <c r="D16" s="4">
        <v>0</v>
      </c>
      <c r="E16" s="4">
        <v>577.87</v>
      </c>
      <c r="F16" s="4">
        <v>577.87</v>
      </c>
      <c r="G16" t="s">
        <v>116</v>
      </c>
    </row>
    <row r="17" spans="1:7" x14ac:dyDescent="0.25">
      <c r="A17" t="s">
        <v>335</v>
      </c>
      <c r="B17" t="s">
        <v>336</v>
      </c>
      <c r="C17" t="s">
        <v>35</v>
      </c>
      <c r="D17" s="4">
        <v>0</v>
      </c>
      <c r="E17" s="4">
        <v>577.87</v>
      </c>
      <c r="F17" s="4">
        <v>577.87</v>
      </c>
      <c r="G17" t="s">
        <v>116</v>
      </c>
    </row>
    <row r="18" spans="1:7" x14ac:dyDescent="0.25">
      <c r="A18" t="s">
        <v>256</v>
      </c>
      <c r="B18" t="s">
        <v>257</v>
      </c>
      <c r="C18" t="s">
        <v>32</v>
      </c>
      <c r="D18" s="4">
        <v>0</v>
      </c>
      <c r="E18" s="4">
        <v>2766.98</v>
      </c>
      <c r="F18" s="4">
        <v>2766.98</v>
      </c>
      <c r="G18" t="s">
        <v>116</v>
      </c>
    </row>
    <row r="19" spans="1:7" x14ac:dyDescent="0.25">
      <c r="A19" t="s">
        <v>256</v>
      </c>
      <c r="B19" t="s">
        <v>257</v>
      </c>
      <c r="C19" t="s">
        <v>424</v>
      </c>
      <c r="D19" s="4">
        <v>0</v>
      </c>
      <c r="E19" s="4">
        <v>2766.98</v>
      </c>
      <c r="F19" s="4">
        <v>2766.98</v>
      </c>
      <c r="G19" t="s">
        <v>116</v>
      </c>
    </row>
    <row r="20" spans="1:7" x14ac:dyDescent="0.25">
      <c r="A20" t="s">
        <v>256</v>
      </c>
      <c r="B20" t="s">
        <v>257</v>
      </c>
      <c r="C20" t="s">
        <v>420</v>
      </c>
      <c r="D20" s="4">
        <v>8570.75</v>
      </c>
      <c r="E20" s="4">
        <v>2766.98</v>
      </c>
      <c r="F20" s="4">
        <v>-5803.77</v>
      </c>
      <c r="G20" t="s">
        <v>116</v>
      </c>
    </row>
    <row r="21" spans="1:7" x14ac:dyDescent="0.25">
      <c r="A21" t="s">
        <v>256</v>
      </c>
      <c r="B21" t="s">
        <v>257</v>
      </c>
      <c r="C21" t="s">
        <v>454</v>
      </c>
      <c r="D21" s="4">
        <v>0</v>
      </c>
      <c r="E21" s="4">
        <v>2766.98</v>
      </c>
      <c r="F21" s="4">
        <v>2766.98</v>
      </c>
      <c r="G21" t="s">
        <v>116</v>
      </c>
    </row>
    <row r="22" spans="1:7" x14ac:dyDescent="0.25">
      <c r="A22" t="s">
        <v>256</v>
      </c>
      <c r="B22" t="s">
        <v>257</v>
      </c>
      <c r="C22" t="s">
        <v>461</v>
      </c>
      <c r="D22" s="4">
        <v>0</v>
      </c>
      <c r="E22" s="4">
        <v>2766.98</v>
      </c>
      <c r="F22" s="4">
        <v>2766.98</v>
      </c>
      <c r="G22" t="s">
        <v>116</v>
      </c>
    </row>
    <row r="23" spans="1:7" x14ac:dyDescent="0.25">
      <c r="A23" t="s">
        <v>256</v>
      </c>
      <c r="B23" t="s">
        <v>257</v>
      </c>
      <c r="C23" t="s">
        <v>442</v>
      </c>
      <c r="D23" s="4">
        <v>565.07</v>
      </c>
      <c r="E23" s="4">
        <v>2766.98</v>
      </c>
      <c r="F23" s="4">
        <v>2201.91</v>
      </c>
      <c r="G23" t="s">
        <v>116</v>
      </c>
    </row>
    <row r="24" spans="1:7" x14ac:dyDescent="0.25">
      <c r="A24" t="s">
        <v>256</v>
      </c>
      <c r="B24" t="s">
        <v>257</v>
      </c>
      <c r="C24" t="s">
        <v>439</v>
      </c>
      <c r="D24" s="4">
        <v>13000</v>
      </c>
      <c r="E24" s="4">
        <v>2766.98</v>
      </c>
      <c r="F24" s="4">
        <v>-10233.02</v>
      </c>
      <c r="G24" t="s">
        <v>116</v>
      </c>
    </row>
    <row r="25" spans="1:7" x14ac:dyDescent="0.25">
      <c r="A25" t="s">
        <v>256</v>
      </c>
      <c r="B25" t="s">
        <v>257</v>
      </c>
      <c r="C25" t="s">
        <v>35</v>
      </c>
      <c r="D25" s="4">
        <v>0</v>
      </c>
      <c r="E25" s="4">
        <v>2766.98</v>
      </c>
      <c r="F25" s="4">
        <v>2766.98</v>
      </c>
      <c r="G25" t="s">
        <v>116</v>
      </c>
    </row>
    <row r="26" spans="1:7" x14ac:dyDescent="0.25">
      <c r="A26" t="s">
        <v>1804</v>
      </c>
      <c r="B26" t="s">
        <v>1811</v>
      </c>
      <c r="C26" t="s">
        <v>99</v>
      </c>
      <c r="D26" t="s">
        <v>99</v>
      </c>
      <c r="E26" t="s">
        <v>99</v>
      </c>
      <c r="F26" t="s">
        <v>99</v>
      </c>
      <c r="G26" t="s">
        <v>99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4" customWidth="1"/>
  </cols>
  <sheetData>
    <row r="1" ht="30" customHeight="1" spans="1:3" s="2" customFormat="1" x14ac:dyDescent="0.25">
      <c r="A1" s="2" t="s">
        <v>144</v>
      </c>
      <c r="B1" s="2" t="s">
        <v>153</v>
      </c>
      <c r="C1" s="2" t="s">
        <v>1812</v>
      </c>
    </row>
    <row r="2" spans="1:3" x14ac:dyDescent="0.25">
      <c r="A2" t="s">
        <v>159</v>
      </c>
      <c r="B2" s="4">
        <v>3030022.87</v>
      </c>
      <c r="C2" s="6">
        <v>0.6826840922561325</v>
      </c>
    </row>
    <row r="3" spans="1:3" x14ac:dyDescent="0.25">
      <c r="A3" t="s">
        <v>191</v>
      </c>
      <c r="B3" s="4">
        <v>389048.18</v>
      </c>
      <c r="C3" s="6">
        <v>0.08765511515997251</v>
      </c>
    </row>
    <row r="4" spans="1:3" x14ac:dyDescent="0.25">
      <c r="A4" t="s">
        <v>183</v>
      </c>
      <c r="B4" s="4">
        <v>303790.27</v>
      </c>
      <c r="C4" s="6">
        <v>0.06844594698098612</v>
      </c>
    </row>
    <row r="5" spans="1:3" x14ac:dyDescent="0.25">
      <c r="A5" t="s">
        <v>128</v>
      </c>
      <c r="B5" s="4">
        <v>302414.44</v>
      </c>
      <c r="C5" s="6">
        <v>0.06813596342807361</v>
      </c>
    </row>
    <row r="6" spans="1:3" x14ac:dyDescent="0.25">
      <c r="A6" t="s">
        <v>202</v>
      </c>
      <c r="B6" s="4">
        <v>215542.89</v>
      </c>
      <c r="C6" s="6">
        <v>0.04856323153822051</v>
      </c>
    </row>
    <row r="7" spans="1:3" x14ac:dyDescent="0.25">
      <c r="A7" t="s">
        <v>223</v>
      </c>
      <c r="B7" s="4">
        <v>128184.12</v>
      </c>
      <c r="C7" s="6">
        <v>0.028880725776122988</v>
      </c>
    </row>
    <row r="8" spans="1:3" x14ac:dyDescent="0.25">
      <c r="A8" t="s">
        <v>279</v>
      </c>
      <c r="B8" s="4">
        <v>32457.96</v>
      </c>
      <c r="C8" s="6">
        <v>0.007312991983814913</v>
      </c>
    </row>
    <row r="9" spans="1:3" x14ac:dyDescent="0.25">
      <c r="A9" t="s">
        <v>125</v>
      </c>
      <c r="B9" s="4">
        <v>19024.49</v>
      </c>
      <c r="C9" s="6">
        <v>0.004286342791295787</v>
      </c>
    </row>
    <row r="10" spans="1:3" x14ac:dyDescent="0.25">
      <c r="A10" t="s">
        <v>131</v>
      </c>
      <c r="B10" s="4">
        <v>10384.85</v>
      </c>
      <c r="C10" s="6">
        <v>0.002339775044492023</v>
      </c>
    </row>
    <row r="11" spans="1:3" x14ac:dyDescent="0.25">
      <c r="A11" t="s">
        <v>333</v>
      </c>
      <c r="B11" s="4">
        <v>7526.7</v>
      </c>
      <c r="C11" s="6">
        <v>0.0016958150408891903</v>
      </c>
    </row>
    <row r="12" spans="1:3" x14ac:dyDescent="0.25">
      <c r="A12" t="s">
        <v>1813</v>
      </c>
      <c r="B12">
        <v>0</v>
      </c>
      <c r="C12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62" customWidth="1"/>
    <col min="3" max="3" width="10" customWidth="1"/>
    <col min="4" max="4" width="8" customWidth="1"/>
    <col min="5" max="6" width="36" customWidth="1"/>
    <col min="7" max="7" width="16" customWidth="1"/>
    <col min="8" max="8" width="24" customWidth="1"/>
    <col min="9" max="9" width="40" customWidth="1"/>
    <col min="10" max="10" width="16" customWidth="1"/>
  </cols>
  <sheetData>
    <row r="1" ht="30" customHeight="1" spans="1:10" s="2" customFormat="1" x14ac:dyDescent="0.25">
      <c r="A1" s="2" t="s">
        <v>1814</v>
      </c>
      <c r="B1" s="2" t="s">
        <v>72</v>
      </c>
      <c r="C1" s="2" t="s">
        <v>1815</v>
      </c>
      <c r="D1" s="2" t="s">
        <v>1717</v>
      </c>
      <c r="E1" s="2" t="s">
        <v>140</v>
      </c>
      <c r="F1" s="2" t="s">
        <v>139</v>
      </c>
      <c r="G1" s="2" t="s">
        <v>138</v>
      </c>
      <c r="H1" s="2" t="s">
        <v>73</v>
      </c>
      <c r="I1" s="2" t="s">
        <v>405</v>
      </c>
      <c r="J1" s="2" t="s">
        <v>29</v>
      </c>
    </row>
    <row r="2" spans="1:10" x14ac:dyDescent="0.25">
      <c r="A2" t="s">
        <v>8</v>
      </c>
      <c r="B2" t="s">
        <v>65</v>
      </c>
      <c r="C2">
        <v>2026</v>
      </c>
      <c r="D2">
        <v>7</v>
      </c>
      <c r="E2" t="s">
        <v>232</v>
      </c>
      <c r="F2" t="s">
        <v>295</v>
      </c>
      <c r="G2" t="s">
        <v>294</v>
      </c>
      <c r="H2" t="s">
        <v>451</v>
      </c>
      <c r="I2" t="s">
        <v>1502</v>
      </c>
      <c r="J2" s="4">
        <v>4000</v>
      </c>
    </row>
    <row r="3" spans="1:10" x14ac:dyDescent="0.25">
      <c r="A3" t="s">
        <v>8</v>
      </c>
      <c r="B3" t="s">
        <v>65</v>
      </c>
      <c r="C3">
        <v>2026</v>
      </c>
      <c r="D3">
        <v>4</v>
      </c>
      <c r="E3" t="s">
        <v>290</v>
      </c>
      <c r="F3" t="s">
        <v>297</v>
      </c>
      <c r="G3" t="s">
        <v>296</v>
      </c>
      <c r="H3" t="s">
        <v>451</v>
      </c>
      <c r="I3" t="s">
        <v>743</v>
      </c>
      <c r="J3" s="4">
        <v>709.99</v>
      </c>
    </row>
    <row r="4" spans="1:10" x14ac:dyDescent="0.25">
      <c r="A4" t="s">
        <v>8</v>
      </c>
      <c r="B4" t="s">
        <v>65</v>
      </c>
      <c r="C4">
        <v>2026</v>
      </c>
      <c r="D4">
        <v>7</v>
      </c>
      <c r="E4" t="s">
        <v>290</v>
      </c>
      <c r="F4" t="s">
        <v>289</v>
      </c>
      <c r="G4" t="s">
        <v>288</v>
      </c>
      <c r="H4" t="s">
        <v>451</v>
      </c>
      <c r="I4" t="s">
        <v>734</v>
      </c>
      <c r="J4" s="4">
        <v>2100</v>
      </c>
    </row>
    <row r="5" spans="1:10" x14ac:dyDescent="0.25">
      <c r="A5" t="s">
        <v>8</v>
      </c>
      <c r="B5" t="s">
        <v>65</v>
      </c>
      <c r="C5">
        <v>2026</v>
      </c>
      <c r="D5">
        <v>7</v>
      </c>
      <c r="E5" t="s">
        <v>227</v>
      </c>
      <c r="F5" t="s">
        <v>226</v>
      </c>
      <c r="G5" t="s">
        <v>225</v>
      </c>
      <c r="H5" t="s">
        <v>451</v>
      </c>
      <c r="I5" t="s">
        <v>1816</v>
      </c>
      <c r="J5" s="4">
        <v>4500</v>
      </c>
    </row>
    <row r="6" spans="1:10" x14ac:dyDescent="0.25">
      <c r="A6" t="s">
        <v>8</v>
      </c>
      <c r="B6" t="s">
        <v>65</v>
      </c>
      <c r="C6">
        <v>2026</v>
      </c>
      <c r="D6">
        <v>2</v>
      </c>
      <c r="E6" t="s">
        <v>178</v>
      </c>
      <c r="F6" t="s">
        <v>177</v>
      </c>
      <c r="G6" t="s">
        <v>176</v>
      </c>
      <c r="H6" t="s">
        <v>451</v>
      </c>
      <c r="I6" t="s">
        <v>1817</v>
      </c>
      <c r="J6" s="4">
        <v>600</v>
      </c>
    </row>
    <row r="7" spans="1:10" x14ac:dyDescent="0.25">
      <c r="A7" t="s">
        <v>8</v>
      </c>
      <c r="B7" t="s">
        <v>65</v>
      </c>
      <c r="C7">
        <v>2026</v>
      </c>
      <c r="D7">
        <v>6</v>
      </c>
      <c r="E7" t="s">
        <v>209</v>
      </c>
      <c r="F7" t="s">
        <v>285</v>
      </c>
      <c r="G7" t="s">
        <v>284</v>
      </c>
      <c r="H7" t="s">
        <v>451</v>
      </c>
      <c r="I7" t="s">
        <v>285</v>
      </c>
      <c r="J7" s="4">
        <v>2225</v>
      </c>
    </row>
    <row r="8" spans="1:10" x14ac:dyDescent="0.25">
      <c r="A8" t="s">
        <v>8</v>
      </c>
      <c r="B8" t="s">
        <v>65</v>
      </c>
      <c r="C8">
        <v>2026</v>
      </c>
      <c r="D8">
        <v>2</v>
      </c>
      <c r="E8" t="s">
        <v>196</v>
      </c>
      <c r="F8" t="s">
        <v>195</v>
      </c>
      <c r="G8" t="s">
        <v>194</v>
      </c>
      <c r="H8" t="s">
        <v>511</v>
      </c>
      <c r="I8" t="s">
        <v>1818</v>
      </c>
      <c r="J8" s="4">
        <v>100.2</v>
      </c>
    </row>
    <row r="9" spans="1:10" x14ac:dyDescent="0.25">
      <c r="A9" t="s">
        <v>8</v>
      </c>
      <c r="B9" t="s">
        <v>65</v>
      </c>
      <c r="C9">
        <v>2026</v>
      </c>
      <c r="D9">
        <v>6</v>
      </c>
      <c r="E9" t="s">
        <v>201</v>
      </c>
      <c r="F9" t="s">
        <v>200</v>
      </c>
      <c r="G9" t="s">
        <v>199</v>
      </c>
      <c r="H9" t="s">
        <v>1094</v>
      </c>
      <c r="I9" t="s">
        <v>1687</v>
      </c>
      <c r="J9" s="4">
        <v>10000</v>
      </c>
    </row>
    <row r="10" spans="1:10" x14ac:dyDescent="0.25">
      <c r="A10" t="s">
        <v>8</v>
      </c>
      <c r="B10" t="s">
        <v>65</v>
      </c>
      <c r="C10">
        <v>2026</v>
      </c>
      <c r="D10">
        <v>3</v>
      </c>
      <c r="E10" t="s">
        <v>182</v>
      </c>
      <c r="F10" t="s">
        <v>350</v>
      </c>
      <c r="G10" t="s">
        <v>99</v>
      </c>
      <c r="H10" t="s">
        <v>451</v>
      </c>
      <c r="I10" t="s">
        <v>1819</v>
      </c>
      <c r="J10" s="4">
        <v>756</v>
      </c>
    </row>
    <row r="11" spans="1:10" x14ac:dyDescent="0.25">
      <c r="A11" t="s">
        <v>8</v>
      </c>
      <c r="B11" t="s">
        <v>65</v>
      </c>
      <c r="C11">
        <v>2026</v>
      </c>
      <c r="D11">
        <v>7</v>
      </c>
      <c r="E11" t="s">
        <v>232</v>
      </c>
      <c r="F11" t="s">
        <v>261</v>
      </c>
      <c r="G11" t="s">
        <v>260</v>
      </c>
      <c r="H11" t="s">
        <v>511</v>
      </c>
      <c r="I11" t="s">
        <v>1820</v>
      </c>
      <c r="J11" s="4">
        <v>1053.1</v>
      </c>
    </row>
    <row r="12" spans="1:10" x14ac:dyDescent="0.25">
      <c r="A12" t="s">
        <v>8</v>
      </c>
      <c r="B12" t="s">
        <v>65</v>
      </c>
      <c r="C12">
        <v>2026</v>
      </c>
      <c r="D12">
        <v>8</v>
      </c>
      <c r="E12" t="s">
        <v>232</v>
      </c>
      <c r="F12" t="s">
        <v>231</v>
      </c>
      <c r="G12" t="s">
        <v>230</v>
      </c>
      <c r="H12" t="s">
        <v>465</v>
      </c>
      <c r="I12" t="s">
        <v>1821</v>
      </c>
      <c r="J12" s="4">
        <v>1476.31</v>
      </c>
    </row>
    <row r="13" spans="1:10" x14ac:dyDescent="0.25">
      <c r="A13" t="s">
        <v>8</v>
      </c>
      <c r="B13" t="s">
        <v>65</v>
      </c>
      <c r="C13">
        <v>2026</v>
      </c>
      <c r="D13">
        <v>8</v>
      </c>
      <c r="E13" t="s">
        <v>290</v>
      </c>
      <c r="F13" t="s">
        <v>367</v>
      </c>
      <c r="G13" t="s">
        <v>366</v>
      </c>
      <c r="H13" t="s">
        <v>451</v>
      </c>
      <c r="I13" t="s">
        <v>739</v>
      </c>
      <c r="J13" s="4">
        <v>60</v>
      </c>
    </row>
    <row r="14" spans="1:10" x14ac:dyDescent="0.25">
      <c r="A14" t="s">
        <v>8</v>
      </c>
      <c r="B14" t="s">
        <v>65</v>
      </c>
      <c r="C14">
        <v>2026</v>
      </c>
      <c r="D14">
        <v>1</v>
      </c>
      <c r="E14" t="s">
        <v>232</v>
      </c>
      <c r="F14" t="s">
        <v>295</v>
      </c>
      <c r="G14" t="s">
        <v>294</v>
      </c>
      <c r="H14" t="s">
        <v>451</v>
      </c>
      <c r="I14" t="s">
        <v>1502</v>
      </c>
      <c r="J14" s="4">
        <v>4000</v>
      </c>
    </row>
    <row r="15" spans="1:10" x14ac:dyDescent="0.25">
      <c r="A15" t="s">
        <v>8</v>
      </c>
      <c r="B15" t="s">
        <v>65</v>
      </c>
      <c r="C15">
        <v>2026</v>
      </c>
      <c r="D15">
        <v>5</v>
      </c>
      <c r="E15" t="s">
        <v>268</v>
      </c>
      <c r="F15" t="s">
        <v>267</v>
      </c>
      <c r="G15" t="s">
        <v>99</v>
      </c>
      <c r="H15" t="s">
        <v>451</v>
      </c>
      <c r="I15" t="s">
        <v>1822</v>
      </c>
      <c r="J15" s="4">
        <v>2014</v>
      </c>
    </row>
    <row r="16" spans="1:10" x14ac:dyDescent="0.25">
      <c r="A16" t="s">
        <v>8</v>
      </c>
      <c r="B16" t="s">
        <v>65</v>
      </c>
      <c r="C16">
        <v>2026</v>
      </c>
      <c r="D16">
        <v>3</v>
      </c>
      <c r="E16" t="s">
        <v>290</v>
      </c>
      <c r="F16" t="s">
        <v>367</v>
      </c>
      <c r="G16" t="s">
        <v>366</v>
      </c>
      <c r="H16" t="s">
        <v>451</v>
      </c>
      <c r="I16" t="s">
        <v>739</v>
      </c>
      <c r="J16" s="4">
        <v>85.84</v>
      </c>
    </row>
    <row r="17" spans="1:10" x14ac:dyDescent="0.25">
      <c r="A17" t="s">
        <v>8</v>
      </c>
      <c r="B17" t="s">
        <v>65</v>
      </c>
      <c r="C17">
        <v>2026</v>
      </c>
      <c r="D17">
        <v>1</v>
      </c>
      <c r="E17" t="s">
        <v>201</v>
      </c>
      <c r="F17" t="s">
        <v>200</v>
      </c>
      <c r="G17" t="s">
        <v>199</v>
      </c>
      <c r="H17" t="s">
        <v>1094</v>
      </c>
      <c r="I17" t="s">
        <v>1700</v>
      </c>
      <c r="J17" s="4">
        <v>592.32</v>
      </c>
    </row>
    <row r="18" spans="1:10" x14ac:dyDescent="0.25">
      <c r="A18" t="s">
        <v>8</v>
      </c>
      <c r="B18" t="s">
        <v>65</v>
      </c>
      <c r="C18">
        <v>2026</v>
      </c>
      <c r="D18">
        <v>1</v>
      </c>
      <c r="E18" t="s">
        <v>316</v>
      </c>
      <c r="F18" t="s">
        <v>315</v>
      </c>
      <c r="G18" t="s">
        <v>314</v>
      </c>
      <c r="H18" t="s">
        <v>451</v>
      </c>
      <c r="I18" t="s">
        <v>1823</v>
      </c>
      <c r="J18" s="4">
        <v>179</v>
      </c>
    </row>
    <row r="19" spans="1:10" x14ac:dyDescent="0.25">
      <c r="A19" t="s">
        <v>8</v>
      </c>
      <c r="B19" t="s">
        <v>65</v>
      </c>
      <c r="C19">
        <v>2026</v>
      </c>
      <c r="D19">
        <v>7</v>
      </c>
      <c r="E19" t="s">
        <v>290</v>
      </c>
      <c r="F19" t="s">
        <v>297</v>
      </c>
      <c r="G19" t="s">
        <v>296</v>
      </c>
      <c r="H19" t="s">
        <v>451</v>
      </c>
      <c r="I19" t="s">
        <v>1824</v>
      </c>
      <c r="J19" s="4">
        <v>1000</v>
      </c>
    </row>
    <row r="20" spans="1:10" x14ac:dyDescent="0.25">
      <c r="A20" t="s">
        <v>8</v>
      </c>
      <c r="B20" t="s">
        <v>65</v>
      </c>
      <c r="C20">
        <v>2026</v>
      </c>
      <c r="D20">
        <v>2</v>
      </c>
      <c r="E20" t="s">
        <v>268</v>
      </c>
      <c r="F20" t="s">
        <v>287</v>
      </c>
      <c r="G20" t="s">
        <v>286</v>
      </c>
      <c r="H20" t="s">
        <v>451</v>
      </c>
      <c r="I20" t="s">
        <v>1237</v>
      </c>
      <c r="J20" s="4">
        <v>900</v>
      </c>
    </row>
    <row r="21" spans="1:10" x14ac:dyDescent="0.25">
      <c r="A21" t="s">
        <v>8</v>
      </c>
      <c r="B21" t="s">
        <v>65</v>
      </c>
      <c r="C21">
        <v>2026</v>
      </c>
      <c r="D21">
        <v>4</v>
      </c>
      <c r="E21" t="s">
        <v>290</v>
      </c>
      <c r="F21" t="s">
        <v>367</v>
      </c>
      <c r="G21" t="s">
        <v>366</v>
      </c>
      <c r="H21" t="s">
        <v>451</v>
      </c>
      <c r="I21" t="s">
        <v>739</v>
      </c>
      <c r="J21" s="4">
        <v>85.84</v>
      </c>
    </row>
    <row r="22" spans="1:10" x14ac:dyDescent="0.25">
      <c r="A22" t="s">
        <v>8</v>
      </c>
      <c r="B22" t="s">
        <v>65</v>
      </c>
      <c r="C22">
        <v>2026</v>
      </c>
      <c r="D22">
        <v>6</v>
      </c>
      <c r="E22" t="s">
        <v>158</v>
      </c>
      <c r="F22" t="s">
        <v>171</v>
      </c>
      <c r="G22" t="s">
        <v>85</v>
      </c>
      <c r="H22" t="s">
        <v>474</v>
      </c>
      <c r="I22" t="s">
        <v>474</v>
      </c>
      <c r="J22" s="4">
        <v>60000</v>
      </c>
    </row>
    <row r="23" spans="1:10" x14ac:dyDescent="0.25">
      <c r="A23" t="s">
        <v>8</v>
      </c>
      <c r="B23" t="s">
        <v>65</v>
      </c>
      <c r="C23">
        <v>2026</v>
      </c>
      <c r="D23">
        <v>8</v>
      </c>
      <c r="E23" t="s">
        <v>201</v>
      </c>
      <c r="F23" t="s">
        <v>200</v>
      </c>
      <c r="G23" t="s">
        <v>199</v>
      </c>
      <c r="H23" t="s">
        <v>1094</v>
      </c>
      <c r="I23" t="s">
        <v>1825</v>
      </c>
      <c r="J23" s="4">
        <v>1137.2</v>
      </c>
    </row>
    <row r="24" spans="1:10" x14ac:dyDescent="0.25">
      <c r="A24" t="s">
        <v>8</v>
      </c>
      <c r="B24" t="s">
        <v>65</v>
      </c>
      <c r="C24">
        <v>2026</v>
      </c>
      <c r="D24">
        <v>2</v>
      </c>
      <c r="E24" t="s">
        <v>396</v>
      </c>
      <c r="F24" t="s">
        <v>395</v>
      </c>
      <c r="G24" t="s">
        <v>108</v>
      </c>
      <c r="H24" t="s">
        <v>451</v>
      </c>
      <c r="I24" t="s">
        <v>522</v>
      </c>
      <c r="J24" s="4">
        <v>10</v>
      </c>
    </row>
    <row r="25" spans="1:10" x14ac:dyDescent="0.25">
      <c r="A25" t="s">
        <v>8</v>
      </c>
      <c r="B25" t="s">
        <v>65</v>
      </c>
      <c r="C25">
        <v>2026</v>
      </c>
      <c r="D25">
        <v>6</v>
      </c>
      <c r="E25" t="s">
        <v>196</v>
      </c>
      <c r="F25" t="s">
        <v>195</v>
      </c>
      <c r="G25" t="s">
        <v>194</v>
      </c>
      <c r="H25" t="s">
        <v>511</v>
      </c>
      <c r="I25" t="s">
        <v>1826</v>
      </c>
      <c r="J25" s="4">
        <v>100</v>
      </c>
    </row>
    <row r="26" spans="1:10" x14ac:dyDescent="0.25">
      <c r="A26" t="s">
        <v>8</v>
      </c>
      <c r="B26" t="s">
        <v>65</v>
      </c>
      <c r="C26">
        <v>2026</v>
      </c>
      <c r="D26">
        <v>8</v>
      </c>
      <c r="E26" t="s">
        <v>182</v>
      </c>
      <c r="F26" t="s">
        <v>252</v>
      </c>
      <c r="G26" t="s">
        <v>251</v>
      </c>
      <c r="H26" t="s">
        <v>1094</v>
      </c>
      <c r="I26" t="s">
        <v>1093</v>
      </c>
      <c r="J26" s="4">
        <v>3006.07</v>
      </c>
    </row>
    <row r="27" spans="1:10" x14ac:dyDescent="0.25">
      <c r="A27" t="s">
        <v>8</v>
      </c>
      <c r="B27" t="s">
        <v>65</v>
      </c>
      <c r="C27">
        <v>2026</v>
      </c>
      <c r="D27">
        <v>8</v>
      </c>
      <c r="E27" t="s">
        <v>196</v>
      </c>
      <c r="F27" t="s">
        <v>195</v>
      </c>
      <c r="G27" t="s">
        <v>194</v>
      </c>
      <c r="H27" t="s">
        <v>467</v>
      </c>
      <c r="I27" t="s">
        <v>1827</v>
      </c>
      <c r="J27" s="4">
        <v>2000</v>
      </c>
    </row>
    <row r="28" spans="1:10" x14ac:dyDescent="0.25">
      <c r="A28" t="s">
        <v>8</v>
      </c>
      <c r="B28" t="s">
        <v>65</v>
      </c>
      <c r="C28">
        <v>2026</v>
      </c>
      <c r="D28">
        <v>7</v>
      </c>
      <c r="E28" t="s">
        <v>178</v>
      </c>
      <c r="F28" t="s">
        <v>177</v>
      </c>
      <c r="G28" t="s">
        <v>176</v>
      </c>
      <c r="H28" t="s">
        <v>474</v>
      </c>
      <c r="I28" t="s">
        <v>1828</v>
      </c>
      <c r="J28" s="4">
        <v>440.01</v>
      </c>
    </row>
    <row r="29" spans="1:10" x14ac:dyDescent="0.25">
      <c r="A29" t="s">
        <v>8</v>
      </c>
      <c r="B29" t="s">
        <v>65</v>
      </c>
      <c r="C29">
        <v>2026</v>
      </c>
      <c r="D29">
        <v>1</v>
      </c>
      <c r="E29" t="s">
        <v>201</v>
      </c>
      <c r="F29" t="s">
        <v>200</v>
      </c>
      <c r="G29" t="s">
        <v>199</v>
      </c>
      <c r="H29" t="s">
        <v>511</v>
      </c>
      <c r="I29" t="s">
        <v>1705</v>
      </c>
      <c r="J29" s="4">
        <v>1000</v>
      </c>
    </row>
    <row r="30" spans="1:10" x14ac:dyDescent="0.25">
      <c r="A30" t="s">
        <v>8</v>
      </c>
      <c r="B30" t="s">
        <v>65</v>
      </c>
      <c r="C30">
        <v>2026</v>
      </c>
      <c r="D30">
        <v>5</v>
      </c>
      <c r="E30" t="s">
        <v>201</v>
      </c>
      <c r="F30" t="s">
        <v>239</v>
      </c>
      <c r="G30" t="s">
        <v>238</v>
      </c>
      <c r="H30" t="s">
        <v>224</v>
      </c>
      <c r="I30" t="s">
        <v>1681</v>
      </c>
      <c r="J30" s="4">
        <v>1000</v>
      </c>
    </row>
    <row r="31" spans="1:10" x14ac:dyDescent="0.25">
      <c r="A31" t="s">
        <v>8</v>
      </c>
      <c r="B31" t="s">
        <v>65</v>
      </c>
      <c r="C31">
        <v>2026</v>
      </c>
      <c r="D31">
        <v>5</v>
      </c>
      <c r="E31" t="s">
        <v>178</v>
      </c>
      <c r="F31" t="s">
        <v>177</v>
      </c>
      <c r="G31" t="s">
        <v>176</v>
      </c>
      <c r="H31" t="s">
        <v>451</v>
      </c>
      <c r="I31" t="s">
        <v>1829</v>
      </c>
      <c r="J31" s="4">
        <v>2550</v>
      </c>
    </row>
    <row r="32" spans="1:10" x14ac:dyDescent="0.25">
      <c r="A32" t="s">
        <v>8</v>
      </c>
      <c r="B32" t="s">
        <v>65</v>
      </c>
      <c r="C32">
        <v>2026</v>
      </c>
      <c r="D32">
        <v>1</v>
      </c>
      <c r="E32" t="s">
        <v>201</v>
      </c>
      <c r="F32" t="s">
        <v>200</v>
      </c>
      <c r="G32" t="s">
        <v>199</v>
      </c>
      <c r="H32" t="s">
        <v>1094</v>
      </c>
      <c r="I32" t="s">
        <v>1825</v>
      </c>
      <c r="J32" s="4">
        <v>1137.2</v>
      </c>
    </row>
    <row r="33" spans="1:10" x14ac:dyDescent="0.25">
      <c r="A33" t="s">
        <v>8</v>
      </c>
      <c r="B33" t="s">
        <v>65</v>
      </c>
      <c r="C33">
        <v>2026</v>
      </c>
      <c r="D33">
        <v>8</v>
      </c>
      <c r="E33" t="s">
        <v>209</v>
      </c>
      <c r="F33" t="s">
        <v>208</v>
      </c>
      <c r="G33" t="s">
        <v>207</v>
      </c>
      <c r="H33" t="s">
        <v>451</v>
      </c>
      <c r="I33" t="s">
        <v>1498</v>
      </c>
      <c r="J33" s="4">
        <v>15000</v>
      </c>
    </row>
    <row r="34" spans="1:10" x14ac:dyDescent="0.25">
      <c r="A34" t="s">
        <v>8</v>
      </c>
      <c r="B34" t="s">
        <v>65</v>
      </c>
      <c r="C34">
        <v>2026</v>
      </c>
      <c r="D34">
        <v>8</v>
      </c>
      <c r="E34" t="s">
        <v>201</v>
      </c>
      <c r="F34" t="s">
        <v>304</v>
      </c>
      <c r="G34" t="s">
        <v>303</v>
      </c>
      <c r="H34" t="s">
        <v>465</v>
      </c>
      <c r="I34" t="s">
        <v>1830</v>
      </c>
      <c r="J34" s="4">
        <v>130</v>
      </c>
    </row>
    <row r="35" spans="1:10" x14ac:dyDescent="0.25">
      <c r="A35" t="s">
        <v>8</v>
      </c>
      <c r="B35" t="s">
        <v>65</v>
      </c>
      <c r="C35">
        <v>2026</v>
      </c>
      <c r="D35">
        <v>5</v>
      </c>
      <c r="E35" t="s">
        <v>201</v>
      </c>
      <c r="F35" t="s">
        <v>200</v>
      </c>
      <c r="G35" t="s">
        <v>199</v>
      </c>
      <c r="H35" t="s">
        <v>1094</v>
      </c>
      <c r="I35" t="s">
        <v>1687</v>
      </c>
      <c r="J35" s="4">
        <v>10000</v>
      </c>
    </row>
    <row r="36" spans="1:10" x14ac:dyDescent="0.25">
      <c r="A36" t="s">
        <v>8</v>
      </c>
      <c r="B36" t="s">
        <v>65</v>
      </c>
      <c r="C36">
        <v>2026</v>
      </c>
      <c r="D36">
        <v>8</v>
      </c>
      <c r="E36" t="s">
        <v>190</v>
      </c>
      <c r="F36" t="s">
        <v>189</v>
      </c>
      <c r="G36" t="s">
        <v>188</v>
      </c>
      <c r="H36" t="s">
        <v>451</v>
      </c>
      <c r="I36" t="s">
        <v>1831</v>
      </c>
      <c r="J36" s="4">
        <v>27000</v>
      </c>
    </row>
    <row r="37" spans="1:10" x14ac:dyDescent="0.25">
      <c r="A37" t="s">
        <v>8</v>
      </c>
      <c r="B37" t="s">
        <v>65</v>
      </c>
      <c r="C37">
        <v>2026</v>
      </c>
      <c r="D37">
        <v>2</v>
      </c>
      <c r="E37" t="s">
        <v>201</v>
      </c>
      <c r="F37" t="s">
        <v>200</v>
      </c>
      <c r="G37" t="s">
        <v>199</v>
      </c>
      <c r="H37" t="s">
        <v>1094</v>
      </c>
      <c r="I37" t="s">
        <v>1832</v>
      </c>
      <c r="J37" s="4">
        <v>250</v>
      </c>
    </row>
    <row r="38" spans="1:10" x14ac:dyDescent="0.25">
      <c r="A38" t="s">
        <v>8</v>
      </c>
      <c r="B38" t="s">
        <v>65</v>
      </c>
      <c r="C38">
        <v>2026</v>
      </c>
      <c r="D38">
        <v>6</v>
      </c>
      <c r="E38" t="s">
        <v>201</v>
      </c>
      <c r="F38" t="s">
        <v>200</v>
      </c>
      <c r="G38" t="s">
        <v>199</v>
      </c>
      <c r="H38" t="s">
        <v>1094</v>
      </c>
      <c r="I38" t="s">
        <v>1825</v>
      </c>
      <c r="J38" s="4">
        <v>1137.2</v>
      </c>
    </row>
    <row r="39" spans="1:10" x14ac:dyDescent="0.25">
      <c r="A39" t="s">
        <v>8</v>
      </c>
      <c r="B39" t="s">
        <v>65</v>
      </c>
      <c r="C39">
        <v>2026</v>
      </c>
      <c r="D39">
        <v>7</v>
      </c>
      <c r="E39" t="s">
        <v>316</v>
      </c>
      <c r="F39" t="s">
        <v>315</v>
      </c>
      <c r="G39" t="s">
        <v>314</v>
      </c>
      <c r="H39" t="s">
        <v>451</v>
      </c>
      <c r="I39" t="s">
        <v>1823</v>
      </c>
      <c r="J39" s="4">
        <v>179</v>
      </c>
    </row>
    <row r="40" spans="1:10" x14ac:dyDescent="0.25">
      <c r="A40" t="s">
        <v>8</v>
      </c>
      <c r="B40" t="s">
        <v>65</v>
      </c>
      <c r="C40">
        <v>2026</v>
      </c>
      <c r="D40">
        <v>1</v>
      </c>
      <c r="E40" t="s">
        <v>196</v>
      </c>
      <c r="F40" t="s">
        <v>195</v>
      </c>
      <c r="G40" t="s">
        <v>194</v>
      </c>
      <c r="H40" t="s">
        <v>525</v>
      </c>
      <c r="I40" t="s">
        <v>1833</v>
      </c>
      <c r="J40" s="4">
        <v>4000</v>
      </c>
    </row>
    <row r="41" spans="1:10" x14ac:dyDescent="0.25">
      <c r="A41" t="s">
        <v>8</v>
      </c>
      <c r="B41" t="s">
        <v>65</v>
      </c>
      <c r="C41">
        <v>2026</v>
      </c>
      <c r="D41">
        <v>1</v>
      </c>
      <c r="E41" t="s">
        <v>316</v>
      </c>
      <c r="F41" t="s">
        <v>371</v>
      </c>
      <c r="G41" t="s">
        <v>370</v>
      </c>
      <c r="H41" t="s">
        <v>451</v>
      </c>
      <c r="I41" t="s">
        <v>1834</v>
      </c>
      <c r="J41" s="4">
        <v>10</v>
      </c>
    </row>
    <row r="42" spans="1:10" x14ac:dyDescent="0.25">
      <c r="A42" t="s">
        <v>8</v>
      </c>
      <c r="B42" t="s">
        <v>65</v>
      </c>
      <c r="C42">
        <v>2026</v>
      </c>
      <c r="D42">
        <v>5</v>
      </c>
      <c r="E42" t="s">
        <v>178</v>
      </c>
      <c r="F42" t="s">
        <v>177</v>
      </c>
      <c r="G42" t="s">
        <v>176</v>
      </c>
      <c r="H42" t="s">
        <v>451</v>
      </c>
      <c r="I42" t="s">
        <v>1817</v>
      </c>
      <c r="J42" s="4">
        <v>600</v>
      </c>
    </row>
    <row r="43" spans="1:10" x14ac:dyDescent="0.25">
      <c r="A43" t="s">
        <v>8</v>
      </c>
      <c r="B43" t="s">
        <v>65</v>
      </c>
      <c r="C43">
        <v>2026</v>
      </c>
      <c r="D43">
        <v>2</v>
      </c>
      <c r="E43" t="s">
        <v>178</v>
      </c>
      <c r="F43" t="s">
        <v>177</v>
      </c>
      <c r="G43" t="s">
        <v>176</v>
      </c>
      <c r="H43" t="s">
        <v>451</v>
      </c>
      <c r="I43" t="s">
        <v>1829</v>
      </c>
      <c r="J43" s="4">
        <v>2550</v>
      </c>
    </row>
    <row r="44" spans="1:10" x14ac:dyDescent="0.25">
      <c r="A44" t="s">
        <v>8</v>
      </c>
      <c r="B44" t="s">
        <v>65</v>
      </c>
      <c r="C44">
        <v>2026</v>
      </c>
      <c r="D44">
        <v>4</v>
      </c>
      <c r="E44" t="s">
        <v>232</v>
      </c>
      <c r="F44" t="s">
        <v>250</v>
      </c>
      <c r="G44" t="s">
        <v>249</v>
      </c>
      <c r="H44" t="s">
        <v>511</v>
      </c>
      <c r="I44" t="s">
        <v>1530</v>
      </c>
      <c r="J44" s="4">
        <v>3300</v>
      </c>
    </row>
    <row r="45" spans="1:10" x14ac:dyDescent="0.25">
      <c r="A45" t="s">
        <v>8</v>
      </c>
      <c r="B45" t="s">
        <v>65</v>
      </c>
      <c r="C45">
        <v>2026</v>
      </c>
      <c r="D45">
        <v>2</v>
      </c>
      <c r="E45" t="s">
        <v>178</v>
      </c>
      <c r="F45" t="s">
        <v>302</v>
      </c>
      <c r="G45" t="s">
        <v>301</v>
      </c>
      <c r="H45" t="s">
        <v>451</v>
      </c>
      <c r="I45" t="s">
        <v>1835</v>
      </c>
      <c r="J45" s="4">
        <v>1436.4</v>
      </c>
    </row>
    <row r="46" spans="1:10" x14ac:dyDescent="0.25">
      <c r="A46" t="s">
        <v>8</v>
      </c>
      <c r="B46" t="s">
        <v>65</v>
      </c>
      <c r="C46">
        <v>2026</v>
      </c>
      <c r="D46">
        <v>5</v>
      </c>
      <c r="E46" t="s">
        <v>201</v>
      </c>
      <c r="F46" t="s">
        <v>392</v>
      </c>
      <c r="G46" t="s">
        <v>99</v>
      </c>
      <c r="H46" t="s">
        <v>1094</v>
      </c>
      <c r="I46" t="s">
        <v>1836</v>
      </c>
      <c r="J46" s="4">
        <v>44.9</v>
      </c>
    </row>
    <row r="47" spans="1:10" x14ac:dyDescent="0.25">
      <c r="A47" t="s">
        <v>8</v>
      </c>
      <c r="B47" t="s">
        <v>65</v>
      </c>
      <c r="C47">
        <v>2026</v>
      </c>
      <c r="D47">
        <v>4</v>
      </c>
      <c r="E47" t="s">
        <v>316</v>
      </c>
      <c r="F47" t="s">
        <v>315</v>
      </c>
      <c r="G47" t="s">
        <v>314</v>
      </c>
      <c r="H47" t="s">
        <v>451</v>
      </c>
      <c r="I47" t="s">
        <v>1837</v>
      </c>
      <c r="J47" s="4">
        <v>124.9</v>
      </c>
    </row>
    <row r="48" spans="1:10" x14ac:dyDescent="0.25">
      <c r="A48" t="s">
        <v>8</v>
      </c>
      <c r="B48" t="s">
        <v>65</v>
      </c>
      <c r="C48">
        <v>2026</v>
      </c>
      <c r="D48">
        <v>6</v>
      </c>
      <c r="E48" t="s">
        <v>182</v>
      </c>
      <c r="F48" t="s">
        <v>181</v>
      </c>
      <c r="G48" t="s">
        <v>180</v>
      </c>
      <c r="H48" t="s">
        <v>451</v>
      </c>
      <c r="I48" t="s">
        <v>1144</v>
      </c>
      <c r="J48" s="4">
        <v>4000</v>
      </c>
    </row>
    <row r="49" spans="1:10" x14ac:dyDescent="0.25">
      <c r="A49" t="s">
        <v>8</v>
      </c>
      <c r="B49" t="s">
        <v>65</v>
      </c>
      <c r="C49">
        <v>2026</v>
      </c>
      <c r="D49">
        <v>1</v>
      </c>
      <c r="E49" t="s">
        <v>201</v>
      </c>
      <c r="F49" t="s">
        <v>239</v>
      </c>
      <c r="G49" t="s">
        <v>238</v>
      </c>
      <c r="H49" t="s">
        <v>1094</v>
      </c>
      <c r="I49" t="s">
        <v>1838</v>
      </c>
      <c r="J49" s="4">
        <v>1121</v>
      </c>
    </row>
    <row r="50" spans="1:10" x14ac:dyDescent="0.25">
      <c r="A50" t="s">
        <v>8</v>
      </c>
      <c r="B50" t="s">
        <v>65</v>
      </c>
      <c r="C50">
        <v>2026</v>
      </c>
      <c r="D50">
        <v>7</v>
      </c>
      <c r="E50" t="s">
        <v>182</v>
      </c>
      <c r="F50" t="s">
        <v>350</v>
      </c>
      <c r="G50" t="s">
        <v>99</v>
      </c>
      <c r="H50" t="s">
        <v>451</v>
      </c>
      <c r="I50" t="s">
        <v>1819</v>
      </c>
      <c r="J50" s="4">
        <v>756</v>
      </c>
    </row>
    <row r="51" spans="1:10" x14ac:dyDescent="0.25">
      <c r="A51" t="s">
        <v>8</v>
      </c>
      <c r="B51" t="s">
        <v>65</v>
      </c>
      <c r="C51">
        <v>2026</v>
      </c>
      <c r="D51">
        <v>6</v>
      </c>
      <c r="E51" t="s">
        <v>201</v>
      </c>
      <c r="F51" t="s">
        <v>200</v>
      </c>
      <c r="G51" t="s">
        <v>199</v>
      </c>
      <c r="H51" t="s">
        <v>467</v>
      </c>
      <c r="I51" t="s">
        <v>1705</v>
      </c>
      <c r="J51" s="4">
        <v>1000</v>
      </c>
    </row>
    <row r="52" spans="1:10" x14ac:dyDescent="0.25">
      <c r="A52" t="s">
        <v>8</v>
      </c>
      <c r="B52" t="s">
        <v>65</v>
      </c>
      <c r="C52">
        <v>2026</v>
      </c>
      <c r="D52">
        <v>6</v>
      </c>
      <c r="E52" t="s">
        <v>290</v>
      </c>
      <c r="F52" t="s">
        <v>297</v>
      </c>
      <c r="G52" t="s">
        <v>296</v>
      </c>
      <c r="H52" t="s">
        <v>451</v>
      </c>
      <c r="I52" t="s">
        <v>743</v>
      </c>
      <c r="J52" s="4">
        <v>709.99</v>
      </c>
    </row>
    <row r="53" spans="1:10" x14ac:dyDescent="0.25">
      <c r="A53" t="s">
        <v>8</v>
      </c>
      <c r="B53" t="s">
        <v>65</v>
      </c>
      <c r="C53">
        <v>2026</v>
      </c>
      <c r="D53">
        <v>8</v>
      </c>
      <c r="E53" t="s">
        <v>201</v>
      </c>
      <c r="F53" t="s">
        <v>200</v>
      </c>
      <c r="G53" t="s">
        <v>199</v>
      </c>
      <c r="H53" t="s">
        <v>1094</v>
      </c>
      <c r="I53" t="s">
        <v>1699</v>
      </c>
      <c r="J53" s="4">
        <v>275</v>
      </c>
    </row>
    <row r="54" spans="1:10" x14ac:dyDescent="0.25">
      <c r="A54" t="s">
        <v>8</v>
      </c>
      <c r="B54" t="s">
        <v>65</v>
      </c>
      <c r="C54">
        <v>2026</v>
      </c>
      <c r="D54">
        <v>6</v>
      </c>
      <c r="E54" t="s">
        <v>316</v>
      </c>
      <c r="F54" t="s">
        <v>371</v>
      </c>
      <c r="G54" t="s">
        <v>370</v>
      </c>
      <c r="H54" t="s">
        <v>451</v>
      </c>
      <c r="I54" t="s">
        <v>1834</v>
      </c>
      <c r="J54" s="4">
        <v>10</v>
      </c>
    </row>
    <row r="55" spans="1:10" x14ac:dyDescent="0.25">
      <c r="A55" t="s">
        <v>8</v>
      </c>
      <c r="B55" t="s">
        <v>65</v>
      </c>
      <c r="C55">
        <v>2026</v>
      </c>
      <c r="D55">
        <v>1</v>
      </c>
      <c r="E55" t="s">
        <v>178</v>
      </c>
      <c r="F55" t="s">
        <v>177</v>
      </c>
      <c r="G55" t="s">
        <v>176</v>
      </c>
      <c r="H55" t="s">
        <v>474</v>
      </c>
      <c r="I55" t="s">
        <v>1839</v>
      </c>
      <c r="J55" s="4">
        <v>880</v>
      </c>
    </row>
    <row r="56" spans="1:10" x14ac:dyDescent="0.25">
      <c r="A56" t="s">
        <v>8</v>
      </c>
      <c r="B56" t="s">
        <v>65</v>
      </c>
      <c r="C56">
        <v>2026</v>
      </c>
      <c r="D56">
        <v>7</v>
      </c>
      <c r="E56" t="s">
        <v>232</v>
      </c>
      <c r="F56" t="s">
        <v>250</v>
      </c>
      <c r="G56" t="s">
        <v>249</v>
      </c>
      <c r="H56" t="s">
        <v>511</v>
      </c>
      <c r="I56" t="s">
        <v>1530</v>
      </c>
      <c r="J56" s="4">
        <v>3300</v>
      </c>
    </row>
    <row r="57" spans="1:10" x14ac:dyDescent="0.25">
      <c r="A57" t="s">
        <v>8</v>
      </c>
      <c r="B57" t="s">
        <v>65</v>
      </c>
      <c r="C57">
        <v>2026</v>
      </c>
      <c r="D57">
        <v>7</v>
      </c>
      <c r="E57" t="s">
        <v>201</v>
      </c>
      <c r="F57" t="s">
        <v>200</v>
      </c>
      <c r="G57" t="s">
        <v>199</v>
      </c>
      <c r="H57" t="s">
        <v>467</v>
      </c>
      <c r="I57" t="s">
        <v>1705</v>
      </c>
      <c r="J57" s="4">
        <v>1000</v>
      </c>
    </row>
    <row r="58" spans="1:10" x14ac:dyDescent="0.25">
      <c r="A58" t="s">
        <v>8</v>
      </c>
      <c r="B58" t="s">
        <v>65</v>
      </c>
      <c r="C58">
        <v>2026</v>
      </c>
      <c r="D58">
        <v>3</v>
      </c>
      <c r="E58" t="s">
        <v>316</v>
      </c>
      <c r="F58" t="s">
        <v>315</v>
      </c>
      <c r="G58" t="s">
        <v>314</v>
      </c>
      <c r="H58" t="s">
        <v>451</v>
      </c>
      <c r="I58" t="s">
        <v>1837</v>
      </c>
      <c r="J58" s="4">
        <v>124.9</v>
      </c>
    </row>
    <row r="59" spans="1:10" x14ac:dyDescent="0.25">
      <c r="A59" t="s">
        <v>8</v>
      </c>
      <c r="B59" t="s">
        <v>65</v>
      </c>
      <c r="C59">
        <v>2026</v>
      </c>
      <c r="D59">
        <v>7</v>
      </c>
      <c r="E59" t="s">
        <v>268</v>
      </c>
      <c r="F59" t="s">
        <v>363</v>
      </c>
      <c r="G59" t="s">
        <v>362</v>
      </c>
      <c r="H59" t="s">
        <v>451</v>
      </c>
      <c r="I59" t="s">
        <v>1840</v>
      </c>
      <c r="J59" s="4">
        <v>234.64</v>
      </c>
    </row>
    <row r="60" spans="1:10" x14ac:dyDescent="0.25">
      <c r="A60" t="s">
        <v>8</v>
      </c>
      <c r="B60" t="s">
        <v>65</v>
      </c>
      <c r="C60">
        <v>2026</v>
      </c>
      <c r="D60">
        <v>7</v>
      </c>
      <c r="E60" t="s">
        <v>196</v>
      </c>
      <c r="F60" t="s">
        <v>195</v>
      </c>
      <c r="G60" t="s">
        <v>194</v>
      </c>
      <c r="H60" t="s">
        <v>467</v>
      </c>
      <c r="I60" t="s">
        <v>1841</v>
      </c>
      <c r="J60" s="4">
        <v>1500</v>
      </c>
    </row>
    <row r="61" spans="1:10" x14ac:dyDescent="0.25">
      <c r="A61" t="s">
        <v>8</v>
      </c>
      <c r="B61" t="s">
        <v>65</v>
      </c>
      <c r="C61">
        <v>2026</v>
      </c>
      <c r="D61">
        <v>4</v>
      </c>
      <c r="E61" t="s">
        <v>182</v>
      </c>
      <c r="F61" t="s">
        <v>181</v>
      </c>
      <c r="G61" t="s">
        <v>180</v>
      </c>
      <c r="H61" t="s">
        <v>451</v>
      </c>
      <c r="I61" t="s">
        <v>1135</v>
      </c>
      <c r="J61" s="4">
        <v>11062.4</v>
      </c>
    </row>
    <row r="62" spans="1:10" x14ac:dyDescent="0.25">
      <c r="A62" t="s">
        <v>8</v>
      </c>
      <c r="B62" t="s">
        <v>65</v>
      </c>
      <c r="C62">
        <v>2026</v>
      </c>
      <c r="D62">
        <v>4</v>
      </c>
      <c r="E62" t="s">
        <v>158</v>
      </c>
      <c r="F62" t="s">
        <v>171</v>
      </c>
      <c r="G62" t="s">
        <v>85</v>
      </c>
      <c r="H62" t="s">
        <v>474</v>
      </c>
      <c r="I62" t="s">
        <v>474</v>
      </c>
      <c r="J62" s="4">
        <v>60000</v>
      </c>
    </row>
    <row r="63" spans="1:10" x14ac:dyDescent="0.25">
      <c r="A63" t="s">
        <v>8</v>
      </c>
      <c r="B63" t="s">
        <v>65</v>
      </c>
      <c r="C63">
        <v>2026</v>
      </c>
      <c r="D63">
        <v>7</v>
      </c>
      <c r="E63" t="s">
        <v>222</v>
      </c>
      <c r="F63" t="s">
        <v>263</v>
      </c>
      <c r="G63" t="s">
        <v>262</v>
      </c>
      <c r="H63" t="s">
        <v>224</v>
      </c>
      <c r="I63" t="s">
        <v>822</v>
      </c>
      <c r="J63" s="4">
        <v>2500</v>
      </c>
    </row>
    <row r="64" spans="1:10" x14ac:dyDescent="0.25">
      <c r="A64" t="s">
        <v>8</v>
      </c>
      <c r="B64" t="s">
        <v>65</v>
      </c>
      <c r="C64">
        <v>2026</v>
      </c>
      <c r="D64">
        <v>4</v>
      </c>
      <c r="E64" t="s">
        <v>232</v>
      </c>
      <c r="F64" t="s">
        <v>295</v>
      </c>
      <c r="G64" t="s">
        <v>294</v>
      </c>
      <c r="H64" t="s">
        <v>451</v>
      </c>
      <c r="I64" t="s">
        <v>1502</v>
      </c>
      <c r="J64" s="4">
        <v>4000</v>
      </c>
    </row>
    <row r="65" spans="1:10" x14ac:dyDescent="0.25">
      <c r="A65" t="s">
        <v>8</v>
      </c>
      <c r="B65" t="s">
        <v>65</v>
      </c>
      <c r="C65">
        <v>2026</v>
      </c>
      <c r="D65">
        <v>5</v>
      </c>
      <c r="E65" t="s">
        <v>290</v>
      </c>
      <c r="F65" t="s">
        <v>309</v>
      </c>
      <c r="G65" t="s">
        <v>308</v>
      </c>
      <c r="H65" t="s">
        <v>451</v>
      </c>
      <c r="I65" t="s">
        <v>733</v>
      </c>
      <c r="J65" s="4">
        <v>1700</v>
      </c>
    </row>
    <row r="66" spans="1:10" x14ac:dyDescent="0.25">
      <c r="A66" t="s">
        <v>8</v>
      </c>
      <c r="B66" t="s">
        <v>65</v>
      </c>
      <c r="C66">
        <v>2026</v>
      </c>
      <c r="D66">
        <v>5</v>
      </c>
      <c r="E66" t="s">
        <v>182</v>
      </c>
      <c r="F66" t="s">
        <v>350</v>
      </c>
      <c r="G66" t="s">
        <v>99</v>
      </c>
      <c r="H66" t="s">
        <v>451</v>
      </c>
      <c r="I66" t="s">
        <v>1819</v>
      </c>
      <c r="J66" s="4">
        <v>756</v>
      </c>
    </row>
    <row r="67" spans="1:10" x14ac:dyDescent="0.25">
      <c r="A67" t="s">
        <v>8</v>
      </c>
      <c r="B67" t="s">
        <v>65</v>
      </c>
      <c r="C67">
        <v>2026</v>
      </c>
      <c r="D67">
        <v>5</v>
      </c>
      <c r="E67" t="s">
        <v>201</v>
      </c>
      <c r="F67" t="s">
        <v>304</v>
      </c>
      <c r="G67" t="s">
        <v>303</v>
      </c>
      <c r="H67" t="s">
        <v>467</v>
      </c>
      <c r="I67" t="s">
        <v>1842</v>
      </c>
      <c r="J67" s="4">
        <v>390</v>
      </c>
    </row>
    <row r="68" spans="1:10" x14ac:dyDescent="0.25">
      <c r="A68" t="s">
        <v>8</v>
      </c>
      <c r="B68" t="s">
        <v>65</v>
      </c>
      <c r="C68">
        <v>2026</v>
      </c>
      <c r="D68">
        <v>2</v>
      </c>
      <c r="E68" t="s">
        <v>201</v>
      </c>
      <c r="F68" t="s">
        <v>200</v>
      </c>
      <c r="G68" t="s">
        <v>199</v>
      </c>
      <c r="H68" t="s">
        <v>1094</v>
      </c>
      <c r="I68" t="s">
        <v>1693</v>
      </c>
      <c r="J68" s="4">
        <v>109.8</v>
      </c>
    </row>
    <row r="69" spans="1:10" x14ac:dyDescent="0.25">
      <c r="A69" t="s">
        <v>8</v>
      </c>
      <c r="B69" t="s">
        <v>65</v>
      </c>
      <c r="C69">
        <v>2026</v>
      </c>
      <c r="D69">
        <v>5</v>
      </c>
      <c r="E69" t="s">
        <v>201</v>
      </c>
      <c r="F69" t="s">
        <v>200</v>
      </c>
      <c r="G69" t="s">
        <v>199</v>
      </c>
      <c r="H69" t="s">
        <v>1094</v>
      </c>
      <c r="I69" t="s">
        <v>1825</v>
      </c>
      <c r="J69" s="4">
        <v>1137.2</v>
      </c>
    </row>
    <row r="70" spans="1:10" x14ac:dyDescent="0.25">
      <c r="A70" t="s">
        <v>8</v>
      </c>
      <c r="B70" t="s">
        <v>65</v>
      </c>
      <c r="C70">
        <v>2026</v>
      </c>
      <c r="D70">
        <v>2</v>
      </c>
      <c r="E70" t="s">
        <v>290</v>
      </c>
      <c r="F70" t="s">
        <v>289</v>
      </c>
      <c r="G70" t="s">
        <v>288</v>
      </c>
      <c r="H70" t="s">
        <v>451</v>
      </c>
      <c r="I70" t="s">
        <v>734</v>
      </c>
      <c r="J70" s="4">
        <v>2100</v>
      </c>
    </row>
    <row r="71" spans="1:10" x14ac:dyDescent="0.25">
      <c r="A71" t="s">
        <v>8</v>
      </c>
      <c r="B71" t="s">
        <v>65</v>
      </c>
      <c r="C71">
        <v>2026</v>
      </c>
      <c r="D71">
        <v>2</v>
      </c>
      <c r="E71" t="s">
        <v>158</v>
      </c>
      <c r="F71" t="s">
        <v>205</v>
      </c>
      <c r="G71" t="s">
        <v>99</v>
      </c>
      <c r="H71" t="s">
        <v>451</v>
      </c>
      <c r="I71" t="s">
        <v>99</v>
      </c>
      <c r="J71" s="4">
        <v>20000</v>
      </c>
    </row>
    <row r="72" spans="1:10" x14ac:dyDescent="0.25">
      <c r="A72" t="s">
        <v>8</v>
      </c>
      <c r="B72" t="s">
        <v>65</v>
      </c>
      <c r="C72">
        <v>2026</v>
      </c>
      <c r="D72">
        <v>2</v>
      </c>
      <c r="E72" t="s">
        <v>290</v>
      </c>
      <c r="F72" t="s">
        <v>297</v>
      </c>
      <c r="G72" t="s">
        <v>296</v>
      </c>
      <c r="H72" t="s">
        <v>451</v>
      </c>
      <c r="I72" t="s">
        <v>1824</v>
      </c>
      <c r="J72" s="4">
        <v>1000</v>
      </c>
    </row>
    <row r="73" spans="1:10" x14ac:dyDescent="0.25">
      <c r="A73" t="s">
        <v>8</v>
      </c>
      <c r="B73" t="s">
        <v>65</v>
      </c>
      <c r="C73">
        <v>2026</v>
      </c>
      <c r="D73">
        <v>6</v>
      </c>
      <c r="E73" t="s">
        <v>201</v>
      </c>
      <c r="F73" t="s">
        <v>200</v>
      </c>
      <c r="G73" t="s">
        <v>199</v>
      </c>
      <c r="H73" t="s">
        <v>511</v>
      </c>
      <c r="I73" t="s">
        <v>1705</v>
      </c>
      <c r="J73" s="4">
        <v>1000</v>
      </c>
    </row>
    <row r="74" spans="1:10" x14ac:dyDescent="0.25">
      <c r="A74" t="s">
        <v>8</v>
      </c>
      <c r="B74" t="s">
        <v>65</v>
      </c>
      <c r="C74">
        <v>2026</v>
      </c>
      <c r="D74">
        <v>6</v>
      </c>
      <c r="E74" t="s">
        <v>178</v>
      </c>
      <c r="F74" t="s">
        <v>177</v>
      </c>
      <c r="G74" t="s">
        <v>176</v>
      </c>
      <c r="H74" t="s">
        <v>451</v>
      </c>
      <c r="I74" t="s">
        <v>1843</v>
      </c>
      <c r="J74" s="4">
        <v>40000</v>
      </c>
    </row>
    <row r="75" spans="1:10" x14ac:dyDescent="0.25">
      <c r="A75" t="s">
        <v>8</v>
      </c>
      <c r="B75" t="s">
        <v>65</v>
      </c>
      <c r="C75">
        <v>2026</v>
      </c>
      <c r="D75">
        <v>2</v>
      </c>
      <c r="E75" t="s">
        <v>290</v>
      </c>
      <c r="F75" t="s">
        <v>297</v>
      </c>
      <c r="G75" t="s">
        <v>99</v>
      </c>
      <c r="H75" t="s">
        <v>451</v>
      </c>
      <c r="I75" t="s">
        <v>1844</v>
      </c>
      <c r="J75" s="4">
        <v>50</v>
      </c>
    </row>
    <row r="76" spans="1:10" x14ac:dyDescent="0.25">
      <c r="A76" t="s">
        <v>8</v>
      </c>
      <c r="B76" t="s">
        <v>65</v>
      </c>
      <c r="C76">
        <v>2026</v>
      </c>
      <c r="D76">
        <v>4</v>
      </c>
      <c r="E76" t="s">
        <v>201</v>
      </c>
      <c r="F76" t="s">
        <v>200</v>
      </c>
      <c r="G76" t="s">
        <v>199</v>
      </c>
      <c r="H76" t="s">
        <v>1094</v>
      </c>
      <c r="I76" t="s">
        <v>1845</v>
      </c>
      <c r="J76" s="4">
        <v>343.25</v>
      </c>
    </row>
    <row r="77" spans="1:10" x14ac:dyDescent="0.25">
      <c r="A77" t="s">
        <v>8</v>
      </c>
      <c r="B77" t="s">
        <v>65</v>
      </c>
      <c r="C77">
        <v>2026</v>
      </c>
      <c r="D77">
        <v>4</v>
      </c>
      <c r="E77" t="s">
        <v>196</v>
      </c>
      <c r="F77" t="s">
        <v>195</v>
      </c>
      <c r="G77" t="s">
        <v>194</v>
      </c>
      <c r="H77" t="s">
        <v>511</v>
      </c>
      <c r="I77" t="s">
        <v>1826</v>
      </c>
      <c r="J77" s="4">
        <v>100</v>
      </c>
    </row>
    <row r="78" spans="1:10" x14ac:dyDescent="0.25">
      <c r="A78" t="s">
        <v>8</v>
      </c>
      <c r="B78" t="s">
        <v>65</v>
      </c>
      <c r="C78">
        <v>2026</v>
      </c>
      <c r="D78">
        <v>7</v>
      </c>
      <c r="E78" t="s">
        <v>396</v>
      </c>
      <c r="F78" t="s">
        <v>395</v>
      </c>
      <c r="G78" t="s">
        <v>108</v>
      </c>
      <c r="H78" t="s">
        <v>451</v>
      </c>
      <c r="I78" t="s">
        <v>522</v>
      </c>
      <c r="J78" s="4">
        <v>10</v>
      </c>
    </row>
    <row r="79" spans="1:10" x14ac:dyDescent="0.25">
      <c r="A79" t="s">
        <v>8</v>
      </c>
      <c r="B79" t="s">
        <v>65</v>
      </c>
      <c r="C79">
        <v>2026</v>
      </c>
      <c r="D79">
        <v>4</v>
      </c>
      <c r="E79" t="s">
        <v>201</v>
      </c>
      <c r="F79" t="s">
        <v>239</v>
      </c>
      <c r="G79" t="s">
        <v>238</v>
      </c>
      <c r="H79" t="s">
        <v>224</v>
      </c>
      <c r="I79" t="s">
        <v>1681</v>
      </c>
      <c r="J79" s="4">
        <v>1000</v>
      </c>
    </row>
    <row r="80" spans="1:10" x14ac:dyDescent="0.25">
      <c r="A80" t="s">
        <v>8</v>
      </c>
      <c r="B80" t="s">
        <v>65</v>
      </c>
      <c r="C80">
        <v>2026</v>
      </c>
      <c r="D80">
        <v>8</v>
      </c>
      <c r="E80" t="s">
        <v>182</v>
      </c>
      <c r="F80" t="s">
        <v>181</v>
      </c>
      <c r="G80" t="s">
        <v>180</v>
      </c>
      <c r="H80" t="s">
        <v>451</v>
      </c>
      <c r="I80" t="s">
        <v>1135</v>
      </c>
      <c r="J80" s="4">
        <v>11062.4</v>
      </c>
    </row>
    <row r="81" spans="1:10" x14ac:dyDescent="0.25">
      <c r="A81" t="s">
        <v>8</v>
      </c>
      <c r="B81" t="s">
        <v>65</v>
      </c>
      <c r="C81">
        <v>2026</v>
      </c>
      <c r="D81">
        <v>5</v>
      </c>
      <c r="E81" t="s">
        <v>290</v>
      </c>
      <c r="F81" t="s">
        <v>365</v>
      </c>
      <c r="G81" t="s">
        <v>364</v>
      </c>
      <c r="H81" t="s">
        <v>451</v>
      </c>
      <c r="I81" t="s">
        <v>748</v>
      </c>
      <c r="J81" s="4">
        <v>217.74</v>
      </c>
    </row>
    <row r="82" spans="1:10" x14ac:dyDescent="0.25">
      <c r="A82" t="s">
        <v>8</v>
      </c>
      <c r="B82" t="s">
        <v>65</v>
      </c>
      <c r="C82">
        <v>2026</v>
      </c>
      <c r="D82">
        <v>8</v>
      </c>
      <c r="E82" t="s">
        <v>182</v>
      </c>
      <c r="F82" t="s">
        <v>181</v>
      </c>
      <c r="G82" t="s">
        <v>180</v>
      </c>
      <c r="H82" t="s">
        <v>451</v>
      </c>
      <c r="I82" t="s">
        <v>1144</v>
      </c>
      <c r="J82" s="4">
        <v>4000</v>
      </c>
    </row>
    <row r="83" spans="1:10" x14ac:dyDescent="0.25">
      <c r="A83" t="s">
        <v>8</v>
      </c>
      <c r="B83" t="s">
        <v>65</v>
      </c>
      <c r="C83">
        <v>2026</v>
      </c>
      <c r="D83">
        <v>6</v>
      </c>
      <c r="E83" t="s">
        <v>201</v>
      </c>
      <c r="F83" t="s">
        <v>392</v>
      </c>
      <c r="G83" t="s">
        <v>99</v>
      </c>
      <c r="H83" t="s">
        <v>1094</v>
      </c>
      <c r="I83" t="s">
        <v>1846</v>
      </c>
      <c r="J83" s="4">
        <v>74.9</v>
      </c>
    </row>
    <row r="84" spans="1:10" x14ac:dyDescent="0.25">
      <c r="A84" t="s">
        <v>8</v>
      </c>
      <c r="B84" t="s">
        <v>65</v>
      </c>
      <c r="C84">
        <v>2026</v>
      </c>
      <c r="D84">
        <v>5</v>
      </c>
      <c r="E84" t="s">
        <v>201</v>
      </c>
      <c r="F84" t="s">
        <v>304</v>
      </c>
      <c r="G84" t="s">
        <v>303</v>
      </c>
      <c r="H84" t="s">
        <v>1094</v>
      </c>
      <c r="I84" t="s">
        <v>1652</v>
      </c>
      <c r="J84" s="4">
        <v>56.6</v>
      </c>
    </row>
    <row r="85" spans="1:10" x14ac:dyDescent="0.25">
      <c r="A85" t="s">
        <v>8</v>
      </c>
      <c r="B85" t="s">
        <v>65</v>
      </c>
      <c r="C85">
        <v>2026</v>
      </c>
      <c r="D85">
        <v>1</v>
      </c>
      <c r="E85" t="s">
        <v>201</v>
      </c>
      <c r="F85" t="s">
        <v>304</v>
      </c>
      <c r="G85" t="s">
        <v>303</v>
      </c>
      <c r="H85" t="s">
        <v>465</v>
      </c>
      <c r="I85" t="s">
        <v>1830</v>
      </c>
      <c r="J85" s="4">
        <v>130</v>
      </c>
    </row>
    <row r="86" spans="1:10" x14ac:dyDescent="0.25">
      <c r="A86" t="s">
        <v>8</v>
      </c>
      <c r="B86" t="s">
        <v>65</v>
      </c>
      <c r="C86">
        <v>2026</v>
      </c>
      <c r="D86">
        <v>8</v>
      </c>
      <c r="E86" t="s">
        <v>227</v>
      </c>
      <c r="F86" t="s">
        <v>265</v>
      </c>
      <c r="G86" t="s">
        <v>99</v>
      </c>
      <c r="H86" t="s">
        <v>451</v>
      </c>
      <c r="I86" t="s">
        <v>1847</v>
      </c>
      <c r="J86" s="4">
        <v>1716</v>
      </c>
    </row>
    <row r="87" spans="1:10" x14ac:dyDescent="0.25">
      <c r="A87" t="s">
        <v>8</v>
      </c>
      <c r="B87" t="s">
        <v>65</v>
      </c>
      <c r="C87">
        <v>2026</v>
      </c>
      <c r="D87">
        <v>2</v>
      </c>
      <c r="E87" t="s">
        <v>290</v>
      </c>
      <c r="F87" t="s">
        <v>367</v>
      </c>
      <c r="G87" t="s">
        <v>366</v>
      </c>
      <c r="H87" t="s">
        <v>451</v>
      </c>
      <c r="I87" t="s">
        <v>739</v>
      </c>
      <c r="J87" s="4">
        <v>85.84</v>
      </c>
    </row>
    <row r="88" spans="1:10" x14ac:dyDescent="0.25">
      <c r="A88" t="s">
        <v>8</v>
      </c>
      <c r="B88" t="s">
        <v>65</v>
      </c>
      <c r="C88">
        <v>2026</v>
      </c>
      <c r="D88">
        <v>3</v>
      </c>
      <c r="E88" t="s">
        <v>396</v>
      </c>
      <c r="F88" t="s">
        <v>395</v>
      </c>
      <c r="G88" t="s">
        <v>108</v>
      </c>
      <c r="H88" t="s">
        <v>451</v>
      </c>
      <c r="I88" t="s">
        <v>522</v>
      </c>
      <c r="J88" s="4">
        <v>10</v>
      </c>
    </row>
    <row r="89" spans="1:10" x14ac:dyDescent="0.25">
      <c r="A89" t="s">
        <v>8</v>
      </c>
      <c r="B89" t="s">
        <v>65</v>
      </c>
      <c r="C89">
        <v>2026</v>
      </c>
      <c r="D89">
        <v>7</v>
      </c>
      <c r="E89" t="s">
        <v>201</v>
      </c>
      <c r="F89" t="s">
        <v>239</v>
      </c>
      <c r="G89" t="s">
        <v>238</v>
      </c>
      <c r="H89" t="s">
        <v>1094</v>
      </c>
      <c r="I89" t="s">
        <v>1848</v>
      </c>
      <c r="J89" s="4">
        <v>1350</v>
      </c>
    </row>
    <row r="90" spans="1:10" x14ac:dyDescent="0.25">
      <c r="A90" t="s">
        <v>8</v>
      </c>
      <c r="B90" t="s">
        <v>65</v>
      </c>
      <c r="C90">
        <v>2026</v>
      </c>
      <c r="D90">
        <v>6</v>
      </c>
      <c r="E90" t="s">
        <v>201</v>
      </c>
      <c r="F90" t="s">
        <v>239</v>
      </c>
      <c r="G90" t="s">
        <v>238</v>
      </c>
      <c r="H90" t="s">
        <v>1094</v>
      </c>
      <c r="I90" t="s">
        <v>1838</v>
      </c>
      <c r="J90" s="4">
        <v>1121</v>
      </c>
    </row>
    <row r="91" spans="1:10" x14ac:dyDescent="0.25">
      <c r="A91" t="s">
        <v>8</v>
      </c>
      <c r="B91" t="s">
        <v>65</v>
      </c>
      <c r="C91">
        <v>2026</v>
      </c>
      <c r="D91">
        <v>5</v>
      </c>
      <c r="E91" t="s">
        <v>201</v>
      </c>
      <c r="F91" t="s">
        <v>304</v>
      </c>
      <c r="G91" t="s">
        <v>303</v>
      </c>
      <c r="H91" t="s">
        <v>471</v>
      </c>
      <c r="I91" t="s">
        <v>1849</v>
      </c>
      <c r="J91" s="4">
        <v>130</v>
      </c>
    </row>
    <row r="92" spans="1:10" x14ac:dyDescent="0.25">
      <c r="A92" t="s">
        <v>8</v>
      </c>
      <c r="B92" t="s">
        <v>65</v>
      </c>
      <c r="C92">
        <v>2026</v>
      </c>
      <c r="D92">
        <v>3</v>
      </c>
      <c r="E92" t="s">
        <v>158</v>
      </c>
      <c r="F92" t="s">
        <v>171</v>
      </c>
      <c r="G92" t="s">
        <v>85</v>
      </c>
      <c r="H92" t="s">
        <v>471</v>
      </c>
      <c r="I92" t="s">
        <v>471</v>
      </c>
      <c r="J92" s="4">
        <v>60000</v>
      </c>
    </row>
    <row r="93" spans="1:10" x14ac:dyDescent="0.25">
      <c r="A93" t="s">
        <v>8</v>
      </c>
      <c r="B93" t="s">
        <v>65</v>
      </c>
      <c r="C93">
        <v>2026</v>
      </c>
      <c r="D93">
        <v>6</v>
      </c>
      <c r="E93" t="s">
        <v>268</v>
      </c>
      <c r="F93" t="s">
        <v>267</v>
      </c>
      <c r="G93" t="s">
        <v>99</v>
      </c>
      <c r="H93" t="s">
        <v>451</v>
      </c>
      <c r="I93" t="s">
        <v>1822</v>
      </c>
      <c r="J93" s="4">
        <v>2014</v>
      </c>
    </row>
    <row r="94" spans="1:10" x14ac:dyDescent="0.25">
      <c r="A94" t="s">
        <v>8</v>
      </c>
      <c r="B94" t="s">
        <v>65</v>
      </c>
      <c r="C94">
        <v>2026</v>
      </c>
      <c r="D94">
        <v>2</v>
      </c>
      <c r="E94" t="s">
        <v>196</v>
      </c>
      <c r="F94" t="s">
        <v>195</v>
      </c>
      <c r="G94" t="s">
        <v>194</v>
      </c>
      <c r="H94" t="s">
        <v>467</v>
      </c>
      <c r="I94" t="s">
        <v>1827</v>
      </c>
      <c r="J94" s="4">
        <v>2000</v>
      </c>
    </row>
    <row r="95" spans="1:10" x14ac:dyDescent="0.25">
      <c r="A95" t="s">
        <v>8</v>
      </c>
      <c r="B95" t="s">
        <v>65</v>
      </c>
      <c r="C95">
        <v>2026</v>
      </c>
      <c r="D95">
        <v>1</v>
      </c>
      <c r="E95" t="s">
        <v>158</v>
      </c>
      <c r="F95" t="s">
        <v>171</v>
      </c>
      <c r="G95" t="s">
        <v>85</v>
      </c>
      <c r="H95" t="s">
        <v>471</v>
      </c>
      <c r="I95" t="s">
        <v>471</v>
      </c>
      <c r="J95" s="4">
        <v>60000</v>
      </c>
    </row>
    <row r="96" spans="1:10" x14ac:dyDescent="0.25">
      <c r="A96" t="s">
        <v>8</v>
      </c>
      <c r="B96" t="s">
        <v>65</v>
      </c>
      <c r="C96">
        <v>2026</v>
      </c>
      <c r="D96">
        <v>8</v>
      </c>
      <c r="E96" t="s">
        <v>196</v>
      </c>
      <c r="F96" t="s">
        <v>195</v>
      </c>
      <c r="G96" t="s">
        <v>194</v>
      </c>
      <c r="H96" t="s">
        <v>511</v>
      </c>
      <c r="I96" t="s">
        <v>1818</v>
      </c>
      <c r="J96" s="4">
        <v>100.2</v>
      </c>
    </row>
    <row r="97" spans="1:10" x14ac:dyDescent="0.25">
      <c r="A97" t="s">
        <v>8</v>
      </c>
      <c r="B97" t="s">
        <v>65</v>
      </c>
      <c r="C97">
        <v>2026</v>
      </c>
      <c r="D97">
        <v>3</v>
      </c>
      <c r="E97" t="s">
        <v>248</v>
      </c>
      <c r="F97" t="s">
        <v>387</v>
      </c>
      <c r="G97" t="s">
        <v>386</v>
      </c>
      <c r="H97" t="s">
        <v>451</v>
      </c>
      <c r="I97" t="s">
        <v>1850</v>
      </c>
      <c r="J97" s="4">
        <v>46</v>
      </c>
    </row>
    <row r="98" spans="1:10" x14ac:dyDescent="0.25">
      <c r="A98" t="s">
        <v>8</v>
      </c>
      <c r="B98" t="s">
        <v>65</v>
      </c>
      <c r="C98">
        <v>2026</v>
      </c>
      <c r="D98">
        <v>1</v>
      </c>
      <c r="E98" t="s">
        <v>158</v>
      </c>
      <c r="F98" t="s">
        <v>171</v>
      </c>
      <c r="G98" t="s">
        <v>85</v>
      </c>
      <c r="H98" t="s">
        <v>474</v>
      </c>
      <c r="I98" t="s">
        <v>474</v>
      </c>
      <c r="J98" s="4">
        <v>60000</v>
      </c>
    </row>
    <row r="99" spans="1:10" x14ac:dyDescent="0.25">
      <c r="A99" t="s">
        <v>8</v>
      </c>
      <c r="B99" t="s">
        <v>65</v>
      </c>
      <c r="C99">
        <v>2026</v>
      </c>
      <c r="D99">
        <v>8</v>
      </c>
      <c r="E99" t="s">
        <v>316</v>
      </c>
      <c r="F99" t="s">
        <v>315</v>
      </c>
      <c r="G99" t="s">
        <v>314</v>
      </c>
      <c r="H99" t="s">
        <v>451</v>
      </c>
      <c r="I99" t="s">
        <v>1823</v>
      </c>
      <c r="J99" s="4">
        <v>179</v>
      </c>
    </row>
    <row r="100" spans="1:10" x14ac:dyDescent="0.25">
      <c r="A100" t="s">
        <v>8</v>
      </c>
      <c r="B100" t="s">
        <v>65</v>
      </c>
      <c r="C100">
        <v>2026</v>
      </c>
      <c r="D100">
        <v>5</v>
      </c>
      <c r="E100" t="s">
        <v>178</v>
      </c>
      <c r="F100" t="s">
        <v>177</v>
      </c>
      <c r="G100" t="s">
        <v>176</v>
      </c>
      <c r="H100" t="s">
        <v>474</v>
      </c>
      <c r="I100" t="s">
        <v>1839</v>
      </c>
      <c r="J100" s="4">
        <v>880</v>
      </c>
    </row>
    <row r="101" spans="1:10" x14ac:dyDescent="0.25">
      <c r="A101" t="s">
        <v>8</v>
      </c>
      <c r="B101" t="s">
        <v>65</v>
      </c>
      <c r="C101">
        <v>2026</v>
      </c>
      <c r="D101">
        <v>8</v>
      </c>
      <c r="E101" t="s">
        <v>209</v>
      </c>
      <c r="F101" t="s">
        <v>285</v>
      </c>
      <c r="G101" t="s">
        <v>284</v>
      </c>
      <c r="H101" t="s">
        <v>451</v>
      </c>
      <c r="I101" t="s">
        <v>285</v>
      </c>
      <c r="J101" s="4">
        <v>2225</v>
      </c>
    </row>
    <row r="102" spans="1:10" x14ac:dyDescent="0.25">
      <c r="A102" t="s">
        <v>8</v>
      </c>
      <c r="B102" t="s">
        <v>65</v>
      </c>
      <c r="C102">
        <v>2026</v>
      </c>
      <c r="D102">
        <v>3</v>
      </c>
      <c r="E102" t="s">
        <v>178</v>
      </c>
      <c r="F102" t="s">
        <v>177</v>
      </c>
      <c r="G102" t="s">
        <v>176</v>
      </c>
      <c r="H102" t="s">
        <v>474</v>
      </c>
      <c r="I102" t="s">
        <v>1828</v>
      </c>
      <c r="J102" s="4">
        <v>440.01</v>
      </c>
    </row>
    <row r="103" spans="1:10" x14ac:dyDescent="0.25">
      <c r="A103" t="s">
        <v>8</v>
      </c>
      <c r="B103" t="s">
        <v>65</v>
      </c>
      <c r="C103">
        <v>2026</v>
      </c>
      <c r="D103">
        <v>3</v>
      </c>
      <c r="E103" t="s">
        <v>201</v>
      </c>
      <c r="F103" t="s">
        <v>200</v>
      </c>
      <c r="G103" t="s">
        <v>199</v>
      </c>
      <c r="H103" t="s">
        <v>1094</v>
      </c>
      <c r="I103" t="s">
        <v>1851</v>
      </c>
      <c r="J103" s="4">
        <v>4300</v>
      </c>
    </row>
    <row r="104" spans="1:10" x14ac:dyDescent="0.25">
      <c r="A104" t="s">
        <v>8</v>
      </c>
      <c r="B104" t="s">
        <v>65</v>
      </c>
      <c r="C104">
        <v>2026</v>
      </c>
      <c r="D104">
        <v>7</v>
      </c>
      <c r="E104" t="s">
        <v>201</v>
      </c>
      <c r="F104" t="s">
        <v>200</v>
      </c>
      <c r="G104" t="s">
        <v>199</v>
      </c>
      <c r="H104" t="s">
        <v>1094</v>
      </c>
      <c r="I104" t="s">
        <v>1845</v>
      </c>
      <c r="J104" s="4">
        <v>343.25</v>
      </c>
    </row>
    <row r="105" spans="1:10" x14ac:dyDescent="0.25">
      <c r="A105" t="s">
        <v>8</v>
      </c>
      <c r="B105" t="s">
        <v>65</v>
      </c>
      <c r="C105">
        <v>2026</v>
      </c>
      <c r="D105">
        <v>4</v>
      </c>
      <c r="E105" t="s">
        <v>182</v>
      </c>
      <c r="F105" t="s">
        <v>245</v>
      </c>
      <c r="G105" t="s">
        <v>244</v>
      </c>
      <c r="H105" t="s">
        <v>451</v>
      </c>
      <c r="I105" t="s">
        <v>1130</v>
      </c>
      <c r="J105" s="4">
        <v>2544.15</v>
      </c>
    </row>
    <row r="106" spans="1:10" x14ac:dyDescent="0.25">
      <c r="A106" t="s">
        <v>8</v>
      </c>
      <c r="B106" t="s">
        <v>65</v>
      </c>
      <c r="C106">
        <v>2026</v>
      </c>
      <c r="D106">
        <v>8</v>
      </c>
      <c r="E106" t="s">
        <v>196</v>
      </c>
      <c r="F106" t="s">
        <v>195</v>
      </c>
      <c r="G106" t="s">
        <v>194</v>
      </c>
      <c r="H106" t="s">
        <v>467</v>
      </c>
      <c r="I106" t="s">
        <v>1841</v>
      </c>
      <c r="J106" s="4">
        <v>1500</v>
      </c>
    </row>
    <row r="107" spans="1:10" x14ac:dyDescent="0.25">
      <c r="A107" t="s">
        <v>8</v>
      </c>
      <c r="B107" t="s">
        <v>65</v>
      </c>
      <c r="C107">
        <v>2026</v>
      </c>
      <c r="D107">
        <v>6</v>
      </c>
      <c r="E107" t="s">
        <v>222</v>
      </c>
      <c r="F107" t="s">
        <v>263</v>
      </c>
      <c r="G107" t="s">
        <v>262</v>
      </c>
      <c r="H107" t="s">
        <v>224</v>
      </c>
      <c r="I107" t="s">
        <v>822</v>
      </c>
      <c r="J107" s="4">
        <v>2500</v>
      </c>
    </row>
    <row r="108" spans="1:10" x14ac:dyDescent="0.25">
      <c r="A108" t="s">
        <v>8</v>
      </c>
      <c r="B108" t="s">
        <v>65</v>
      </c>
      <c r="C108">
        <v>2026</v>
      </c>
      <c r="D108">
        <v>6</v>
      </c>
      <c r="E108" t="s">
        <v>178</v>
      </c>
      <c r="F108" t="s">
        <v>177</v>
      </c>
      <c r="G108" t="s">
        <v>176</v>
      </c>
      <c r="H108" t="s">
        <v>474</v>
      </c>
      <c r="I108" t="s">
        <v>1839</v>
      </c>
      <c r="J108" s="4">
        <v>880</v>
      </c>
    </row>
    <row r="109" spans="1:10" x14ac:dyDescent="0.25">
      <c r="A109" t="s">
        <v>8</v>
      </c>
      <c r="B109" t="s">
        <v>65</v>
      </c>
      <c r="C109">
        <v>2026</v>
      </c>
      <c r="D109">
        <v>2</v>
      </c>
      <c r="E109" t="s">
        <v>201</v>
      </c>
      <c r="F109" t="s">
        <v>200</v>
      </c>
      <c r="G109" t="s">
        <v>199</v>
      </c>
      <c r="H109" t="s">
        <v>1094</v>
      </c>
      <c r="I109" t="s">
        <v>1825</v>
      </c>
      <c r="J109" s="4">
        <v>1137.2</v>
      </c>
    </row>
    <row r="110" spans="1:10" x14ac:dyDescent="0.25">
      <c r="A110" t="s">
        <v>8</v>
      </c>
      <c r="B110" t="s">
        <v>65</v>
      </c>
      <c r="C110">
        <v>2026</v>
      </c>
      <c r="D110">
        <v>4</v>
      </c>
      <c r="E110" t="s">
        <v>290</v>
      </c>
      <c r="F110" t="s">
        <v>309</v>
      </c>
      <c r="G110" t="s">
        <v>308</v>
      </c>
      <c r="H110" t="s">
        <v>451</v>
      </c>
      <c r="I110" t="s">
        <v>733</v>
      </c>
      <c r="J110" s="4">
        <v>1700</v>
      </c>
    </row>
    <row r="111" spans="1:10" x14ac:dyDescent="0.25">
      <c r="A111" t="s">
        <v>8</v>
      </c>
      <c r="B111" t="s">
        <v>65</v>
      </c>
      <c r="C111">
        <v>2026</v>
      </c>
      <c r="D111">
        <v>4</v>
      </c>
      <c r="E111" t="s">
        <v>201</v>
      </c>
      <c r="F111" t="s">
        <v>200</v>
      </c>
      <c r="G111" t="s">
        <v>199</v>
      </c>
      <c r="H111" t="s">
        <v>511</v>
      </c>
      <c r="I111" t="s">
        <v>1705</v>
      </c>
      <c r="J111" s="4">
        <v>1000</v>
      </c>
    </row>
    <row r="112" spans="1:10" x14ac:dyDescent="0.25">
      <c r="A112" t="s">
        <v>8</v>
      </c>
      <c r="B112" t="s">
        <v>65</v>
      </c>
      <c r="C112">
        <v>2026</v>
      </c>
      <c r="D112">
        <v>8</v>
      </c>
      <c r="E112" t="s">
        <v>316</v>
      </c>
      <c r="F112" t="s">
        <v>315</v>
      </c>
      <c r="G112" t="s">
        <v>314</v>
      </c>
      <c r="H112" t="s">
        <v>451</v>
      </c>
      <c r="I112" t="s">
        <v>1852</v>
      </c>
      <c r="J112" s="4">
        <v>177.05</v>
      </c>
    </row>
    <row r="113" spans="1:10" x14ac:dyDescent="0.25">
      <c r="A113" t="s">
        <v>8</v>
      </c>
      <c r="B113" t="s">
        <v>65</v>
      </c>
      <c r="C113">
        <v>2026</v>
      </c>
      <c r="D113">
        <v>1</v>
      </c>
      <c r="E113" t="s">
        <v>222</v>
      </c>
      <c r="F113" t="s">
        <v>263</v>
      </c>
      <c r="G113" t="s">
        <v>262</v>
      </c>
      <c r="H113" t="s">
        <v>224</v>
      </c>
      <c r="I113" t="s">
        <v>822</v>
      </c>
      <c r="J113" s="4">
        <v>2500</v>
      </c>
    </row>
    <row r="114" spans="1:10" x14ac:dyDescent="0.25">
      <c r="A114" t="s">
        <v>8</v>
      </c>
      <c r="B114" t="s">
        <v>65</v>
      </c>
      <c r="C114">
        <v>2026</v>
      </c>
      <c r="D114">
        <v>8</v>
      </c>
      <c r="E114" t="s">
        <v>201</v>
      </c>
      <c r="F114" t="s">
        <v>304</v>
      </c>
      <c r="G114" t="s">
        <v>303</v>
      </c>
      <c r="H114" t="s">
        <v>1094</v>
      </c>
      <c r="I114" t="s">
        <v>1853</v>
      </c>
      <c r="J114" s="4">
        <v>200</v>
      </c>
    </row>
    <row r="115" spans="1:10" x14ac:dyDescent="0.25">
      <c r="A115" t="s">
        <v>8</v>
      </c>
      <c r="B115" t="s">
        <v>65</v>
      </c>
      <c r="C115">
        <v>2026</v>
      </c>
      <c r="D115">
        <v>2</v>
      </c>
      <c r="E115" t="s">
        <v>201</v>
      </c>
      <c r="F115" t="s">
        <v>304</v>
      </c>
      <c r="G115" t="s">
        <v>303</v>
      </c>
      <c r="H115" t="s">
        <v>467</v>
      </c>
      <c r="I115" t="s">
        <v>1842</v>
      </c>
      <c r="J115" s="4">
        <v>390</v>
      </c>
    </row>
    <row r="116" spans="1:10" x14ac:dyDescent="0.25">
      <c r="A116" t="s">
        <v>8</v>
      </c>
      <c r="B116" t="s">
        <v>65</v>
      </c>
      <c r="C116">
        <v>2026</v>
      </c>
      <c r="D116">
        <v>2</v>
      </c>
      <c r="E116" t="s">
        <v>182</v>
      </c>
      <c r="F116" t="s">
        <v>245</v>
      </c>
      <c r="G116" t="s">
        <v>244</v>
      </c>
      <c r="H116" t="s">
        <v>451</v>
      </c>
      <c r="I116" t="s">
        <v>1130</v>
      </c>
      <c r="J116" s="4">
        <v>2544.15</v>
      </c>
    </row>
    <row r="117" spans="1:10" x14ac:dyDescent="0.25">
      <c r="A117" t="s">
        <v>8</v>
      </c>
      <c r="B117" t="s">
        <v>65</v>
      </c>
      <c r="C117">
        <v>2026</v>
      </c>
      <c r="D117">
        <v>1</v>
      </c>
      <c r="E117" t="s">
        <v>201</v>
      </c>
      <c r="F117" t="s">
        <v>200</v>
      </c>
      <c r="G117" t="s">
        <v>199</v>
      </c>
      <c r="H117" t="s">
        <v>1094</v>
      </c>
      <c r="I117" t="s">
        <v>1687</v>
      </c>
      <c r="J117" s="4">
        <v>10000</v>
      </c>
    </row>
    <row r="118" spans="1:10" x14ac:dyDescent="0.25">
      <c r="A118" t="s">
        <v>8</v>
      </c>
      <c r="B118" t="s">
        <v>65</v>
      </c>
      <c r="C118">
        <v>2026</v>
      </c>
      <c r="D118">
        <v>2</v>
      </c>
      <c r="E118" t="s">
        <v>227</v>
      </c>
      <c r="F118" t="s">
        <v>327</v>
      </c>
      <c r="G118" t="s">
        <v>326</v>
      </c>
      <c r="H118" t="s">
        <v>451</v>
      </c>
      <c r="I118" t="s">
        <v>1555</v>
      </c>
      <c r="J118" s="4">
        <v>704</v>
      </c>
    </row>
    <row r="119" spans="1:10" x14ac:dyDescent="0.25">
      <c r="A119" t="s">
        <v>8</v>
      </c>
      <c r="B119" t="s">
        <v>65</v>
      </c>
      <c r="C119">
        <v>2026</v>
      </c>
      <c r="D119">
        <v>6</v>
      </c>
      <c r="E119" t="s">
        <v>196</v>
      </c>
      <c r="F119" t="s">
        <v>195</v>
      </c>
      <c r="G119" t="s">
        <v>194</v>
      </c>
      <c r="H119" t="s">
        <v>467</v>
      </c>
      <c r="I119" t="s">
        <v>1854</v>
      </c>
      <c r="J119" s="4">
        <v>4000</v>
      </c>
    </row>
    <row r="120" spans="1:10" x14ac:dyDescent="0.25">
      <c r="A120" t="s">
        <v>8</v>
      </c>
      <c r="B120" t="s">
        <v>65</v>
      </c>
      <c r="C120">
        <v>2026</v>
      </c>
      <c r="D120">
        <v>3</v>
      </c>
      <c r="E120" t="s">
        <v>316</v>
      </c>
      <c r="F120" t="s">
        <v>315</v>
      </c>
      <c r="G120" t="s">
        <v>314</v>
      </c>
      <c r="H120" t="s">
        <v>451</v>
      </c>
      <c r="I120" t="s">
        <v>1852</v>
      </c>
      <c r="J120" s="4">
        <v>177.05</v>
      </c>
    </row>
    <row r="121" spans="1:10" x14ac:dyDescent="0.25">
      <c r="A121" t="s">
        <v>8</v>
      </c>
      <c r="B121" t="s">
        <v>65</v>
      </c>
      <c r="C121">
        <v>2026</v>
      </c>
      <c r="D121">
        <v>1</v>
      </c>
      <c r="E121" t="s">
        <v>196</v>
      </c>
      <c r="F121" t="s">
        <v>213</v>
      </c>
      <c r="G121" t="s">
        <v>212</v>
      </c>
      <c r="H121" t="s">
        <v>467</v>
      </c>
      <c r="I121" t="s">
        <v>1855</v>
      </c>
      <c r="J121" s="4">
        <v>2850</v>
      </c>
    </row>
    <row r="122" spans="1:10" x14ac:dyDescent="0.25">
      <c r="A122" t="s">
        <v>8</v>
      </c>
      <c r="B122" t="s">
        <v>65</v>
      </c>
      <c r="C122">
        <v>2026</v>
      </c>
      <c r="D122">
        <v>7</v>
      </c>
      <c r="E122" t="s">
        <v>178</v>
      </c>
      <c r="F122" t="s">
        <v>177</v>
      </c>
      <c r="G122" t="s">
        <v>176</v>
      </c>
      <c r="H122" t="s">
        <v>474</v>
      </c>
      <c r="I122" t="s">
        <v>1839</v>
      </c>
      <c r="J122" s="4">
        <v>880</v>
      </c>
    </row>
    <row r="123" spans="1:10" x14ac:dyDescent="0.25">
      <c r="A123" t="s">
        <v>8</v>
      </c>
      <c r="B123" t="s">
        <v>65</v>
      </c>
      <c r="C123">
        <v>2026</v>
      </c>
      <c r="D123">
        <v>3</v>
      </c>
      <c r="E123" t="s">
        <v>201</v>
      </c>
      <c r="F123" t="s">
        <v>304</v>
      </c>
      <c r="G123" t="s">
        <v>303</v>
      </c>
      <c r="H123" t="s">
        <v>1094</v>
      </c>
      <c r="I123" t="s">
        <v>1853</v>
      </c>
      <c r="J123" s="4">
        <v>200</v>
      </c>
    </row>
    <row r="124" spans="1:10" x14ac:dyDescent="0.25">
      <c r="A124" t="s">
        <v>8</v>
      </c>
      <c r="B124" t="s">
        <v>65</v>
      </c>
      <c r="C124">
        <v>2026</v>
      </c>
      <c r="D124">
        <v>1</v>
      </c>
      <c r="E124" t="s">
        <v>158</v>
      </c>
      <c r="F124" t="s">
        <v>157</v>
      </c>
      <c r="G124" t="s">
        <v>156</v>
      </c>
      <c r="H124" t="s">
        <v>451</v>
      </c>
      <c r="I124" t="s">
        <v>956</v>
      </c>
      <c r="J124" s="4">
        <v>330000</v>
      </c>
    </row>
    <row r="125" spans="1:10" x14ac:dyDescent="0.25">
      <c r="A125" t="s">
        <v>8</v>
      </c>
      <c r="B125" t="s">
        <v>65</v>
      </c>
      <c r="C125">
        <v>2026</v>
      </c>
      <c r="D125">
        <v>1</v>
      </c>
      <c r="E125" t="s">
        <v>196</v>
      </c>
      <c r="F125" t="s">
        <v>195</v>
      </c>
      <c r="G125" t="s">
        <v>194</v>
      </c>
      <c r="H125" t="s">
        <v>467</v>
      </c>
      <c r="I125" t="s">
        <v>1841</v>
      </c>
      <c r="J125" s="4">
        <v>1500</v>
      </c>
    </row>
    <row r="126" spans="1:10" x14ac:dyDescent="0.25">
      <c r="A126" t="s">
        <v>8</v>
      </c>
      <c r="B126" t="s">
        <v>65</v>
      </c>
      <c r="C126">
        <v>2026</v>
      </c>
      <c r="D126">
        <v>4</v>
      </c>
      <c r="E126" t="s">
        <v>182</v>
      </c>
      <c r="F126" t="s">
        <v>181</v>
      </c>
      <c r="G126" t="s">
        <v>180</v>
      </c>
      <c r="H126" t="s">
        <v>451</v>
      </c>
      <c r="I126" t="s">
        <v>1144</v>
      </c>
      <c r="J126" s="4">
        <v>4000</v>
      </c>
    </row>
    <row r="127" spans="1:10" x14ac:dyDescent="0.25">
      <c r="A127" t="s">
        <v>8</v>
      </c>
      <c r="B127" t="s">
        <v>65</v>
      </c>
      <c r="C127">
        <v>2026</v>
      </c>
      <c r="D127">
        <v>8</v>
      </c>
      <c r="E127" t="s">
        <v>222</v>
      </c>
      <c r="F127" t="s">
        <v>263</v>
      </c>
      <c r="G127" t="s">
        <v>262</v>
      </c>
      <c r="H127" t="s">
        <v>224</v>
      </c>
      <c r="I127" t="s">
        <v>822</v>
      </c>
      <c r="J127" s="4">
        <v>2500</v>
      </c>
    </row>
    <row r="128" spans="1:10" x14ac:dyDescent="0.25">
      <c r="A128" t="s">
        <v>8</v>
      </c>
      <c r="B128" t="s">
        <v>65</v>
      </c>
      <c r="C128">
        <v>2026</v>
      </c>
      <c r="D128">
        <v>6</v>
      </c>
      <c r="E128" t="s">
        <v>178</v>
      </c>
      <c r="F128" t="s">
        <v>177</v>
      </c>
      <c r="G128" t="s">
        <v>176</v>
      </c>
      <c r="H128" t="s">
        <v>451</v>
      </c>
      <c r="I128" t="s">
        <v>1817</v>
      </c>
      <c r="J128" s="4">
        <v>600</v>
      </c>
    </row>
    <row r="129" spans="1:10" x14ac:dyDescent="0.25">
      <c r="A129" t="s">
        <v>8</v>
      </c>
      <c r="B129" t="s">
        <v>65</v>
      </c>
      <c r="C129">
        <v>2026</v>
      </c>
      <c r="D129">
        <v>3</v>
      </c>
      <c r="E129" t="s">
        <v>268</v>
      </c>
      <c r="F129" t="s">
        <v>363</v>
      </c>
      <c r="G129" t="s">
        <v>362</v>
      </c>
      <c r="H129" t="s">
        <v>451</v>
      </c>
      <c r="I129" t="s">
        <v>1840</v>
      </c>
      <c r="J129" s="4">
        <v>234.64</v>
      </c>
    </row>
    <row r="130" spans="1:10" x14ac:dyDescent="0.25">
      <c r="A130" t="s">
        <v>8</v>
      </c>
      <c r="B130" t="s">
        <v>65</v>
      </c>
      <c r="C130">
        <v>2026</v>
      </c>
      <c r="D130">
        <v>5</v>
      </c>
      <c r="E130" t="s">
        <v>227</v>
      </c>
      <c r="F130" t="s">
        <v>265</v>
      </c>
      <c r="G130" t="s">
        <v>99</v>
      </c>
      <c r="H130" t="s">
        <v>451</v>
      </c>
      <c r="I130" t="s">
        <v>1856</v>
      </c>
      <c r="J130" s="4">
        <v>1400</v>
      </c>
    </row>
    <row r="131" spans="1:10" x14ac:dyDescent="0.25">
      <c r="A131" t="s">
        <v>8</v>
      </c>
      <c r="B131" t="s">
        <v>65</v>
      </c>
      <c r="C131">
        <v>2026</v>
      </c>
      <c r="D131">
        <v>4</v>
      </c>
      <c r="E131" t="s">
        <v>201</v>
      </c>
      <c r="F131" t="s">
        <v>304</v>
      </c>
      <c r="G131" t="s">
        <v>303</v>
      </c>
      <c r="H131" t="s">
        <v>465</v>
      </c>
      <c r="I131" t="s">
        <v>1830</v>
      </c>
      <c r="J131" s="4">
        <v>130</v>
      </c>
    </row>
    <row r="132" spans="1:10" x14ac:dyDescent="0.25">
      <c r="A132" t="s">
        <v>8</v>
      </c>
      <c r="B132" t="s">
        <v>65</v>
      </c>
      <c r="C132">
        <v>2026</v>
      </c>
      <c r="D132">
        <v>4</v>
      </c>
      <c r="E132" t="s">
        <v>209</v>
      </c>
      <c r="F132" t="s">
        <v>208</v>
      </c>
      <c r="G132" t="s">
        <v>207</v>
      </c>
      <c r="H132" t="s">
        <v>451</v>
      </c>
      <c r="I132" t="s">
        <v>1498</v>
      </c>
      <c r="J132" s="4">
        <v>15000</v>
      </c>
    </row>
    <row r="133" spans="1:10" x14ac:dyDescent="0.25">
      <c r="A133" t="s">
        <v>8</v>
      </c>
      <c r="B133" t="s">
        <v>65</v>
      </c>
      <c r="C133">
        <v>2026</v>
      </c>
      <c r="D133">
        <v>2</v>
      </c>
      <c r="E133" t="s">
        <v>290</v>
      </c>
      <c r="F133" t="s">
        <v>365</v>
      </c>
      <c r="G133" t="s">
        <v>364</v>
      </c>
      <c r="H133" t="s">
        <v>451</v>
      </c>
      <c r="I133" t="s">
        <v>748</v>
      </c>
      <c r="J133" s="4">
        <v>217.74</v>
      </c>
    </row>
    <row r="134" spans="1:10" x14ac:dyDescent="0.25">
      <c r="A134" t="s">
        <v>8</v>
      </c>
      <c r="B134" t="s">
        <v>65</v>
      </c>
      <c r="C134">
        <v>2026</v>
      </c>
      <c r="D134">
        <v>8</v>
      </c>
      <c r="E134" t="s">
        <v>227</v>
      </c>
      <c r="F134" t="s">
        <v>226</v>
      </c>
      <c r="G134" t="s">
        <v>225</v>
      </c>
      <c r="H134" t="s">
        <v>451</v>
      </c>
      <c r="I134" t="s">
        <v>1816</v>
      </c>
      <c r="J134" s="4">
        <v>4500</v>
      </c>
    </row>
    <row r="135" spans="1:10" x14ac:dyDescent="0.25">
      <c r="A135" t="s">
        <v>8</v>
      </c>
      <c r="B135" t="s">
        <v>65</v>
      </c>
      <c r="C135">
        <v>2026</v>
      </c>
      <c r="D135">
        <v>2</v>
      </c>
      <c r="E135" t="s">
        <v>201</v>
      </c>
      <c r="F135" t="s">
        <v>304</v>
      </c>
      <c r="G135" t="s">
        <v>303</v>
      </c>
      <c r="H135" t="s">
        <v>465</v>
      </c>
      <c r="I135" t="s">
        <v>1830</v>
      </c>
      <c r="J135" s="4">
        <v>130</v>
      </c>
    </row>
    <row r="136" spans="1:10" x14ac:dyDescent="0.25">
      <c r="A136" t="s">
        <v>8</v>
      </c>
      <c r="B136" t="s">
        <v>65</v>
      </c>
      <c r="C136">
        <v>2026</v>
      </c>
      <c r="D136">
        <v>6</v>
      </c>
      <c r="E136" t="s">
        <v>201</v>
      </c>
      <c r="F136" t="s">
        <v>239</v>
      </c>
      <c r="G136" t="s">
        <v>238</v>
      </c>
      <c r="H136" t="s">
        <v>1094</v>
      </c>
      <c r="I136" t="s">
        <v>1848</v>
      </c>
      <c r="J136" s="4">
        <v>1350</v>
      </c>
    </row>
    <row r="137" spans="1:10" x14ac:dyDescent="0.25">
      <c r="A137" t="s">
        <v>8</v>
      </c>
      <c r="B137" t="s">
        <v>65</v>
      </c>
      <c r="C137">
        <v>2026</v>
      </c>
      <c r="D137">
        <v>3</v>
      </c>
      <c r="E137" t="s">
        <v>232</v>
      </c>
      <c r="F137" t="s">
        <v>295</v>
      </c>
      <c r="G137" t="s">
        <v>294</v>
      </c>
      <c r="H137" t="s">
        <v>451</v>
      </c>
      <c r="I137" t="s">
        <v>1502</v>
      </c>
      <c r="J137" s="4">
        <v>4000</v>
      </c>
    </row>
    <row r="138" spans="1:10" x14ac:dyDescent="0.25">
      <c r="A138" t="s">
        <v>8</v>
      </c>
      <c r="B138" t="s">
        <v>65</v>
      </c>
      <c r="C138">
        <v>2026</v>
      </c>
      <c r="D138">
        <v>1</v>
      </c>
      <c r="E138" t="s">
        <v>182</v>
      </c>
      <c r="F138" t="s">
        <v>245</v>
      </c>
      <c r="G138" t="s">
        <v>244</v>
      </c>
      <c r="H138" t="s">
        <v>451</v>
      </c>
      <c r="I138" t="s">
        <v>1130</v>
      </c>
      <c r="J138" s="4">
        <v>2544.15</v>
      </c>
    </row>
    <row r="139" spans="1:10" x14ac:dyDescent="0.25">
      <c r="A139" t="s">
        <v>8</v>
      </c>
      <c r="B139" t="s">
        <v>65</v>
      </c>
      <c r="C139">
        <v>2026</v>
      </c>
      <c r="D139">
        <v>5</v>
      </c>
      <c r="E139" t="s">
        <v>182</v>
      </c>
      <c r="F139" t="s">
        <v>181</v>
      </c>
      <c r="G139" t="s">
        <v>180</v>
      </c>
      <c r="H139" t="s">
        <v>451</v>
      </c>
      <c r="I139" t="s">
        <v>1144</v>
      </c>
      <c r="J139" s="4">
        <v>4000</v>
      </c>
    </row>
    <row r="140" spans="1:10" x14ac:dyDescent="0.25">
      <c r="A140" t="s">
        <v>8</v>
      </c>
      <c r="B140" t="s">
        <v>65</v>
      </c>
      <c r="C140">
        <v>2026</v>
      </c>
      <c r="D140">
        <v>8</v>
      </c>
      <c r="E140" t="s">
        <v>290</v>
      </c>
      <c r="F140" t="s">
        <v>297</v>
      </c>
      <c r="G140" t="s">
        <v>296</v>
      </c>
      <c r="H140" t="s">
        <v>451</v>
      </c>
      <c r="I140" t="s">
        <v>743</v>
      </c>
      <c r="J140" s="4">
        <v>709.99</v>
      </c>
    </row>
    <row r="141" spans="1:10" x14ac:dyDescent="0.25">
      <c r="A141" t="s">
        <v>8</v>
      </c>
      <c r="B141" t="s">
        <v>65</v>
      </c>
      <c r="C141">
        <v>2026</v>
      </c>
      <c r="D141">
        <v>8</v>
      </c>
      <c r="E141" t="s">
        <v>201</v>
      </c>
      <c r="F141" t="s">
        <v>304</v>
      </c>
      <c r="G141" t="s">
        <v>303</v>
      </c>
      <c r="H141" t="s">
        <v>467</v>
      </c>
      <c r="I141" t="s">
        <v>1842</v>
      </c>
      <c r="J141" s="4">
        <v>390</v>
      </c>
    </row>
    <row r="142" spans="1:10" x14ac:dyDescent="0.25">
      <c r="A142" t="s">
        <v>8</v>
      </c>
      <c r="B142" t="s">
        <v>65</v>
      </c>
      <c r="C142">
        <v>2026</v>
      </c>
      <c r="D142">
        <v>6</v>
      </c>
      <c r="E142" t="s">
        <v>232</v>
      </c>
      <c r="F142" t="s">
        <v>231</v>
      </c>
      <c r="G142" t="s">
        <v>230</v>
      </c>
      <c r="H142" t="s">
        <v>511</v>
      </c>
      <c r="I142" t="s">
        <v>949</v>
      </c>
      <c r="J142" s="4">
        <v>4766.3</v>
      </c>
    </row>
    <row r="143" spans="1:10" x14ac:dyDescent="0.25">
      <c r="A143" t="s">
        <v>8</v>
      </c>
      <c r="B143" t="s">
        <v>65</v>
      </c>
      <c r="C143">
        <v>2026</v>
      </c>
      <c r="D143">
        <v>1</v>
      </c>
      <c r="E143" t="s">
        <v>178</v>
      </c>
      <c r="F143" t="s">
        <v>177</v>
      </c>
      <c r="G143" t="s">
        <v>176</v>
      </c>
      <c r="H143" t="s">
        <v>474</v>
      </c>
      <c r="I143" t="s">
        <v>1828</v>
      </c>
      <c r="J143" s="4">
        <v>440.01</v>
      </c>
    </row>
    <row r="144" spans="1:10" x14ac:dyDescent="0.25">
      <c r="A144" t="s">
        <v>8</v>
      </c>
      <c r="B144" t="s">
        <v>65</v>
      </c>
      <c r="C144">
        <v>2026</v>
      </c>
      <c r="D144">
        <v>5</v>
      </c>
      <c r="E144" t="s">
        <v>290</v>
      </c>
      <c r="F144" t="s">
        <v>297</v>
      </c>
      <c r="G144" t="s">
        <v>296</v>
      </c>
      <c r="H144" t="s">
        <v>451</v>
      </c>
      <c r="I144" t="s">
        <v>743</v>
      </c>
      <c r="J144" s="4">
        <v>709.99</v>
      </c>
    </row>
    <row r="145" spans="1:10" x14ac:dyDescent="0.25">
      <c r="A145" t="s">
        <v>8</v>
      </c>
      <c r="B145" t="s">
        <v>65</v>
      </c>
      <c r="C145">
        <v>2026</v>
      </c>
      <c r="D145">
        <v>5</v>
      </c>
      <c r="E145" t="s">
        <v>227</v>
      </c>
      <c r="F145" t="s">
        <v>327</v>
      </c>
      <c r="G145" t="s">
        <v>326</v>
      </c>
      <c r="H145" t="s">
        <v>451</v>
      </c>
      <c r="I145" t="s">
        <v>1555</v>
      </c>
      <c r="J145" s="4">
        <v>704</v>
      </c>
    </row>
    <row r="146" spans="1:10" x14ac:dyDescent="0.25">
      <c r="A146" t="s">
        <v>8</v>
      </c>
      <c r="B146" t="s">
        <v>65</v>
      </c>
      <c r="C146">
        <v>2026</v>
      </c>
      <c r="D146">
        <v>6</v>
      </c>
      <c r="E146" t="s">
        <v>201</v>
      </c>
      <c r="F146" t="s">
        <v>304</v>
      </c>
      <c r="G146" t="s">
        <v>303</v>
      </c>
      <c r="H146" t="s">
        <v>465</v>
      </c>
      <c r="I146" t="s">
        <v>1830</v>
      </c>
      <c r="J146" s="4">
        <v>130</v>
      </c>
    </row>
    <row r="147" spans="1:10" x14ac:dyDescent="0.25">
      <c r="A147" t="s">
        <v>8</v>
      </c>
      <c r="B147" t="s">
        <v>65</v>
      </c>
      <c r="C147">
        <v>2026</v>
      </c>
      <c r="D147">
        <v>8</v>
      </c>
      <c r="E147" t="s">
        <v>201</v>
      </c>
      <c r="F147" t="s">
        <v>200</v>
      </c>
      <c r="G147" t="s">
        <v>199</v>
      </c>
      <c r="H147" t="s">
        <v>511</v>
      </c>
      <c r="I147" t="s">
        <v>1705</v>
      </c>
      <c r="J147" s="4">
        <v>1000</v>
      </c>
    </row>
    <row r="148" spans="1:10" x14ac:dyDescent="0.25">
      <c r="A148" t="s">
        <v>8</v>
      </c>
      <c r="B148" t="s">
        <v>65</v>
      </c>
      <c r="C148">
        <v>2026</v>
      </c>
      <c r="D148">
        <v>8</v>
      </c>
      <c r="E148" t="s">
        <v>290</v>
      </c>
      <c r="F148" t="s">
        <v>289</v>
      </c>
      <c r="G148" t="s">
        <v>288</v>
      </c>
      <c r="H148" t="s">
        <v>451</v>
      </c>
      <c r="I148" t="s">
        <v>734</v>
      </c>
      <c r="J148" s="4">
        <v>2100</v>
      </c>
    </row>
    <row r="149" spans="1:10" x14ac:dyDescent="0.25">
      <c r="A149" t="s">
        <v>8</v>
      </c>
      <c r="B149" t="s">
        <v>65</v>
      </c>
      <c r="C149">
        <v>2026</v>
      </c>
      <c r="D149">
        <v>4</v>
      </c>
      <c r="E149" t="s">
        <v>222</v>
      </c>
      <c r="F149" t="s">
        <v>263</v>
      </c>
      <c r="G149" t="s">
        <v>262</v>
      </c>
      <c r="H149" t="s">
        <v>224</v>
      </c>
      <c r="I149" t="s">
        <v>822</v>
      </c>
      <c r="J149" s="4">
        <v>2500</v>
      </c>
    </row>
    <row r="150" spans="1:10" x14ac:dyDescent="0.25">
      <c r="A150" t="s">
        <v>8</v>
      </c>
      <c r="B150" t="s">
        <v>65</v>
      </c>
      <c r="C150">
        <v>2026</v>
      </c>
      <c r="D150">
        <v>4</v>
      </c>
      <c r="E150" t="s">
        <v>178</v>
      </c>
      <c r="F150" t="s">
        <v>177</v>
      </c>
      <c r="G150" t="s">
        <v>176</v>
      </c>
      <c r="H150" t="s">
        <v>451</v>
      </c>
      <c r="I150" t="s">
        <v>1817</v>
      </c>
      <c r="J150" s="4">
        <v>600</v>
      </c>
    </row>
    <row r="151" spans="1:10" x14ac:dyDescent="0.25">
      <c r="A151" t="s">
        <v>8</v>
      </c>
      <c r="B151" t="s">
        <v>65</v>
      </c>
      <c r="C151">
        <v>2026</v>
      </c>
      <c r="D151">
        <v>1</v>
      </c>
      <c r="E151" t="s">
        <v>248</v>
      </c>
      <c r="F151" t="s">
        <v>387</v>
      </c>
      <c r="G151" t="s">
        <v>386</v>
      </c>
      <c r="H151" t="s">
        <v>451</v>
      </c>
      <c r="I151" t="s">
        <v>824</v>
      </c>
      <c r="J151" s="4">
        <v>10.5</v>
      </c>
    </row>
    <row r="152" spans="1:10" x14ac:dyDescent="0.25">
      <c r="A152" t="s">
        <v>8</v>
      </c>
      <c r="B152" t="s">
        <v>65</v>
      </c>
      <c r="C152">
        <v>2026</v>
      </c>
      <c r="D152">
        <v>8</v>
      </c>
      <c r="E152" t="s">
        <v>227</v>
      </c>
      <c r="F152" t="s">
        <v>265</v>
      </c>
      <c r="G152" t="s">
        <v>99</v>
      </c>
      <c r="H152" t="s">
        <v>451</v>
      </c>
      <c r="I152" t="s">
        <v>1857</v>
      </c>
      <c r="J152" s="4">
        <v>3000</v>
      </c>
    </row>
    <row r="153" spans="1:10" x14ac:dyDescent="0.25">
      <c r="A153" t="s">
        <v>8</v>
      </c>
      <c r="B153" t="s">
        <v>65</v>
      </c>
      <c r="C153">
        <v>2026</v>
      </c>
      <c r="D153">
        <v>1</v>
      </c>
      <c r="E153" t="s">
        <v>227</v>
      </c>
      <c r="F153" t="s">
        <v>327</v>
      </c>
      <c r="G153" t="s">
        <v>326</v>
      </c>
      <c r="H153" t="s">
        <v>451</v>
      </c>
      <c r="I153" t="s">
        <v>1555</v>
      </c>
      <c r="J153" s="4">
        <v>704</v>
      </c>
    </row>
    <row r="154" spans="1:10" x14ac:dyDescent="0.25">
      <c r="A154" t="s">
        <v>8</v>
      </c>
      <c r="B154" t="s">
        <v>65</v>
      </c>
      <c r="C154">
        <v>2026</v>
      </c>
      <c r="D154">
        <v>6</v>
      </c>
      <c r="E154" t="s">
        <v>196</v>
      </c>
      <c r="F154" t="s">
        <v>213</v>
      </c>
      <c r="G154" t="s">
        <v>212</v>
      </c>
      <c r="H154" t="s">
        <v>467</v>
      </c>
      <c r="I154" t="s">
        <v>1855</v>
      </c>
      <c r="J154" s="4">
        <v>2850</v>
      </c>
    </row>
    <row r="155" spans="1:10" x14ac:dyDescent="0.25">
      <c r="A155" t="s">
        <v>8</v>
      </c>
      <c r="B155" t="s">
        <v>65</v>
      </c>
      <c r="C155">
        <v>2026</v>
      </c>
      <c r="D155">
        <v>5</v>
      </c>
      <c r="E155" t="s">
        <v>201</v>
      </c>
      <c r="F155" t="s">
        <v>200</v>
      </c>
      <c r="G155" t="s">
        <v>199</v>
      </c>
      <c r="H155" t="s">
        <v>1094</v>
      </c>
      <c r="I155" t="s">
        <v>1845</v>
      </c>
      <c r="J155" s="4">
        <v>343.25</v>
      </c>
    </row>
    <row r="156" spans="1:10" x14ac:dyDescent="0.25">
      <c r="A156" t="s">
        <v>8</v>
      </c>
      <c r="B156" t="s">
        <v>65</v>
      </c>
      <c r="C156">
        <v>2026</v>
      </c>
      <c r="D156">
        <v>2</v>
      </c>
      <c r="E156" t="s">
        <v>209</v>
      </c>
      <c r="F156" t="s">
        <v>285</v>
      </c>
      <c r="G156" t="s">
        <v>284</v>
      </c>
      <c r="H156" t="s">
        <v>451</v>
      </c>
      <c r="I156" t="s">
        <v>285</v>
      </c>
      <c r="J156" s="4">
        <v>2225</v>
      </c>
    </row>
    <row r="157" spans="1:10" x14ac:dyDescent="0.25">
      <c r="A157" t="s">
        <v>8</v>
      </c>
      <c r="B157" t="s">
        <v>65</v>
      </c>
      <c r="C157">
        <v>2026</v>
      </c>
      <c r="D157">
        <v>7</v>
      </c>
      <c r="E157" t="s">
        <v>248</v>
      </c>
      <c r="F157" t="s">
        <v>387</v>
      </c>
      <c r="G157" t="s">
        <v>386</v>
      </c>
      <c r="H157" t="s">
        <v>451</v>
      </c>
      <c r="I157" t="s">
        <v>824</v>
      </c>
      <c r="J157" s="4">
        <v>10.5</v>
      </c>
    </row>
    <row r="158" spans="1:10" x14ac:dyDescent="0.25">
      <c r="A158" t="s">
        <v>8</v>
      </c>
      <c r="B158" t="s">
        <v>65</v>
      </c>
      <c r="C158">
        <v>2026</v>
      </c>
      <c r="D158">
        <v>8</v>
      </c>
      <c r="E158" t="s">
        <v>290</v>
      </c>
      <c r="F158" t="s">
        <v>309</v>
      </c>
      <c r="G158" t="s">
        <v>308</v>
      </c>
      <c r="H158" t="s">
        <v>451</v>
      </c>
      <c r="I158" t="s">
        <v>733</v>
      </c>
      <c r="J158" s="4">
        <v>1700</v>
      </c>
    </row>
    <row r="159" spans="1:10" x14ac:dyDescent="0.25">
      <c r="A159" t="s">
        <v>8</v>
      </c>
      <c r="B159" t="s">
        <v>65</v>
      </c>
      <c r="C159">
        <v>2026</v>
      </c>
      <c r="D159">
        <v>7</v>
      </c>
      <c r="E159" t="s">
        <v>290</v>
      </c>
      <c r="F159" t="s">
        <v>367</v>
      </c>
      <c r="G159" t="s">
        <v>366</v>
      </c>
      <c r="H159" t="s">
        <v>451</v>
      </c>
      <c r="I159" t="s">
        <v>739</v>
      </c>
      <c r="J159" s="4">
        <v>60</v>
      </c>
    </row>
    <row r="160" spans="1:10" x14ac:dyDescent="0.25">
      <c r="A160" t="s">
        <v>8</v>
      </c>
      <c r="B160" t="s">
        <v>65</v>
      </c>
      <c r="C160">
        <v>2026</v>
      </c>
      <c r="D160">
        <v>4</v>
      </c>
      <c r="E160" t="s">
        <v>201</v>
      </c>
      <c r="F160" t="s">
        <v>239</v>
      </c>
      <c r="G160" t="s">
        <v>238</v>
      </c>
      <c r="H160" t="s">
        <v>1094</v>
      </c>
      <c r="I160" t="s">
        <v>1848</v>
      </c>
      <c r="J160" s="4">
        <v>1350</v>
      </c>
    </row>
    <row r="161" spans="1:10" x14ac:dyDescent="0.25">
      <c r="A161" t="s">
        <v>8</v>
      </c>
      <c r="B161" t="s">
        <v>65</v>
      </c>
      <c r="C161">
        <v>2026</v>
      </c>
      <c r="D161">
        <v>2</v>
      </c>
      <c r="E161" t="s">
        <v>196</v>
      </c>
      <c r="F161" t="s">
        <v>213</v>
      </c>
      <c r="G161" t="s">
        <v>212</v>
      </c>
      <c r="H161" t="s">
        <v>467</v>
      </c>
      <c r="I161" t="s">
        <v>1855</v>
      </c>
      <c r="J161" s="4">
        <v>2850</v>
      </c>
    </row>
    <row r="162" spans="1:10" x14ac:dyDescent="0.25">
      <c r="A162" t="s">
        <v>8</v>
      </c>
      <c r="B162" t="s">
        <v>65</v>
      </c>
      <c r="C162">
        <v>2026</v>
      </c>
      <c r="D162">
        <v>6</v>
      </c>
      <c r="E162" t="s">
        <v>290</v>
      </c>
      <c r="F162" t="s">
        <v>309</v>
      </c>
      <c r="G162" t="s">
        <v>308</v>
      </c>
      <c r="H162" t="s">
        <v>451</v>
      </c>
      <c r="I162" t="s">
        <v>733</v>
      </c>
      <c r="J162" s="4">
        <v>1700</v>
      </c>
    </row>
    <row r="163" spans="1:10" x14ac:dyDescent="0.25">
      <c r="A163" t="s">
        <v>8</v>
      </c>
      <c r="B163" t="s">
        <v>65</v>
      </c>
      <c r="C163">
        <v>2026</v>
      </c>
      <c r="D163">
        <v>8</v>
      </c>
      <c r="E163" t="s">
        <v>201</v>
      </c>
      <c r="F163" t="s">
        <v>304</v>
      </c>
      <c r="G163" t="s">
        <v>303</v>
      </c>
      <c r="H163" t="s">
        <v>1094</v>
      </c>
      <c r="I163" t="s">
        <v>1858</v>
      </c>
      <c r="J163" s="4">
        <v>350</v>
      </c>
    </row>
    <row r="164" spans="1:10" x14ac:dyDescent="0.25">
      <c r="A164" t="s">
        <v>8</v>
      </c>
      <c r="B164" t="s">
        <v>65</v>
      </c>
      <c r="C164">
        <v>2026</v>
      </c>
      <c r="D164">
        <v>3</v>
      </c>
      <c r="E164" t="s">
        <v>201</v>
      </c>
      <c r="F164" t="s">
        <v>200</v>
      </c>
      <c r="G164" t="s">
        <v>199</v>
      </c>
      <c r="H164" t="s">
        <v>1094</v>
      </c>
      <c r="I164" t="s">
        <v>1832</v>
      </c>
      <c r="J164" s="4">
        <v>250</v>
      </c>
    </row>
    <row r="165" spans="1:10" x14ac:dyDescent="0.25">
      <c r="A165" t="s">
        <v>8</v>
      </c>
      <c r="B165" t="s">
        <v>65</v>
      </c>
      <c r="C165">
        <v>2026</v>
      </c>
      <c r="D165">
        <v>8</v>
      </c>
      <c r="E165" t="s">
        <v>158</v>
      </c>
      <c r="F165" t="s">
        <v>157</v>
      </c>
      <c r="G165" t="s">
        <v>156</v>
      </c>
      <c r="H165" t="s">
        <v>451</v>
      </c>
      <c r="I165" t="s">
        <v>956</v>
      </c>
      <c r="J165" s="4">
        <v>330000</v>
      </c>
    </row>
    <row r="166" spans="1:10" x14ac:dyDescent="0.25">
      <c r="A166" t="s">
        <v>8</v>
      </c>
      <c r="B166" t="s">
        <v>65</v>
      </c>
      <c r="C166">
        <v>2026</v>
      </c>
      <c r="D166">
        <v>6</v>
      </c>
      <c r="E166" t="s">
        <v>290</v>
      </c>
      <c r="F166" t="s">
        <v>289</v>
      </c>
      <c r="G166" t="s">
        <v>288</v>
      </c>
      <c r="H166" t="s">
        <v>451</v>
      </c>
      <c r="I166" t="s">
        <v>734</v>
      </c>
      <c r="J166" s="4">
        <v>2100</v>
      </c>
    </row>
    <row r="167" spans="1:10" x14ac:dyDescent="0.25">
      <c r="A167" t="s">
        <v>8</v>
      </c>
      <c r="B167" t="s">
        <v>65</v>
      </c>
      <c r="C167">
        <v>2026</v>
      </c>
      <c r="D167">
        <v>3</v>
      </c>
      <c r="E167" t="s">
        <v>232</v>
      </c>
      <c r="F167" t="s">
        <v>231</v>
      </c>
      <c r="G167" t="s">
        <v>230</v>
      </c>
      <c r="H167" t="s">
        <v>465</v>
      </c>
      <c r="I167" t="s">
        <v>1821</v>
      </c>
      <c r="J167" s="4">
        <v>1476.31</v>
      </c>
    </row>
    <row r="168" spans="1:10" x14ac:dyDescent="0.25">
      <c r="A168" t="s">
        <v>8</v>
      </c>
      <c r="B168" t="s">
        <v>65</v>
      </c>
      <c r="C168">
        <v>2026</v>
      </c>
      <c r="D168">
        <v>3</v>
      </c>
      <c r="E168" t="s">
        <v>182</v>
      </c>
      <c r="F168" t="s">
        <v>181</v>
      </c>
      <c r="G168" t="s">
        <v>180</v>
      </c>
      <c r="H168" t="s">
        <v>451</v>
      </c>
      <c r="I168" t="s">
        <v>1135</v>
      </c>
      <c r="J168" s="4">
        <v>11062.4</v>
      </c>
    </row>
    <row r="169" spans="1:10" x14ac:dyDescent="0.25">
      <c r="A169" t="s">
        <v>8</v>
      </c>
      <c r="B169" t="s">
        <v>65</v>
      </c>
      <c r="C169">
        <v>2026</v>
      </c>
      <c r="D169">
        <v>4</v>
      </c>
      <c r="E169" t="s">
        <v>196</v>
      </c>
      <c r="F169" t="s">
        <v>195</v>
      </c>
      <c r="G169" t="s">
        <v>194</v>
      </c>
      <c r="H169" t="s">
        <v>467</v>
      </c>
      <c r="I169" t="s">
        <v>1841</v>
      </c>
      <c r="J169" s="4">
        <v>1500</v>
      </c>
    </row>
    <row r="170" spans="1:10" x14ac:dyDescent="0.25">
      <c r="A170" t="s">
        <v>8</v>
      </c>
      <c r="B170" t="s">
        <v>65</v>
      </c>
      <c r="C170">
        <v>2026</v>
      </c>
      <c r="D170">
        <v>4</v>
      </c>
      <c r="E170" t="s">
        <v>201</v>
      </c>
      <c r="F170" t="s">
        <v>200</v>
      </c>
      <c r="G170" t="s">
        <v>199</v>
      </c>
      <c r="H170" t="s">
        <v>486</v>
      </c>
      <c r="I170" t="s">
        <v>1705</v>
      </c>
      <c r="J170" s="4">
        <v>1000</v>
      </c>
    </row>
    <row r="171" spans="1:10" x14ac:dyDescent="0.25">
      <c r="A171" t="s">
        <v>8</v>
      </c>
      <c r="B171" t="s">
        <v>65</v>
      </c>
      <c r="C171">
        <v>2026</v>
      </c>
      <c r="D171">
        <v>8</v>
      </c>
      <c r="E171" t="s">
        <v>201</v>
      </c>
      <c r="F171" t="s">
        <v>200</v>
      </c>
      <c r="G171" t="s">
        <v>199</v>
      </c>
      <c r="H171" t="s">
        <v>1094</v>
      </c>
      <c r="I171" t="s">
        <v>1687</v>
      </c>
      <c r="J171" s="4">
        <v>10000</v>
      </c>
    </row>
    <row r="172" spans="1:10" x14ac:dyDescent="0.25">
      <c r="A172" t="s">
        <v>8</v>
      </c>
      <c r="B172" t="s">
        <v>65</v>
      </c>
      <c r="C172">
        <v>2026</v>
      </c>
      <c r="D172">
        <v>7</v>
      </c>
      <c r="E172" t="s">
        <v>232</v>
      </c>
      <c r="F172" t="s">
        <v>231</v>
      </c>
      <c r="G172" t="s">
        <v>230</v>
      </c>
      <c r="H172" t="s">
        <v>465</v>
      </c>
      <c r="I172" t="s">
        <v>1821</v>
      </c>
      <c r="J172" s="4">
        <v>1476.31</v>
      </c>
    </row>
    <row r="173" spans="1:10" x14ac:dyDescent="0.25">
      <c r="A173" t="s">
        <v>8</v>
      </c>
      <c r="B173" t="s">
        <v>65</v>
      </c>
      <c r="C173">
        <v>2026</v>
      </c>
      <c r="D173">
        <v>2</v>
      </c>
      <c r="E173" t="s">
        <v>227</v>
      </c>
      <c r="F173" t="s">
        <v>226</v>
      </c>
      <c r="G173" t="s">
        <v>225</v>
      </c>
      <c r="H173" t="s">
        <v>451</v>
      </c>
      <c r="I173" t="s">
        <v>1816</v>
      </c>
      <c r="J173" s="4">
        <v>4500</v>
      </c>
    </row>
    <row r="174" spans="1:10" x14ac:dyDescent="0.25">
      <c r="A174" t="s">
        <v>8</v>
      </c>
      <c r="B174" t="s">
        <v>65</v>
      </c>
      <c r="C174">
        <v>2026</v>
      </c>
      <c r="D174">
        <v>4</v>
      </c>
      <c r="E174" t="s">
        <v>232</v>
      </c>
      <c r="F174" t="s">
        <v>261</v>
      </c>
      <c r="G174" t="s">
        <v>260</v>
      </c>
      <c r="H174" t="s">
        <v>511</v>
      </c>
      <c r="I174" t="s">
        <v>1820</v>
      </c>
      <c r="J174" s="4">
        <v>1053.1</v>
      </c>
    </row>
    <row r="175" spans="1:10" x14ac:dyDescent="0.25">
      <c r="A175" t="s">
        <v>8</v>
      </c>
      <c r="B175" t="s">
        <v>65</v>
      </c>
      <c r="C175">
        <v>2026</v>
      </c>
      <c r="D175">
        <v>3</v>
      </c>
      <c r="E175" t="s">
        <v>201</v>
      </c>
      <c r="F175" t="s">
        <v>200</v>
      </c>
      <c r="G175" t="s">
        <v>199</v>
      </c>
      <c r="H175" t="s">
        <v>511</v>
      </c>
      <c r="I175" t="s">
        <v>1705</v>
      </c>
      <c r="J175" s="4">
        <v>1000</v>
      </c>
    </row>
    <row r="176" spans="1:10" x14ac:dyDescent="0.25">
      <c r="A176" t="s">
        <v>8</v>
      </c>
      <c r="B176" t="s">
        <v>65</v>
      </c>
      <c r="C176">
        <v>2026</v>
      </c>
      <c r="D176">
        <v>4</v>
      </c>
      <c r="E176" t="s">
        <v>158</v>
      </c>
      <c r="F176" t="s">
        <v>157</v>
      </c>
      <c r="G176" t="s">
        <v>156</v>
      </c>
      <c r="H176" t="s">
        <v>451</v>
      </c>
      <c r="I176" t="s">
        <v>956</v>
      </c>
      <c r="J176" s="4">
        <v>330000</v>
      </c>
    </row>
    <row r="177" spans="1:10" x14ac:dyDescent="0.25">
      <c r="A177" t="s">
        <v>8</v>
      </c>
      <c r="B177" t="s">
        <v>65</v>
      </c>
      <c r="C177">
        <v>2026</v>
      </c>
      <c r="D177">
        <v>2</v>
      </c>
      <c r="E177" t="s">
        <v>232</v>
      </c>
      <c r="F177" t="s">
        <v>295</v>
      </c>
      <c r="G177" t="s">
        <v>294</v>
      </c>
      <c r="H177" t="s">
        <v>451</v>
      </c>
      <c r="I177" t="s">
        <v>1502</v>
      </c>
      <c r="J177" s="4">
        <v>4000</v>
      </c>
    </row>
    <row r="178" spans="1:10" x14ac:dyDescent="0.25">
      <c r="A178" t="s">
        <v>8</v>
      </c>
      <c r="B178" t="s">
        <v>65</v>
      </c>
      <c r="C178">
        <v>2026</v>
      </c>
      <c r="D178">
        <v>2</v>
      </c>
      <c r="E178" t="s">
        <v>196</v>
      </c>
      <c r="F178" t="s">
        <v>195</v>
      </c>
      <c r="G178" t="s">
        <v>194</v>
      </c>
      <c r="H178" t="s">
        <v>511</v>
      </c>
      <c r="I178" t="s">
        <v>1859</v>
      </c>
      <c r="J178" s="4">
        <v>3000</v>
      </c>
    </row>
    <row r="179" spans="1:10" x14ac:dyDescent="0.25">
      <c r="A179" t="s">
        <v>8</v>
      </c>
      <c r="B179" t="s">
        <v>65</v>
      </c>
      <c r="C179">
        <v>2026</v>
      </c>
      <c r="D179">
        <v>5</v>
      </c>
      <c r="E179" t="s">
        <v>196</v>
      </c>
      <c r="F179" t="s">
        <v>195</v>
      </c>
      <c r="G179" t="s">
        <v>194</v>
      </c>
      <c r="H179" t="s">
        <v>511</v>
      </c>
      <c r="I179" t="s">
        <v>1818</v>
      </c>
      <c r="J179" s="4">
        <v>100.2</v>
      </c>
    </row>
    <row r="180" spans="1:10" x14ac:dyDescent="0.25">
      <c r="A180" t="s">
        <v>8</v>
      </c>
      <c r="B180" t="s">
        <v>65</v>
      </c>
      <c r="C180">
        <v>2026</v>
      </c>
      <c r="D180">
        <v>7</v>
      </c>
      <c r="E180" t="s">
        <v>316</v>
      </c>
      <c r="F180" t="s">
        <v>371</v>
      </c>
      <c r="G180" t="s">
        <v>370</v>
      </c>
      <c r="H180" t="s">
        <v>451</v>
      </c>
      <c r="I180" t="s">
        <v>1834</v>
      </c>
      <c r="J180" s="4">
        <v>10</v>
      </c>
    </row>
    <row r="181" spans="1:10" x14ac:dyDescent="0.25">
      <c r="A181" t="s">
        <v>8</v>
      </c>
      <c r="B181" t="s">
        <v>65</v>
      </c>
      <c r="C181">
        <v>2026</v>
      </c>
      <c r="D181">
        <v>5</v>
      </c>
      <c r="E181" t="s">
        <v>201</v>
      </c>
      <c r="F181" t="s">
        <v>304</v>
      </c>
      <c r="G181" t="s">
        <v>303</v>
      </c>
      <c r="H181" t="s">
        <v>474</v>
      </c>
      <c r="I181" t="s">
        <v>1860</v>
      </c>
      <c r="J181" s="4">
        <v>130</v>
      </c>
    </row>
    <row r="182" spans="1:10" x14ac:dyDescent="0.25">
      <c r="A182" t="s">
        <v>8</v>
      </c>
      <c r="B182" t="s">
        <v>65</v>
      </c>
      <c r="C182">
        <v>2026</v>
      </c>
      <c r="D182">
        <v>8</v>
      </c>
      <c r="E182" t="s">
        <v>268</v>
      </c>
      <c r="F182" t="s">
        <v>287</v>
      </c>
      <c r="G182" t="s">
        <v>286</v>
      </c>
      <c r="H182" t="s">
        <v>451</v>
      </c>
      <c r="I182" t="s">
        <v>1237</v>
      </c>
      <c r="J182" s="4">
        <v>900</v>
      </c>
    </row>
    <row r="183" spans="1:10" x14ac:dyDescent="0.25">
      <c r="A183" t="s">
        <v>8</v>
      </c>
      <c r="B183" t="s">
        <v>65</v>
      </c>
      <c r="C183">
        <v>2026</v>
      </c>
      <c r="D183">
        <v>4</v>
      </c>
      <c r="E183" t="s">
        <v>201</v>
      </c>
      <c r="F183" t="s">
        <v>304</v>
      </c>
      <c r="G183" t="s">
        <v>303</v>
      </c>
      <c r="H183" t="s">
        <v>1094</v>
      </c>
      <c r="I183" t="s">
        <v>1858</v>
      </c>
      <c r="J183" s="4">
        <v>350</v>
      </c>
    </row>
    <row r="184" spans="1:10" x14ac:dyDescent="0.25">
      <c r="A184" t="s">
        <v>8</v>
      </c>
      <c r="B184" t="s">
        <v>65</v>
      </c>
      <c r="C184">
        <v>2026</v>
      </c>
      <c r="D184">
        <v>4</v>
      </c>
      <c r="E184" t="s">
        <v>178</v>
      </c>
      <c r="F184" t="s">
        <v>177</v>
      </c>
      <c r="G184" t="s">
        <v>176</v>
      </c>
      <c r="H184" t="s">
        <v>451</v>
      </c>
      <c r="I184" t="s">
        <v>1843</v>
      </c>
      <c r="J184" s="4">
        <v>40000</v>
      </c>
    </row>
    <row r="185" spans="1:10" x14ac:dyDescent="0.25">
      <c r="A185" t="s">
        <v>8</v>
      </c>
      <c r="B185" t="s">
        <v>65</v>
      </c>
      <c r="C185">
        <v>2026</v>
      </c>
      <c r="D185">
        <v>7</v>
      </c>
      <c r="E185" t="s">
        <v>196</v>
      </c>
      <c r="F185" t="s">
        <v>195</v>
      </c>
      <c r="G185" t="s">
        <v>194</v>
      </c>
      <c r="H185" t="s">
        <v>467</v>
      </c>
      <c r="I185" t="s">
        <v>1854</v>
      </c>
      <c r="J185" s="4">
        <v>4000</v>
      </c>
    </row>
    <row r="186" spans="1:10" x14ac:dyDescent="0.25">
      <c r="A186" t="s">
        <v>8</v>
      </c>
      <c r="B186" t="s">
        <v>65</v>
      </c>
      <c r="C186">
        <v>2026</v>
      </c>
      <c r="D186">
        <v>7</v>
      </c>
      <c r="E186" t="s">
        <v>201</v>
      </c>
      <c r="F186" t="s">
        <v>200</v>
      </c>
      <c r="G186" t="s">
        <v>199</v>
      </c>
      <c r="H186" t="s">
        <v>1094</v>
      </c>
      <c r="I186" t="s">
        <v>1851</v>
      </c>
      <c r="J186" s="4">
        <v>4300</v>
      </c>
    </row>
    <row r="187" spans="1:10" x14ac:dyDescent="0.25">
      <c r="A187" t="s">
        <v>8</v>
      </c>
      <c r="B187" t="s">
        <v>65</v>
      </c>
      <c r="C187">
        <v>2026</v>
      </c>
      <c r="D187">
        <v>3</v>
      </c>
      <c r="E187" t="s">
        <v>201</v>
      </c>
      <c r="F187" t="s">
        <v>200</v>
      </c>
      <c r="G187" t="s">
        <v>199</v>
      </c>
      <c r="H187" t="s">
        <v>467</v>
      </c>
      <c r="I187" t="s">
        <v>1705</v>
      </c>
      <c r="J187" s="4">
        <v>1000</v>
      </c>
    </row>
    <row r="188" spans="1:10" x14ac:dyDescent="0.25">
      <c r="A188" t="s">
        <v>8</v>
      </c>
      <c r="B188" t="s">
        <v>65</v>
      </c>
      <c r="C188">
        <v>2026</v>
      </c>
      <c r="D188">
        <v>6</v>
      </c>
      <c r="E188" t="s">
        <v>290</v>
      </c>
      <c r="F188" t="s">
        <v>365</v>
      </c>
      <c r="G188" t="s">
        <v>364</v>
      </c>
      <c r="H188" t="s">
        <v>451</v>
      </c>
      <c r="I188" t="s">
        <v>748</v>
      </c>
      <c r="J188" s="4">
        <v>217.74</v>
      </c>
    </row>
    <row r="189" spans="1:10" x14ac:dyDescent="0.25">
      <c r="A189" t="s">
        <v>8</v>
      </c>
      <c r="B189" t="s">
        <v>65</v>
      </c>
      <c r="C189">
        <v>2026</v>
      </c>
      <c r="D189">
        <v>4</v>
      </c>
      <c r="E189" t="s">
        <v>232</v>
      </c>
      <c r="F189" t="s">
        <v>261</v>
      </c>
      <c r="G189" t="s">
        <v>260</v>
      </c>
      <c r="H189" t="s">
        <v>451</v>
      </c>
      <c r="I189" t="s">
        <v>1861</v>
      </c>
      <c r="J189" s="4">
        <v>182.98</v>
      </c>
    </row>
    <row r="190" spans="1:10" x14ac:dyDescent="0.25">
      <c r="A190" t="s">
        <v>8</v>
      </c>
      <c r="B190" t="s">
        <v>65</v>
      </c>
      <c r="C190">
        <v>2026</v>
      </c>
      <c r="D190">
        <v>8</v>
      </c>
      <c r="E190" t="s">
        <v>201</v>
      </c>
      <c r="F190" t="s">
        <v>200</v>
      </c>
      <c r="G190" t="s">
        <v>199</v>
      </c>
      <c r="H190" t="s">
        <v>486</v>
      </c>
      <c r="I190" t="s">
        <v>1705</v>
      </c>
      <c r="J190" s="4">
        <v>1000</v>
      </c>
    </row>
    <row r="191" spans="1:10" x14ac:dyDescent="0.25">
      <c r="A191" t="s">
        <v>8</v>
      </c>
      <c r="B191" t="s">
        <v>65</v>
      </c>
      <c r="C191">
        <v>2026</v>
      </c>
      <c r="D191">
        <v>5</v>
      </c>
      <c r="E191" t="s">
        <v>158</v>
      </c>
      <c r="F191" t="s">
        <v>205</v>
      </c>
      <c r="G191" t="s">
        <v>99</v>
      </c>
      <c r="H191" t="s">
        <v>451</v>
      </c>
      <c r="I191" t="s">
        <v>99</v>
      </c>
      <c r="J191" s="4">
        <v>20000</v>
      </c>
    </row>
    <row r="192" spans="1:10" x14ac:dyDescent="0.25">
      <c r="A192" t="s">
        <v>8</v>
      </c>
      <c r="B192" t="s">
        <v>65</v>
      </c>
      <c r="C192">
        <v>2026</v>
      </c>
      <c r="D192">
        <v>5</v>
      </c>
      <c r="E192" t="s">
        <v>268</v>
      </c>
      <c r="F192" t="s">
        <v>363</v>
      </c>
      <c r="G192" t="s">
        <v>362</v>
      </c>
      <c r="H192" t="s">
        <v>451</v>
      </c>
      <c r="I192" t="s">
        <v>1840</v>
      </c>
      <c r="J192" s="4">
        <v>234.64</v>
      </c>
    </row>
    <row r="193" spans="1:10" x14ac:dyDescent="0.25">
      <c r="A193" t="s">
        <v>8</v>
      </c>
      <c r="B193" t="s">
        <v>65</v>
      </c>
      <c r="C193">
        <v>2026</v>
      </c>
      <c r="D193">
        <v>4</v>
      </c>
      <c r="E193" t="s">
        <v>268</v>
      </c>
      <c r="F193" t="s">
        <v>325</v>
      </c>
      <c r="G193" t="s">
        <v>99</v>
      </c>
      <c r="H193" t="s">
        <v>451</v>
      </c>
      <c r="I193" t="s">
        <v>451</v>
      </c>
      <c r="J193" s="4">
        <v>885</v>
      </c>
    </row>
    <row r="194" spans="1:10" x14ac:dyDescent="0.25">
      <c r="A194" t="s">
        <v>8</v>
      </c>
      <c r="B194" t="s">
        <v>65</v>
      </c>
      <c r="C194">
        <v>2026</v>
      </c>
      <c r="D194">
        <v>3</v>
      </c>
      <c r="E194" t="s">
        <v>248</v>
      </c>
      <c r="F194" t="s">
        <v>387</v>
      </c>
      <c r="G194" t="s">
        <v>386</v>
      </c>
      <c r="H194" t="s">
        <v>451</v>
      </c>
      <c r="I194" t="s">
        <v>824</v>
      </c>
      <c r="J194" s="4">
        <v>10.5</v>
      </c>
    </row>
    <row r="195" spans="1:10" x14ac:dyDescent="0.25">
      <c r="A195" t="s">
        <v>8</v>
      </c>
      <c r="B195" t="s">
        <v>65</v>
      </c>
      <c r="C195">
        <v>2026</v>
      </c>
      <c r="D195">
        <v>4</v>
      </c>
      <c r="E195" t="s">
        <v>158</v>
      </c>
      <c r="F195" t="s">
        <v>205</v>
      </c>
      <c r="G195" t="s">
        <v>99</v>
      </c>
      <c r="H195" t="s">
        <v>451</v>
      </c>
      <c r="I195" t="s">
        <v>99</v>
      </c>
      <c r="J195" s="4">
        <v>20000</v>
      </c>
    </row>
    <row r="196" spans="1:10" x14ac:dyDescent="0.25">
      <c r="A196" t="s">
        <v>8</v>
      </c>
      <c r="B196" t="s">
        <v>65</v>
      </c>
      <c r="C196">
        <v>2026</v>
      </c>
      <c r="D196">
        <v>1</v>
      </c>
      <c r="E196" t="s">
        <v>196</v>
      </c>
      <c r="F196" t="s">
        <v>195</v>
      </c>
      <c r="G196" t="s">
        <v>194</v>
      </c>
      <c r="H196" t="s">
        <v>511</v>
      </c>
      <c r="I196" t="s">
        <v>1818</v>
      </c>
      <c r="J196" s="4">
        <v>100.2</v>
      </c>
    </row>
    <row r="197" spans="1:10" x14ac:dyDescent="0.25">
      <c r="A197" t="s">
        <v>8</v>
      </c>
      <c r="B197" t="s">
        <v>65</v>
      </c>
      <c r="C197">
        <v>2026</v>
      </c>
      <c r="D197">
        <v>2</v>
      </c>
      <c r="E197" t="s">
        <v>248</v>
      </c>
      <c r="F197" t="s">
        <v>387</v>
      </c>
      <c r="G197" t="s">
        <v>386</v>
      </c>
      <c r="H197" t="s">
        <v>451</v>
      </c>
      <c r="I197" t="s">
        <v>1850</v>
      </c>
      <c r="J197" s="4">
        <v>46</v>
      </c>
    </row>
    <row r="198" spans="1:10" x14ac:dyDescent="0.25">
      <c r="A198" t="s">
        <v>8</v>
      </c>
      <c r="B198" t="s">
        <v>65</v>
      </c>
      <c r="C198">
        <v>2026</v>
      </c>
      <c r="D198">
        <v>1</v>
      </c>
      <c r="E198" t="s">
        <v>182</v>
      </c>
      <c r="F198" t="s">
        <v>350</v>
      </c>
      <c r="G198" t="s">
        <v>99</v>
      </c>
      <c r="H198" t="s">
        <v>451</v>
      </c>
      <c r="I198" t="s">
        <v>1819</v>
      </c>
      <c r="J198" s="4">
        <v>756</v>
      </c>
    </row>
    <row r="199" spans="1:10" x14ac:dyDescent="0.25">
      <c r="A199" t="s">
        <v>8</v>
      </c>
      <c r="B199" t="s">
        <v>65</v>
      </c>
      <c r="C199">
        <v>2026</v>
      </c>
      <c r="D199">
        <v>5</v>
      </c>
      <c r="E199" t="s">
        <v>209</v>
      </c>
      <c r="F199" t="s">
        <v>285</v>
      </c>
      <c r="G199" t="s">
        <v>284</v>
      </c>
      <c r="H199" t="s">
        <v>451</v>
      </c>
      <c r="I199" t="s">
        <v>285</v>
      </c>
      <c r="J199" s="4">
        <v>2225</v>
      </c>
    </row>
    <row r="200" spans="1:10" x14ac:dyDescent="0.25">
      <c r="A200" t="s">
        <v>8</v>
      </c>
      <c r="B200" t="s">
        <v>65</v>
      </c>
      <c r="C200">
        <v>2026</v>
      </c>
      <c r="D200">
        <v>5</v>
      </c>
      <c r="E200" t="s">
        <v>201</v>
      </c>
      <c r="F200" t="s">
        <v>200</v>
      </c>
      <c r="G200" t="s">
        <v>199</v>
      </c>
      <c r="H200" t="s">
        <v>1094</v>
      </c>
      <c r="I200" t="s">
        <v>1699</v>
      </c>
      <c r="J200" s="4">
        <v>275</v>
      </c>
    </row>
    <row r="201" spans="1:10" x14ac:dyDescent="0.25">
      <c r="A201" t="s">
        <v>8</v>
      </c>
      <c r="B201" t="s">
        <v>65</v>
      </c>
      <c r="C201">
        <v>2026</v>
      </c>
      <c r="D201">
        <v>3</v>
      </c>
      <c r="E201" t="s">
        <v>158</v>
      </c>
      <c r="F201" t="s">
        <v>205</v>
      </c>
      <c r="G201" t="s">
        <v>99</v>
      </c>
      <c r="H201" t="s">
        <v>451</v>
      </c>
      <c r="I201" t="s">
        <v>99</v>
      </c>
      <c r="J201" s="4">
        <v>20000</v>
      </c>
    </row>
    <row r="202" spans="1:10" x14ac:dyDescent="0.25">
      <c r="A202" t="s">
        <v>8</v>
      </c>
      <c r="B202" t="s">
        <v>65</v>
      </c>
      <c r="C202">
        <v>2026</v>
      </c>
      <c r="D202">
        <v>3</v>
      </c>
      <c r="E202" t="s">
        <v>290</v>
      </c>
      <c r="F202" t="s">
        <v>297</v>
      </c>
      <c r="G202" t="s">
        <v>296</v>
      </c>
      <c r="H202" t="s">
        <v>451</v>
      </c>
      <c r="I202" t="s">
        <v>739</v>
      </c>
      <c r="J202" s="4">
        <v>165</v>
      </c>
    </row>
    <row r="203" spans="1:10" x14ac:dyDescent="0.25">
      <c r="A203" t="s">
        <v>8</v>
      </c>
      <c r="B203" t="s">
        <v>65</v>
      </c>
      <c r="C203">
        <v>2026</v>
      </c>
      <c r="D203">
        <v>2</v>
      </c>
      <c r="E203" t="s">
        <v>190</v>
      </c>
      <c r="F203" t="s">
        <v>189</v>
      </c>
      <c r="G203" t="s">
        <v>188</v>
      </c>
      <c r="H203" t="s">
        <v>451</v>
      </c>
      <c r="I203" t="s">
        <v>1831</v>
      </c>
      <c r="J203" s="4">
        <v>27000</v>
      </c>
    </row>
    <row r="204" spans="1:10" x14ac:dyDescent="0.25">
      <c r="A204" t="s">
        <v>8</v>
      </c>
      <c r="B204" t="s">
        <v>65</v>
      </c>
      <c r="C204">
        <v>2026</v>
      </c>
      <c r="D204">
        <v>3</v>
      </c>
      <c r="E204" t="s">
        <v>201</v>
      </c>
      <c r="F204" t="s">
        <v>200</v>
      </c>
      <c r="G204" t="s">
        <v>199</v>
      </c>
      <c r="H204" t="s">
        <v>1094</v>
      </c>
      <c r="I204" t="s">
        <v>1687</v>
      </c>
      <c r="J204" s="4">
        <v>10000</v>
      </c>
    </row>
    <row r="205" spans="1:10" x14ac:dyDescent="0.25">
      <c r="A205" t="s">
        <v>8</v>
      </c>
      <c r="B205" t="s">
        <v>65</v>
      </c>
      <c r="C205">
        <v>2026</v>
      </c>
      <c r="D205">
        <v>7</v>
      </c>
      <c r="E205" t="s">
        <v>182</v>
      </c>
      <c r="F205" t="s">
        <v>252</v>
      </c>
      <c r="G205" t="s">
        <v>251</v>
      </c>
      <c r="H205" t="s">
        <v>1094</v>
      </c>
      <c r="I205" t="s">
        <v>1093</v>
      </c>
      <c r="J205" s="4">
        <v>3006.07</v>
      </c>
    </row>
    <row r="206" spans="1:10" x14ac:dyDescent="0.25">
      <c r="A206" t="s">
        <v>8</v>
      </c>
      <c r="B206" t="s">
        <v>65</v>
      </c>
      <c r="C206">
        <v>2026</v>
      </c>
      <c r="D206">
        <v>1</v>
      </c>
      <c r="E206" t="s">
        <v>196</v>
      </c>
      <c r="F206" t="s">
        <v>195</v>
      </c>
      <c r="G206" t="s">
        <v>194</v>
      </c>
      <c r="H206" t="s">
        <v>445</v>
      </c>
      <c r="I206" t="s">
        <v>1862</v>
      </c>
      <c r="J206" s="4">
        <v>434.2</v>
      </c>
    </row>
    <row r="207" spans="1:10" x14ac:dyDescent="0.25">
      <c r="A207" t="s">
        <v>8</v>
      </c>
      <c r="B207" t="s">
        <v>65</v>
      </c>
      <c r="C207">
        <v>2026</v>
      </c>
      <c r="D207">
        <v>4</v>
      </c>
      <c r="E207" t="s">
        <v>290</v>
      </c>
      <c r="F207" t="s">
        <v>367</v>
      </c>
      <c r="G207" t="s">
        <v>366</v>
      </c>
      <c r="H207" t="s">
        <v>451</v>
      </c>
      <c r="I207" t="s">
        <v>739</v>
      </c>
      <c r="J207" s="4">
        <v>55</v>
      </c>
    </row>
    <row r="208" spans="1:10" x14ac:dyDescent="0.25">
      <c r="A208" t="s">
        <v>8</v>
      </c>
      <c r="B208" t="s">
        <v>65</v>
      </c>
      <c r="C208">
        <v>2026</v>
      </c>
      <c r="D208">
        <v>8</v>
      </c>
      <c r="E208" t="s">
        <v>290</v>
      </c>
      <c r="F208" t="s">
        <v>373</v>
      </c>
      <c r="G208" t="s">
        <v>372</v>
      </c>
      <c r="H208" t="s">
        <v>451</v>
      </c>
      <c r="I208" t="s">
        <v>736</v>
      </c>
      <c r="J208" s="4">
        <v>170.91</v>
      </c>
    </row>
    <row r="209" spans="1:10" x14ac:dyDescent="0.25">
      <c r="A209" t="s">
        <v>8</v>
      </c>
      <c r="B209" t="s">
        <v>65</v>
      </c>
      <c r="C209">
        <v>2026</v>
      </c>
      <c r="D209">
        <v>8</v>
      </c>
      <c r="E209" t="s">
        <v>201</v>
      </c>
      <c r="F209" t="s">
        <v>200</v>
      </c>
      <c r="G209" t="s">
        <v>199</v>
      </c>
      <c r="H209" t="s">
        <v>1094</v>
      </c>
      <c r="I209" t="s">
        <v>1851</v>
      </c>
      <c r="J209" s="4">
        <v>4300</v>
      </c>
    </row>
    <row r="210" spans="1:10" x14ac:dyDescent="0.25">
      <c r="A210" t="s">
        <v>8</v>
      </c>
      <c r="B210" t="s">
        <v>65</v>
      </c>
      <c r="C210">
        <v>2026</v>
      </c>
      <c r="D210">
        <v>6</v>
      </c>
      <c r="E210" t="s">
        <v>232</v>
      </c>
      <c r="F210" t="s">
        <v>250</v>
      </c>
      <c r="G210" t="s">
        <v>249</v>
      </c>
      <c r="H210" t="s">
        <v>511</v>
      </c>
      <c r="I210" t="s">
        <v>1530</v>
      </c>
      <c r="J210" s="4">
        <v>3300</v>
      </c>
    </row>
    <row r="211" spans="1:10" x14ac:dyDescent="0.25">
      <c r="A211" t="s">
        <v>8</v>
      </c>
      <c r="B211" t="s">
        <v>65</v>
      </c>
      <c r="C211">
        <v>2026</v>
      </c>
      <c r="D211">
        <v>3</v>
      </c>
      <c r="E211" t="s">
        <v>196</v>
      </c>
      <c r="F211" t="s">
        <v>195</v>
      </c>
      <c r="G211" t="s">
        <v>194</v>
      </c>
      <c r="H211" t="s">
        <v>467</v>
      </c>
      <c r="I211" t="s">
        <v>1854</v>
      </c>
      <c r="J211" s="4">
        <v>4000</v>
      </c>
    </row>
    <row r="212" spans="1:10" x14ac:dyDescent="0.25">
      <c r="A212" t="s">
        <v>8</v>
      </c>
      <c r="B212" t="s">
        <v>65</v>
      </c>
      <c r="C212">
        <v>2026</v>
      </c>
      <c r="D212">
        <v>6</v>
      </c>
      <c r="E212" t="s">
        <v>290</v>
      </c>
      <c r="F212" t="s">
        <v>367</v>
      </c>
      <c r="G212" t="s">
        <v>366</v>
      </c>
      <c r="H212" t="s">
        <v>451</v>
      </c>
      <c r="I212" t="s">
        <v>739</v>
      </c>
      <c r="J212" s="4">
        <v>55</v>
      </c>
    </row>
    <row r="213" spans="1:10" x14ac:dyDescent="0.25">
      <c r="A213" t="s">
        <v>8</v>
      </c>
      <c r="B213" t="s">
        <v>65</v>
      </c>
      <c r="C213">
        <v>2026</v>
      </c>
      <c r="D213">
        <v>5</v>
      </c>
      <c r="E213" t="s">
        <v>178</v>
      </c>
      <c r="F213" t="s">
        <v>177</v>
      </c>
      <c r="G213" t="s">
        <v>176</v>
      </c>
      <c r="H213" t="s">
        <v>474</v>
      </c>
      <c r="I213" t="s">
        <v>1828</v>
      </c>
      <c r="J213" s="4">
        <v>440.01</v>
      </c>
    </row>
    <row r="214" spans="1:10" x14ac:dyDescent="0.25">
      <c r="A214" t="s">
        <v>8</v>
      </c>
      <c r="B214" t="s">
        <v>65</v>
      </c>
      <c r="C214">
        <v>2026</v>
      </c>
      <c r="D214">
        <v>2</v>
      </c>
      <c r="E214" t="s">
        <v>182</v>
      </c>
      <c r="F214" t="s">
        <v>181</v>
      </c>
      <c r="G214" t="s">
        <v>180</v>
      </c>
      <c r="H214" t="s">
        <v>451</v>
      </c>
      <c r="I214" t="s">
        <v>1135</v>
      </c>
      <c r="J214" s="4">
        <v>11062.4</v>
      </c>
    </row>
    <row r="215" spans="1:10" x14ac:dyDescent="0.25">
      <c r="A215" t="s">
        <v>8</v>
      </c>
      <c r="B215" t="s">
        <v>65</v>
      </c>
      <c r="C215">
        <v>2026</v>
      </c>
      <c r="D215">
        <v>4</v>
      </c>
      <c r="E215" t="s">
        <v>190</v>
      </c>
      <c r="F215" t="s">
        <v>189</v>
      </c>
      <c r="G215" t="s">
        <v>188</v>
      </c>
      <c r="H215" t="s">
        <v>451</v>
      </c>
      <c r="I215" t="s">
        <v>1831</v>
      </c>
      <c r="J215" s="4">
        <v>27000</v>
      </c>
    </row>
    <row r="216" spans="1:10" x14ac:dyDescent="0.25">
      <c r="A216" t="s">
        <v>8</v>
      </c>
      <c r="B216" t="s">
        <v>65</v>
      </c>
      <c r="C216">
        <v>2026</v>
      </c>
      <c r="D216">
        <v>3</v>
      </c>
      <c r="E216" t="s">
        <v>201</v>
      </c>
      <c r="F216" t="s">
        <v>239</v>
      </c>
      <c r="G216" t="s">
        <v>238</v>
      </c>
      <c r="H216" t="s">
        <v>224</v>
      </c>
      <c r="I216" t="s">
        <v>1681</v>
      </c>
      <c r="J216" s="4">
        <v>1000</v>
      </c>
    </row>
    <row r="217" spans="1:10" x14ac:dyDescent="0.25">
      <c r="A217" t="s">
        <v>8</v>
      </c>
      <c r="B217" t="s">
        <v>65</v>
      </c>
      <c r="C217">
        <v>2026</v>
      </c>
      <c r="D217">
        <v>6</v>
      </c>
      <c r="E217" t="s">
        <v>196</v>
      </c>
      <c r="F217" t="s">
        <v>195</v>
      </c>
      <c r="G217" t="s">
        <v>194</v>
      </c>
      <c r="H217" t="s">
        <v>467</v>
      </c>
      <c r="I217" t="s">
        <v>1827</v>
      </c>
      <c r="J217" s="4">
        <v>2000</v>
      </c>
    </row>
    <row r="218" spans="1:10" x14ac:dyDescent="0.25">
      <c r="A218" t="s">
        <v>8</v>
      </c>
      <c r="B218" t="s">
        <v>65</v>
      </c>
      <c r="C218">
        <v>2026</v>
      </c>
      <c r="D218">
        <v>7</v>
      </c>
      <c r="E218" t="s">
        <v>158</v>
      </c>
      <c r="F218" t="s">
        <v>205</v>
      </c>
      <c r="G218" t="s">
        <v>99</v>
      </c>
      <c r="H218" t="s">
        <v>451</v>
      </c>
      <c r="I218" t="s">
        <v>99</v>
      </c>
      <c r="J218" s="4">
        <v>20000</v>
      </c>
    </row>
    <row r="219" spans="1:10" x14ac:dyDescent="0.25">
      <c r="A219" t="s">
        <v>8</v>
      </c>
      <c r="B219" t="s">
        <v>65</v>
      </c>
      <c r="C219">
        <v>2026</v>
      </c>
      <c r="D219">
        <v>1</v>
      </c>
      <c r="E219" t="s">
        <v>290</v>
      </c>
      <c r="F219" t="s">
        <v>297</v>
      </c>
      <c r="G219" t="s">
        <v>296</v>
      </c>
      <c r="H219" t="s">
        <v>451</v>
      </c>
      <c r="I219" t="s">
        <v>1824</v>
      </c>
      <c r="J219" s="4">
        <v>1000</v>
      </c>
    </row>
    <row r="220" spans="1:10" x14ac:dyDescent="0.25">
      <c r="A220" t="s">
        <v>8</v>
      </c>
      <c r="B220" t="s">
        <v>65</v>
      </c>
      <c r="C220">
        <v>2026</v>
      </c>
      <c r="D220">
        <v>5</v>
      </c>
      <c r="E220" t="s">
        <v>201</v>
      </c>
      <c r="F220" t="s">
        <v>200</v>
      </c>
      <c r="G220" t="s">
        <v>199</v>
      </c>
      <c r="H220" t="s">
        <v>1094</v>
      </c>
      <c r="I220" t="s">
        <v>1832</v>
      </c>
      <c r="J220" s="4">
        <v>250</v>
      </c>
    </row>
    <row r="221" spans="1:10" x14ac:dyDescent="0.25">
      <c r="A221" t="s">
        <v>8</v>
      </c>
      <c r="B221" t="s">
        <v>65</v>
      </c>
      <c r="C221">
        <v>2026</v>
      </c>
      <c r="D221">
        <v>1</v>
      </c>
      <c r="E221" t="s">
        <v>201</v>
      </c>
      <c r="F221" t="s">
        <v>392</v>
      </c>
      <c r="G221" t="s">
        <v>99</v>
      </c>
      <c r="H221" t="s">
        <v>1094</v>
      </c>
      <c r="I221" t="s">
        <v>1836</v>
      </c>
      <c r="J221" s="4">
        <v>44.9</v>
      </c>
    </row>
    <row r="222" spans="1:10" x14ac:dyDescent="0.25">
      <c r="A222" t="s">
        <v>8</v>
      </c>
      <c r="B222" t="s">
        <v>65</v>
      </c>
      <c r="C222">
        <v>2026</v>
      </c>
      <c r="D222">
        <v>4</v>
      </c>
      <c r="E222" t="s">
        <v>196</v>
      </c>
      <c r="F222" t="s">
        <v>195</v>
      </c>
      <c r="G222" t="s">
        <v>194</v>
      </c>
      <c r="H222" t="s">
        <v>467</v>
      </c>
      <c r="I222" t="s">
        <v>1827</v>
      </c>
      <c r="J222" s="4">
        <v>2000</v>
      </c>
    </row>
    <row r="223" spans="1:10" x14ac:dyDescent="0.25">
      <c r="A223" t="s">
        <v>8</v>
      </c>
      <c r="B223" t="s">
        <v>65</v>
      </c>
      <c r="C223">
        <v>2026</v>
      </c>
      <c r="D223">
        <v>7</v>
      </c>
      <c r="E223" t="s">
        <v>290</v>
      </c>
      <c r="F223" t="s">
        <v>297</v>
      </c>
      <c r="G223" t="s">
        <v>296</v>
      </c>
      <c r="H223" t="s">
        <v>451</v>
      </c>
      <c r="I223" t="s">
        <v>739</v>
      </c>
      <c r="J223" s="4">
        <v>165</v>
      </c>
    </row>
    <row r="224" spans="1:10" x14ac:dyDescent="0.25">
      <c r="A224" t="s">
        <v>8</v>
      </c>
      <c r="B224" t="s">
        <v>65</v>
      </c>
      <c r="C224">
        <v>2026</v>
      </c>
      <c r="D224">
        <v>1</v>
      </c>
      <c r="E224" t="s">
        <v>201</v>
      </c>
      <c r="F224" t="s">
        <v>304</v>
      </c>
      <c r="G224" t="s">
        <v>303</v>
      </c>
      <c r="H224" t="s">
        <v>474</v>
      </c>
      <c r="I224" t="s">
        <v>1860</v>
      </c>
      <c r="J224" s="4">
        <v>130</v>
      </c>
    </row>
    <row r="225" spans="1:10" x14ac:dyDescent="0.25">
      <c r="A225" t="s">
        <v>8</v>
      </c>
      <c r="B225" t="s">
        <v>65</v>
      </c>
      <c r="C225">
        <v>2026</v>
      </c>
      <c r="D225">
        <v>2</v>
      </c>
      <c r="E225" t="s">
        <v>201</v>
      </c>
      <c r="F225" t="s">
        <v>200</v>
      </c>
      <c r="G225" t="s">
        <v>199</v>
      </c>
      <c r="H225" t="s">
        <v>1094</v>
      </c>
      <c r="I225" t="s">
        <v>1699</v>
      </c>
      <c r="J225" s="4">
        <v>275</v>
      </c>
    </row>
    <row r="226" spans="1:10" x14ac:dyDescent="0.25">
      <c r="A226" t="s">
        <v>8</v>
      </c>
      <c r="B226" t="s">
        <v>65</v>
      </c>
      <c r="C226">
        <v>2026</v>
      </c>
      <c r="D226">
        <v>5</v>
      </c>
      <c r="E226" t="s">
        <v>196</v>
      </c>
      <c r="F226" t="s">
        <v>195</v>
      </c>
      <c r="G226" t="s">
        <v>194</v>
      </c>
      <c r="H226" t="s">
        <v>467</v>
      </c>
      <c r="I226" t="s">
        <v>1827</v>
      </c>
      <c r="J226" s="4">
        <v>2000</v>
      </c>
    </row>
    <row r="227" spans="1:10" x14ac:dyDescent="0.25">
      <c r="A227" t="s">
        <v>8</v>
      </c>
      <c r="B227" t="s">
        <v>65</v>
      </c>
      <c r="C227">
        <v>2026</v>
      </c>
      <c r="D227">
        <v>2</v>
      </c>
      <c r="E227" t="s">
        <v>158</v>
      </c>
      <c r="F227" t="s">
        <v>171</v>
      </c>
      <c r="G227" t="s">
        <v>85</v>
      </c>
      <c r="H227" t="s">
        <v>471</v>
      </c>
      <c r="I227" t="s">
        <v>471</v>
      </c>
      <c r="J227" s="4">
        <v>60000</v>
      </c>
    </row>
    <row r="228" spans="1:10" x14ac:dyDescent="0.25">
      <c r="A228" t="s">
        <v>8</v>
      </c>
      <c r="B228" t="s">
        <v>65</v>
      </c>
      <c r="C228">
        <v>2026</v>
      </c>
      <c r="D228">
        <v>7</v>
      </c>
      <c r="E228" t="s">
        <v>182</v>
      </c>
      <c r="F228" t="s">
        <v>181</v>
      </c>
      <c r="G228" t="s">
        <v>180</v>
      </c>
      <c r="H228" t="s">
        <v>451</v>
      </c>
      <c r="I228" t="s">
        <v>1135</v>
      </c>
      <c r="J228" s="4">
        <v>11062.4</v>
      </c>
    </row>
    <row r="229" spans="1:10" x14ac:dyDescent="0.25">
      <c r="A229" t="s">
        <v>8</v>
      </c>
      <c r="B229" t="s">
        <v>65</v>
      </c>
      <c r="C229">
        <v>2026</v>
      </c>
      <c r="D229">
        <v>8</v>
      </c>
      <c r="E229" t="s">
        <v>201</v>
      </c>
      <c r="F229" t="s">
        <v>392</v>
      </c>
      <c r="G229" t="s">
        <v>99</v>
      </c>
      <c r="H229" t="s">
        <v>1094</v>
      </c>
      <c r="I229" t="s">
        <v>1836</v>
      </c>
      <c r="J229" s="4">
        <v>44.9</v>
      </c>
    </row>
    <row r="230" spans="1:10" x14ac:dyDescent="0.25">
      <c r="A230" t="s">
        <v>8</v>
      </c>
      <c r="B230" t="s">
        <v>65</v>
      </c>
      <c r="C230">
        <v>2026</v>
      </c>
      <c r="D230">
        <v>7</v>
      </c>
      <c r="E230" t="s">
        <v>201</v>
      </c>
      <c r="F230" t="s">
        <v>392</v>
      </c>
      <c r="G230" t="s">
        <v>99</v>
      </c>
      <c r="H230" t="s">
        <v>1094</v>
      </c>
      <c r="I230" t="s">
        <v>1836</v>
      </c>
      <c r="J230" s="4">
        <v>44.9</v>
      </c>
    </row>
    <row r="231" spans="1:10" x14ac:dyDescent="0.25">
      <c r="A231" t="s">
        <v>8</v>
      </c>
      <c r="B231" t="s">
        <v>65</v>
      </c>
      <c r="C231">
        <v>2026</v>
      </c>
      <c r="D231">
        <v>8</v>
      </c>
      <c r="E231" t="s">
        <v>201</v>
      </c>
      <c r="F231" t="s">
        <v>239</v>
      </c>
      <c r="G231" t="s">
        <v>238</v>
      </c>
      <c r="H231" t="s">
        <v>224</v>
      </c>
      <c r="I231" t="s">
        <v>1681</v>
      </c>
      <c r="J231" s="4">
        <v>1000</v>
      </c>
    </row>
    <row r="232" spans="1:10" x14ac:dyDescent="0.25">
      <c r="A232" t="s">
        <v>8</v>
      </c>
      <c r="B232" t="s">
        <v>65</v>
      </c>
      <c r="C232">
        <v>2026</v>
      </c>
      <c r="D232">
        <v>5</v>
      </c>
      <c r="E232" t="s">
        <v>290</v>
      </c>
      <c r="F232" t="s">
        <v>289</v>
      </c>
      <c r="G232" t="s">
        <v>288</v>
      </c>
      <c r="H232" t="s">
        <v>451</v>
      </c>
      <c r="I232" t="s">
        <v>734</v>
      </c>
      <c r="J232" s="4">
        <v>2100</v>
      </c>
    </row>
    <row r="233" spans="1:10" x14ac:dyDescent="0.25">
      <c r="A233" t="s">
        <v>8</v>
      </c>
      <c r="B233" t="s">
        <v>65</v>
      </c>
      <c r="C233">
        <v>2026</v>
      </c>
      <c r="D233">
        <v>5</v>
      </c>
      <c r="E233" t="s">
        <v>201</v>
      </c>
      <c r="F233" t="s">
        <v>304</v>
      </c>
      <c r="G233" t="s">
        <v>303</v>
      </c>
      <c r="H233" t="s">
        <v>1094</v>
      </c>
      <c r="I233" t="s">
        <v>1853</v>
      </c>
      <c r="J233" s="4">
        <v>200</v>
      </c>
    </row>
    <row r="234" spans="1:10" x14ac:dyDescent="0.25">
      <c r="A234" t="s">
        <v>8</v>
      </c>
      <c r="B234" t="s">
        <v>65</v>
      </c>
      <c r="C234">
        <v>2026</v>
      </c>
      <c r="D234">
        <v>8</v>
      </c>
      <c r="E234" t="s">
        <v>196</v>
      </c>
      <c r="F234" t="s">
        <v>195</v>
      </c>
      <c r="G234" t="s">
        <v>194</v>
      </c>
      <c r="H234" t="s">
        <v>467</v>
      </c>
      <c r="I234" t="s">
        <v>1854</v>
      </c>
      <c r="J234" s="4">
        <v>4000</v>
      </c>
    </row>
    <row r="235" spans="1:10" x14ac:dyDescent="0.25">
      <c r="A235" t="s">
        <v>8</v>
      </c>
      <c r="B235" t="s">
        <v>65</v>
      </c>
      <c r="C235">
        <v>2026</v>
      </c>
      <c r="D235">
        <v>7</v>
      </c>
      <c r="E235" t="s">
        <v>209</v>
      </c>
      <c r="F235" t="s">
        <v>208</v>
      </c>
      <c r="G235" t="s">
        <v>207</v>
      </c>
      <c r="H235" t="s">
        <v>451</v>
      </c>
      <c r="I235" t="s">
        <v>1498</v>
      </c>
      <c r="J235" s="4">
        <v>15000</v>
      </c>
    </row>
    <row r="236" spans="1:10" x14ac:dyDescent="0.25">
      <c r="A236" t="s">
        <v>8</v>
      </c>
      <c r="B236" t="s">
        <v>65</v>
      </c>
      <c r="C236">
        <v>2026</v>
      </c>
      <c r="D236">
        <v>4</v>
      </c>
      <c r="E236" t="s">
        <v>316</v>
      </c>
      <c r="F236" t="s">
        <v>371</v>
      </c>
      <c r="G236" t="s">
        <v>370</v>
      </c>
      <c r="H236" t="s">
        <v>451</v>
      </c>
      <c r="I236" t="s">
        <v>1834</v>
      </c>
      <c r="J236" s="4">
        <v>10</v>
      </c>
    </row>
    <row r="237" spans="1:10" x14ac:dyDescent="0.25">
      <c r="A237" t="s">
        <v>8</v>
      </c>
      <c r="B237" t="s">
        <v>65</v>
      </c>
      <c r="C237">
        <v>2026</v>
      </c>
      <c r="D237">
        <v>6</v>
      </c>
      <c r="E237" t="s">
        <v>290</v>
      </c>
      <c r="F237" t="s">
        <v>297</v>
      </c>
      <c r="G237" t="s">
        <v>99</v>
      </c>
      <c r="H237" t="s">
        <v>451</v>
      </c>
      <c r="I237" t="s">
        <v>1844</v>
      </c>
      <c r="J237" s="4">
        <v>50</v>
      </c>
    </row>
    <row r="238" spans="1:10" x14ac:dyDescent="0.25">
      <c r="A238" t="s">
        <v>8</v>
      </c>
      <c r="B238" t="s">
        <v>65</v>
      </c>
      <c r="C238">
        <v>2026</v>
      </c>
      <c r="D238">
        <v>6</v>
      </c>
      <c r="E238" t="s">
        <v>227</v>
      </c>
      <c r="F238" t="s">
        <v>226</v>
      </c>
      <c r="G238" t="s">
        <v>225</v>
      </c>
      <c r="H238" t="s">
        <v>451</v>
      </c>
      <c r="I238" t="s">
        <v>1816</v>
      </c>
      <c r="J238" s="4">
        <v>4500</v>
      </c>
    </row>
    <row r="239" spans="1:10" x14ac:dyDescent="0.25">
      <c r="A239" t="s">
        <v>8</v>
      </c>
      <c r="B239" t="s">
        <v>65</v>
      </c>
      <c r="C239">
        <v>2026</v>
      </c>
      <c r="D239">
        <v>7</v>
      </c>
      <c r="E239" t="s">
        <v>196</v>
      </c>
      <c r="F239" t="s">
        <v>195</v>
      </c>
      <c r="G239" t="s">
        <v>194</v>
      </c>
      <c r="H239" t="s">
        <v>511</v>
      </c>
      <c r="I239" t="s">
        <v>1818</v>
      </c>
      <c r="J239" s="4">
        <v>100.2</v>
      </c>
    </row>
    <row r="240" spans="1:10" x14ac:dyDescent="0.25">
      <c r="A240" t="s">
        <v>8</v>
      </c>
      <c r="B240" t="s">
        <v>65</v>
      </c>
      <c r="C240">
        <v>2026</v>
      </c>
      <c r="D240">
        <v>5</v>
      </c>
      <c r="E240" t="s">
        <v>232</v>
      </c>
      <c r="F240" t="s">
        <v>295</v>
      </c>
      <c r="G240" t="s">
        <v>294</v>
      </c>
      <c r="H240" t="s">
        <v>451</v>
      </c>
      <c r="I240" t="s">
        <v>1502</v>
      </c>
      <c r="J240" s="4">
        <v>4000</v>
      </c>
    </row>
    <row r="241" spans="1:10" x14ac:dyDescent="0.25">
      <c r="A241" t="s">
        <v>8</v>
      </c>
      <c r="B241" t="s">
        <v>65</v>
      </c>
      <c r="C241">
        <v>2026</v>
      </c>
      <c r="D241">
        <v>3</v>
      </c>
      <c r="E241" t="s">
        <v>290</v>
      </c>
      <c r="F241" t="s">
        <v>289</v>
      </c>
      <c r="G241" t="s">
        <v>288</v>
      </c>
      <c r="H241" t="s">
        <v>451</v>
      </c>
      <c r="I241" t="s">
        <v>734</v>
      </c>
      <c r="J241" s="4">
        <v>2100</v>
      </c>
    </row>
    <row r="242" spans="1:10" x14ac:dyDescent="0.25">
      <c r="A242" t="s">
        <v>8</v>
      </c>
      <c r="B242" t="s">
        <v>65</v>
      </c>
      <c r="C242">
        <v>2026</v>
      </c>
      <c r="D242">
        <v>6</v>
      </c>
      <c r="E242" t="s">
        <v>232</v>
      </c>
      <c r="F242" t="s">
        <v>295</v>
      </c>
      <c r="G242" t="s">
        <v>294</v>
      </c>
      <c r="H242" t="s">
        <v>451</v>
      </c>
      <c r="I242" t="s">
        <v>1502</v>
      </c>
      <c r="J242" s="4">
        <v>4000</v>
      </c>
    </row>
    <row r="243" spans="1:10" x14ac:dyDescent="0.25">
      <c r="A243" t="s">
        <v>8</v>
      </c>
      <c r="B243" t="s">
        <v>65</v>
      </c>
      <c r="C243">
        <v>2026</v>
      </c>
      <c r="D243">
        <v>8</v>
      </c>
      <c r="E243" t="s">
        <v>158</v>
      </c>
      <c r="F243" t="s">
        <v>171</v>
      </c>
      <c r="G243" t="s">
        <v>85</v>
      </c>
      <c r="H243" t="s">
        <v>474</v>
      </c>
      <c r="I243" t="s">
        <v>474</v>
      </c>
      <c r="J243" s="4">
        <v>60000</v>
      </c>
    </row>
    <row r="244" spans="1:10" x14ac:dyDescent="0.25">
      <c r="A244" t="s">
        <v>8</v>
      </c>
      <c r="B244" t="s">
        <v>65</v>
      </c>
      <c r="C244">
        <v>2026</v>
      </c>
      <c r="D244">
        <v>2</v>
      </c>
      <c r="E244" t="s">
        <v>248</v>
      </c>
      <c r="F244" t="s">
        <v>387</v>
      </c>
      <c r="G244" t="s">
        <v>386</v>
      </c>
      <c r="H244" t="s">
        <v>451</v>
      </c>
      <c r="I244" t="s">
        <v>824</v>
      </c>
      <c r="J244" s="4">
        <v>10.5</v>
      </c>
    </row>
    <row r="245" spans="1:10" x14ac:dyDescent="0.25">
      <c r="A245" t="s">
        <v>8</v>
      </c>
      <c r="B245" t="s">
        <v>65</v>
      </c>
      <c r="C245">
        <v>2026</v>
      </c>
      <c r="D245">
        <v>8</v>
      </c>
      <c r="E245" t="s">
        <v>290</v>
      </c>
      <c r="F245" t="s">
        <v>297</v>
      </c>
      <c r="G245" t="s">
        <v>296</v>
      </c>
      <c r="H245" t="s">
        <v>451</v>
      </c>
      <c r="I245" t="s">
        <v>1824</v>
      </c>
      <c r="J245" s="4">
        <v>1000</v>
      </c>
    </row>
    <row r="246" spans="1:10" x14ac:dyDescent="0.25">
      <c r="A246" t="s">
        <v>8</v>
      </c>
      <c r="B246" t="s">
        <v>65</v>
      </c>
      <c r="C246">
        <v>2026</v>
      </c>
      <c r="D246">
        <v>3</v>
      </c>
      <c r="E246" t="s">
        <v>201</v>
      </c>
      <c r="F246" t="s">
        <v>200</v>
      </c>
      <c r="G246" t="s">
        <v>199</v>
      </c>
      <c r="H246" t="s">
        <v>486</v>
      </c>
      <c r="I246" t="s">
        <v>1705</v>
      </c>
      <c r="J246" s="4">
        <v>1000</v>
      </c>
    </row>
    <row r="247" spans="1:10" x14ac:dyDescent="0.25">
      <c r="A247" t="s">
        <v>8</v>
      </c>
      <c r="B247" t="s">
        <v>65</v>
      </c>
      <c r="C247">
        <v>2026</v>
      </c>
      <c r="D247">
        <v>8</v>
      </c>
      <c r="E247" t="s">
        <v>196</v>
      </c>
      <c r="F247" t="s">
        <v>195</v>
      </c>
      <c r="G247" t="s">
        <v>194</v>
      </c>
      <c r="H247" t="s">
        <v>525</v>
      </c>
      <c r="I247" t="s">
        <v>1833</v>
      </c>
      <c r="J247" s="4">
        <v>4000</v>
      </c>
    </row>
    <row r="248" spans="1:10" x14ac:dyDescent="0.25">
      <c r="A248" t="s">
        <v>8</v>
      </c>
      <c r="B248" t="s">
        <v>65</v>
      </c>
      <c r="C248">
        <v>2026</v>
      </c>
      <c r="D248">
        <v>8</v>
      </c>
      <c r="E248" t="s">
        <v>268</v>
      </c>
      <c r="F248" t="s">
        <v>325</v>
      </c>
      <c r="G248" t="s">
        <v>99</v>
      </c>
      <c r="H248" t="s">
        <v>451</v>
      </c>
      <c r="I248" t="s">
        <v>451</v>
      </c>
      <c r="J248" s="4">
        <v>885</v>
      </c>
    </row>
    <row r="249" spans="1:10" x14ac:dyDescent="0.25">
      <c r="A249" t="s">
        <v>8</v>
      </c>
      <c r="B249" t="s">
        <v>65</v>
      </c>
      <c r="C249">
        <v>2026</v>
      </c>
      <c r="D249">
        <v>5</v>
      </c>
      <c r="E249" t="s">
        <v>196</v>
      </c>
      <c r="F249" t="s">
        <v>195</v>
      </c>
      <c r="G249" t="s">
        <v>194</v>
      </c>
      <c r="H249" t="s">
        <v>467</v>
      </c>
      <c r="I249" t="s">
        <v>1841</v>
      </c>
      <c r="J249" s="4">
        <v>1500</v>
      </c>
    </row>
    <row r="250" spans="1:10" x14ac:dyDescent="0.25">
      <c r="A250" t="s">
        <v>8</v>
      </c>
      <c r="B250" t="s">
        <v>65</v>
      </c>
      <c r="C250">
        <v>2026</v>
      </c>
      <c r="D250">
        <v>6</v>
      </c>
      <c r="E250" t="s">
        <v>201</v>
      </c>
      <c r="F250" t="s">
        <v>304</v>
      </c>
      <c r="G250" t="s">
        <v>303</v>
      </c>
      <c r="H250" t="s">
        <v>1094</v>
      </c>
      <c r="I250" t="s">
        <v>1652</v>
      </c>
      <c r="J250" s="4">
        <v>56.6</v>
      </c>
    </row>
    <row r="251" spans="1:10" x14ac:dyDescent="0.25">
      <c r="A251" t="s">
        <v>8</v>
      </c>
      <c r="B251" t="s">
        <v>65</v>
      </c>
      <c r="C251">
        <v>2026</v>
      </c>
      <c r="D251">
        <v>8</v>
      </c>
      <c r="E251" t="s">
        <v>232</v>
      </c>
      <c r="F251" t="s">
        <v>295</v>
      </c>
      <c r="G251" t="s">
        <v>294</v>
      </c>
      <c r="H251" t="s">
        <v>451</v>
      </c>
      <c r="I251" t="s">
        <v>1502</v>
      </c>
      <c r="J251" s="4">
        <v>4000</v>
      </c>
    </row>
    <row r="252" spans="1:10" x14ac:dyDescent="0.25">
      <c r="A252" t="s">
        <v>8</v>
      </c>
      <c r="B252" t="s">
        <v>65</v>
      </c>
      <c r="C252">
        <v>2026</v>
      </c>
      <c r="D252">
        <v>7</v>
      </c>
      <c r="E252" t="s">
        <v>201</v>
      </c>
      <c r="F252" t="s">
        <v>239</v>
      </c>
      <c r="G252" t="s">
        <v>238</v>
      </c>
      <c r="H252" t="s">
        <v>224</v>
      </c>
      <c r="I252" t="s">
        <v>1681</v>
      </c>
      <c r="J252" s="4">
        <v>1000</v>
      </c>
    </row>
    <row r="253" spans="1:10" x14ac:dyDescent="0.25">
      <c r="A253" t="s">
        <v>8</v>
      </c>
      <c r="B253" t="s">
        <v>65</v>
      </c>
      <c r="C253">
        <v>2026</v>
      </c>
      <c r="D253">
        <v>7</v>
      </c>
      <c r="E253" t="s">
        <v>268</v>
      </c>
      <c r="F253" t="s">
        <v>287</v>
      </c>
      <c r="G253" t="s">
        <v>286</v>
      </c>
      <c r="H253" t="s">
        <v>451</v>
      </c>
      <c r="I253" t="s">
        <v>1237</v>
      </c>
      <c r="J253" s="4">
        <v>900</v>
      </c>
    </row>
    <row r="254" spans="1:10" x14ac:dyDescent="0.25">
      <c r="A254" t="s">
        <v>8</v>
      </c>
      <c r="B254" t="s">
        <v>65</v>
      </c>
      <c r="C254">
        <v>2026</v>
      </c>
      <c r="D254">
        <v>1</v>
      </c>
      <c r="E254" t="s">
        <v>268</v>
      </c>
      <c r="F254" t="s">
        <v>287</v>
      </c>
      <c r="G254" t="s">
        <v>286</v>
      </c>
      <c r="H254" t="s">
        <v>451</v>
      </c>
      <c r="I254" t="s">
        <v>1237</v>
      </c>
      <c r="J254" s="4">
        <v>900</v>
      </c>
    </row>
    <row r="255" spans="1:10" x14ac:dyDescent="0.25">
      <c r="A255" t="s">
        <v>8</v>
      </c>
      <c r="B255" t="s">
        <v>65</v>
      </c>
      <c r="C255">
        <v>2026</v>
      </c>
      <c r="D255">
        <v>2</v>
      </c>
      <c r="E255" t="s">
        <v>201</v>
      </c>
      <c r="F255" t="s">
        <v>200</v>
      </c>
      <c r="G255" t="s">
        <v>199</v>
      </c>
      <c r="H255" t="s">
        <v>1094</v>
      </c>
      <c r="I255" t="s">
        <v>1845</v>
      </c>
      <c r="J255" s="4">
        <v>343.25</v>
      </c>
    </row>
    <row r="256" spans="1:10" x14ac:dyDescent="0.25">
      <c r="A256" t="s">
        <v>8</v>
      </c>
      <c r="B256" t="s">
        <v>65</v>
      </c>
      <c r="C256">
        <v>2026</v>
      </c>
      <c r="D256">
        <v>2</v>
      </c>
      <c r="E256" t="s">
        <v>196</v>
      </c>
      <c r="F256" t="s">
        <v>195</v>
      </c>
      <c r="G256" t="s">
        <v>194</v>
      </c>
      <c r="H256" t="s">
        <v>467</v>
      </c>
      <c r="I256" t="s">
        <v>1841</v>
      </c>
      <c r="J256" s="4">
        <v>1500</v>
      </c>
    </row>
    <row r="257" spans="1:10" x14ac:dyDescent="0.25">
      <c r="A257" t="s">
        <v>8</v>
      </c>
      <c r="B257" t="s">
        <v>65</v>
      </c>
      <c r="C257">
        <v>2026</v>
      </c>
      <c r="D257">
        <v>3</v>
      </c>
      <c r="E257" t="s">
        <v>316</v>
      </c>
      <c r="F257" t="s">
        <v>315</v>
      </c>
      <c r="G257" t="s">
        <v>314</v>
      </c>
      <c r="H257" t="s">
        <v>451</v>
      </c>
      <c r="I257" t="s">
        <v>1823</v>
      </c>
      <c r="J257" s="4">
        <v>179</v>
      </c>
    </row>
    <row r="258" spans="1:10" x14ac:dyDescent="0.25">
      <c r="A258" t="s">
        <v>8</v>
      </c>
      <c r="B258" t="s">
        <v>65</v>
      </c>
      <c r="C258">
        <v>2026</v>
      </c>
      <c r="D258">
        <v>4</v>
      </c>
      <c r="E258" t="s">
        <v>178</v>
      </c>
      <c r="F258" t="s">
        <v>302</v>
      </c>
      <c r="G258" t="s">
        <v>301</v>
      </c>
      <c r="H258" t="s">
        <v>451</v>
      </c>
      <c r="I258" t="s">
        <v>1835</v>
      </c>
      <c r="J258" s="4">
        <v>1436.4</v>
      </c>
    </row>
    <row r="259" spans="1:10" x14ac:dyDescent="0.25">
      <c r="A259" t="s">
        <v>8</v>
      </c>
      <c r="B259" t="s">
        <v>65</v>
      </c>
      <c r="C259">
        <v>2026</v>
      </c>
      <c r="D259">
        <v>5</v>
      </c>
      <c r="E259" t="s">
        <v>201</v>
      </c>
      <c r="F259" t="s">
        <v>239</v>
      </c>
      <c r="G259" t="s">
        <v>238</v>
      </c>
      <c r="H259" t="s">
        <v>1094</v>
      </c>
      <c r="I259" t="s">
        <v>1848</v>
      </c>
      <c r="J259" s="4">
        <v>1350</v>
      </c>
    </row>
    <row r="260" spans="1:10" x14ac:dyDescent="0.25">
      <c r="A260" t="s">
        <v>8</v>
      </c>
      <c r="B260" t="s">
        <v>65</v>
      </c>
      <c r="C260">
        <v>2026</v>
      </c>
      <c r="D260">
        <v>8</v>
      </c>
      <c r="E260" t="s">
        <v>248</v>
      </c>
      <c r="F260" t="s">
        <v>387</v>
      </c>
      <c r="G260" t="s">
        <v>386</v>
      </c>
      <c r="H260" t="s">
        <v>451</v>
      </c>
      <c r="I260" t="s">
        <v>824</v>
      </c>
      <c r="J260" s="4">
        <v>10.5</v>
      </c>
    </row>
    <row r="261" spans="1:10" x14ac:dyDescent="0.25">
      <c r="A261" t="s">
        <v>8</v>
      </c>
      <c r="B261" t="s">
        <v>65</v>
      </c>
      <c r="C261">
        <v>2026</v>
      </c>
      <c r="D261">
        <v>4</v>
      </c>
      <c r="E261" t="s">
        <v>248</v>
      </c>
      <c r="F261" t="s">
        <v>387</v>
      </c>
      <c r="G261" t="s">
        <v>386</v>
      </c>
      <c r="H261" t="s">
        <v>451</v>
      </c>
      <c r="I261" t="s">
        <v>1850</v>
      </c>
      <c r="J261" s="4">
        <v>46</v>
      </c>
    </row>
    <row r="262" spans="1:10" x14ac:dyDescent="0.25">
      <c r="A262" t="s">
        <v>8</v>
      </c>
      <c r="B262" t="s">
        <v>65</v>
      </c>
      <c r="C262">
        <v>2026</v>
      </c>
      <c r="D262">
        <v>7</v>
      </c>
      <c r="E262" t="s">
        <v>201</v>
      </c>
      <c r="F262" t="s">
        <v>200</v>
      </c>
      <c r="G262" t="s">
        <v>199</v>
      </c>
      <c r="H262" t="s">
        <v>1094</v>
      </c>
      <c r="I262" t="s">
        <v>1700</v>
      </c>
      <c r="J262" s="4">
        <v>592.32</v>
      </c>
    </row>
    <row r="263" spans="1:10" x14ac:dyDescent="0.25">
      <c r="A263" t="s">
        <v>8</v>
      </c>
      <c r="B263" t="s">
        <v>65</v>
      </c>
      <c r="C263">
        <v>2026</v>
      </c>
      <c r="D263">
        <v>6</v>
      </c>
      <c r="E263" t="s">
        <v>268</v>
      </c>
      <c r="F263" t="s">
        <v>363</v>
      </c>
      <c r="G263" t="s">
        <v>362</v>
      </c>
      <c r="H263" t="s">
        <v>451</v>
      </c>
      <c r="I263" t="s">
        <v>1840</v>
      </c>
      <c r="J263" s="4">
        <v>234.64</v>
      </c>
    </row>
    <row r="264" spans="1:10" x14ac:dyDescent="0.25">
      <c r="A264" t="s">
        <v>8</v>
      </c>
      <c r="B264" t="s">
        <v>65</v>
      </c>
      <c r="C264">
        <v>2026</v>
      </c>
      <c r="D264">
        <v>2</v>
      </c>
      <c r="E264" t="s">
        <v>196</v>
      </c>
      <c r="F264" t="s">
        <v>195</v>
      </c>
      <c r="G264" t="s">
        <v>194</v>
      </c>
      <c r="H264" t="s">
        <v>511</v>
      </c>
      <c r="I264" t="s">
        <v>1826</v>
      </c>
      <c r="J264" s="4">
        <v>100</v>
      </c>
    </row>
    <row r="265" spans="1:10" x14ac:dyDescent="0.25">
      <c r="A265" t="s">
        <v>8</v>
      </c>
      <c r="B265" t="s">
        <v>65</v>
      </c>
      <c r="C265">
        <v>2026</v>
      </c>
      <c r="D265">
        <v>2</v>
      </c>
      <c r="E265" t="s">
        <v>196</v>
      </c>
      <c r="F265" t="s">
        <v>195</v>
      </c>
      <c r="G265" t="s">
        <v>194</v>
      </c>
      <c r="H265" t="s">
        <v>467</v>
      </c>
      <c r="I265" t="s">
        <v>1854</v>
      </c>
      <c r="J265" s="4">
        <v>4000</v>
      </c>
    </row>
    <row r="266" spans="1:10" x14ac:dyDescent="0.25">
      <c r="A266" t="s">
        <v>8</v>
      </c>
      <c r="B266" t="s">
        <v>65</v>
      </c>
      <c r="C266">
        <v>2026</v>
      </c>
      <c r="D266">
        <v>5</v>
      </c>
      <c r="E266" t="s">
        <v>268</v>
      </c>
      <c r="F266" t="s">
        <v>325</v>
      </c>
      <c r="G266" t="s">
        <v>99</v>
      </c>
      <c r="H266" t="s">
        <v>451</v>
      </c>
      <c r="I266" t="s">
        <v>451</v>
      </c>
      <c r="J266" s="4">
        <v>885</v>
      </c>
    </row>
    <row r="267" spans="1:10" x14ac:dyDescent="0.25">
      <c r="A267" t="s">
        <v>8</v>
      </c>
      <c r="B267" t="s">
        <v>65</v>
      </c>
      <c r="C267">
        <v>2026</v>
      </c>
      <c r="D267">
        <v>3</v>
      </c>
      <c r="E267" t="s">
        <v>232</v>
      </c>
      <c r="F267" t="s">
        <v>231</v>
      </c>
      <c r="G267" t="s">
        <v>230</v>
      </c>
      <c r="H267" t="s">
        <v>511</v>
      </c>
      <c r="I267" t="s">
        <v>949</v>
      </c>
      <c r="J267" s="4">
        <v>4766.3</v>
      </c>
    </row>
    <row r="268" spans="1:10" x14ac:dyDescent="0.25">
      <c r="A268" t="s">
        <v>8</v>
      </c>
      <c r="B268" t="s">
        <v>65</v>
      </c>
      <c r="C268">
        <v>2026</v>
      </c>
      <c r="D268">
        <v>1</v>
      </c>
      <c r="E268" t="s">
        <v>290</v>
      </c>
      <c r="F268" t="s">
        <v>365</v>
      </c>
      <c r="G268" t="s">
        <v>364</v>
      </c>
      <c r="H268" t="s">
        <v>451</v>
      </c>
      <c r="I268" t="s">
        <v>748</v>
      </c>
      <c r="J268" s="4">
        <v>217.74</v>
      </c>
    </row>
    <row r="269" spans="1:10" x14ac:dyDescent="0.25">
      <c r="A269" t="s">
        <v>8</v>
      </c>
      <c r="B269" t="s">
        <v>65</v>
      </c>
      <c r="C269">
        <v>2026</v>
      </c>
      <c r="D269">
        <v>2</v>
      </c>
      <c r="E269" t="s">
        <v>182</v>
      </c>
      <c r="F269" t="s">
        <v>252</v>
      </c>
      <c r="G269" t="s">
        <v>251</v>
      </c>
      <c r="H269" t="s">
        <v>1094</v>
      </c>
      <c r="I269" t="s">
        <v>1093</v>
      </c>
      <c r="J269" s="4">
        <v>3006.07</v>
      </c>
    </row>
    <row r="270" spans="1:10" x14ac:dyDescent="0.25">
      <c r="A270" t="s">
        <v>8</v>
      </c>
      <c r="B270" t="s">
        <v>65</v>
      </c>
      <c r="C270">
        <v>2026</v>
      </c>
      <c r="D270">
        <v>1</v>
      </c>
      <c r="E270" t="s">
        <v>209</v>
      </c>
      <c r="F270" t="s">
        <v>208</v>
      </c>
      <c r="G270" t="s">
        <v>207</v>
      </c>
      <c r="H270" t="s">
        <v>451</v>
      </c>
      <c r="I270" t="s">
        <v>1498</v>
      </c>
      <c r="J270" s="4">
        <v>15000</v>
      </c>
    </row>
    <row r="271" spans="1:10" x14ac:dyDescent="0.25">
      <c r="A271" t="s">
        <v>8</v>
      </c>
      <c r="B271" t="s">
        <v>65</v>
      </c>
      <c r="C271">
        <v>2026</v>
      </c>
      <c r="D271">
        <v>8</v>
      </c>
      <c r="E271" t="s">
        <v>232</v>
      </c>
      <c r="F271" t="s">
        <v>250</v>
      </c>
      <c r="G271" t="s">
        <v>249</v>
      </c>
      <c r="H271" t="s">
        <v>511</v>
      </c>
      <c r="I271" t="s">
        <v>1530</v>
      </c>
      <c r="J271" s="4">
        <v>3300</v>
      </c>
    </row>
    <row r="272" spans="1:10" x14ac:dyDescent="0.25">
      <c r="A272" t="s">
        <v>8</v>
      </c>
      <c r="B272" t="s">
        <v>65</v>
      </c>
      <c r="C272">
        <v>2026</v>
      </c>
      <c r="D272">
        <v>8</v>
      </c>
      <c r="E272" t="s">
        <v>178</v>
      </c>
      <c r="F272" t="s">
        <v>177</v>
      </c>
      <c r="G272" t="s">
        <v>176</v>
      </c>
      <c r="H272" t="s">
        <v>451</v>
      </c>
      <c r="I272" t="s">
        <v>1817</v>
      </c>
      <c r="J272" s="4">
        <v>600</v>
      </c>
    </row>
    <row r="273" spans="1:10" x14ac:dyDescent="0.25">
      <c r="A273" t="s">
        <v>8</v>
      </c>
      <c r="B273" t="s">
        <v>65</v>
      </c>
      <c r="C273">
        <v>2026</v>
      </c>
      <c r="D273">
        <v>2</v>
      </c>
      <c r="E273" t="s">
        <v>290</v>
      </c>
      <c r="F273" t="s">
        <v>309</v>
      </c>
      <c r="G273" t="s">
        <v>308</v>
      </c>
      <c r="H273" t="s">
        <v>451</v>
      </c>
      <c r="I273" t="s">
        <v>733</v>
      </c>
      <c r="J273" s="4">
        <v>1700</v>
      </c>
    </row>
    <row r="274" spans="1:10" x14ac:dyDescent="0.25">
      <c r="A274" t="s">
        <v>8</v>
      </c>
      <c r="B274" t="s">
        <v>65</v>
      </c>
      <c r="C274">
        <v>2026</v>
      </c>
      <c r="D274">
        <v>8</v>
      </c>
      <c r="E274" t="s">
        <v>196</v>
      </c>
      <c r="F274" t="s">
        <v>195</v>
      </c>
      <c r="G274" t="s">
        <v>194</v>
      </c>
      <c r="H274" t="s">
        <v>445</v>
      </c>
      <c r="I274" t="s">
        <v>1862</v>
      </c>
      <c r="J274" s="4">
        <v>434.2</v>
      </c>
    </row>
    <row r="275" spans="1:10" x14ac:dyDescent="0.25">
      <c r="A275" t="s">
        <v>8</v>
      </c>
      <c r="B275" t="s">
        <v>65</v>
      </c>
      <c r="C275">
        <v>2026</v>
      </c>
      <c r="D275">
        <v>5</v>
      </c>
      <c r="E275" t="s">
        <v>158</v>
      </c>
      <c r="F275" t="s">
        <v>171</v>
      </c>
      <c r="G275" t="s">
        <v>85</v>
      </c>
      <c r="H275" t="s">
        <v>474</v>
      </c>
      <c r="I275" t="s">
        <v>474</v>
      </c>
      <c r="J275" s="4">
        <v>60000</v>
      </c>
    </row>
    <row r="276" spans="1:10" x14ac:dyDescent="0.25">
      <c r="A276" t="s">
        <v>8</v>
      </c>
      <c r="B276" t="s">
        <v>65</v>
      </c>
      <c r="C276">
        <v>2026</v>
      </c>
      <c r="D276">
        <v>3</v>
      </c>
      <c r="E276" t="s">
        <v>178</v>
      </c>
      <c r="F276" t="s">
        <v>177</v>
      </c>
      <c r="G276" t="s">
        <v>176</v>
      </c>
      <c r="H276" t="s">
        <v>474</v>
      </c>
      <c r="I276" t="s">
        <v>1839</v>
      </c>
      <c r="J276" s="4">
        <v>880</v>
      </c>
    </row>
    <row r="277" spans="1:10" x14ac:dyDescent="0.25">
      <c r="A277" t="s">
        <v>8</v>
      </c>
      <c r="B277" t="s">
        <v>65</v>
      </c>
      <c r="C277">
        <v>2026</v>
      </c>
      <c r="D277">
        <v>8</v>
      </c>
      <c r="E277" t="s">
        <v>232</v>
      </c>
      <c r="F277" t="s">
        <v>261</v>
      </c>
      <c r="G277" t="s">
        <v>260</v>
      </c>
      <c r="H277" t="s">
        <v>511</v>
      </c>
      <c r="I277" t="s">
        <v>1820</v>
      </c>
      <c r="J277" s="4">
        <v>1053.1</v>
      </c>
    </row>
    <row r="278" spans="1:10" x14ac:dyDescent="0.25">
      <c r="A278" t="s">
        <v>8</v>
      </c>
      <c r="B278" t="s">
        <v>65</v>
      </c>
      <c r="C278">
        <v>2026</v>
      </c>
      <c r="D278">
        <v>2</v>
      </c>
      <c r="E278" t="s">
        <v>316</v>
      </c>
      <c r="F278" t="s">
        <v>315</v>
      </c>
      <c r="G278" t="s">
        <v>314</v>
      </c>
      <c r="H278" t="s">
        <v>451</v>
      </c>
      <c r="I278" t="s">
        <v>1852</v>
      </c>
      <c r="J278" s="4">
        <v>177.05</v>
      </c>
    </row>
    <row r="279" spans="1:10" x14ac:dyDescent="0.25">
      <c r="A279" t="s">
        <v>8</v>
      </c>
      <c r="B279" t="s">
        <v>65</v>
      </c>
      <c r="C279">
        <v>2026</v>
      </c>
      <c r="D279">
        <v>5</v>
      </c>
      <c r="E279" t="s">
        <v>201</v>
      </c>
      <c r="F279" t="s">
        <v>200</v>
      </c>
      <c r="G279" t="s">
        <v>199</v>
      </c>
      <c r="H279" t="s">
        <v>467</v>
      </c>
      <c r="I279" t="s">
        <v>1705</v>
      </c>
      <c r="J279" s="4">
        <v>1000</v>
      </c>
    </row>
    <row r="280" spans="1:10" x14ac:dyDescent="0.25">
      <c r="A280" t="s">
        <v>8</v>
      </c>
      <c r="B280" t="s">
        <v>65</v>
      </c>
      <c r="C280">
        <v>2026</v>
      </c>
      <c r="D280">
        <v>4</v>
      </c>
      <c r="E280" t="s">
        <v>232</v>
      </c>
      <c r="F280" t="s">
        <v>231</v>
      </c>
      <c r="G280" t="s">
        <v>230</v>
      </c>
      <c r="H280" t="s">
        <v>511</v>
      </c>
      <c r="I280" t="s">
        <v>949</v>
      </c>
      <c r="J280" s="4">
        <v>4766.3</v>
      </c>
    </row>
    <row r="281" spans="1:10" x14ac:dyDescent="0.25">
      <c r="A281" t="s">
        <v>8</v>
      </c>
      <c r="B281" t="s">
        <v>65</v>
      </c>
      <c r="C281">
        <v>2026</v>
      </c>
      <c r="D281">
        <v>2</v>
      </c>
      <c r="E281" t="s">
        <v>290</v>
      </c>
      <c r="F281" t="s">
        <v>297</v>
      </c>
      <c r="G281" t="s">
        <v>296</v>
      </c>
      <c r="H281" t="s">
        <v>451</v>
      </c>
      <c r="I281" t="s">
        <v>739</v>
      </c>
      <c r="J281" s="4">
        <v>165</v>
      </c>
    </row>
    <row r="282" spans="1:10" x14ac:dyDescent="0.25">
      <c r="A282" t="s">
        <v>8</v>
      </c>
      <c r="B282" t="s">
        <v>65</v>
      </c>
      <c r="C282">
        <v>2026</v>
      </c>
      <c r="D282">
        <v>3</v>
      </c>
      <c r="E282" t="s">
        <v>196</v>
      </c>
      <c r="F282" t="s">
        <v>195</v>
      </c>
      <c r="G282" t="s">
        <v>194</v>
      </c>
      <c r="H282" t="s">
        <v>525</v>
      </c>
      <c r="I282" t="s">
        <v>1833</v>
      </c>
      <c r="J282" s="4">
        <v>4000</v>
      </c>
    </row>
    <row r="283" spans="1:10" x14ac:dyDescent="0.25">
      <c r="A283" t="s">
        <v>8</v>
      </c>
      <c r="B283" t="s">
        <v>65</v>
      </c>
      <c r="C283">
        <v>2026</v>
      </c>
      <c r="D283">
        <v>3</v>
      </c>
      <c r="E283" t="s">
        <v>178</v>
      </c>
      <c r="F283" t="s">
        <v>302</v>
      </c>
      <c r="G283" t="s">
        <v>301</v>
      </c>
      <c r="H283" t="s">
        <v>451</v>
      </c>
      <c r="I283" t="s">
        <v>1835</v>
      </c>
      <c r="J283" s="4">
        <v>1436.4</v>
      </c>
    </row>
    <row r="284" spans="1:10" x14ac:dyDescent="0.25">
      <c r="A284" t="s">
        <v>8</v>
      </c>
      <c r="B284" t="s">
        <v>65</v>
      </c>
      <c r="C284">
        <v>2026</v>
      </c>
      <c r="D284">
        <v>1</v>
      </c>
      <c r="E284" t="s">
        <v>248</v>
      </c>
      <c r="F284" t="s">
        <v>387</v>
      </c>
      <c r="G284" t="s">
        <v>386</v>
      </c>
      <c r="H284" t="s">
        <v>451</v>
      </c>
      <c r="I284" t="s">
        <v>1850</v>
      </c>
      <c r="J284" s="4">
        <v>46</v>
      </c>
    </row>
    <row r="285" spans="1:10" x14ac:dyDescent="0.25">
      <c r="A285" t="s">
        <v>8</v>
      </c>
      <c r="B285" t="s">
        <v>65</v>
      </c>
      <c r="C285">
        <v>2026</v>
      </c>
      <c r="D285">
        <v>1</v>
      </c>
      <c r="E285" t="s">
        <v>232</v>
      </c>
      <c r="F285" t="s">
        <v>231</v>
      </c>
      <c r="G285" t="s">
        <v>230</v>
      </c>
      <c r="H285" t="s">
        <v>511</v>
      </c>
      <c r="I285" t="s">
        <v>949</v>
      </c>
      <c r="J285" s="4">
        <v>4766.3</v>
      </c>
    </row>
    <row r="286" spans="1:10" x14ac:dyDescent="0.25">
      <c r="A286" t="s">
        <v>8</v>
      </c>
      <c r="B286" t="s">
        <v>65</v>
      </c>
      <c r="C286">
        <v>2026</v>
      </c>
      <c r="D286">
        <v>7</v>
      </c>
      <c r="E286" t="s">
        <v>158</v>
      </c>
      <c r="F286" t="s">
        <v>171</v>
      </c>
      <c r="G286" t="s">
        <v>85</v>
      </c>
      <c r="H286" t="s">
        <v>471</v>
      </c>
      <c r="I286" t="s">
        <v>471</v>
      </c>
      <c r="J286" s="4">
        <v>60000</v>
      </c>
    </row>
    <row r="287" spans="1:10" x14ac:dyDescent="0.25">
      <c r="A287" t="s">
        <v>8</v>
      </c>
      <c r="B287" t="s">
        <v>65</v>
      </c>
      <c r="C287">
        <v>2026</v>
      </c>
      <c r="D287">
        <v>7</v>
      </c>
      <c r="E287" t="s">
        <v>232</v>
      </c>
      <c r="F287" t="s">
        <v>231</v>
      </c>
      <c r="G287" t="s">
        <v>230</v>
      </c>
      <c r="H287" t="s">
        <v>511</v>
      </c>
      <c r="I287" t="s">
        <v>949</v>
      </c>
      <c r="J287" s="4">
        <v>4766.3</v>
      </c>
    </row>
    <row r="288" spans="1:10" x14ac:dyDescent="0.25">
      <c r="A288" t="s">
        <v>8</v>
      </c>
      <c r="B288" t="s">
        <v>65</v>
      </c>
      <c r="C288">
        <v>2026</v>
      </c>
      <c r="D288">
        <v>6</v>
      </c>
      <c r="E288" t="s">
        <v>178</v>
      </c>
      <c r="F288" t="s">
        <v>177</v>
      </c>
      <c r="G288" t="s">
        <v>176</v>
      </c>
      <c r="H288" t="s">
        <v>451</v>
      </c>
      <c r="I288" t="s">
        <v>1829</v>
      </c>
      <c r="J288" s="4">
        <v>2550</v>
      </c>
    </row>
    <row r="289" spans="1:10" x14ac:dyDescent="0.25">
      <c r="A289" t="s">
        <v>8</v>
      </c>
      <c r="B289" t="s">
        <v>65</v>
      </c>
      <c r="C289">
        <v>2026</v>
      </c>
      <c r="D289">
        <v>7</v>
      </c>
      <c r="E289" t="s">
        <v>158</v>
      </c>
      <c r="F289" t="s">
        <v>157</v>
      </c>
      <c r="G289" t="s">
        <v>156</v>
      </c>
      <c r="H289" t="s">
        <v>451</v>
      </c>
      <c r="I289" t="s">
        <v>956</v>
      </c>
      <c r="J289" s="4">
        <v>330000</v>
      </c>
    </row>
    <row r="290" spans="1:10" x14ac:dyDescent="0.25">
      <c r="A290" t="s">
        <v>8</v>
      </c>
      <c r="B290" t="s">
        <v>65</v>
      </c>
      <c r="C290">
        <v>2026</v>
      </c>
      <c r="D290">
        <v>7</v>
      </c>
      <c r="E290" t="s">
        <v>209</v>
      </c>
      <c r="F290" t="s">
        <v>285</v>
      </c>
      <c r="G290" t="s">
        <v>284</v>
      </c>
      <c r="H290" t="s">
        <v>451</v>
      </c>
      <c r="I290" t="s">
        <v>285</v>
      </c>
      <c r="J290" s="4">
        <v>2225</v>
      </c>
    </row>
    <row r="291" spans="1:10" x14ac:dyDescent="0.25">
      <c r="A291" t="s">
        <v>8</v>
      </c>
      <c r="B291" t="s">
        <v>65</v>
      </c>
      <c r="C291">
        <v>2026</v>
      </c>
      <c r="D291">
        <v>7</v>
      </c>
      <c r="E291" t="s">
        <v>201</v>
      </c>
      <c r="F291" t="s">
        <v>239</v>
      </c>
      <c r="G291" t="s">
        <v>238</v>
      </c>
      <c r="H291" t="s">
        <v>1094</v>
      </c>
      <c r="I291" t="s">
        <v>1838</v>
      </c>
      <c r="J291" s="4">
        <v>1121</v>
      </c>
    </row>
    <row r="292" spans="1:10" x14ac:dyDescent="0.25">
      <c r="A292" t="s">
        <v>8</v>
      </c>
      <c r="B292" t="s">
        <v>65</v>
      </c>
      <c r="C292">
        <v>2026</v>
      </c>
      <c r="D292">
        <v>1</v>
      </c>
      <c r="E292" t="s">
        <v>178</v>
      </c>
      <c r="F292" t="s">
        <v>177</v>
      </c>
      <c r="G292" t="s">
        <v>176</v>
      </c>
      <c r="H292" t="s">
        <v>451</v>
      </c>
      <c r="I292" t="s">
        <v>1817</v>
      </c>
      <c r="J292" s="4">
        <v>600</v>
      </c>
    </row>
    <row r="293" spans="1:10" x14ac:dyDescent="0.25">
      <c r="A293" t="s">
        <v>8</v>
      </c>
      <c r="B293" t="s">
        <v>65</v>
      </c>
      <c r="C293">
        <v>2026</v>
      </c>
      <c r="D293">
        <v>6</v>
      </c>
      <c r="E293" t="s">
        <v>201</v>
      </c>
      <c r="F293" t="s">
        <v>304</v>
      </c>
      <c r="G293" t="s">
        <v>303</v>
      </c>
      <c r="H293" t="s">
        <v>1094</v>
      </c>
      <c r="I293" t="s">
        <v>1858</v>
      </c>
      <c r="J293" s="4">
        <v>350</v>
      </c>
    </row>
    <row r="294" spans="1:10" x14ac:dyDescent="0.25">
      <c r="A294" t="s">
        <v>8</v>
      </c>
      <c r="B294" t="s">
        <v>65</v>
      </c>
      <c r="C294">
        <v>2026</v>
      </c>
      <c r="D294">
        <v>3</v>
      </c>
      <c r="E294" t="s">
        <v>290</v>
      </c>
      <c r="F294" t="s">
        <v>367</v>
      </c>
      <c r="G294" t="s">
        <v>366</v>
      </c>
      <c r="H294" t="s">
        <v>451</v>
      </c>
      <c r="I294" t="s">
        <v>739</v>
      </c>
      <c r="J294" s="4">
        <v>55</v>
      </c>
    </row>
    <row r="295" spans="1:10" x14ac:dyDescent="0.25">
      <c r="A295" t="s">
        <v>8</v>
      </c>
      <c r="B295" t="s">
        <v>65</v>
      </c>
      <c r="C295">
        <v>2026</v>
      </c>
      <c r="D295">
        <v>4</v>
      </c>
      <c r="E295" t="s">
        <v>201</v>
      </c>
      <c r="F295" t="s">
        <v>392</v>
      </c>
      <c r="G295" t="s">
        <v>99</v>
      </c>
      <c r="H295" t="s">
        <v>1094</v>
      </c>
      <c r="I295" t="s">
        <v>1836</v>
      </c>
      <c r="J295" s="4">
        <v>44.9</v>
      </c>
    </row>
    <row r="296" spans="1:10" x14ac:dyDescent="0.25">
      <c r="A296" t="s">
        <v>8</v>
      </c>
      <c r="B296" t="s">
        <v>65</v>
      </c>
      <c r="C296">
        <v>2026</v>
      </c>
      <c r="D296">
        <v>6</v>
      </c>
      <c r="E296" t="s">
        <v>248</v>
      </c>
      <c r="F296" t="s">
        <v>387</v>
      </c>
      <c r="G296" t="s">
        <v>386</v>
      </c>
      <c r="H296" t="s">
        <v>451</v>
      </c>
      <c r="I296" t="s">
        <v>1850</v>
      </c>
      <c r="J296" s="4">
        <v>46</v>
      </c>
    </row>
    <row r="297" spans="1:10" x14ac:dyDescent="0.25">
      <c r="A297" t="s">
        <v>8</v>
      </c>
      <c r="B297" t="s">
        <v>65</v>
      </c>
      <c r="C297">
        <v>2026</v>
      </c>
      <c r="D297">
        <v>4</v>
      </c>
      <c r="E297" t="s">
        <v>268</v>
      </c>
      <c r="F297" t="s">
        <v>287</v>
      </c>
      <c r="G297" t="s">
        <v>286</v>
      </c>
      <c r="H297" t="s">
        <v>451</v>
      </c>
      <c r="I297" t="s">
        <v>1237</v>
      </c>
      <c r="J297" s="4">
        <v>900</v>
      </c>
    </row>
    <row r="298" spans="1:10" x14ac:dyDescent="0.25">
      <c r="A298" t="s">
        <v>8</v>
      </c>
      <c r="B298" t="s">
        <v>65</v>
      </c>
      <c r="C298">
        <v>2026</v>
      </c>
      <c r="D298">
        <v>8</v>
      </c>
      <c r="E298" t="s">
        <v>201</v>
      </c>
      <c r="F298" t="s">
        <v>200</v>
      </c>
      <c r="G298" t="s">
        <v>199</v>
      </c>
      <c r="H298" t="s">
        <v>467</v>
      </c>
      <c r="I298" t="s">
        <v>1705</v>
      </c>
      <c r="J298" s="4">
        <v>1000</v>
      </c>
    </row>
    <row r="299" spans="1:10" x14ac:dyDescent="0.25">
      <c r="A299" t="s">
        <v>8</v>
      </c>
      <c r="B299" t="s">
        <v>65</v>
      </c>
      <c r="C299">
        <v>2026</v>
      </c>
      <c r="D299">
        <v>7</v>
      </c>
      <c r="E299" t="s">
        <v>232</v>
      </c>
      <c r="F299" t="s">
        <v>261</v>
      </c>
      <c r="G299" t="s">
        <v>260</v>
      </c>
      <c r="H299" t="s">
        <v>451</v>
      </c>
      <c r="I299" t="s">
        <v>1861</v>
      </c>
      <c r="J299" s="4">
        <v>182.98</v>
      </c>
    </row>
    <row r="300" spans="1:10" x14ac:dyDescent="0.25">
      <c r="A300" t="s">
        <v>8</v>
      </c>
      <c r="B300" t="s">
        <v>65</v>
      </c>
      <c r="C300">
        <v>2026</v>
      </c>
      <c r="D300">
        <v>1</v>
      </c>
      <c r="E300" t="s">
        <v>201</v>
      </c>
      <c r="F300" t="s">
        <v>200</v>
      </c>
      <c r="G300" t="s">
        <v>199</v>
      </c>
      <c r="H300" t="s">
        <v>445</v>
      </c>
      <c r="I300" t="s">
        <v>1711</v>
      </c>
      <c r="J300" s="4">
        <v>1169.82</v>
      </c>
    </row>
    <row r="301" spans="1:10" x14ac:dyDescent="0.25">
      <c r="A301" t="s">
        <v>8</v>
      </c>
      <c r="B301" t="s">
        <v>65</v>
      </c>
      <c r="C301">
        <v>2026</v>
      </c>
      <c r="D301">
        <v>3</v>
      </c>
      <c r="E301" t="s">
        <v>209</v>
      </c>
      <c r="F301" t="s">
        <v>208</v>
      </c>
      <c r="G301" t="s">
        <v>207</v>
      </c>
      <c r="H301" t="s">
        <v>451</v>
      </c>
      <c r="I301" t="s">
        <v>1498</v>
      </c>
      <c r="J301" s="4">
        <v>15000</v>
      </c>
    </row>
    <row r="302" spans="1:10" x14ac:dyDescent="0.25">
      <c r="A302" t="s">
        <v>8</v>
      </c>
      <c r="B302" t="s">
        <v>65</v>
      </c>
      <c r="C302">
        <v>2026</v>
      </c>
      <c r="D302">
        <v>4</v>
      </c>
      <c r="E302" t="s">
        <v>178</v>
      </c>
      <c r="F302" t="s">
        <v>177</v>
      </c>
      <c r="G302" t="s">
        <v>176</v>
      </c>
      <c r="H302" t="s">
        <v>451</v>
      </c>
      <c r="I302" t="s">
        <v>1829</v>
      </c>
      <c r="J302" s="4">
        <v>2550</v>
      </c>
    </row>
    <row r="303" spans="1:10" x14ac:dyDescent="0.25">
      <c r="A303" t="s">
        <v>8</v>
      </c>
      <c r="B303" t="s">
        <v>65</v>
      </c>
      <c r="C303">
        <v>2026</v>
      </c>
      <c r="D303">
        <v>5</v>
      </c>
      <c r="E303" t="s">
        <v>396</v>
      </c>
      <c r="F303" t="s">
        <v>395</v>
      </c>
      <c r="G303" t="s">
        <v>108</v>
      </c>
      <c r="H303" t="s">
        <v>451</v>
      </c>
      <c r="I303" t="s">
        <v>522</v>
      </c>
      <c r="J303" s="4">
        <v>10</v>
      </c>
    </row>
    <row r="304" spans="1:10" x14ac:dyDescent="0.25">
      <c r="A304" t="s">
        <v>8</v>
      </c>
      <c r="B304" t="s">
        <v>65</v>
      </c>
      <c r="C304">
        <v>2026</v>
      </c>
      <c r="D304">
        <v>3</v>
      </c>
      <c r="E304" t="s">
        <v>178</v>
      </c>
      <c r="F304" t="s">
        <v>177</v>
      </c>
      <c r="G304" t="s">
        <v>176</v>
      </c>
      <c r="H304" t="s">
        <v>451</v>
      </c>
      <c r="I304" t="s">
        <v>1817</v>
      </c>
      <c r="J304" s="4">
        <v>600</v>
      </c>
    </row>
    <row r="305" spans="1:10" x14ac:dyDescent="0.25">
      <c r="A305" t="s">
        <v>8</v>
      </c>
      <c r="B305" t="s">
        <v>65</v>
      </c>
      <c r="C305">
        <v>2026</v>
      </c>
      <c r="D305">
        <v>6</v>
      </c>
      <c r="E305" t="s">
        <v>201</v>
      </c>
      <c r="F305" t="s">
        <v>200</v>
      </c>
      <c r="G305" t="s">
        <v>199</v>
      </c>
      <c r="H305" t="s">
        <v>1094</v>
      </c>
      <c r="I305" t="s">
        <v>1845</v>
      </c>
      <c r="J305" s="4">
        <v>343.25</v>
      </c>
    </row>
    <row r="306" spans="1:10" x14ac:dyDescent="0.25">
      <c r="A306" t="s">
        <v>8</v>
      </c>
      <c r="B306" t="s">
        <v>65</v>
      </c>
      <c r="C306">
        <v>2026</v>
      </c>
      <c r="D306">
        <v>6</v>
      </c>
      <c r="E306" t="s">
        <v>396</v>
      </c>
      <c r="F306" t="s">
        <v>395</v>
      </c>
      <c r="G306" t="s">
        <v>108</v>
      </c>
      <c r="H306" t="s">
        <v>451</v>
      </c>
      <c r="I306" t="s">
        <v>522</v>
      </c>
      <c r="J306" s="4">
        <v>10</v>
      </c>
    </row>
    <row r="307" spans="1:10" x14ac:dyDescent="0.25">
      <c r="A307" t="s">
        <v>8</v>
      </c>
      <c r="B307" t="s">
        <v>65</v>
      </c>
      <c r="C307">
        <v>2026</v>
      </c>
      <c r="D307">
        <v>7</v>
      </c>
      <c r="E307" t="s">
        <v>268</v>
      </c>
      <c r="F307" t="s">
        <v>325</v>
      </c>
      <c r="G307" t="s">
        <v>99</v>
      </c>
      <c r="H307" t="s">
        <v>451</v>
      </c>
      <c r="I307" t="s">
        <v>451</v>
      </c>
      <c r="J307" s="4">
        <v>885</v>
      </c>
    </row>
    <row r="308" spans="1:10" x14ac:dyDescent="0.25">
      <c r="A308" t="s">
        <v>8</v>
      </c>
      <c r="B308" t="s">
        <v>65</v>
      </c>
      <c r="C308">
        <v>2026</v>
      </c>
      <c r="D308">
        <v>2</v>
      </c>
      <c r="E308" t="s">
        <v>201</v>
      </c>
      <c r="F308" t="s">
        <v>304</v>
      </c>
      <c r="G308" t="s">
        <v>303</v>
      </c>
      <c r="H308" t="s">
        <v>474</v>
      </c>
      <c r="I308" t="s">
        <v>1860</v>
      </c>
      <c r="J308" s="4">
        <v>130</v>
      </c>
    </row>
    <row r="309" spans="1:10" x14ac:dyDescent="0.25">
      <c r="A309" t="s">
        <v>8</v>
      </c>
      <c r="B309" t="s">
        <v>65</v>
      </c>
      <c r="C309">
        <v>2026</v>
      </c>
      <c r="D309">
        <v>4</v>
      </c>
      <c r="E309" t="s">
        <v>182</v>
      </c>
      <c r="F309" t="s">
        <v>252</v>
      </c>
      <c r="G309" t="s">
        <v>251</v>
      </c>
      <c r="H309" t="s">
        <v>1094</v>
      </c>
      <c r="I309" t="s">
        <v>1093</v>
      </c>
      <c r="J309" s="4">
        <v>3006.07</v>
      </c>
    </row>
    <row r="310" spans="1:10" x14ac:dyDescent="0.25">
      <c r="A310" t="s">
        <v>8</v>
      </c>
      <c r="B310" t="s">
        <v>65</v>
      </c>
      <c r="C310">
        <v>2026</v>
      </c>
      <c r="D310">
        <v>1</v>
      </c>
      <c r="E310" t="s">
        <v>196</v>
      </c>
      <c r="F310" t="s">
        <v>195</v>
      </c>
      <c r="G310" t="s">
        <v>194</v>
      </c>
      <c r="H310" t="s">
        <v>511</v>
      </c>
      <c r="I310" t="s">
        <v>1826</v>
      </c>
      <c r="J310" s="4">
        <v>100</v>
      </c>
    </row>
    <row r="311" spans="1:10" x14ac:dyDescent="0.25">
      <c r="A311" t="s">
        <v>8</v>
      </c>
      <c r="B311" t="s">
        <v>65</v>
      </c>
      <c r="C311">
        <v>2026</v>
      </c>
      <c r="D311">
        <v>2</v>
      </c>
      <c r="E311" t="s">
        <v>158</v>
      </c>
      <c r="F311" t="s">
        <v>171</v>
      </c>
      <c r="G311" t="s">
        <v>85</v>
      </c>
      <c r="H311" t="s">
        <v>474</v>
      </c>
      <c r="I311" t="s">
        <v>474</v>
      </c>
      <c r="J311" s="4">
        <v>60000</v>
      </c>
    </row>
    <row r="312" spans="1:10" x14ac:dyDescent="0.25">
      <c r="A312" t="s">
        <v>8</v>
      </c>
      <c r="B312" t="s">
        <v>65</v>
      </c>
      <c r="C312">
        <v>2026</v>
      </c>
      <c r="D312">
        <v>4</v>
      </c>
      <c r="E312" t="s">
        <v>201</v>
      </c>
      <c r="F312" t="s">
        <v>304</v>
      </c>
      <c r="G312" t="s">
        <v>303</v>
      </c>
      <c r="H312" t="s">
        <v>1094</v>
      </c>
      <c r="I312" t="s">
        <v>1853</v>
      </c>
      <c r="J312" s="4">
        <v>200</v>
      </c>
    </row>
    <row r="313" spans="1:10" x14ac:dyDescent="0.25">
      <c r="A313" t="s">
        <v>8</v>
      </c>
      <c r="B313" t="s">
        <v>65</v>
      </c>
      <c r="C313">
        <v>2026</v>
      </c>
      <c r="D313">
        <v>8</v>
      </c>
      <c r="E313" t="s">
        <v>196</v>
      </c>
      <c r="F313" t="s">
        <v>195</v>
      </c>
      <c r="G313" t="s">
        <v>194</v>
      </c>
      <c r="H313" t="s">
        <v>511</v>
      </c>
      <c r="I313" t="s">
        <v>1826</v>
      </c>
      <c r="J313" s="4">
        <v>100</v>
      </c>
    </row>
    <row r="314" spans="1:10" x14ac:dyDescent="0.25">
      <c r="A314" t="s">
        <v>8</v>
      </c>
      <c r="B314" t="s">
        <v>65</v>
      </c>
      <c r="C314">
        <v>2026</v>
      </c>
      <c r="D314">
        <v>4</v>
      </c>
      <c r="E314" t="s">
        <v>290</v>
      </c>
      <c r="F314" t="s">
        <v>367</v>
      </c>
      <c r="G314" t="s">
        <v>366</v>
      </c>
      <c r="H314" t="s">
        <v>451</v>
      </c>
      <c r="I314" t="s">
        <v>739</v>
      </c>
      <c r="J314" s="4">
        <v>60</v>
      </c>
    </row>
    <row r="315" spans="1:10" x14ac:dyDescent="0.25">
      <c r="A315" t="s">
        <v>8</v>
      </c>
      <c r="B315" t="s">
        <v>65</v>
      </c>
      <c r="C315">
        <v>2026</v>
      </c>
      <c r="D315">
        <v>2</v>
      </c>
      <c r="E315" t="s">
        <v>178</v>
      </c>
      <c r="F315" t="s">
        <v>177</v>
      </c>
      <c r="G315" t="s">
        <v>176</v>
      </c>
      <c r="H315" t="s">
        <v>474</v>
      </c>
      <c r="I315" t="s">
        <v>1828</v>
      </c>
      <c r="J315" s="4">
        <v>440.01</v>
      </c>
    </row>
    <row r="316" spans="1:10" x14ac:dyDescent="0.25">
      <c r="A316" t="s">
        <v>8</v>
      </c>
      <c r="B316" t="s">
        <v>65</v>
      </c>
      <c r="C316">
        <v>2026</v>
      </c>
      <c r="D316">
        <v>6</v>
      </c>
      <c r="E316" t="s">
        <v>158</v>
      </c>
      <c r="F316" t="s">
        <v>205</v>
      </c>
      <c r="G316" t="s">
        <v>99</v>
      </c>
      <c r="H316" t="s">
        <v>451</v>
      </c>
      <c r="I316" t="s">
        <v>99</v>
      </c>
      <c r="J316" s="4">
        <v>20000</v>
      </c>
    </row>
    <row r="317" spans="1:10" x14ac:dyDescent="0.25">
      <c r="A317" t="s">
        <v>8</v>
      </c>
      <c r="B317" t="s">
        <v>65</v>
      </c>
      <c r="C317">
        <v>2026</v>
      </c>
      <c r="D317">
        <v>6</v>
      </c>
      <c r="E317" t="s">
        <v>190</v>
      </c>
      <c r="F317" t="s">
        <v>189</v>
      </c>
      <c r="G317" t="s">
        <v>188</v>
      </c>
      <c r="H317" t="s">
        <v>451</v>
      </c>
      <c r="I317" t="s">
        <v>1831</v>
      </c>
      <c r="J317" s="4">
        <v>27000</v>
      </c>
    </row>
    <row r="318" spans="1:10" x14ac:dyDescent="0.25">
      <c r="A318" t="s">
        <v>8</v>
      </c>
      <c r="B318" t="s">
        <v>65</v>
      </c>
      <c r="C318">
        <v>2026</v>
      </c>
      <c r="D318">
        <v>7</v>
      </c>
      <c r="E318" t="s">
        <v>178</v>
      </c>
      <c r="F318" t="s">
        <v>177</v>
      </c>
      <c r="G318" t="s">
        <v>176</v>
      </c>
      <c r="H318" t="s">
        <v>451</v>
      </c>
      <c r="I318" t="s">
        <v>1817</v>
      </c>
      <c r="J318" s="4">
        <v>600</v>
      </c>
    </row>
    <row r="319" spans="1:10" x14ac:dyDescent="0.25">
      <c r="A319" t="s">
        <v>8</v>
      </c>
      <c r="B319" t="s">
        <v>65</v>
      </c>
      <c r="C319">
        <v>2026</v>
      </c>
      <c r="D319">
        <v>8</v>
      </c>
      <c r="E319" t="s">
        <v>201</v>
      </c>
      <c r="F319" t="s">
        <v>200</v>
      </c>
      <c r="G319" t="s">
        <v>199</v>
      </c>
      <c r="H319" t="s">
        <v>445</v>
      </c>
      <c r="I319" t="s">
        <v>1711</v>
      </c>
      <c r="J319" s="4">
        <v>1169.82</v>
      </c>
    </row>
    <row r="320" spans="1:10" x14ac:dyDescent="0.25">
      <c r="A320" t="s">
        <v>8</v>
      </c>
      <c r="B320" t="s">
        <v>65</v>
      </c>
      <c r="C320">
        <v>2026</v>
      </c>
      <c r="D320">
        <v>1</v>
      </c>
      <c r="E320" t="s">
        <v>290</v>
      </c>
      <c r="F320" t="s">
        <v>297</v>
      </c>
      <c r="G320" t="s">
        <v>296</v>
      </c>
      <c r="H320" t="s">
        <v>451</v>
      </c>
      <c r="I320" t="s">
        <v>739</v>
      </c>
      <c r="J320" s="4">
        <v>165</v>
      </c>
    </row>
    <row r="321" spans="1:10" x14ac:dyDescent="0.25">
      <c r="A321" t="s">
        <v>8</v>
      </c>
      <c r="B321" t="s">
        <v>65</v>
      </c>
      <c r="C321">
        <v>2026</v>
      </c>
      <c r="D321">
        <v>7</v>
      </c>
      <c r="E321" t="s">
        <v>196</v>
      </c>
      <c r="F321" t="s">
        <v>195</v>
      </c>
      <c r="G321" t="s">
        <v>194</v>
      </c>
      <c r="H321" t="s">
        <v>511</v>
      </c>
      <c r="I321" t="s">
        <v>1859</v>
      </c>
      <c r="J321" s="4">
        <v>3000</v>
      </c>
    </row>
    <row r="322" spans="1:10" x14ac:dyDescent="0.25">
      <c r="A322" t="s">
        <v>8</v>
      </c>
      <c r="B322" t="s">
        <v>65</v>
      </c>
      <c r="C322">
        <v>2026</v>
      </c>
      <c r="D322">
        <v>7</v>
      </c>
      <c r="E322" t="s">
        <v>290</v>
      </c>
      <c r="F322" t="s">
        <v>365</v>
      </c>
      <c r="G322" t="s">
        <v>364</v>
      </c>
      <c r="H322" t="s">
        <v>451</v>
      </c>
      <c r="I322" t="s">
        <v>748</v>
      </c>
      <c r="J322" s="4">
        <v>217.74</v>
      </c>
    </row>
    <row r="323" spans="1:10" x14ac:dyDescent="0.25">
      <c r="A323" t="s">
        <v>8</v>
      </c>
      <c r="B323" t="s">
        <v>65</v>
      </c>
      <c r="C323">
        <v>2026</v>
      </c>
      <c r="D323">
        <v>2</v>
      </c>
      <c r="E323" t="s">
        <v>201</v>
      </c>
      <c r="F323" t="s">
        <v>239</v>
      </c>
      <c r="G323" t="s">
        <v>238</v>
      </c>
      <c r="H323" t="s">
        <v>1094</v>
      </c>
      <c r="I323" t="s">
        <v>1838</v>
      </c>
      <c r="J323" s="4">
        <v>1121</v>
      </c>
    </row>
    <row r="324" spans="1:10" x14ac:dyDescent="0.25">
      <c r="A324" t="s">
        <v>8</v>
      </c>
      <c r="B324" t="s">
        <v>65</v>
      </c>
      <c r="C324">
        <v>2026</v>
      </c>
      <c r="D324">
        <v>8</v>
      </c>
      <c r="E324" t="s">
        <v>201</v>
      </c>
      <c r="F324" t="s">
        <v>200</v>
      </c>
      <c r="G324" t="s">
        <v>199</v>
      </c>
      <c r="H324" t="s">
        <v>1094</v>
      </c>
      <c r="I324" t="s">
        <v>1700</v>
      </c>
      <c r="J324" s="4">
        <v>592.32</v>
      </c>
    </row>
    <row r="325" spans="1:10" x14ac:dyDescent="0.25">
      <c r="A325" t="s">
        <v>8</v>
      </c>
      <c r="B325" t="s">
        <v>65</v>
      </c>
      <c r="C325">
        <v>2026</v>
      </c>
      <c r="D325">
        <v>5</v>
      </c>
      <c r="E325" t="s">
        <v>290</v>
      </c>
      <c r="F325" t="s">
        <v>373</v>
      </c>
      <c r="G325" t="s">
        <v>372</v>
      </c>
      <c r="H325" t="s">
        <v>451</v>
      </c>
      <c r="I325" t="s">
        <v>736</v>
      </c>
      <c r="J325" s="4">
        <v>170.91</v>
      </c>
    </row>
    <row r="326" spans="1:10" x14ac:dyDescent="0.25">
      <c r="A326" t="s">
        <v>8</v>
      </c>
      <c r="B326" t="s">
        <v>65</v>
      </c>
      <c r="C326">
        <v>2026</v>
      </c>
      <c r="D326">
        <v>8</v>
      </c>
      <c r="E326" t="s">
        <v>196</v>
      </c>
      <c r="F326" t="s">
        <v>195</v>
      </c>
      <c r="G326" t="s">
        <v>194</v>
      </c>
      <c r="H326" t="s">
        <v>511</v>
      </c>
      <c r="I326" t="s">
        <v>1859</v>
      </c>
      <c r="J326" s="4">
        <v>3000</v>
      </c>
    </row>
    <row r="327" spans="1:10" x14ac:dyDescent="0.25">
      <c r="A327" t="s">
        <v>8</v>
      </c>
      <c r="B327" t="s">
        <v>65</v>
      </c>
      <c r="C327">
        <v>2026</v>
      </c>
      <c r="D327">
        <v>2</v>
      </c>
      <c r="E327" t="s">
        <v>268</v>
      </c>
      <c r="F327" t="s">
        <v>363</v>
      </c>
      <c r="G327" t="s">
        <v>362</v>
      </c>
      <c r="H327" t="s">
        <v>451</v>
      </c>
      <c r="I327" t="s">
        <v>1840</v>
      </c>
      <c r="J327" s="4">
        <v>234.64</v>
      </c>
    </row>
    <row r="328" spans="1:10" x14ac:dyDescent="0.25">
      <c r="A328" t="s">
        <v>8</v>
      </c>
      <c r="B328" t="s">
        <v>65</v>
      </c>
      <c r="C328">
        <v>2026</v>
      </c>
      <c r="D328">
        <v>6</v>
      </c>
      <c r="E328" t="s">
        <v>201</v>
      </c>
      <c r="F328" t="s">
        <v>304</v>
      </c>
      <c r="G328" t="s">
        <v>303</v>
      </c>
      <c r="H328" t="s">
        <v>1094</v>
      </c>
      <c r="I328" t="s">
        <v>1853</v>
      </c>
      <c r="J328" s="4">
        <v>200</v>
      </c>
    </row>
    <row r="329" spans="1:10" x14ac:dyDescent="0.25">
      <c r="A329" t="s">
        <v>8</v>
      </c>
      <c r="B329" t="s">
        <v>65</v>
      </c>
      <c r="C329">
        <v>2026</v>
      </c>
      <c r="D329">
        <v>5</v>
      </c>
      <c r="E329" t="s">
        <v>290</v>
      </c>
      <c r="F329" t="s">
        <v>367</v>
      </c>
      <c r="G329" t="s">
        <v>366</v>
      </c>
      <c r="H329" t="s">
        <v>451</v>
      </c>
      <c r="I329" t="s">
        <v>739</v>
      </c>
      <c r="J329" s="4">
        <v>85.84</v>
      </c>
    </row>
    <row r="330" spans="1:10" x14ac:dyDescent="0.25">
      <c r="A330" t="s">
        <v>8</v>
      </c>
      <c r="B330" t="s">
        <v>65</v>
      </c>
      <c r="C330">
        <v>2026</v>
      </c>
      <c r="D330">
        <v>6</v>
      </c>
      <c r="E330" t="s">
        <v>196</v>
      </c>
      <c r="F330" t="s">
        <v>195</v>
      </c>
      <c r="G330" t="s">
        <v>194</v>
      </c>
      <c r="H330" t="s">
        <v>445</v>
      </c>
      <c r="I330" t="s">
        <v>1862</v>
      </c>
      <c r="J330" s="4">
        <v>434.2</v>
      </c>
    </row>
    <row r="331" spans="1:10" x14ac:dyDescent="0.25">
      <c r="A331" t="s">
        <v>8</v>
      </c>
      <c r="B331" t="s">
        <v>65</v>
      </c>
      <c r="C331">
        <v>2026</v>
      </c>
      <c r="D331">
        <v>1</v>
      </c>
      <c r="E331" t="s">
        <v>196</v>
      </c>
      <c r="F331" t="s">
        <v>195</v>
      </c>
      <c r="G331" t="s">
        <v>194</v>
      </c>
      <c r="H331" t="s">
        <v>467</v>
      </c>
      <c r="I331" t="s">
        <v>1827</v>
      </c>
      <c r="J331" s="4">
        <v>2000</v>
      </c>
    </row>
    <row r="332" spans="1:10" x14ac:dyDescent="0.25">
      <c r="A332" t="s">
        <v>8</v>
      </c>
      <c r="B332" t="s">
        <v>65</v>
      </c>
      <c r="C332">
        <v>2026</v>
      </c>
      <c r="D332">
        <v>3</v>
      </c>
      <c r="E332" t="s">
        <v>201</v>
      </c>
      <c r="F332" t="s">
        <v>304</v>
      </c>
      <c r="G332" t="s">
        <v>303</v>
      </c>
      <c r="H332" t="s">
        <v>471</v>
      </c>
      <c r="I332" t="s">
        <v>1849</v>
      </c>
      <c r="J332" s="4">
        <v>130</v>
      </c>
    </row>
    <row r="333" spans="1:10" x14ac:dyDescent="0.25">
      <c r="A333" t="s">
        <v>8</v>
      </c>
      <c r="B333" t="s">
        <v>65</v>
      </c>
      <c r="C333">
        <v>2026</v>
      </c>
      <c r="D333">
        <v>2</v>
      </c>
      <c r="E333" t="s">
        <v>196</v>
      </c>
      <c r="F333" t="s">
        <v>195</v>
      </c>
      <c r="G333" t="s">
        <v>194</v>
      </c>
      <c r="H333" t="s">
        <v>525</v>
      </c>
      <c r="I333" t="s">
        <v>1833</v>
      </c>
      <c r="J333" s="4">
        <v>4000</v>
      </c>
    </row>
    <row r="334" spans="1:10" x14ac:dyDescent="0.25">
      <c r="A334" t="s">
        <v>8</v>
      </c>
      <c r="B334" t="s">
        <v>65</v>
      </c>
      <c r="C334">
        <v>2026</v>
      </c>
      <c r="D334">
        <v>3</v>
      </c>
      <c r="E334" t="s">
        <v>196</v>
      </c>
      <c r="F334" t="s">
        <v>195</v>
      </c>
      <c r="G334" t="s">
        <v>194</v>
      </c>
      <c r="H334" t="s">
        <v>445</v>
      </c>
      <c r="I334" t="s">
        <v>1862</v>
      </c>
      <c r="J334" s="4">
        <v>434.2</v>
      </c>
    </row>
    <row r="335" spans="1:10" x14ac:dyDescent="0.25">
      <c r="A335" t="s">
        <v>8</v>
      </c>
      <c r="B335" t="s">
        <v>65</v>
      </c>
      <c r="C335">
        <v>2026</v>
      </c>
      <c r="D335">
        <v>8</v>
      </c>
      <c r="E335" t="s">
        <v>268</v>
      </c>
      <c r="F335" t="s">
        <v>267</v>
      </c>
      <c r="G335" t="s">
        <v>99</v>
      </c>
      <c r="H335" t="s">
        <v>451</v>
      </c>
      <c r="I335" t="s">
        <v>1822</v>
      </c>
      <c r="J335" s="4">
        <v>2014</v>
      </c>
    </row>
    <row r="336" spans="1:10" x14ac:dyDescent="0.25">
      <c r="A336" t="s">
        <v>8</v>
      </c>
      <c r="B336" t="s">
        <v>65</v>
      </c>
      <c r="C336">
        <v>2026</v>
      </c>
      <c r="D336">
        <v>2</v>
      </c>
      <c r="E336" t="s">
        <v>182</v>
      </c>
      <c r="F336" t="s">
        <v>181</v>
      </c>
      <c r="G336" t="s">
        <v>180</v>
      </c>
      <c r="H336" t="s">
        <v>451</v>
      </c>
      <c r="I336" t="s">
        <v>1144</v>
      </c>
      <c r="J336" s="4">
        <v>4000</v>
      </c>
    </row>
    <row r="337" spans="1:10" x14ac:dyDescent="0.25">
      <c r="A337" t="s">
        <v>8</v>
      </c>
      <c r="B337" t="s">
        <v>65</v>
      </c>
      <c r="C337">
        <v>2026</v>
      </c>
      <c r="D337">
        <v>2</v>
      </c>
      <c r="E337" t="s">
        <v>201</v>
      </c>
      <c r="F337" t="s">
        <v>200</v>
      </c>
      <c r="G337" t="s">
        <v>199</v>
      </c>
      <c r="H337" t="s">
        <v>486</v>
      </c>
      <c r="I337" t="s">
        <v>1705</v>
      </c>
      <c r="J337" s="4">
        <v>1000</v>
      </c>
    </row>
    <row r="338" spans="1:10" x14ac:dyDescent="0.25">
      <c r="A338" t="s">
        <v>8</v>
      </c>
      <c r="B338" t="s">
        <v>65</v>
      </c>
      <c r="C338">
        <v>2026</v>
      </c>
      <c r="D338">
        <v>3</v>
      </c>
      <c r="E338" t="s">
        <v>201</v>
      </c>
      <c r="F338" t="s">
        <v>304</v>
      </c>
      <c r="G338" t="s">
        <v>303</v>
      </c>
      <c r="H338" t="s">
        <v>467</v>
      </c>
      <c r="I338" t="s">
        <v>1842</v>
      </c>
      <c r="J338" s="4">
        <v>390</v>
      </c>
    </row>
    <row r="339" spans="1:10" x14ac:dyDescent="0.25">
      <c r="A339" t="s">
        <v>8</v>
      </c>
      <c r="B339" t="s">
        <v>65</v>
      </c>
      <c r="C339">
        <v>2026</v>
      </c>
      <c r="D339">
        <v>4</v>
      </c>
      <c r="E339" t="s">
        <v>196</v>
      </c>
      <c r="F339" t="s">
        <v>195</v>
      </c>
      <c r="G339" t="s">
        <v>194</v>
      </c>
      <c r="H339" t="s">
        <v>445</v>
      </c>
      <c r="I339" t="s">
        <v>1862</v>
      </c>
      <c r="J339" s="4">
        <v>434.2</v>
      </c>
    </row>
    <row r="340" spans="1:10" x14ac:dyDescent="0.25">
      <c r="A340" t="s">
        <v>8</v>
      </c>
      <c r="B340" t="s">
        <v>65</v>
      </c>
      <c r="C340">
        <v>2026</v>
      </c>
      <c r="D340">
        <v>4</v>
      </c>
      <c r="E340" t="s">
        <v>196</v>
      </c>
      <c r="F340" t="s">
        <v>195</v>
      </c>
      <c r="G340" t="s">
        <v>194</v>
      </c>
      <c r="H340" t="s">
        <v>511</v>
      </c>
      <c r="I340" t="s">
        <v>1859</v>
      </c>
      <c r="J340" s="4">
        <v>3000</v>
      </c>
    </row>
    <row r="341" spans="1:10" x14ac:dyDescent="0.25">
      <c r="A341" t="s">
        <v>8</v>
      </c>
      <c r="B341" t="s">
        <v>65</v>
      </c>
      <c r="C341">
        <v>2026</v>
      </c>
      <c r="D341">
        <v>7</v>
      </c>
      <c r="E341" t="s">
        <v>290</v>
      </c>
      <c r="F341" t="s">
        <v>373</v>
      </c>
      <c r="G341" t="s">
        <v>372</v>
      </c>
      <c r="H341" t="s">
        <v>451</v>
      </c>
      <c r="I341" t="s">
        <v>736</v>
      </c>
      <c r="J341" s="4">
        <v>170.91</v>
      </c>
    </row>
    <row r="342" spans="1:10" x14ac:dyDescent="0.25">
      <c r="A342" t="s">
        <v>8</v>
      </c>
      <c r="B342" t="s">
        <v>65</v>
      </c>
      <c r="C342">
        <v>2026</v>
      </c>
      <c r="D342">
        <v>6</v>
      </c>
      <c r="E342" t="s">
        <v>201</v>
      </c>
      <c r="F342" t="s">
        <v>304</v>
      </c>
      <c r="G342" t="s">
        <v>303</v>
      </c>
      <c r="H342" t="s">
        <v>471</v>
      </c>
      <c r="I342" t="s">
        <v>1849</v>
      </c>
      <c r="J342" s="4">
        <v>130</v>
      </c>
    </row>
    <row r="343" spans="1:10" x14ac:dyDescent="0.25">
      <c r="A343" t="s">
        <v>8</v>
      </c>
      <c r="B343" t="s">
        <v>65</v>
      </c>
      <c r="C343">
        <v>2026</v>
      </c>
      <c r="D343">
        <v>3</v>
      </c>
      <c r="E343" t="s">
        <v>201</v>
      </c>
      <c r="F343" t="s">
        <v>392</v>
      </c>
      <c r="G343" t="s">
        <v>99</v>
      </c>
      <c r="H343" t="s">
        <v>1094</v>
      </c>
      <c r="I343" t="s">
        <v>1846</v>
      </c>
      <c r="J343" s="4">
        <v>74.9</v>
      </c>
    </row>
    <row r="344" spans="1:10" x14ac:dyDescent="0.25">
      <c r="A344" t="s">
        <v>8</v>
      </c>
      <c r="B344" t="s">
        <v>65</v>
      </c>
      <c r="C344">
        <v>2026</v>
      </c>
      <c r="D344">
        <v>4</v>
      </c>
      <c r="E344" t="s">
        <v>201</v>
      </c>
      <c r="F344" t="s">
        <v>239</v>
      </c>
      <c r="G344" t="s">
        <v>238</v>
      </c>
      <c r="H344" t="s">
        <v>1094</v>
      </c>
      <c r="I344" t="s">
        <v>1838</v>
      </c>
      <c r="J344" s="4">
        <v>1121</v>
      </c>
    </row>
    <row r="345" spans="1:10" x14ac:dyDescent="0.25">
      <c r="A345" t="s">
        <v>8</v>
      </c>
      <c r="B345" t="s">
        <v>65</v>
      </c>
      <c r="C345">
        <v>2026</v>
      </c>
      <c r="D345">
        <v>1</v>
      </c>
      <c r="E345" t="s">
        <v>396</v>
      </c>
      <c r="F345" t="s">
        <v>395</v>
      </c>
      <c r="G345" t="s">
        <v>108</v>
      </c>
      <c r="H345" t="s">
        <v>451</v>
      </c>
      <c r="I345" t="s">
        <v>522</v>
      </c>
      <c r="J345" s="4">
        <v>10</v>
      </c>
    </row>
    <row r="346" spans="1:10" x14ac:dyDescent="0.25">
      <c r="A346" t="s">
        <v>8</v>
      </c>
      <c r="B346" t="s">
        <v>65</v>
      </c>
      <c r="C346">
        <v>2026</v>
      </c>
      <c r="D346">
        <v>3</v>
      </c>
      <c r="E346" t="s">
        <v>178</v>
      </c>
      <c r="F346" t="s">
        <v>177</v>
      </c>
      <c r="G346" t="s">
        <v>176</v>
      </c>
      <c r="H346" t="s">
        <v>451</v>
      </c>
      <c r="I346" t="s">
        <v>1843</v>
      </c>
      <c r="J346" s="4">
        <v>40000</v>
      </c>
    </row>
    <row r="347" spans="1:10" x14ac:dyDescent="0.25">
      <c r="A347" t="s">
        <v>8</v>
      </c>
      <c r="B347" t="s">
        <v>65</v>
      </c>
      <c r="C347">
        <v>2026</v>
      </c>
      <c r="D347">
        <v>5</v>
      </c>
      <c r="E347" t="s">
        <v>201</v>
      </c>
      <c r="F347" t="s">
        <v>200</v>
      </c>
      <c r="G347" t="s">
        <v>199</v>
      </c>
      <c r="H347" t="s">
        <v>1094</v>
      </c>
      <c r="I347" t="s">
        <v>1851</v>
      </c>
      <c r="J347" s="4">
        <v>4300</v>
      </c>
    </row>
    <row r="348" spans="1:10" x14ac:dyDescent="0.25">
      <c r="A348" t="s">
        <v>8</v>
      </c>
      <c r="B348" t="s">
        <v>65</v>
      </c>
      <c r="C348">
        <v>2026</v>
      </c>
      <c r="D348">
        <v>5</v>
      </c>
      <c r="E348" t="s">
        <v>201</v>
      </c>
      <c r="F348" t="s">
        <v>200</v>
      </c>
      <c r="G348" t="s">
        <v>199</v>
      </c>
      <c r="H348" t="s">
        <v>511</v>
      </c>
      <c r="I348" t="s">
        <v>1705</v>
      </c>
      <c r="J348" s="4">
        <v>1000</v>
      </c>
    </row>
    <row r="349" spans="1:10" x14ac:dyDescent="0.25">
      <c r="A349" t="s">
        <v>8</v>
      </c>
      <c r="B349" t="s">
        <v>65</v>
      </c>
      <c r="C349">
        <v>2026</v>
      </c>
      <c r="D349">
        <v>5</v>
      </c>
      <c r="E349" t="s">
        <v>316</v>
      </c>
      <c r="F349" t="s">
        <v>315</v>
      </c>
      <c r="G349" t="s">
        <v>314</v>
      </c>
      <c r="H349" t="s">
        <v>451</v>
      </c>
      <c r="I349" t="s">
        <v>1852</v>
      </c>
      <c r="J349" s="4">
        <v>177.05</v>
      </c>
    </row>
    <row r="350" spans="1:10" x14ac:dyDescent="0.25">
      <c r="A350" t="s">
        <v>8</v>
      </c>
      <c r="B350" t="s">
        <v>65</v>
      </c>
      <c r="C350">
        <v>2026</v>
      </c>
      <c r="D350">
        <v>3</v>
      </c>
      <c r="E350" t="s">
        <v>158</v>
      </c>
      <c r="F350" t="s">
        <v>171</v>
      </c>
      <c r="G350" t="s">
        <v>85</v>
      </c>
      <c r="H350" t="s">
        <v>474</v>
      </c>
      <c r="I350" t="s">
        <v>474</v>
      </c>
      <c r="J350" s="4">
        <v>60000</v>
      </c>
    </row>
    <row r="351" spans="1:10" x14ac:dyDescent="0.25">
      <c r="A351" t="s">
        <v>8</v>
      </c>
      <c r="B351" t="s">
        <v>65</v>
      </c>
      <c r="C351">
        <v>2026</v>
      </c>
      <c r="D351">
        <v>8</v>
      </c>
      <c r="E351" t="s">
        <v>232</v>
      </c>
      <c r="F351" t="s">
        <v>261</v>
      </c>
      <c r="G351" t="s">
        <v>260</v>
      </c>
      <c r="H351" t="s">
        <v>451</v>
      </c>
      <c r="I351" t="s">
        <v>1861</v>
      </c>
      <c r="J351" s="4">
        <v>182.98</v>
      </c>
    </row>
    <row r="352" spans="1:10" x14ac:dyDescent="0.25">
      <c r="A352" t="s">
        <v>8</v>
      </c>
      <c r="B352" t="s">
        <v>65</v>
      </c>
      <c r="C352">
        <v>2026</v>
      </c>
      <c r="D352">
        <v>4</v>
      </c>
      <c r="E352" t="s">
        <v>196</v>
      </c>
      <c r="F352" t="s">
        <v>213</v>
      </c>
      <c r="G352" t="s">
        <v>212</v>
      </c>
      <c r="H352" t="s">
        <v>467</v>
      </c>
      <c r="I352" t="s">
        <v>1855</v>
      </c>
      <c r="J352" s="4">
        <v>2850</v>
      </c>
    </row>
    <row r="353" spans="1:10" x14ac:dyDescent="0.25">
      <c r="A353" t="s">
        <v>8</v>
      </c>
      <c r="B353" t="s">
        <v>65</v>
      </c>
      <c r="C353">
        <v>2026</v>
      </c>
      <c r="D353">
        <v>7</v>
      </c>
      <c r="E353" t="s">
        <v>201</v>
      </c>
      <c r="F353" t="s">
        <v>200</v>
      </c>
      <c r="G353" t="s">
        <v>199</v>
      </c>
      <c r="H353" t="s">
        <v>1094</v>
      </c>
      <c r="I353" t="s">
        <v>1687</v>
      </c>
      <c r="J353" s="4">
        <v>10000</v>
      </c>
    </row>
    <row r="354" spans="1:10" x14ac:dyDescent="0.25">
      <c r="A354" t="s">
        <v>8</v>
      </c>
      <c r="B354" t="s">
        <v>65</v>
      </c>
      <c r="C354">
        <v>2026</v>
      </c>
      <c r="D354">
        <v>5</v>
      </c>
      <c r="E354" t="s">
        <v>182</v>
      </c>
      <c r="F354" t="s">
        <v>252</v>
      </c>
      <c r="G354" t="s">
        <v>251</v>
      </c>
      <c r="H354" t="s">
        <v>1094</v>
      </c>
      <c r="I354" t="s">
        <v>1093</v>
      </c>
      <c r="J354" s="4">
        <v>3006.07</v>
      </c>
    </row>
    <row r="355" spans="1:10" x14ac:dyDescent="0.25">
      <c r="A355" t="s">
        <v>8</v>
      </c>
      <c r="B355" t="s">
        <v>65</v>
      </c>
      <c r="C355">
        <v>2026</v>
      </c>
      <c r="D355">
        <v>8</v>
      </c>
      <c r="E355" t="s">
        <v>316</v>
      </c>
      <c r="F355" t="s">
        <v>371</v>
      </c>
      <c r="G355" t="s">
        <v>370</v>
      </c>
      <c r="H355" t="s">
        <v>451</v>
      </c>
      <c r="I355" t="s">
        <v>1834</v>
      </c>
      <c r="J355" s="4">
        <v>10</v>
      </c>
    </row>
    <row r="356" spans="1:10" x14ac:dyDescent="0.25">
      <c r="A356" t="s">
        <v>8</v>
      </c>
      <c r="B356" t="s">
        <v>65</v>
      </c>
      <c r="C356">
        <v>2026</v>
      </c>
      <c r="D356">
        <v>7</v>
      </c>
      <c r="E356" t="s">
        <v>201</v>
      </c>
      <c r="F356" t="s">
        <v>304</v>
      </c>
      <c r="G356" t="s">
        <v>303</v>
      </c>
      <c r="H356" t="s">
        <v>471</v>
      </c>
      <c r="I356" t="s">
        <v>1849</v>
      </c>
      <c r="J356" s="4">
        <v>130</v>
      </c>
    </row>
    <row r="357" spans="1:10" x14ac:dyDescent="0.25">
      <c r="A357" t="s">
        <v>8</v>
      </c>
      <c r="B357" t="s">
        <v>65</v>
      </c>
      <c r="C357">
        <v>2026</v>
      </c>
      <c r="D357">
        <v>6</v>
      </c>
      <c r="E357" t="s">
        <v>227</v>
      </c>
      <c r="F357" t="s">
        <v>327</v>
      </c>
      <c r="G357" t="s">
        <v>326</v>
      </c>
      <c r="H357" t="s">
        <v>451</v>
      </c>
      <c r="I357" t="s">
        <v>1555</v>
      </c>
      <c r="J357" s="4">
        <v>704</v>
      </c>
    </row>
    <row r="358" spans="1:10" x14ac:dyDescent="0.25">
      <c r="A358" t="s">
        <v>8</v>
      </c>
      <c r="B358" t="s">
        <v>65</v>
      </c>
      <c r="C358">
        <v>2026</v>
      </c>
      <c r="D358">
        <v>7</v>
      </c>
      <c r="E358" t="s">
        <v>201</v>
      </c>
      <c r="F358" t="s">
        <v>304</v>
      </c>
      <c r="G358" t="s">
        <v>303</v>
      </c>
      <c r="H358" t="s">
        <v>474</v>
      </c>
      <c r="I358" t="s">
        <v>1860</v>
      </c>
      <c r="J358" s="4">
        <v>130</v>
      </c>
    </row>
    <row r="359" spans="1:10" x14ac:dyDescent="0.25">
      <c r="A359" t="s">
        <v>8</v>
      </c>
      <c r="B359" t="s">
        <v>65</v>
      </c>
      <c r="C359">
        <v>2026</v>
      </c>
      <c r="D359">
        <v>3</v>
      </c>
      <c r="E359" t="s">
        <v>201</v>
      </c>
      <c r="F359" t="s">
        <v>200</v>
      </c>
      <c r="G359" t="s">
        <v>199</v>
      </c>
      <c r="H359" t="s">
        <v>1094</v>
      </c>
      <c r="I359" t="s">
        <v>1700</v>
      </c>
      <c r="J359" s="4">
        <v>592.32</v>
      </c>
    </row>
    <row r="360" spans="1:10" x14ac:dyDescent="0.25">
      <c r="A360" t="s">
        <v>8</v>
      </c>
      <c r="B360" t="s">
        <v>65</v>
      </c>
      <c r="C360">
        <v>2026</v>
      </c>
      <c r="D360">
        <v>4</v>
      </c>
      <c r="E360" t="s">
        <v>201</v>
      </c>
      <c r="F360" t="s">
        <v>304</v>
      </c>
      <c r="G360" t="s">
        <v>303</v>
      </c>
      <c r="H360" t="s">
        <v>467</v>
      </c>
      <c r="I360" t="s">
        <v>1842</v>
      </c>
      <c r="J360" s="4">
        <v>390</v>
      </c>
    </row>
    <row r="361" spans="1:10" x14ac:dyDescent="0.25">
      <c r="A361" t="s">
        <v>8</v>
      </c>
      <c r="B361" t="s">
        <v>65</v>
      </c>
      <c r="C361">
        <v>2026</v>
      </c>
      <c r="D361">
        <v>1</v>
      </c>
      <c r="E361" t="s">
        <v>268</v>
      </c>
      <c r="F361" t="s">
        <v>325</v>
      </c>
      <c r="G361" t="s">
        <v>99</v>
      </c>
      <c r="H361" t="s">
        <v>451</v>
      </c>
      <c r="I361" t="s">
        <v>451</v>
      </c>
      <c r="J361" s="4">
        <v>885</v>
      </c>
    </row>
    <row r="362" spans="1:10" x14ac:dyDescent="0.25">
      <c r="A362" t="s">
        <v>8</v>
      </c>
      <c r="B362" t="s">
        <v>65</v>
      </c>
      <c r="C362">
        <v>2026</v>
      </c>
      <c r="D362">
        <v>5</v>
      </c>
      <c r="E362" t="s">
        <v>196</v>
      </c>
      <c r="F362" t="s">
        <v>213</v>
      </c>
      <c r="G362" t="s">
        <v>212</v>
      </c>
      <c r="H362" t="s">
        <v>467</v>
      </c>
      <c r="I362" t="s">
        <v>1855</v>
      </c>
      <c r="J362" s="4">
        <v>2850</v>
      </c>
    </row>
    <row r="363" spans="1:10" x14ac:dyDescent="0.25">
      <c r="A363" t="s">
        <v>8</v>
      </c>
      <c r="B363" t="s">
        <v>65</v>
      </c>
      <c r="C363">
        <v>2026</v>
      </c>
      <c r="D363">
        <v>8</v>
      </c>
      <c r="E363" t="s">
        <v>158</v>
      </c>
      <c r="F363" t="s">
        <v>171</v>
      </c>
      <c r="G363" t="s">
        <v>85</v>
      </c>
      <c r="H363" t="s">
        <v>471</v>
      </c>
      <c r="I363" t="s">
        <v>471</v>
      </c>
      <c r="J363" s="4">
        <v>60000</v>
      </c>
    </row>
    <row r="364" spans="1:10" x14ac:dyDescent="0.25">
      <c r="A364" t="s">
        <v>8</v>
      </c>
      <c r="B364" t="s">
        <v>65</v>
      </c>
      <c r="C364">
        <v>2026</v>
      </c>
      <c r="D364">
        <v>4</v>
      </c>
      <c r="E364" t="s">
        <v>201</v>
      </c>
      <c r="F364" t="s">
        <v>304</v>
      </c>
      <c r="G364" t="s">
        <v>303</v>
      </c>
      <c r="H364" t="s">
        <v>474</v>
      </c>
      <c r="I364" t="s">
        <v>1860</v>
      </c>
      <c r="J364" s="4">
        <v>130</v>
      </c>
    </row>
    <row r="365" spans="1:10" x14ac:dyDescent="0.25">
      <c r="A365" t="s">
        <v>8</v>
      </c>
      <c r="B365" t="s">
        <v>65</v>
      </c>
      <c r="C365">
        <v>2026</v>
      </c>
      <c r="D365">
        <v>5</v>
      </c>
      <c r="E365" t="s">
        <v>201</v>
      </c>
      <c r="F365" t="s">
        <v>200</v>
      </c>
      <c r="G365" t="s">
        <v>199</v>
      </c>
      <c r="H365" t="s">
        <v>445</v>
      </c>
      <c r="I365" t="s">
        <v>1711</v>
      </c>
      <c r="J365" s="4">
        <v>1169.82</v>
      </c>
    </row>
    <row r="366" spans="1:10" x14ac:dyDescent="0.25">
      <c r="A366" t="s">
        <v>8</v>
      </c>
      <c r="B366" t="s">
        <v>65</v>
      </c>
      <c r="C366">
        <v>2026</v>
      </c>
      <c r="D366">
        <v>7</v>
      </c>
      <c r="E366" t="s">
        <v>290</v>
      </c>
      <c r="F366" t="s">
        <v>297</v>
      </c>
      <c r="G366" t="s">
        <v>296</v>
      </c>
      <c r="H366" t="s">
        <v>451</v>
      </c>
      <c r="I366" t="s">
        <v>743</v>
      </c>
      <c r="J366" s="4">
        <v>709.99</v>
      </c>
    </row>
    <row r="367" spans="1:10" x14ac:dyDescent="0.25">
      <c r="A367" t="s">
        <v>8</v>
      </c>
      <c r="B367" t="s">
        <v>65</v>
      </c>
      <c r="C367">
        <v>2026</v>
      </c>
      <c r="D367">
        <v>1</v>
      </c>
      <c r="E367" t="s">
        <v>290</v>
      </c>
      <c r="F367" t="s">
        <v>309</v>
      </c>
      <c r="G367" t="s">
        <v>308</v>
      </c>
      <c r="H367" t="s">
        <v>451</v>
      </c>
      <c r="I367" t="s">
        <v>733</v>
      </c>
      <c r="J367" s="4">
        <v>1700</v>
      </c>
    </row>
    <row r="368" spans="1:10" x14ac:dyDescent="0.25">
      <c r="A368" t="s">
        <v>8</v>
      </c>
      <c r="B368" t="s">
        <v>65</v>
      </c>
      <c r="C368">
        <v>2026</v>
      </c>
      <c r="D368">
        <v>1</v>
      </c>
      <c r="E368" t="s">
        <v>201</v>
      </c>
      <c r="F368" t="s">
        <v>200</v>
      </c>
      <c r="G368" t="s">
        <v>199</v>
      </c>
      <c r="H368" t="s">
        <v>1094</v>
      </c>
      <c r="I368" t="s">
        <v>1845</v>
      </c>
      <c r="J368" s="4">
        <v>343.25</v>
      </c>
    </row>
    <row r="369" spans="1:10" x14ac:dyDescent="0.25">
      <c r="A369" t="s">
        <v>8</v>
      </c>
      <c r="B369" t="s">
        <v>65</v>
      </c>
      <c r="C369">
        <v>2026</v>
      </c>
      <c r="D369">
        <v>7</v>
      </c>
      <c r="E369" t="s">
        <v>182</v>
      </c>
      <c r="F369" t="s">
        <v>181</v>
      </c>
      <c r="G369" t="s">
        <v>180</v>
      </c>
      <c r="H369" t="s">
        <v>451</v>
      </c>
      <c r="I369" t="s">
        <v>1144</v>
      </c>
      <c r="J369" s="4">
        <v>4000</v>
      </c>
    </row>
    <row r="370" spans="1:10" x14ac:dyDescent="0.25">
      <c r="A370" t="s">
        <v>8</v>
      </c>
      <c r="B370" t="s">
        <v>65</v>
      </c>
      <c r="C370">
        <v>2026</v>
      </c>
      <c r="D370">
        <v>7</v>
      </c>
      <c r="E370" t="s">
        <v>227</v>
      </c>
      <c r="F370" t="s">
        <v>327</v>
      </c>
      <c r="G370" t="s">
        <v>326</v>
      </c>
      <c r="H370" t="s">
        <v>451</v>
      </c>
      <c r="I370" t="s">
        <v>1555</v>
      </c>
      <c r="J370" s="4">
        <v>704</v>
      </c>
    </row>
    <row r="371" spans="1:10" x14ac:dyDescent="0.25">
      <c r="A371" t="s">
        <v>8</v>
      </c>
      <c r="B371" t="s">
        <v>65</v>
      </c>
      <c r="C371">
        <v>2026</v>
      </c>
      <c r="D371">
        <v>7</v>
      </c>
      <c r="E371" t="s">
        <v>290</v>
      </c>
      <c r="F371" t="s">
        <v>297</v>
      </c>
      <c r="G371" t="s">
        <v>99</v>
      </c>
      <c r="H371" t="s">
        <v>451</v>
      </c>
      <c r="I371" t="s">
        <v>1844</v>
      </c>
      <c r="J371" s="4">
        <v>50</v>
      </c>
    </row>
    <row r="372" spans="1:10" x14ac:dyDescent="0.25">
      <c r="A372" t="s">
        <v>8</v>
      </c>
      <c r="B372" t="s">
        <v>65</v>
      </c>
      <c r="C372">
        <v>2026</v>
      </c>
      <c r="D372">
        <v>5</v>
      </c>
      <c r="E372" t="s">
        <v>201</v>
      </c>
      <c r="F372" t="s">
        <v>200</v>
      </c>
      <c r="G372" t="s">
        <v>199</v>
      </c>
      <c r="H372" t="s">
        <v>486</v>
      </c>
      <c r="I372" t="s">
        <v>1705</v>
      </c>
      <c r="J372" s="4">
        <v>1000</v>
      </c>
    </row>
    <row r="373" spans="1:10" x14ac:dyDescent="0.25">
      <c r="A373" t="s">
        <v>8</v>
      </c>
      <c r="B373" t="s">
        <v>65</v>
      </c>
      <c r="C373">
        <v>2026</v>
      </c>
      <c r="D373">
        <v>7</v>
      </c>
      <c r="E373" t="s">
        <v>178</v>
      </c>
      <c r="F373" t="s">
        <v>177</v>
      </c>
      <c r="G373" t="s">
        <v>176</v>
      </c>
      <c r="H373" t="s">
        <v>451</v>
      </c>
      <c r="I373" t="s">
        <v>1843</v>
      </c>
      <c r="J373" s="4">
        <v>40000</v>
      </c>
    </row>
    <row r="374" spans="1:10" x14ac:dyDescent="0.25">
      <c r="A374" t="s">
        <v>8</v>
      </c>
      <c r="B374" t="s">
        <v>65</v>
      </c>
      <c r="C374">
        <v>2026</v>
      </c>
      <c r="D374">
        <v>5</v>
      </c>
      <c r="E374" t="s">
        <v>268</v>
      </c>
      <c r="F374" t="s">
        <v>287</v>
      </c>
      <c r="G374" t="s">
        <v>286</v>
      </c>
      <c r="H374" t="s">
        <v>451</v>
      </c>
      <c r="I374" t="s">
        <v>1237</v>
      </c>
      <c r="J374" s="4">
        <v>900</v>
      </c>
    </row>
    <row r="375" spans="1:10" x14ac:dyDescent="0.25">
      <c r="A375" t="s">
        <v>8</v>
      </c>
      <c r="B375" t="s">
        <v>65</v>
      </c>
      <c r="C375">
        <v>2026</v>
      </c>
      <c r="D375">
        <v>2</v>
      </c>
      <c r="E375" t="s">
        <v>201</v>
      </c>
      <c r="F375" t="s">
        <v>200</v>
      </c>
      <c r="G375" t="s">
        <v>199</v>
      </c>
      <c r="H375" t="s">
        <v>445</v>
      </c>
      <c r="I375" t="s">
        <v>1711</v>
      </c>
      <c r="J375" s="4">
        <v>1169.82</v>
      </c>
    </row>
    <row r="376" spans="1:10" x14ac:dyDescent="0.25">
      <c r="A376" t="s">
        <v>8</v>
      </c>
      <c r="B376" t="s">
        <v>65</v>
      </c>
      <c r="C376">
        <v>2026</v>
      </c>
      <c r="D376">
        <v>8</v>
      </c>
      <c r="E376" t="s">
        <v>201</v>
      </c>
      <c r="F376" t="s">
        <v>304</v>
      </c>
      <c r="G376" t="s">
        <v>303</v>
      </c>
      <c r="H376" t="s">
        <v>474</v>
      </c>
      <c r="I376" t="s">
        <v>1860</v>
      </c>
      <c r="J376" s="4">
        <v>130</v>
      </c>
    </row>
    <row r="377" spans="1:10" x14ac:dyDescent="0.25">
      <c r="A377" t="s">
        <v>8</v>
      </c>
      <c r="B377" t="s">
        <v>65</v>
      </c>
      <c r="C377">
        <v>2026</v>
      </c>
      <c r="D377">
        <v>1</v>
      </c>
      <c r="E377" t="s">
        <v>201</v>
      </c>
      <c r="F377" t="s">
        <v>392</v>
      </c>
      <c r="G377" t="s">
        <v>99</v>
      </c>
      <c r="H377" t="s">
        <v>1094</v>
      </c>
      <c r="I377" t="s">
        <v>1846</v>
      </c>
      <c r="J377" s="4">
        <v>74.9</v>
      </c>
    </row>
    <row r="378" spans="1:10" x14ac:dyDescent="0.25">
      <c r="A378" t="s">
        <v>8</v>
      </c>
      <c r="B378" t="s">
        <v>65</v>
      </c>
      <c r="C378">
        <v>2026</v>
      </c>
      <c r="D378">
        <v>1</v>
      </c>
      <c r="E378" t="s">
        <v>196</v>
      </c>
      <c r="F378" t="s">
        <v>195</v>
      </c>
      <c r="G378" t="s">
        <v>194</v>
      </c>
      <c r="H378" t="s">
        <v>511</v>
      </c>
      <c r="I378" t="s">
        <v>1859</v>
      </c>
      <c r="J378" s="4">
        <v>3000</v>
      </c>
    </row>
    <row r="379" spans="1:10" x14ac:dyDescent="0.25">
      <c r="A379" t="s">
        <v>8</v>
      </c>
      <c r="B379" t="s">
        <v>65</v>
      </c>
      <c r="C379">
        <v>2026</v>
      </c>
      <c r="D379">
        <v>7</v>
      </c>
      <c r="E379" t="s">
        <v>178</v>
      </c>
      <c r="F379" t="s">
        <v>177</v>
      </c>
      <c r="G379" t="s">
        <v>176</v>
      </c>
      <c r="H379" t="s">
        <v>451</v>
      </c>
      <c r="I379" t="s">
        <v>1829</v>
      </c>
      <c r="J379" s="4">
        <v>2550</v>
      </c>
    </row>
    <row r="380" spans="1:10" x14ac:dyDescent="0.25">
      <c r="A380" t="s">
        <v>8</v>
      </c>
      <c r="B380" t="s">
        <v>65</v>
      </c>
      <c r="C380">
        <v>2026</v>
      </c>
      <c r="D380">
        <v>3</v>
      </c>
      <c r="E380" t="s">
        <v>232</v>
      </c>
      <c r="F380" t="s">
        <v>261</v>
      </c>
      <c r="G380" t="s">
        <v>260</v>
      </c>
      <c r="H380" t="s">
        <v>511</v>
      </c>
      <c r="I380" t="s">
        <v>1820</v>
      </c>
      <c r="J380" s="4">
        <v>1053.1</v>
      </c>
    </row>
    <row r="381" spans="1:10" x14ac:dyDescent="0.25">
      <c r="A381" t="s">
        <v>8</v>
      </c>
      <c r="B381" t="s">
        <v>65</v>
      </c>
      <c r="C381">
        <v>2026</v>
      </c>
      <c r="D381">
        <v>1</v>
      </c>
      <c r="E381" t="s">
        <v>232</v>
      </c>
      <c r="F381" t="s">
        <v>261</v>
      </c>
      <c r="G381" t="s">
        <v>260</v>
      </c>
      <c r="H381" t="s">
        <v>511</v>
      </c>
      <c r="I381" t="s">
        <v>1820</v>
      </c>
      <c r="J381" s="4">
        <v>1053.1</v>
      </c>
    </row>
    <row r="382" spans="1:10" x14ac:dyDescent="0.25">
      <c r="A382" t="s">
        <v>8</v>
      </c>
      <c r="B382" t="s">
        <v>65</v>
      </c>
      <c r="C382">
        <v>2026</v>
      </c>
      <c r="D382">
        <v>5</v>
      </c>
      <c r="E382" t="s">
        <v>232</v>
      </c>
      <c r="F382" t="s">
        <v>231</v>
      </c>
      <c r="G382" t="s">
        <v>230</v>
      </c>
      <c r="H382" t="s">
        <v>511</v>
      </c>
      <c r="I382" t="s">
        <v>949</v>
      </c>
      <c r="J382" s="4">
        <v>4766.3</v>
      </c>
    </row>
    <row r="383" spans="1:10" x14ac:dyDescent="0.25">
      <c r="A383" t="s">
        <v>8</v>
      </c>
      <c r="B383" t="s">
        <v>65</v>
      </c>
      <c r="C383">
        <v>2026</v>
      </c>
      <c r="D383">
        <v>4</v>
      </c>
      <c r="E383" t="s">
        <v>209</v>
      </c>
      <c r="F383" t="s">
        <v>285</v>
      </c>
      <c r="G383" t="s">
        <v>284</v>
      </c>
      <c r="H383" t="s">
        <v>451</v>
      </c>
      <c r="I383" t="s">
        <v>285</v>
      </c>
      <c r="J383" s="4">
        <v>2225</v>
      </c>
    </row>
    <row r="384" spans="1:10" x14ac:dyDescent="0.25">
      <c r="A384" t="s">
        <v>8</v>
      </c>
      <c r="B384" t="s">
        <v>65</v>
      </c>
      <c r="C384">
        <v>2026</v>
      </c>
      <c r="D384">
        <v>7</v>
      </c>
      <c r="E384" t="s">
        <v>196</v>
      </c>
      <c r="F384" t="s">
        <v>195</v>
      </c>
      <c r="G384" t="s">
        <v>194</v>
      </c>
      <c r="H384" t="s">
        <v>445</v>
      </c>
      <c r="I384" t="s">
        <v>1862</v>
      </c>
      <c r="J384" s="4">
        <v>434.2</v>
      </c>
    </row>
    <row r="385" spans="1:10" x14ac:dyDescent="0.25">
      <c r="A385" t="s">
        <v>8</v>
      </c>
      <c r="B385" t="s">
        <v>65</v>
      </c>
      <c r="C385">
        <v>2026</v>
      </c>
      <c r="D385">
        <v>5</v>
      </c>
      <c r="E385" t="s">
        <v>290</v>
      </c>
      <c r="F385" t="s">
        <v>367</v>
      </c>
      <c r="G385" t="s">
        <v>366</v>
      </c>
      <c r="H385" t="s">
        <v>451</v>
      </c>
      <c r="I385" t="s">
        <v>739</v>
      </c>
      <c r="J385" s="4">
        <v>55</v>
      </c>
    </row>
    <row r="386" spans="1:10" x14ac:dyDescent="0.25">
      <c r="A386" t="s">
        <v>8</v>
      </c>
      <c r="B386" t="s">
        <v>65</v>
      </c>
      <c r="C386">
        <v>2026</v>
      </c>
      <c r="D386">
        <v>3</v>
      </c>
      <c r="E386" t="s">
        <v>316</v>
      </c>
      <c r="F386" t="s">
        <v>371</v>
      </c>
      <c r="G386" t="s">
        <v>370</v>
      </c>
      <c r="H386" t="s">
        <v>451</v>
      </c>
      <c r="I386" t="s">
        <v>1834</v>
      </c>
      <c r="J386" s="4">
        <v>10</v>
      </c>
    </row>
    <row r="387" spans="1:10" x14ac:dyDescent="0.25">
      <c r="A387" t="s">
        <v>8</v>
      </c>
      <c r="B387" t="s">
        <v>65</v>
      </c>
      <c r="C387">
        <v>2026</v>
      </c>
      <c r="D387">
        <v>2</v>
      </c>
      <c r="E387" t="s">
        <v>201</v>
      </c>
      <c r="F387" t="s">
        <v>200</v>
      </c>
      <c r="G387" t="s">
        <v>199</v>
      </c>
      <c r="H387" t="s">
        <v>511</v>
      </c>
      <c r="I387" t="s">
        <v>1705</v>
      </c>
      <c r="J387" s="4">
        <v>1000</v>
      </c>
    </row>
    <row r="388" spans="1:10" x14ac:dyDescent="0.25">
      <c r="A388" t="s">
        <v>8</v>
      </c>
      <c r="B388" t="s">
        <v>65</v>
      </c>
      <c r="C388">
        <v>2026</v>
      </c>
      <c r="D388">
        <v>2</v>
      </c>
      <c r="E388" t="s">
        <v>201</v>
      </c>
      <c r="F388" t="s">
        <v>392</v>
      </c>
      <c r="G388" t="s">
        <v>99</v>
      </c>
      <c r="H388" t="s">
        <v>1094</v>
      </c>
      <c r="I388" t="s">
        <v>1846</v>
      </c>
      <c r="J388" s="4">
        <v>74.9</v>
      </c>
    </row>
    <row r="389" spans="1:10" x14ac:dyDescent="0.25">
      <c r="A389" t="s">
        <v>8</v>
      </c>
      <c r="B389" t="s">
        <v>65</v>
      </c>
      <c r="C389">
        <v>2026</v>
      </c>
      <c r="D389">
        <v>1</v>
      </c>
      <c r="E389" t="s">
        <v>196</v>
      </c>
      <c r="F389" t="s">
        <v>195</v>
      </c>
      <c r="G389" t="s">
        <v>194</v>
      </c>
      <c r="H389" t="s">
        <v>467</v>
      </c>
      <c r="I389" t="s">
        <v>1854</v>
      </c>
      <c r="J389" s="4">
        <v>4000</v>
      </c>
    </row>
    <row r="390" spans="1:10" x14ac:dyDescent="0.25">
      <c r="A390" t="s">
        <v>8</v>
      </c>
      <c r="B390" t="s">
        <v>65</v>
      </c>
      <c r="C390">
        <v>2026</v>
      </c>
      <c r="D390">
        <v>8</v>
      </c>
      <c r="E390" t="s">
        <v>290</v>
      </c>
      <c r="F390" t="s">
        <v>365</v>
      </c>
      <c r="G390" t="s">
        <v>364</v>
      </c>
      <c r="H390" t="s">
        <v>451</v>
      </c>
      <c r="I390" t="s">
        <v>748</v>
      </c>
      <c r="J390" s="4">
        <v>217.74</v>
      </c>
    </row>
    <row r="391" spans="1:10" x14ac:dyDescent="0.25">
      <c r="A391" t="s">
        <v>8</v>
      </c>
      <c r="B391" t="s">
        <v>65</v>
      </c>
      <c r="C391">
        <v>2026</v>
      </c>
      <c r="D391">
        <v>5</v>
      </c>
      <c r="E391" t="s">
        <v>201</v>
      </c>
      <c r="F391" t="s">
        <v>200</v>
      </c>
      <c r="G391" t="s">
        <v>199</v>
      </c>
      <c r="H391" t="s">
        <v>1094</v>
      </c>
      <c r="I391" t="s">
        <v>1700</v>
      </c>
      <c r="J391" s="4">
        <v>592.32</v>
      </c>
    </row>
    <row r="392" spans="1:10" x14ac:dyDescent="0.25">
      <c r="A392" t="s">
        <v>8</v>
      </c>
      <c r="B392" t="s">
        <v>65</v>
      </c>
      <c r="C392">
        <v>2026</v>
      </c>
      <c r="D392">
        <v>5</v>
      </c>
      <c r="E392" t="s">
        <v>232</v>
      </c>
      <c r="F392" t="s">
        <v>261</v>
      </c>
      <c r="G392" t="s">
        <v>260</v>
      </c>
      <c r="H392" t="s">
        <v>451</v>
      </c>
      <c r="I392" t="s">
        <v>1861</v>
      </c>
      <c r="J392" s="4">
        <v>182.98</v>
      </c>
    </row>
    <row r="393" spans="1:10" x14ac:dyDescent="0.25">
      <c r="A393" t="s">
        <v>8</v>
      </c>
      <c r="B393" t="s">
        <v>65</v>
      </c>
      <c r="C393">
        <v>2026</v>
      </c>
      <c r="D393">
        <v>8</v>
      </c>
      <c r="E393" t="s">
        <v>178</v>
      </c>
      <c r="F393" t="s">
        <v>177</v>
      </c>
      <c r="G393" t="s">
        <v>176</v>
      </c>
      <c r="H393" t="s">
        <v>474</v>
      </c>
      <c r="I393" t="s">
        <v>1828</v>
      </c>
      <c r="J393" s="4">
        <v>440.01</v>
      </c>
    </row>
    <row r="394" spans="1:10" x14ac:dyDescent="0.25">
      <c r="A394" t="s">
        <v>8</v>
      </c>
      <c r="B394" t="s">
        <v>65</v>
      </c>
      <c r="C394">
        <v>2026</v>
      </c>
      <c r="D394">
        <v>7</v>
      </c>
      <c r="E394" t="s">
        <v>248</v>
      </c>
      <c r="F394" t="s">
        <v>387</v>
      </c>
      <c r="G394" t="s">
        <v>386</v>
      </c>
      <c r="H394" t="s">
        <v>451</v>
      </c>
      <c r="I394" t="s">
        <v>1850</v>
      </c>
      <c r="J394" s="4">
        <v>46</v>
      </c>
    </row>
    <row r="395" spans="1:10" x14ac:dyDescent="0.25">
      <c r="A395" t="s">
        <v>8</v>
      </c>
      <c r="B395" t="s">
        <v>65</v>
      </c>
      <c r="C395">
        <v>2026</v>
      </c>
      <c r="D395">
        <v>1</v>
      </c>
      <c r="E395" t="s">
        <v>201</v>
      </c>
      <c r="F395" t="s">
        <v>200</v>
      </c>
      <c r="G395" t="s">
        <v>199</v>
      </c>
      <c r="H395" t="s">
        <v>1094</v>
      </c>
      <c r="I395" t="s">
        <v>1832</v>
      </c>
      <c r="J395" s="4">
        <v>250</v>
      </c>
    </row>
    <row r="396" spans="1:10" x14ac:dyDescent="0.25">
      <c r="A396" t="s">
        <v>8</v>
      </c>
      <c r="B396" t="s">
        <v>65</v>
      </c>
      <c r="C396">
        <v>2026</v>
      </c>
      <c r="D396">
        <v>7</v>
      </c>
      <c r="E396" t="s">
        <v>201</v>
      </c>
      <c r="F396" t="s">
        <v>200</v>
      </c>
      <c r="G396" t="s">
        <v>199</v>
      </c>
      <c r="H396" t="s">
        <v>1094</v>
      </c>
      <c r="I396" t="s">
        <v>1825</v>
      </c>
      <c r="J396" s="4">
        <v>1137.2</v>
      </c>
    </row>
    <row r="397" spans="1:10" x14ac:dyDescent="0.25">
      <c r="A397" t="s">
        <v>8</v>
      </c>
      <c r="B397" t="s">
        <v>65</v>
      </c>
      <c r="C397">
        <v>2026</v>
      </c>
      <c r="D397">
        <v>7</v>
      </c>
      <c r="E397" t="s">
        <v>196</v>
      </c>
      <c r="F397" t="s">
        <v>195</v>
      </c>
      <c r="G397" t="s">
        <v>194</v>
      </c>
      <c r="H397" t="s">
        <v>525</v>
      </c>
      <c r="I397" t="s">
        <v>1833</v>
      </c>
      <c r="J397" s="4">
        <v>4000</v>
      </c>
    </row>
    <row r="398" spans="1:10" x14ac:dyDescent="0.25">
      <c r="A398" t="s">
        <v>8</v>
      </c>
      <c r="B398" t="s">
        <v>65</v>
      </c>
      <c r="C398">
        <v>2026</v>
      </c>
      <c r="D398">
        <v>2</v>
      </c>
      <c r="E398" t="s">
        <v>201</v>
      </c>
      <c r="F398" t="s">
        <v>239</v>
      </c>
      <c r="G398" t="s">
        <v>238</v>
      </c>
      <c r="H398" t="s">
        <v>224</v>
      </c>
      <c r="I398" t="s">
        <v>1681</v>
      </c>
      <c r="J398" s="4">
        <v>1000</v>
      </c>
    </row>
    <row r="399" spans="1:10" x14ac:dyDescent="0.25">
      <c r="A399" t="s">
        <v>8</v>
      </c>
      <c r="B399" t="s">
        <v>65</v>
      </c>
      <c r="C399">
        <v>2026</v>
      </c>
      <c r="D399">
        <v>3</v>
      </c>
      <c r="E399" t="s">
        <v>268</v>
      </c>
      <c r="F399" t="s">
        <v>287</v>
      </c>
      <c r="G399" t="s">
        <v>286</v>
      </c>
      <c r="H399" t="s">
        <v>451</v>
      </c>
      <c r="I399" t="s">
        <v>1237</v>
      </c>
      <c r="J399" s="4">
        <v>900</v>
      </c>
    </row>
    <row r="400" spans="1:10" x14ac:dyDescent="0.25">
      <c r="A400" t="s">
        <v>8</v>
      </c>
      <c r="B400" t="s">
        <v>65</v>
      </c>
      <c r="C400">
        <v>2026</v>
      </c>
      <c r="D400">
        <v>8</v>
      </c>
      <c r="E400" t="s">
        <v>201</v>
      </c>
      <c r="F400" t="s">
        <v>200</v>
      </c>
      <c r="G400" t="s">
        <v>199</v>
      </c>
      <c r="H400" t="s">
        <v>1094</v>
      </c>
      <c r="I400" t="s">
        <v>1845</v>
      </c>
      <c r="J400" s="4">
        <v>343.25</v>
      </c>
    </row>
    <row r="401" spans="1:10" x14ac:dyDescent="0.25">
      <c r="A401" t="s">
        <v>8</v>
      </c>
      <c r="B401" t="s">
        <v>65</v>
      </c>
      <c r="C401">
        <v>2026</v>
      </c>
      <c r="D401">
        <v>2</v>
      </c>
      <c r="E401" t="s">
        <v>201</v>
      </c>
      <c r="F401" t="s">
        <v>200</v>
      </c>
      <c r="G401" t="s">
        <v>199</v>
      </c>
      <c r="H401" t="s">
        <v>1094</v>
      </c>
      <c r="I401" t="s">
        <v>1700</v>
      </c>
      <c r="J401" s="4">
        <v>592.32</v>
      </c>
    </row>
    <row r="402" spans="1:10" x14ac:dyDescent="0.25">
      <c r="A402" t="s">
        <v>8</v>
      </c>
      <c r="B402" t="s">
        <v>65</v>
      </c>
      <c r="C402">
        <v>2026</v>
      </c>
      <c r="D402">
        <v>4</v>
      </c>
      <c r="E402" t="s">
        <v>396</v>
      </c>
      <c r="F402" t="s">
        <v>395</v>
      </c>
      <c r="G402" t="s">
        <v>108</v>
      </c>
      <c r="H402" t="s">
        <v>451</v>
      </c>
      <c r="I402" t="s">
        <v>522</v>
      </c>
      <c r="J402" s="4">
        <v>10</v>
      </c>
    </row>
    <row r="403" spans="1:10" x14ac:dyDescent="0.25">
      <c r="A403" t="s">
        <v>8</v>
      </c>
      <c r="B403" t="s">
        <v>65</v>
      </c>
      <c r="C403">
        <v>2026</v>
      </c>
      <c r="D403">
        <v>1</v>
      </c>
      <c r="E403" t="s">
        <v>290</v>
      </c>
      <c r="F403" t="s">
        <v>367</v>
      </c>
      <c r="G403" t="s">
        <v>366</v>
      </c>
      <c r="H403" t="s">
        <v>451</v>
      </c>
      <c r="I403" t="s">
        <v>739</v>
      </c>
      <c r="J403" s="4">
        <v>60</v>
      </c>
    </row>
    <row r="404" spans="1:10" x14ac:dyDescent="0.25">
      <c r="A404" t="s">
        <v>8</v>
      </c>
      <c r="B404" t="s">
        <v>65</v>
      </c>
      <c r="C404">
        <v>2026</v>
      </c>
      <c r="D404">
        <v>6</v>
      </c>
      <c r="E404" t="s">
        <v>201</v>
      </c>
      <c r="F404" t="s">
        <v>200</v>
      </c>
      <c r="G404" t="s">
        <v>199</v>
      </c>
      <c r="H404" t="s">
        <v>1094</v>
      </c>
      <c r="I404" t="s">
        <v>1693</v>
      </c>
      <c r="J404" s="4">
        <v>109.8</v>
      </c>
    </row>
    <row r="405" spans="1:10" x14ac:dyDescent="0.25">
      <c r="A405" t="s">
        <v>8</v>
      </c>
      <c r="B405" t="s">
        <v>65</v>
      </c>
      <c r="C405">
        <v>2026</v>
      </c>
      <c r="D405">
        <v>6</v>
      </c>
      <c r="E405" t="s">
        <v>316</v>
      </c>
      <c r="F405" t="s">
        <v>315</v>
      </c>
      <c r="G405" t="s">
        <v>314</v>
      </c>
      <c r="H405" t="s">
        <v>451</v>
      </c>
      <c r="I405" t="s">
        <v>1823</v>
      </c>
      <c r="J405" s="4">
        <v>179</v>
      </c>
    </row>
    <row r="406" spans="1:10" x14ac:dyDescent="0.25">
      <c r="A406" t="s">
        <v>8</v>
      </c>
      <c r="B406" t="s">
        <v>65</v>
      </c>
      <c r="C406">
        <v>2026</v>
      </c>
      <c r="D406">
        <v>3</v>
      </c>
      <c r="E406" t="s">
        <v>201</v>
      </c>
      <c r="F406" t="s">
        <v>304</v>
      </c>
      <c r="G406" t="s">
        <v>303</v>
      </c>
      <c r="H406" t="s">
        <v>1094</v>
      </c>
      <c r="I406" t="s">
        <v>1652</v>
      </c>
      <c r="J406" s="4">
        <v>56.6</v>
      </c>
    </row>
    <row r="407" spans="1:10" x14ac:dyDescent="0.25">
      <c r="A407" t="s">
        <v>8</v>
      </c>
      <c r="B407" t="s">
        <v>65</v>
      </c>
      <c r="C407">
        <v>2026</v>
      </c>
      <c r="D407">
        <v>3</v>
      </c>
      <c r="E407" t="s">
        <v>182</v>
      </c>
      <c r="F407" t="s">
        <v>252</v>
      </c>
      <c r="G407" t="s">
        <v>251</v>
      </c>
      <c r="H407" t="s">
        <v>1094</v>
      </c>
      <c r="I407" t="s">
        <v>1093</v>
      </c>
      <c r="J407" s="4">
        <v>3006.07</v>
      </c>
    </row>
    <row r="408" spans="1:10" x14ac:dyDescent="0.25">
      <c r="A408" t="s">
        <v>8</v>
      </c>
      <c r="B408" t="s">
        <v>65</v>
      </c>
      <c r="C408">
        <v>2026</v>
      </c>
      <c r="D408">
        <v>3</v>
      </c>
      <c r="E408" t="s">
        <v>290</v>
      </c>
      <c r="F408" t="s">
        <v>297</v>
      </c>
      <c r="G408" t="s">
        <v>99</v>
      </c>
      <c r="H408" t="s">
        <v>451</v>
      </c>
      <c r="I408" t="s">
        <v>1844</v>
      </c>
      <c r="J408" s="4">
        <v>50</v>
      </c>
    </row>
    <row r="409" spans="1:10" x14ac:dyDescent="0.25">
      <c r="A409" t="s">
        <v>8</v>
      </c>
      <c r="B409" t="s">
        <v>65</v>
      </c>
      <c r="C409">
        <v>2026</v>
      </c>
      <c r="D409">
        <v>2</v>
      </c>
      <c r="E409" t="s">
        <v>158</v>
      </c>
      <c r="F409" t="s">
        <v>157</v>
      </c>
      <c r="G409" t="s">
        <v>156</v>
      </c>
      <c r="H409" t="s">
        <v>451</v>
      </c>
      <c r="I409" t="s">
        <v>956</v>
      </c>
      <c r="J409" s="4">
        <v>330000</v>
      </c>
    </row>
    <row r="410" spans="1:10" x14ac:dyDescent="0.25">
      <c r="A410" t="s">
        <v>8</v>
      </c>
      <c r="B410" t="s">
        <v>65</v>
      </c>
      <c r="C410">
        <v>2026</v>
      </c>
      <c r="D410">
        <v>8</v>
      </c>
      <c r="E410" t="s">
        <v>201</v>
      </c>
      <c r="F410" t="s">
        <v>239</v>
      </c>
      <c r="G410" t="s">
        <v>238</v>
      </c>
      <c r="H410" t="s">
        <v>1094</v>
      </c>
      <c r="I410" t="s">
        <v>1848</v>
      </c>
      <c r="J410" s="4">
        <v>1350</v>
      </c>
    </row>
    <row r="411" spans="1:10" x14ac:dyDescent="0.25">
      <c r="A411" t="s">
        <v>8</v>
      </c>
      <c r="B411" t="s">
        <v>65</v>
      </c>
      <c r="C411">
        <v>2026</v>
      </c>
      <c r="D411">
        <v>3</v>
      </c>
      <c r="E411" t="s">
        <v>290</v>
      </c>
      <c r="F411" t="s">
        <v>297</v>
      </c>
      <c r="G411" t="s">
        <v>296</v>
      </c>
      <c r="H411" t="s">
        <v>451</v>
      </c>
      <c r="I411" t="s">
        <v>1824</v>
      </c>
      <c r="J411" s="4">
        <v>1000</v>
      </c>
    </row>
    <row r="412" spans="1:10" x14ac:dyDescent="0.25">
      <c r="A412" t="s">
        <v>8</v>
      </c>
      <c r="B412" t="s">
        <v>65</v>
      </c>
      <c r="C412">
        <v>2026</v>
      </c>
      <c r="D412">
        <v>3</v>
      </c>
      <c r="E412" t="s">
        <v>209</v>
      </c>
      <c r="F412" t="s">
        <v>285</v>
      </c>
      <c r="G412" t="s">
        <v>284</v>
      </c>
      <c r="H412" t="s">
        <v>451</v>
      </c>
      <c r="I412" t="s">
        <v>285</v>
      </c>
      <c r="J412" s="4">
        <v>2225</v>
      </c>
    </row>
    <row r="413" spans="1:10" x14ac:dyDescent="0.25">
      <c r="A413" t="s">
        <v>8</v>
      </c>
      <c r="B413" t="s">
        <v>65</v>
      </c>
      <c r="C413">
        <v>2026</v>
      </c>
      <c r="D413">
        <v>8</v>
      </c>
      <c r="E413" t="s">
        <v>290</v>
      </c>
      <c r="F413" t="s">
        <v>367</v>
      </c>
      <c r="G413" t="s">
        <v>366</v>
      </c>
      <c r="H413" t="s">
        <v>451</v>
      </c>
      <c r="I413" t="s">
        <v>739</v>
      </c>
      <c r="J413" s="4">
        <v>85.84</v>
      </c>
    </row>
    <row r="414" spans="1:10" x14ac:dyDescent="0.25">
      <c r="A414" t="s">
        <v>8</v>
      </c>
      <c r="B414" t="s">
        <v>65</v>
      </c>
      <c r="C414">
        <v>2026</v>
      </c>
      <c r="D414">
        <v>6</v>
      </c>
      <c r="E414" t="s">
        <v>290</v>
      </c>
      <c r="F414" t="s">
        <v>297</v>
      </c>
      <c r="G414" t="s">
        <v>296</v>
      </c>
      <c r="H414" t="s">
        <v>451</v>
      </c>
      <c r="I414" t="s">
        <v>1824</v>
      </c>
      <c r="J414" s="4">
        <v>1000</v>
      </c>
    </row>
    <row r="415" spans="1:10" x14ac:dyDescent="0.25">
      <c r="A415" t="s">
        <v>8</v>
      </c>
      <c r="B415" t="s">
        <v>65</v>
      </c>
      <c r="C415">
        <v>2026</v>
      </c>
      <c r="D415">
        <v>7</v>
      </c>
      <c r="E415" t="s">
        <v>268</v>
      </c>
      <c r="F415" t="s">
        <v>267</v>
      </c>
      <c r="G415" t="s">
        <v>99</v>
      </c>
      <c r="H415" t="s">
        <v>451</v>
      </c>
      <c r="I415" t="s">
        <v>1822</v>
      </c>
      <c r="J415" s="4">
        <v>2014</v>
      </c>
    </row>
    <row r="416" spans="1:10" x14ac:dyDescent="0.25">
      <c r="A416" t="s">
        <v>8</v>
      </c>
      <c r="B416" t="s">
        <v>65</v>
      </c>
      <c r="C416">
        <v>2026</v>
      </c>
      <c r="D416">
        <v>6</v>
      </c>
      <c r="E416" t="s">
        <v>290</v>
      </c>
      <c r="F416" t="s">
        <v>297</v>
      </c>
      <c r="G416" t="s">
        <v>296</v>
      </c>
      <c r="H416" t="s">
        <v>451</v>
      </c>
      <c r="I416" t="s">
        <v>739</v>
      </c>
      <c r="J416" s="4">
        <v>165</v>
      </c>
    </row>
    <row r="417" spans="1:10" x14ac:dyDescent="0.25">
      <c r="A417" t="s">
        <v>8</v>
      </c>
      <c r="B417" t="s">
        <v>65</v>
      </c>
      <c r="C417">
        <v>2026</v>
      </c>
      <c r="D417">
        <v>2</v>
      </c>
      <c r="E417" t="s">
        <v>268</v>
      </c>
      <c r="F417" t="s">
        <v>267</v>
      </c>
      <c r="G417" t="s">
        <v>99</v>
      </c>
      <c r="H417" t="s">
        <v>451</v>
      </c>
      <c r="I417" t="s">
        <v>1822</v>
      </c>
      <c r="J417" s="4">
        <v>2014</v>
      </c>
    </row>
    <row r="418" spans="1:10" x14ac:dyDescent="0.25">
      <c r="A418" t="s">
        <v>8</v>
      </c>
      <c r="B418" t="s">
        <v>65</v>
      </c>
      <c r="C418">
        <v>2026</v>
      </c>
      <c r="D418">
        <v>3</v>
      </c>
      <c r="E418" t="s">
        <v>201</v>
      </c>
      <c r="F418" t="s">
        <v>304</v>
      </c>
      <c r="G418" t="s">
        <v>303</v>
      </c>
      <c r="H418" t="s">
        <v>465</v>
      </c>
      <c r="I418" t="s">
        <v>1830</v>
      </c>
      <c r="J418" s="4">
        <v>130</v>
      </c>
    </row>
    <row r="419" spans="1:10" x14ac:dyDescent="0.25">
      <c r="A419" t="s">
        <v>8</v>
      </c>
      <c r="B419" t="s">
        <v>65</v>
      </c>
      <c r="C419">
        <v>2026</v>
      </c>
      <c r="D419">
        <v>3</v>
      </c>
      <c r="E419" t="s">
        <v>201</v>
      </c>
      <c r="F419" t="s">
        <v>200</v>
      </c>
      <c r="G419" t="s">
        <v>199</v>
      </c>
      <c r="H419" t="s">
        <v>1094</v>
      </c>
      <c r="I419" t="s">
        <v>1699</v>
      </c>
      <c r="J419" s="4">
        <v>275</v>
      </c>
    </row>
    <row r="420" spans="1:10" x14ac:dyDescent="0.25">
      <c r="A420" t="s">
        <v>8</v>
      </c>
      <c r="B420" t="s">
        <v>65</v>
      </c>
      <c r="C420">
        <v>2026</v>
      </c>
      <c r="D420">
        <v>3</v>
      </c>
      <c r="E420" t="s">
        <v>290</v>
      </c>
      <c r="F420" t="s">
        <v>373</v>
      </c>
      <c r="G420" t="s">
        <v>372</v>
      </c>
      <c r="H420" t="s">
        <v>451</v>
      </c>
      <c r="I420" t="s">
        <v>736</v>
      </c>
      <c r="J420" s="4">
        <v>170.91</v>
      </c>
    </row>
    <row r="421" spans="1:10" x14ac:dyDescent="0.25">
      <c r="A421" t="s">
        <v>8</v>
      </c>
      <c r="B421" t="s">
        <v>65</v>
      </c>
      <c r="C421">
        <v>2026</v>
      </c>
      <c r="D421">
        <v>5</v>
      </c>
      <c r="E421" t="s">
        <v>178</v>
      </c>
      <c r="F421" t="s">
        <v>177</v>
      </c>
      <c r="G421" t="s">
        <v>176</v>
      </c>
      <c r="H421" t="s">
        <v>451</v>
      </c>
      <c r="I421" t="s">
        <v>1843</v>
      </c>
      <c r="J421" s="4">
        <v>40000</v>
      </c>
    </row>
    <row r="422" spans="1:10" x14ac:dyDescent="0.25">
      <c r="A422" t="s">
        <v>8</v>
      </c>
      <c r="B422" t="s">
        <v>65</v>
      </c>
      <c r="C422">
        <v>2026</v>
      </c>
      <c r="D422">
        <v>5</v>
      </c>
      <c r="E422" t="s">
        <v>190</v>
      </c>
      <c r="F422" t="s">
        <v>189</v>
      </c>
      <c r="G422" t="s">
        <v>188</v>
      </c>
      <c r="H422" t="s">
        <v>451</v>
      </c>
      <c r="I422" t="s">
        <v>1831</v>
      </c>
      <c r="J422" s="4">
        <v>27000</v>
      </c>
    </row>
    <row r="423" spans="1:10" x14ac:dyDescent="0.25">
      <c r="A423" t="s">
        <v>8</v>
      </c>
      <c r="B423" t="s">
        <v>65</v>
      </c>
      <c r="C423">
        <v>2026</v>
      </c>
      <c r="D423">
        <v>5</v>
      </c>
      <c r="E423" t="s">
        <v>196</v>
      </c>
      <c r="F423" t="s">
        <v>195</v>
      </c>
      <c r="G423" t="s">
        <v>194</v>
      </c>
      <c r="H423" t="s">
        <v>525</v>
      </c>
      <c r="I423" t="s">
        <v>1833</v>
      </c>
      <c r="J423" s="4">
        <v>4000</v>
      </c>
    </row>
    <row r="424" spans="1:10" x14ac:dyDescent="0.25">
      <c r="A424" t="s">
        <v>8</v>
      </c>
      <c r="B424" t="s">
        <v>65</v>
      </c>
      <c r="C424">
        <v>2026</v>
      </c>
      <c r="D424">
        <v>3</v>
      </c>
      <c r="E424" t="s">
        <v>196</v>
      </c>
      <c r="F424" t="s">
        <v>195</v>
      </c>
      <c r="G424" t="s">
        <v>194</v>
      </c>
      <c r="H424" t="s">
        <v>467</v>
      </c>
      <c r="I424" t="s">
        <v>1827</v>
      </c>
      <c r="J424" s="4">
        <v>2000</v>
      </c>
    </row>
    <row r="425" spans="1:10" x14ac:dyDescent="0.25">
      <c r="A425" t="s">
        <v>8</v>
      </c>
      <c r="B425" t="s">
        <v>65</v>
      </c>
      <c r="C425">
        <v>2026</v>
      </c>
      <c r="D425">
        <v>3</v>
      </c>
      <c r="E425" t="s">
        <v>201</v>
      </c>
      <c r="F425" t="s">
        <v>239</v>
      </c>
      <c r="G425" t="s">
        <v>238</v>
      </c>
      <c r="H425" t="s">
        <v>1094</v>
      </c>
      <c r="I425" t="s">
        <v>1838</v>
      </c>
      <c r="J425" s="4">
        <v>1121</v>
      </c>
    </row>
    <row r="426" spans="1:10" x14ac:dyDescent="0.25">
      <c r="A426" t="s">
        <v>8</v>
      </c>
      <c r="B426" t="s">
        <v>65</v>
      </c>
      <c r="C426">
        <v>2026</v>
      </c>
      <c r="D426">
        <v>3</v>
      </c>
      <c r="E426" t="s">
        <v>201</v>
      </c>
      <c r="F426" t="s">
        <v>200</v>
      </c>
      <c r="G426" t="s">
        <v>199</v>
      </c>
      <c r="H426" t="s">
        <v>445</v>
      </c>
      <c r="I426" t="s">
        <v>1711</v>
      </c>
      <c r="J426" s="4">
        <v>1169.82</v>
      </c>
    </row>
    <row r="427" spans="1:10" x14ac:dyDescent="0.25">
      <c r="A427" t="s">
        <v>8</v>
      </c>
      <c r="B427" t="s">
        <v>65</v>
      </c>
      <c r="C427">
        <v>2026</v>
      </c>
      <c r="D427">
        <v>1</v>
      </c>
      <c r="E427" t="s">
        <v>290</v>
      </c>
      <c r="F427" t="s">
        <v>297</v>
      </c>
      <c r="G427" t="s">
        <v>296</v>
      </c>
      <c r="H427" t="s">
        <v>451</v>
      </c>
      <c r="I427" t="s">
        <v>743</v>
      </c>
      <c r="J427" s="4">
        <v>709.99</v>
      </c>
    </row>
    <row r="428" spans="1:10" x14ac:dyDescent="0.25">
      <c r="A428" t="s">
        <v>8</v>
      </c>
      <c r="B428" t="s">
        <v>65</v>
      </c>
      <c r="C428">
        <v>2026</v>
      </c>
      <c r="D428">
        <v>3</v>
      </c>
      <c r="E428" t="s">
        <v>158</v>
      </c>
      <c r="F428" t="s">
        <v>157</v>
      </c>
      <c r="G428" t="s">
        <v>156</v>
      </c>
      <c r="H428" t="s">
        <v>451</v>
      </c>
      <c r="I428" t="s">
        <v>956</v>
      </c>
      <c r="J428" s="4">
        <v>330000</v>
      </c>
    </row>
    <row r="429" spans="1:10" x14ac:dyDescent="0.25">
      <c r="A429" t="s">
        <v>8</v>
      </c>
      <c r="B429" t="s">
        <v>65</v>
      </c>
      <c r="C429">
        <v>2026</v>
      </c>
      <c r="D429">
        <v>1</v>
      </c>
      <c r="E429" t="s">
        <v>201</v>
      </c>
      <c r="F429" t="s">
        <v>200</v>
      </c>
      <c r="G429" t="s">
        <v>199</v>
      </c>
      <c r="H429" t="s">
        <v>467</v>
      </c>
      <c r="I429" t="s">
        <v>1705</v>
      </c>
      <c r="J429" s="4">
        <v>1000</v>
      </c>
    </row>
    <row r="430" spans="1:10" x14ac:dyDescent="0.25">
      <c r="A430" t="s">
        <v>8</v>
      </c>
      <c r="B430" t="s">
        <v>65</v>
      </c>
      <c r="C430">
        <v>2026</v>
      </c>
      <c r="D430">
        <v>7</v>
      </c>
      <c r="E430" t="s">
        <v>201</v>
      </c>
      <c r="F430" t="s">
        <v>392</v>
      </c>
      <c r="G430" t="s">
        <v>99</v>
      </c>
      <c r="H430" t="s">
        <v>1094</v>
      </c>
      <c r="I430" t="s">
        <v>1846</v>
      </c>
      <c r="J430" s="4">
        <v>74.9</v>
      </c>
    </row>
    <row r="431" spans="1:10" x14ac:dyDescent="0.25">
      <c r="A431" t="s">
        <v>8</v>
      </c>
      <c r="B431" t="s">
        <v>65</v>
      </c>
      <c r="C431">
        <v>2026</v>
      </c>
      <c r="D431">
        <v>8</v>
      </c>
      <c r="E431" t="s">
        <v>158</v>
      </c>
      <c r="F431" t="s">
        <v>205</v>
      </c>
      <c r="G431" t="s">
        <v>99</v>
      </c>
      <c r="H431" t="s">
        <v>451</v>
      </c>
      <c r="I431" t="s">
        <v>99</v>
      </c>
      <c r="J431" s="4">
        <v>20000</v>
      </c>
    </row>
    <row r="432" spans="1:10" x14ac:dyDescent="0.25">
      <c r="A432" t="s">
        <v>8</v>
      </c>
      <c r="B432" t="s">
        <v>65</v>
      </c>
      <c r="C432">
        <v>2026</v>
      </c>
      <c r="D432">
        <v>8</v>
      </c>
      <c r="E432" t="s">
        <v>201</v>
      </c>
      <c r="F432" t="s">
        <v>200</v>
      </c>
      <c r="G432" t="s">
        <v>199</v>
      </c>
      <c r="H432" t="s">
        <v>1094</v>
      </c>
      <c r="I432" t="s">
        <v>1693</v>
      </c>
      <c r="J432" s="4">
        <v>109.8</v>
      </c>
    </row>
    <row r="433" spans="1:10" x14ac:dyDescent="0.25">
      <c r="A433" t="s">
        <v>8</v>
      </c>
      <c r="B433" t="s">
        <v>65</v>
      </c>
      <c r="C433">
        <v>2026</v>
      </c>
      <c r="D433">
        <v>2</v>
      </c>
      <c r="E433" t="s">
        <v>201</v>
      </c>
      <c r="F433" t="s">
        <v>200</v>
      </c>
      <c r="G433" t="s">
        <v>199</v>
      </c>
      <c r="H433" t="s">
        <v>467</v>
      </c>
      <c r="I433" t="s">
        <v>1705</v>
      </c>
      <c r="J433" s="4">
        <v>1000</v>
      </c>
    </row>
    <row r="434" spans="1:10" x14ac:dyDescent="0.25">
      <c r="A434" t="s">
        <v>8</v>
      </c>
      <c r="B434" t="s">
        <v>65</v>
      </c>
      <c r="C434">
        <v>2026</v>
      </c>
      <c r="D434">
        <v>5</v>
      </c>
      <c r="E434" t="s">
        <v>227</v>
      </c>
      <c r="F434" t="s">
        <v>226</v>
      </c>
      <c r="G434" t="s">
        <v>225</v>
      </c>
      <c r="H434" t="s">
        <v>451</v>
      </c>
      <c r="I434" t="s">
        <v>1816</v>
      </c>
      <c r="J434" s="4">
        <v>4500</v>
      </c>
    </row>
    <row r="435" spans="1:10" x14ac:dyDescent="0.25">
      <c r="A435" t="s">
        <v>8</v>
      </c>
      <c r="B435" t="s">
        <v>65</v>
      </c>
      <c r="C435">
        <v>2026</v>
      </c>
      <c r="D435">
        <v>7</v>
      </c>
      <c r="E435" t="s">
        <v>182</v>
      </c>
      <c r="F435" t="s">
        <v>245</v>
      </c>
      <c r="G435" t="s">
        <v>244</v>
      </c>
      <c r="H435" t="s">
        <v>451</v>
      </c>
      <c r="I435" t="s">
        <v>1130</v>
      </c>
      <c r="J435" s="4">
        <v>2544.15</v>
      </c>
    </row>
    <row r="436" spans="1:10" x14ac:dyDescent="0.25">
      <c r="A436" t="s">
        <v>8</v>
      </c>
      <c r="B436" t="s">
        <v>65</v>
      </c>
      <c r="C436">
        <v>2026</v>
      </c>
      <c r="D436">
        <v>3</v>
      </c>
      <c r="E436" t="s">
        <v>201</v>
      </c>
      <c r="F436" t="s">
        <v>200</v>
      </c>
      <c r="G436" t="s">
        <v>199</v>
      </c>
      <c r="H436" t="s">
        <v>1094</v>
      </c>
      <c r="I436" t="s">
        <v>1825</v>
      </c>
      <c r="J436" s="4">
        <v>1137.2</v>
      </c>
    </row>
    <row r="437" spans="1:10" x14ac:dyDescent="0.25">
      <c r="A437" t="s">
        <v>8</v>
      </c>
      <c r="B437" t="s">
        <v>65</v>
      </c>
      <c r="C437">
        <v>2026</v>
      </c>
      <c r="D437">
        <v>7</v>
      </c>
      <c r="E437" t="s">
        <v>196</v>
      </c>
      <c r="F437" t="s">
        <v>195</v>
      </c>
      <c r="G437" t="s">
        <v>194</v>
      </c>
      <c r="H437" t="s">
        <v>511</v>
      </c>
      <c r="I437" t="s">
        <v>1826</v>
      </c>
      <c r="J437" s="4">
        <v>100</v>
      </c>
    </row>
    <row r="438" spans="1:10" x14ac:dyDescent="0.25">
      <c r="A438" t="s">
        <v>8</v>
      </c>
      <c r="B438" t="s">
        <v>65</v>
      </c>
      <c r="C438">
        <v>2026</v>
      </c>
      <c r="D438">
        <v>8</v>
      </c>
      <c r="E438" t="s">
        <v>201</v>
      </c>
      <c r="F438" t="s">
        <v>392</v>
      </c>
      <c r="G438" t="s">
        <v>99</v>
      </c>
      <c r="H438" t="s">
        <v>1094</v>
      </c>
      <c r="I438" t="s">
        <v>1846</v>
      </c>
      <c r="J438" s="4">
        <v>74.9</v>
      </c>
    </row>
    <row r="439" spans="1:10" x14ac:dyDescent="0.25">
      <c r="A439" t="s">
        <v>8</v>
      </c>
      <c r="B439" t="s">
        <v>65</v>
      </c>
      <c r="C439">
        <v>2026</v>
      </c>
      <c r="D439">
        <v>4</v>
      </c>
      <c r="E439" t="s">
        <v>290</v>
      </c>
      <c r="F439" t="s">
        <v>297</v>
      </c>
      <c r="G439" t="s">
        <v>99</v>
      </c>
      <c r="H439" t="s">
        <v>451</v>
      </c>
      <c r="I439" t="s">
        <v>1844</v>
      </c>
      <c r="J439" s="4">
        <v>50</v>
      </c>
    </row>
    <row r="440" spans="1:10" x14ac:dyDescent="0.25">
      <c r="A440" t="s">
        <v>8</v>
      </c>
      <c r="B440" t="s">
        <v>65</v>
      </c>
      <c r="C440">
        <v>2026</v>
      </c>
      <c r="D440">
        <v>6</v>
      </c>
      <c r="E440" t="s">
        <v>178</v>
      </c>
      <c r="F440" t="s">
        <v>177</v>
      </c>
      <c r="G440" t="s">
        <v>176</v>
      </c>
      <c r="H440" t="s">
        <v>474</v>
      </c>
      <c r="I440" t="s">
        <v>1828</v>
      </c>
      <c r="J440" s="4">
        <v>440.01</v>
      </c>
    </row>
    <row r="441" spans="1:10" x14ac:dyDescent="0.25">
      <c r="A441" t="s">
        <v>8</v>
      </c>
      <c r="B441" t="s">
        <v>65</v>
      </c>
      <c r="C441">
        <v>2026</v>
      </c>
      <c r="D441">
        <v>6</v>
      </c>
      <c r="E441" t="s">
        <v>290</v>
      </c>
      <c r="F441" t="s">
        <v>373</v>
      </c>
      <c r="G441" t="s">
        <v>372</v>
      </c>
      <c r="H441" t="s">
        <v>451</v>
      </c>
      <c r="I441" t="s">
        <v>736</v>
      </c>
      <c r="J441" s="4">
        <v>170.91</v>
      </c>
    </row>
    <row r="442" spans="1:10" x14ac:dyDescent="0.25">
      <c r="A442" t="s">
        <v>8</v>
      </c>
      <c r="B442" t="s">
        <v>65</v>
      </c>
      <c r="C442">
        <v>2026</v>
      </c>
      <c r="D442">
        <v>2</v>
      </c>
      <c r="E442" t="s">
        <v>201</v>
      </c>
      <c r="F442" t="s">
        <v>200</v>
      </c>
      <c r="G442" t="s">
        <v>199</v>
      </c>
      <c r="H442" t="s">
        <v>1094</v>
      </c>
      <c r="I442" t="s">
        <v>1851</v>
      </c>
      <c r="J442" s="4">
        <v>4300</v>
      </c>
    </row>
    <row r="443" spans="1:10" x14ac:dyDescent="0.25">
      <c r="A443" t="s">
        <v>8</v>
      </c>
      <c r="B443" t="s">
        <v>65</v>
      </c>
      <c r="C443">
        <v>2026</v>
      </c>
      <c r="D443">
        <v>1</v>
      </c>
      <c r="E443" t="s">
        <v>268</v>
      </c>
      <c r="F443" t="s">
        <v>267</v>
      </c>
      <c r="G443" t="s">
        <v>99</v>
      </c>
      <c r="H443" t="s">
        <v>451</v>
      </c>
      <c r="I443" t="s">
        <v>1822</v>
      </c>
      <c r="J443" s="4">
        <v>2014</v>
      </c>
    </row>
    <row r="444" spans="1:10" x14ac:dyDescent="0.25">
      <c r="A444" t="s">
        <v>8</v>
      </c>
      <c r="B444" t="s">
        <v>65</v>
      </c>
      <c r="C444">
        <v>2026</v>
      </c>
      <c r="D444">
        <v>1</v>
      </c>
      <c r="E444" t="s">
        <v>316</v>
      </c>
      <c r="F444" t="s">
        <v>315</v>
      </c>
      <c r="G444" t="s">
        <v>314</v>
      </c>
      <c r="H444" t="s">
        <v>451</v>
      </c>
      <c r="I444" t="s">
        <v>1852</v>
      </c>
      <c r="J444" s="4">
        <v>177.05</v>
      </c>
    </row>
    <row r="445" spans="1:10" x14ac:dyDescent="0.25">
      <c r="A445" t="s">
        <v>8</v>
      </c>
      <c r="B445" t="s">
        <v>65</v>
      </c>
      <c r="C445">
        <v>2026</v>
      </c>
      <c r="D445">
        <v>6</v>
      </c>
      <c r="E445" t="s">
        <v>268</v>
      </c>
      <c r="F445" t="s">
        <v>325</v>
      </c>
      <c r="G445" t="s">
        <v>99</v>
      </c>
      <c r="H445" t="s">
        <v>451</v>
      </c>
      <c r="I445" t="s">
        <v>451</v>
      </c>
      <c r="J445" s="4">
        <v>885</v>
      </c>
    </row>
    <row r="446" spans="1:10" x14ac:dyDescent="0.25">
      <c r="A446" t="s">
        <v>8</v>
      </c>
      <c r="B446" t="s">
        <v>65</v>
      </c>
      <c r="C446">
        <v>2026</v>
      </c>
      <c r="D446">
        <v>6</v>
      </c>
      <c r="E446" t="s">
        <v>290</v>
      </c>
      <c r="F446" t="s">
        <v>367</v>
      </c>
      <c r="G446" t="s">
        <v>366</v>
      </c>
      <c r="H446" t="s">
        <v>451</v>
      </c>
      <c r="I446" t="s">
        <v>739</v>
      </c>
      <c r="J446" s="4">
        <v>60</v>
      </c>
    </row>
    <row r="447" spans="1:10" x14ac:dyDescent="0.25">
      <c r="A447" t="s">
        <v>8</v>
      </c>
      <c r="B447" t="s">
        <v>65</v>
      </c>
      <c r="C447">
        <v>2026</v>
      </c>
      <c r="D447">
        <v>8</v>
      </c>
      <c r="E447" t="s">
        <v>201</v>
      </c>
      <c r="F447" t="s">
        <v>200</v>
      </c>
      <c r="G447" t="s">
        <v>199</v>
      </c>
      <c r="H447" t="s">
        <v>1094</v>
      </c>
      <c r="I447" t="s">
        <v>1832</v>
      </c>
      <c r="J447" s="4">
        <v>250</v>
      </c>
    </row>
    <row r="448" spans="1:10" x14ac:dyDescent="0.25">
      <c r="A448" t="s">
        <v>8</v>
      </c>
      <c r="B448" t="s">
        <v>65</v>
      </c>
      <c r="C448">
        <v>2026</v>
      </c>
      <c r="D448">
        <v>4</v>
      </c>
      <c r="E448" t="s">
        <v>178</v>
      </c>
      <c r="F448" t="s">
        <v>177</v>
      </c>
      <c r="G448" t="s">
        <v>176</v>
      </c>
      <c r="H448" t="s">
        <v>474</v>
      </c>
      <c r="I448" t="s">
        <v>1839</v>
      </c>
      <c r="J448" s="4">
        <v>880</v>
      </c>
    </row>
    <row r="449" spans="1:10" x14ac:dyDescent="0.25">
      <c r="A449" t="s">
        <v>8</v>
      </c>
      <c r="B449" t="s">
        <v>65</v>
      </c>
      <c r="C449">
        <v>2026</v>
      </c>
      <c r="D449">
        <v>2</v>
      </c>
      <c r="E449" t="s">
        <v>201</v>
      </c>
      <c r="F449" t="s">
        <v>304</v>
      </c>
      <c r="G449" t="s">
        <v>303</v>
      </c>
      <c r="H449" t="s">
        <v>471</v>
      </c>
      <c r="I449" t="s">
        <v>1849</v>
      </c>
      <c r="J449" s="4">
        <v>130</v>
      </c>
    </row>
    <row r="450" spans="1:10" x14ac:dyDescent="0.25">
      <c r="A450" t="s">
        <v>8</v>
      </c>
      <c r="B450" t="s">
        <v>65</v>
      </c>
      <c r="C450">
        <v>2026</v>
      </c>
      <c r="D450">
        <v>6</v>
      </c>
      <c r="E450" t="s">
        <v>201</v>
      </c>
      <c r="F450" t="s">
        <v>200</v>
      </c>
      <c r="G450" t="s">
        <v>199</v>
      </c>
      <c r="H450" t="s">
        <v>445</v>
      </c>
      <c r="I450" t="s">
        <v>1711</v>
      </c>
      <c r="J450" s="4">
        <v>1169.82</v>
      </c>
    </row>
    <row r="451" spans="1:10" x14ac:dyDescent="0.25">
      <c r="A451" t="s">
        <v>8</v>
      </c>
      <c r="B451" t="s">
        <v>65</v>
      </c>
      <c r="C451">
        <v>2026</v>
      </c>
      <c r="D451">
        <v>3</v>
      </c>
      <c r="E451" t="s">
        <v>196</v>
      </c>
      <c r="F451" t="s">
        <v>213</v>
      </c>
      <c r="G451" t="s">
        <v>212</v>
      </c>
      <c r="H451" t="s">
        <v>467</v>
      </c>
      <c r="I451" t="s">
        <v>1855</v>
      </c>
      <c r="J451" s="4">
        <v>2850</v>
      </c>
    </row>
    <row r="452" spans="1:10" x14ac:dyDescent="0.25">
      <c r="A452" t="s">
        <v>8</v>
      </c>
      <c r="B452" t="s">
        <v>65</v>
      </c>
      <c r="C452">
        <v>2026</v>
      </c>
      <c r="D452">
        <v>4</v>
      </c>
      <c r="E452" t="s">
        <v>201</v>
      </c>
      <c r="F452" t="s">
        <v>200</v>
      </c>
      <c r="G452" t="s">
        <v>199</v>
      </c>
      <c r="H452" t="s">
        <v>1094</v>
      </c>
      <c r="I452" t="s">
        <v>1693</v>
      </c>
      <c r="J452" s="4">
        <v>109.8</v>
      </c>
    </row>
    <row r="453" spans="1:10" x14ac:dyDescent="0.25">
      <c r="A453" t="s">
        <v>8</v>
      </c>
      <c r="B453" t="s">
        <v>65</v>
      </c>
      <c r="C453">
        <v>2026</v>
      </c>
      <c r="D453">
        <v>6</v>
      </c>
      <c r="E453" t="s">
        <v>182</v>
      </c>
      <c r="F453" t="s">
        <v>181</v>
      </c>
      <c r="G453" t="s">
        <v>180</v>
      </c>
      <c r="H453" t="s">
        <v>451</v>
      </c>
      <c r="I453" t="s">
        <v>1135</v>
      </c>
      <c r="J453" s="4">
        <v>11062.4</v>
      </c>
    </row>
    <row r="454" spans="1:10" x14ac:dyDescent="0.25">
      <c r="A454" t="s">
        <v>8</v>
      </c>
      <c r="B454" t="s">
        <v>65</v>
      </c>
      <c r="C454">
        <v>2026</v>
      </c>
      <c r="D454">
        <v>3</v>
      </c>
      <c r="E454" t="s">
        <v>227</v>
      </c>
      <c r="F454" t="s">
        <v>226</v>
      </c>
      <c r="G454" t="s">
        <v>225</v>
      </c>
      <c r="H454" t="s">
        <v>451</v>
      </c>
      <c r="I454" t="s">
        <v>1816</v>
      </c>
      <c r="J454" s="4">
        <v>4500</v>
      </c>
    </row>
    <row r="455" spans="1:10" x14ac:dyDescent="0.25">
      <c r="A455" t="s">
        <v>8</v>
      </c>
      <c r="B455" t="s">
        <v>65</v>
      </c>
      <c r="C455">
        <v>2026</v>
      </c>
      <c r="D455">
        <v>1</v>
      </c>
      <c r="E455" t="s">
        <v>232</v>
      </c>
      <c r="F455" t="s">
        <v>261</v>
      </c>
      <c r="G455" t="s">
        <v>260</v>
      </c>
      <c r="H455" t="s">
        <v>451</v>
      </c>
      <c r="I455" t="s">
        <v>1861</v>
      </c>
      <c r="J455" s="4">
        <v>182.98</v>
      </c>
    </row>
    <row r="456" spans="1:10" x14ac:dyDescent="0.25">
      <c r="A456" t="s">
        <v>8</v>
      </c>
      <c r="B456" t="s">
        <v>65</v>
      </c>
      <c r="C456">
        <v>2026</v>
      </c>
      <c r="D456">
        <v>3</v>
      </c>
      <c r="E456" t="s">
        <v>268</v>
      </c>
      <c r="F456" t="s">
        <v>267</v>
      </c>
      <c r="G456" t="s">
        <v>99</v>
      </c>
      <c r="H456" t="s">
        <v>451</v>
      </c>
      <c r="I456" t="s">
        <v>1822</v>
      </c>
      <c r="J456" s="4">
        <v>2014</v>
      </c>
    </row>
    <row r="457" spans="1:10" x14ac:dyDescent="0.25">
      <c r="A457" t="s">
        <v>8</v>
      </c>
      <c r="B457" t="s">
        <v>65</v>
      </c>
      <c r="C457">
        <v>2026</v>
      </c>
      <c r="D457">
        <v>3</v>
      </c>
      <c r="E457" t="s">
        <v>227</v>
      </c>
      <c r="F457" t="s">
        <v>265</v>
      </c>
      <c r="G457" t="s">
        <v>99</v>
      </c>
      <c r="H457" t="s">
        <v>451</v>
      </c>
      <c r="I457" t="s">
        <v>1863</v>
      </c>
      <c r="J457" s="4">
        <v>1614</v>
      </c>
    </row>
    <row r="458" spans="1:10" x14ac:dyDescent="0.25">
      <c r="A458" t="s">
        <v>8</v>
      </c>
      <c r="B458" t="s">
        <v>65</v>
      </c>
      <c r="C458">
        <v>2026</v>
      </c>
      <c r="D458">
        <v>7</v>
      </c>
      <c r="E458" t="s">
        <v>201</v>
      </c>
      <c r="F458" t="s">
        <v>200</v>
      </c>
      <c r="G458" t="s">
        <v>199</v>
      </c>
      <c r="H458" t="s">
        <v>1094</v>
      </c>
      <c r="I458" t="s">
        <v>1699</v>
      </c>
      <c r="J458" s="4">
        <v>275</v>
      </c>
    </row>
    <row r="459" spans="1:10" x14ac:dyDescent="0.25">
      <c r="A459" t="s">
        <v>8</v>
      </c>
      <c r="B459" t="s">
        <v>65</v>
      </c>
      <c r="C459">
        <v>2026</v>
      </c>
      <c r="D459">
        <v>2</v>
      </c>
      <c r="E459" t="s">
        <v>182</v>
      </c>
      <c r="F459" t="s">
        <v>350</v>
      </c>
      <c r="G459" t="s">
        <v>99</v>
      </c>
      <c r="H459" t="s">
        <v>451</v>
      </c>
      <c r="I459" t="s">
        <v>1819</v>
      </c>
      <c r="J459" s="4">
        <v>756</v>
      </c>
    </row>
    <row r="460" spans="1:10" x14ac:dyDescent="0.25">
      <c r="A460" t="s">
        <v>8</v>
      </c>
      <c r="B460" t="s">
        <v>65</v>
      </c>
      <c r="C460">
        <v>2026</v>
      </c>
      <c r="D460">
        <v>1</v>
      </c>
      <c r="E460" t="s">
        <v>290</v>
      </c>
      <c r="F460" t="s">
        <v>297</v>
      </c>
      <c r="G460" t="s">
        <v>99</v>
      </c>
      <c r="H460" t="s">
        <v>451</v>
      </c>
      <c r="I460" t="s">
        <v>1844</v>
      </c>
      <c r="J460" s="4">
        <v>50</v>
      </c>
    </row>
    <row r="461" spans="1:10" x14ac:dyDescent="0.25">
      <c r="A461" t="s">
        <v>8</v>
      </c>
      <c r="B461" t="s">
        <v>65</v>
      </c>
      <c r="C461">
        <v>2026</v>
      </c>
      <c r="D461">
        <v>7</v>
      </c>
      <c r="E461" t="s">
        <v>201</v>
      </c>
      <c r="F461" t="s">
        <v>200</v>
      </c>
      <c r="G461" t="s">
        <v>199</v>
      </c>
      <c r="H461" t="s">
        <v>445</v>
      </c>
      <c r="I461" t="s">
        <v>1711</v>
      </c>
      <c r="J461" s="4">
        <v>1169.82</v>
      </c>
    </row>
    <row r="462" spans="1:10" x14ac:dyDescent="0.25">
      <c r="A462" t="s">
        <v>8</v>
      </c>
      <c r="B462" t="s">
        <v>65</v>
      </c>
      <c r="C462">
        <v>2026</v>
      </c>
      <c r="D462">
        <v>3</v>
      </c>
      <c r="E462" t="s">
        <v>290</v>
      </c>
      <c r="F462" t="s">
        <v>365</v>
      </c>
      <c r="G462" t="s">
        <v>364</v>
      </c>
      <c r="H462" t="s">
        <v>451</v>
      </c>
      <c r="I462" t="s">
        <v>748</v>
      </c>
      <c r="J462" s="4">
        <v>217.74</v>
      </c>
    </row>
    <row r="463" spans="1:10" x14ac:dyDescent="0.25">
      <c r="A463" t="s">
        <v>8</v>
      </c>
      <c r="B463" t="s">
        <v>65</v>
      </c>
      <c r="C463">
        <v>2026</v>
      </c>
      <c r="D463">
        <v>5</v>
      </c>
      <c r="E463" t="s">
        <v>232</v>
      </c>
      <c r="F463" t="s">
        <v>231</v>
      </c>
      <c r="G463" t="s">
        <v>230</v>
      </c>
      <c r="H463" t="s">
        <v>465</v>
      </c>
      <c r="I463" t="s">
        <v>1821</v>
      </c>
      <c r="J463" s="4">
        <v>1476.31</v>
      </c>
    </row>
    <row r="464" spans="1:10" x14ac:dyDescent="0.25">
      <c r="A464" t="s">
        <v>8</v>
      </c>
      <c r="B464" t="s">
        <v>65</v>
      </c>
      <c r="C464">
        <v>2026</v>
      </c>
      <c r="D464">
        <v>4</v>
      </c>
      <c r="E464" t="s">
        <v>201</v>
      </c>
      <c r="F464" t="s">
        <v>392</v>
      </c>
      <c r="G464" t="s">
        <v>99</v>
      </c>
      <c r="H464" t="s">
        <v>1094</v>
      </c>
      <c r="I464" t="s">
        <v>1846</v>
      </c>
      <c r="J464" s="4">
        <v>74.9</v>
      </c>
    </row>
    <row r="465" spans="1:10" x14ac:dyDescent="0.25">
      <c r="A465" t="s">
        <v>8</v>
      </c>
      <c r="B465" t="s">
        <v>65</v>
      </c>
      <c r="C465">
        <v>2026</v>
      </c>
      <c r="D465">
        <v>2</v>
      </c>
      <c r="E465" t="s">
        <v>232</v>
      </c>
      <c r="F465" t="s">
        <v>250</v>
      </c>
      <c r="G465" t="s">
        <v>249</v>
      </c>
      <c r="H465" t="s">
        <v>511</v>
      </c>
      <c r="I465" t="s">
        <v>1530</v>
      </c>
      <c r="J465" s="4">
        <v>3300</v>
      </c>
    </row>
    <row r="466" spans="1:10" x14ac:dyDescent="0.25">
      <c r="A466" t="s">
        <v>8</v>
      </c>
      <c r="B466" t="s">
        <v>65</v>
      </c>
      <c r="C466">
        <v>2026</v>
      </c>
      <c r="D466">
        <v>2</v>
      </c>
      <c r="E466" t="s">
        <v>290</v>
      </c>
      <c r="F466" t="s">
        <v>297</v>
      </c>
      <c r="G466" t="s">
        <v>296</v>
      </c>
      <c r="H466" t="s">
        <v>451</v>
      </c>
      <c r="I466" t="s">
        <v>743</v>
      </c>
      <c r="J466" s="4">
        <v>709.99</v>
      </c>
    </row>
    <row r="467" spans="1:10" x14ac:dyDescent="0.25">
      <c r="A467" t="s">
        <v>8</v>
      </c>
      <c r="B467" t="s">
        <v>65</v>
      </c>
      <c r="C467">
        <v>2026</v>
      </c>
      <c r="D467">
        <v>6</v>
      </c>
      <c r="E467" t="s">
        <v>201</v>
      </c>
      <c r="F467" t="s">
        <v>200</v>
      </c>
      <c r="G467" t="s">
        <v>199</v>
      </c>
      <c r="H467" t="s">
        <v>1094</v>
      </c>
      <c r="I467" t="s">
        <v>1832</v>
      </c>
      <c r="J467" s="4">
        <v>250</v>
      </c>
    </row>
    <row r="468" spans="1:10" x14ac:dyDescent="0.25">
      <c r="A468" t="s">
        <v>8</v>
      </c>
      <c r="B468" t="s">
        <v>65</v>
      </c>
      <c r="C468">
        <v>2026</v>
      </c>
      <c r="D468">
        <v>2</v>
      </c>
      <c r="E468" t="s">
        <v>268</v>
      </c>
      <c r="F468" t="s">
        <v>325</v>
      </c>
      <c r="G468" t="s">
        <v>99</v>
      </c>
      <c r="H468" t="s">
        <v>451</v>
      </c>
      <c r="I468" t="s">
        <v>451</v>
      </c>
      <c r="J468" s="4">
        <v>885</v>
      </c>
    </row>
    <row r="469" spans="1:10" x14ac:dyDescent="0.25">
      <c r="A469" t="s">
        <v>8</v>
      </c>
      <c r="B469" t="s">
        <v>65</v>
      </c>
      <c r="C469">
        <v>2026</v>
      </c>
      <c r="D469">
        <v>6</v>
      </c>
      <c r="E469" t="s">
        <v>196</v>
      </c>
      <c r="F469" t="s">
        <v>195</v>
      </c>
      <c r="G469" t="s">
        <v>194</v>
      </c>
      <c r="H469" t="s">
        <v>511</v>
      </c>
      <c r="I469" t="s">
        <v>1859</v>
      </c>
      <c r="J469" s="4">
        <v>3000</v>
      </c>
    </row>
    <row r="470" spans="1:10" x14ac:dyDescent="0.25">
      <c r="A470" t="s">
        <v>8</v>
      </c>
      <c r="B470" t="s">
        <v>65</v>
      </c>
      <c r="C470">
        <v>2026</v>
      </c>
      <c r="D470">
        <v>7</v>
      </c>
      <c r="E470" t="s">
        <v>196</v>
      </c>
      <c r="F470" t="s">
        <v>195</v>
      </c>
      <c r="G470" t="s">
        <v>194</v>
      </c>
      <c r="H470" t="s">
        <v>467</v>
      </c>
      <c r="I470" t="s">
        <v>1827</v>
      </c>
      <c r="J470" s="4">
        <v>2000</v>
      </c>
    </row>
    <row r="471" spans="1:10" x14ac:dyDescent="0.25">
      <c r="A471" t="s">
        <v>8</v>
      </c>
      <c r="B471" t="s">
        <v>65</v>
      </c>
      <c r="C471">
        <v>2026</v>
      </c>
      <c r="D471">
        <v>7</v>
      </c>
      <c r="E471" t="s">
        <v>316</v>
      </c>
      <c r="F471" t="s">
        <v>315</v>
      </c>
      <c r="G471" t="s">
        <v>314</v>
      </c>
      <c r="H471" t="s">
        <v>451</v>
      </c>
      <c r="I471" t="s">
        <v>1852</v>
      </c>
      <c r="J471" s="4">
        <v>177.05</v>
      </c>
    </row>
    <row r="472" spans="1:10" x14ac:dyDescent="0.25">
      <c r="A472" t="s">
        <v>8</v>
      </c>
      <c r="B472" t="s">
        <v>65</v>
      </c>
      <c r="C472">
        <v>2026</v>
      </c>
      <c r="D472">
        <v>8</v>
      </c>
      <c r="E472" t="s">
        <v>232</v>
      </c>
      <c r="F472" t="s">
        <v>231</v>
      </c>
      <c r="G472" t="s">
        <v>230</v>
      </c>
      <c r="H472" t="s">
        <v>511</v>
      </c>
      <c r="I472" t="s">
        <v>949</v>
      </c>
      <c r="J472" s="4">
        <v>4766.3</v>
      </c>
    </row>
    <row r="473" spans="1:10" x14ac:dyDescent="0.25">
      <c r="A473" t="s">
        <v>8</v>
      </c>
      <c r="B473" t="s">
        <v>65</v>
      </c>
      <c r="C473">
        <v>2026</v>
      </c>
      <c r="D473">
        <v>2</v>
      </c>
      <c r="E473" t="s">
        <v>201</v>
      </c>
      <c r="F473" t="s">
        <v>239</v>
      </c>
      <c r="G473" t="s">
        <v>238</v>
      </c>
      <c r="H473" t="s">
        <v>1094</v>
      </c>
      <c r="I473" t="s">
        <v>1848</v>
      </c>
      <c r="J473" s="4">
        <v>1350</v>
      </c>
    </row>
    <row r="474" spans="1:10" x14ac:dyDescent="0.25">
      <c r="A474" t="s">
        <v>8</v>
      </c>
      <c r="B474" t="s">
        <v>65</v>
      </c>
      <c r="C474">
        <v>2026</v>
      </c>
      <c r="D474">
        <v>3</v>
      </c>
      <c r="E474" t="s">
        <v>201</v>
      </c>
      <c r="F474" t="s">
        <v>200</v>
      </c>
      <c r="G474" t="s">
        <v>199</v>
      </c>
      <c r="H474" t="s">
        <v>1094</v>
      </c>
      <c r="I474" t="s">
        <v>1845</v>
      </c>
      <c r="J474" s="4">
        <v>343.25</v>
      </c>
    </row>
    <row r="475" spans="1:10" x14ac:dyDescent="0.25">
      <c r="A475" t="s">
        <v>8</v>
      </c>
      <c r="B475" t="s">
        <v>65</v>
      </c>
      <c r="C475">
        <v>2026</v>
      </c>
      <c r="D475">
        <v>1</v>
      </c>
      <c r="E475" t="s">
        <v>227</v>
      </c>
      <c r="F475" t="s">
        <v>226</v>
      </c>
      <c r="G475" t="s">
        <v>225</v>
      </c>
      <c r="H475" t="s">
        <v>451</v>
      </c>
      <c r="I475" t="s">
        <v>1816</v>
      </c>
      <c r="J475" s="4">
        <v>4500</v>
      </c>
    </row>
    <row r="476" spans="1:10" x14ac:dyDescent="0.25">
      <c r="A476" t="s">
        <v>8</v>
      </c>
      <c r="B476" t="s">
        <v>65</v>
      </c>
      <c r="C476">
        <v>2026</v>
      </c>
      <c r="D476">
        <v>1</v>
      </c>
      <c r="E476" t="s">
        <v>201</v>
      </c>
      <c r="F476" t="s">
        <v>200</v>
      </c>
      <c r="G476" t="s">
        <v>199</v>
      </c>
      <c r="H476" t="s">
        <v>1094</v>
      </c>
      <c r="I476" t="s">
        <v>1693</v>
      </c>
      <c r="J476" s="4">
        <v>109.8</v>
      </c>
    </row>
    <row r="477" spans="1:10" x14ac:dyDescent="0.25">
      <c r="A477" t="s">
        <v>8</v>
      </c>
      <c r="B477" t="s">
        <v>65</v>
      </c>
      <c r="C477">
        <v>2026</v>
      </c>
      <c r="D477">
        <v>3</v>
      </c>
      <c r="E477" t="s">
        <v>196</v>
      </c>
      <c r="F477" t="s">
        <v>195</v>
      </c>
      <c r="G477" t="s">
        <v>194</v>
      </c>
      <c r="H477" t="s">
        <v>511</v>
      </c>
      <c r="I477" t="s">
        <v>1859</v>
      </c>
      <c r="J477" s="4">
        <v>3000</v>
      </c>
    </row>
    <row r="478" spans="1:10" x14ac:dyDescent="0.25">
      <c r="A478" t="s">
        <v>8</v>
      </c>
      <c r="B478" t="s">
        <v>65</v>
      </c>
      <c r="C478">
        <v>2026</v>
      </c>
      <c r="D478">
        <v>6</v>
      </c>
      <c r="E478" t="s">
        <v>201</v>
      </c>
      <c r="F478" t="s">
        <v>304</v>
      </c>
      <c r="G478" t="s">
        <v>303</v>
      </c>
      <c r="H478" t="s">
        <v>467</v>
      </c>
      <c r="I478" t="s">
        <v>1842</v>
      </c>
      <c r="J478" s="4">
        <v>390</v>
      </c>
    </row>
    <row r="479" spans="1:10" x14ac:dyDescent="0.25">
      <c r="A479" t="s">
        <v>8</v>
      </c>
      <c r="B479" t="s">
        <v>65</v>
      </c>
      <c r="C479">
        <v>2026</v>
      </c>
      <c r="D479">
        <v>6</v>
      </c>
      <c r="E479" t="s">
        <v>232</v>
      </c>
      <c r="F479" t="s">
        <v>261</v>
      </c>
      <c r="G479" t="s">
        <v>260</v>
      </c>
      <c r="H479" t="s">
        <v>451</v>
      </c>
      <c r="I479" t="s">
        <v>1861</v>
      </c>
      <c r="J479" s="4">
        <v>182.98</v>
      </c>
    </row>
    <row r="480" spans="1:10" x14ac:dyDescent="0.25">
      <c r="A480" t="s">
        <v>8</v>
      </c>
      <c r="B480" t="s">
        <v>65</v>
      </c>
      <c r="C480">
        <v>2026</v>
      </c>
      <c r="D480">
        <v>5</v>
      </c>
      <c r="E480" t="s">
        <v>316</v>
      </c>
      <c r="F480" t="s">
        <v>371</v>
      </c>
      <c r="G480" t="s">
        <v>370</v>
      </c>
      <c r="H480" t="s">
        <v>451</v>
      </c>
      <c r="I480" t="s">
        <v>1834</v>
      </c>
      <c r="J480" s="4">
        <v>10</v>
      </c>
    </row>
    <row r="481" spans="1:10" x14ac:dyDescent="0.25">
      <c r="A481" t="s">
        <v>8</v>
      </c>
      <c r="B481" t="s">
        <v>65</v>
      </c>
      <c r="C481">
        <v>2026</v>
      </c>
      <c r="D481">
        <v>8</v>
      </c>
      <c r="E481" t="s">
        <v>396</v>
      </c>
      <c r="F481" t="s">
        <v>395</v>
      </c>
      <c r="G481" t="s">
        <v>108</v>
      </c>
      <c r="H481" t="s">
        <v>451</v>
      </c>
      <c r="I481" t="s">
        <v>522</v>
      </c>
      <c r="J481" s="4">
        <v>10</v>
      </c>
    </row>
    <row r="482" spans="1:10" x14ac:dyDescent="0.25">
      <c r="A482" t="s">
        <v>8</v>
      </c>
      <c r="B482" t="s">
        <v>65</v>
      </c>
      <c r="C482">
        <v>2026</v>
      </c>
      <c r="D482">
        <v>5</v>
      </c>
      <c r="E482" t="s">
        <v>201</v>
      </c>
      <c r="F482" t="s">
        <v>200</v>
      </c>
      <c r="G482" t="s">
        <v>199</v>
      </c>
      <c r="H482" t="s">
        <v>1094</v>
      </c>
      <c r="I482" t="s">
        <v>1693</v>
      </c>
      <c r="J482" s="4">
        <v>109.8</v>
      </c>
    </row>
    <row r="483" spans="1:10" x14ac:dyDescent="0.25">
      <c r="A483" t="s">
        <v>8</v>
      </c>
      <c r="B483" t="s">
        <v>65</v>
      </c>
      <c r="C483">
        <v>2026</v>
      </c>
      <c r="D483">
        <v>4</v>
      </c>
      <c r="E483" t="s">
        <v>316</v>
      </c>
      <c r="F483" t="s">
        <v>315</v>
      </c>
      <c r="G483" t="s">
        <v>314</v>
      </c>
      <c r="H483" t="s">
        <v>451</v>
      </c>
      <c r="I483" t="s">
        <v>1823</v>
      </c>
      <c r="J483" s="4">
        <v>179</v>
      </c>
    </row>
    <row r="484" spans="1:10" x14ac:dyDescent="0.25">
      <c r="A484" t="s">
        <v>8</v>
      </c>
      <c r="B484" t="s">
        <v>65</v>
      </c>
      <c r="C484">
        <v>2026</v>
      </c>
      <c r="D484">
        <v>5</v>
      </c>
      <c r="E484" t="s">
        <v>290</v>
      </c>
      <c r="F484" t="s">
        <v>297</v>
      </c>
      <c r="G484" t="s">
        <v>99</v>
      </c>
      <c r="H484" t="s">
        <v>451</v>
      </c>
      <c r="I484" t="s">
        <v>1844</v>
      </c>
      <c r="J484" s="4">
        <v>50</v>
      </c>
    </row>
    <row r="485" spans="1:10" x14ac:dyDescent="0.25">
      <c r="A485" t="s">
        <v>8</v>
      </c>
      <c r="B485" t="s">
        <v>65</v>
      </c>
      <c r="C485">
        <v>2026</v>
      </c>
      <c r="D485">
        <v>6</v>
      </c>
      <c r="E485" t="s">
        <v>232</v>
      </c>
      <c r="F485" t="s">
        <v>261</v>
      </c>
      <c r="G485" t="s">
        <v>260</v>
      </c>
      <c r="H485" t="s">
        <v>511</v>
      </c>
      <c r="I485" t="s">
        <v>1820</v>
      </c>
      <c r="J485" s="4">
        <v>1053.1</v>
      </c>
    </row>
    <row r="486" spans="1:10" x14ac:dyDescent="0.25">
      <c r="A486" t="s">
        <v>8</v>
      </c>
      <c r="B486" t="s">
        <v>65</v>
      </c>
      <c r="C486">
        <v>2026</v>
      </c>
      <c r="D486">
        <v>4</v>
      </c>
      <c r="E486" t="s">
        <v>268</v>
      </c>
      <c r="F486" t="s">
        <v>363</v>
      </c>
      <c r="G486" t="s">
        <v>362</v>
      </c>
      <c r="H486" t="s">
        <v>451</v>
      </c>
      <c r="I486" t="s">
        <v>1840</v>
      </c>
      <c r="J486" s="4">
        <v>234.64</v>
      </c>
    </row>
    <row r="487" spans="1:10" x14ac:dyDescent="0.25">
      <c r="A487" t="s">
        <v>8</v>
      </c>
      <c r="B487" t="s">
        <v>65</v>
      </c>
      <c r="C487">
        <v>2026</v>
      </c>
      <c r="D487">
        <v>4</v>
      </c>
      <c r="E487" t="s">
        <v>196</v>
      </c>
      <c r="F487" t="s">
        <v>195</v>
      </c>
      <c r="G487" t="s">
        <v>194</v>
      </c>
      <c r="H487" t="s">
        <v>511</v>
      </c>
      <c r="I487" t="s">
        <v>1818</v>
      </c>
      <c r="J487" s="4">
        <v>100.2</v>
      </c>
    </row>
    <row r="488" spans="1:10" x14ac:dyDescent="0.25">
      <c r="A488" t="s">
        <v>8</v>
      </c>
      <c r="B488" t="s">
        <v>65</v>
      </c>
      <c r="C488">
        <v>2026</v>
      </c>
      <c r="D488">
        <v>1</v>
      </c>
      <c r="E488" t="s">
        <v>158</v>
      </c>
      <c r="F488" t="s">
        <v>205</v>
      </c>
      <c r="G488" t="s">
        <v>99</v>
      </c>
      <c r="H488" t="s">
        <v>451</v>
      </c>
      <c r="I488" t="s">
        <v>99</v>
      </c>
      <c r="J488" s="4">
        <v>20000</v>
      </c>
    </row>
    <row r="489" spans="1:10" x14ac:dyDescent="0.25">
      <c r="A489" t="s">
        <v>8</v>
      </c>
      <c r="B489" t="s">
        <v>65</v>
      </c>
      <c r="C489">
        <v>2026</v>
      </c>
      <c r="D489">
        <v>5</v>
      </c>
      <c r="E489" t="s">
        <v>158</v>
      </c>
      <c r="F489" t="s">
        <v>157</v>
      </c>
      <c r="G489" t="s">
        <v>156</v>
      </c>
      <c r="H489" t="s">
        <v>451</v>
      </c>
      <c r="I489" t="s">
        <v>956</v>
      </c>
      <c r="J489" s="4">
        <v>330000</v>
      </c>
    </row>
    <row r="490" spans="1:10" x14ac:dyDescent="0.25">
      <c r="A490" t="s">
        <v>8</v>
      </c>
      <c r="B490" t="s">
        <v>65</v>
      </c>
      <c r="C490">
        <v>2026</v>
      </c>
      <c r="D490">
        <v>8</v>
      </c>
      <c r="E490" t="s">
        <v>290</v>
      </c>
      <c r="F490" t="s">
        <v>297</v>
      </c>
      <c r="G490" t="s">
        <v>296</v>
      </c>
      <c r="H490" t="s">
        <v>451</v>
      </c>
      <c r="I490" t="s">
        <v>739</v>
      </c>
      <c r="J490" s="4">
        <v>165</v>
      </c>
    </row>
    <row r="491" spans="1:10" x14ac:dyDescent="0.25">
      <c r="A491" t="s">
        <v>8</v>
      </c>
      <c r="B491" t="s">
        <v>65</v>
      </c>
      <c r="C491">
        <v>2026</v>
      </c>
      <c r="D491">
        <v>6</v>
      </c>
      <c r="E491" t="s">
        <v>201</v>
      </c>
      <c r="F491" t="s">
        <v>200</v>
      </c>
      <c r="G491" t="s">
        <v>199</v>
      </c>
      <c r="H491" t="s">
        <v>1094</v>
      </c>
      <c r="I491" t="s">
        <v>1699</v>
      </c>
      <c r="J491" s="4">
        <v>275</v>
      </c>
    </row>
    <row r="492" spans="1:10" x14ac:dyDescent="0.25">
      <c r="A492" t="s">
        <v>8</v>
      </c>
      <c r="B492" t="s">
        <v>65</v>
      </c>
      <c r="C492">
        <v>2026</v>
      </c>
      <c r="D492">
        <v>2</v>
      </c>
      <c r="E492" t="s">
        <v>232</v>
      </c>
      <c r="F492" t="s">
        <v>231</v>
      </c>
      <c r="G492" t="s">
        <v>230</v>
      </c>
      <c r="H492" t="s">
        <v>511</v>
      </c>
      <c r="I492" t="s">
        <v>949</v>
      </c>
      <c r="J492" s="4">
        <v>4766.3</v>
      </c>
    </row>
    <row r="493" spans="1:10" x14ac:dyDescent="0.25">
      <c r="A493" t="s">
        <v>8</v>
      </c>
      <c r="B493" t="s">
        <v>65</v>
      </c>
      <c r="C493">
        <v>2026</v>
      </c>
      <c r="D493">
        <v>6</v>
      </c>
      <c r="E493" t="s">
        <v>182</v>
      </c>
      <c r="F493" t="s">
        <v>252</v>
      </c>
      <c r="G493" t="s">
        <v>251</v>
      </c>
      <c r="H493" t="s">
        <v>1094</v>
      </c>
      <c r="I493" t="s">
        <v>1093</v>
      </c>
      <c r="J493" s="4">
        <v>3006.07</v>
      </c>
    </row>
    <row r="494" spans="1:10" x14ac:dyDescent="0.25">
      <c r="A494" t="s">
        <v>8</v>
      </c>
      <c r="B494" t="s">
        <v>65</v>
      </c>
      <c r="C494">
        <v>2026</v>
      </c>
      <c r="D494">
        <v>4</v>
      </c>
      <c r="E494" t="s">
        <v>232</v>
      </c>
      <c r="F494" t="s">
        <v>231</v>
      </c>
      <c r="G494" t="s">
        <v>230</v>
      </c>
      <c r="H494" t="s">
        <v>465</v>
      </c>
      <c r="I494" t="s">
        <v>1821</v>
      </c>
      <c r="J494" s="4">
        <v>1476.31</v>
      </c>
    </row>
    <row r="495" spans="1:10" x14ac:dyDescent="0.25">
      <c r="A495" t="s">
        <v>8</v>
      </c>
      <c r="B495" t="s">
        <v>65</v>
      </c>
      <c r="C495">
        <v>2026</v>
      </c>
      <c r="D495">
        <v>4</v>
      </c>
      <c r="E495" t="s">
        <v>201</v>
      </c>
      <c r="F495" t="s">
        <v>200</v>
      </c>
      <c r="G495" t="s">
        <v>199</v>
      </c>
      <c r="H495" t="s">
        <v>1094</v>
      </c>
      <c r="I495" t="s">
        <v>1832</v>
      </c>
      <c r="J495" s="4">
        <v>250</v>
      </c>
    </row>
    <row r="496" spans="1:10" x14ac:dyDescent="0.25">
      <c r="A496" t="s">
        <v>8</v>
      </c>
      <c r="B496" t="s">
        <v>65</v>
      </c>
      <c r="C496">
        <v>2026</v>
      </c>
      <c r="D496">
        <v>6</v>
      </c>
      <c r="E496" t="s">
        <v>248</v>
      </c>
      <c r="F496" t="s">
        <v>387</v>
      </c>
      <c r="G496" t="s">
        <v>386</v>
      </c>
      <c r="H496" t="s">
        <v>451</v>
      </c>
      <c r="I496" t="s">
        <v>824</v>
      </c>
      <c r="J496" s="4">
        <v>10.5</v>
      </c>
    </row>
    <row r="497" spans="1:10" x14ac:dyDescent="0.25">
      <c r="A497" t="s">
        <v>8</v>
      </c>
      <c r="B497" t="s">
        <v>65</v>
      </c>
      <c r="C497">
        <v>2026</v>
      </c>
      <c r="D497">
        <v>7</v>
      </c>
      <c r="E497" t="s">
        <v>290</v>
      </c>
      <c r="F497" t="s">
        <v>367</v>
      </c>
      <c r="G497" t="s">
        <v>366</v>
      </c>
      <c r="H497" t="s">
        <v>451</v>
      </c>
      <c r="I497" t="s">
        <v>739</v>
      </c>
      <c r="J497" s="4">
        <v>55</v>
      </c>
    </row>
    <row r="498" spans="1:10" x14ac:dyDescent="0.25">
      <c r="A498" t="s">
        <v>8</v>
      </c>
      <c r="B498" t="s">
        <v>65</v>
      </c>
      <c r="C498">
        <v>2026</v>
      </c>
      <c r="D498">
        <v>7</v>
      </c>
      <c r="E498" t="s">
        <v>290</v>
      </c>
      <c r="F498" t="s">
        <v>309</v>
      </c>
      <c r="G498" t="s">
        <v>308</v>
      </c>
      <c r="H498" t="s">
        <v>451</v>
      </c>
      <c r="I498" t="s">
        <v>733</v>
      </c>
      <c r="J498" s="4">
        <v>1700</v>
      </c>
    </row>
    <row r="499" spans="1:10" x14ac:dyDescent="0.25">
      <c r="A499" t="s">
        <v>8</v>
      </c>
      <c r="B499" t="s">
        <v>65</v>
      </c>
      <c r="C499">
        <v>2026</v>
      </c>
      <c r="D499">
        <v>1</v>
      </c>
      <c r="E499" t="s">
        <v>290</v>
      </c>
      <c r="F499" t="s">
        <v>289</v>
      </c>
      <c r="G499" t="s">
        <v>288</v>
      </c>
      <c r="H499" t="s">
        <v>451</v>
      </c>
      <c r="I499" t="s">
        <v>734</v>
      </c>
      <c r="J499" s="4">
        <v>2100</v>
      </c>
    </row>
    <row r="500" spans="1:10" x14ac:dyDescent="0.25">
      <c r="A500" t="s">
        <v>8</v>
      </c>
      <c r="B500" t="s">
        <v>65</v>
      </c>
      <c r="C500">
        <v>2026</v>
      </c>
      <c r="D500">
        <v>8</v>
      </c>
      <c r="E500" t="s">
        <v>290</v>
      </c>
      <c r="F500" t="s">
        <v>367</v>
      </c>
      <c r="G500" t="s">
        <v>366</v>
      </c>
      <c r="H500" t="s">
        <v>451</v>
      </c>
      <c r="I500" t="s">
        <v>739</v>
      </c>
      <c r="J500" s="4">
        <v>55</v>
      </c>
    </row>
    <row r="501" spans="1:10" x14ac:dyDescent="0.25">
      <c r="A501" t="s">
        <v>8</v>
      </c>
      <c r="B501" t="s">
        <v>65</v>
      </c>
      <c r="C501">
        <v>2026</v>
      </c>
      <c r="D501">
        <v>5</v>
      </c>
      <c r="E501" t="s">
        <v>290</v>
      </c>
      <c r="F501" t="s">
        <v>297</v>
      </c>
      <c r="G501" t="s">
        <v>296</v>
      </c>
      <c r="H501" t="s">
        <v>451</v>
      </c>
      <c r="I501" t="s">
        <v>1824</v>
      </c>
      <c r="J501" s="4">
        <v>1000</v>
      </c>
    </row>
    <row r="502" spans="1:10" x14ac:dyDescent="0.25">
      <c r="A502" t="s">
        <v>8</v>
      </c>
      <c r="B502" t="s">
        <v>65</v>
      </c>
      <c r="C502">
        <v>2026</v>
      </c>
      <c r="D502">
        <v>8</v>
      </c>
      <c r="E502" t="s">
        <v>182</v>
      </c>
      <c r="F502" t="s">
        <v>350</v>
      </c>
      <c r="G502" t="s">
        <v>99</v>
      </c>
      <c r="H502" t="s">
        <v>451</v>
      </c>
      <c r="I502" t="s">
        <v>1819</v>
      </c>
      <c r="J502" s="4">
        <v>756</v>
      </c>
    </row>
    <row r="503" spans="1:10" x14ac:dyDescent="0.25">
      <c r="A503" t="s">
        <v>8</v>
      </c>
      <c r="B503" t="s">
        <v>65</v>
      </c>
      <c r="C503">
        <v>2026</v>
      </c>
      <c r="D503">
        <v>4</v>
      </c>
      <c r="E503" t="s">
        <v>290</v>
      </c>
      <c r="F503" t="s">
        <v>373</v>
      </c>
      <c r="G503" t="s">
        <v>372</v>
      </c>
      <c r="H503" t="s">
        <v>451</v>
      </c>
      <c r="I503" t="s">
        <v>736</v>
      </c>
      <c r="J503" s="4">
        <v>170.91</v>
      </c>
    </row>
    <row r="504" spans="1:10" x14ac:dyDescent="0.25">
      <c r="A504" t="s">
        <v>8</v>
      </c>
      <c r="B504" t="s">
        <v>65</v>
      </c>
      <c r="C504">
        <v>2026</v>
      </c>
      <c r="D504">
        <v>1</v>
      </c>
      <c r="E504" t="s">
        <v>232</v>
      </c>
      <c r="F504" t="s">
        <v>250</v>
      </c>
      <c r="G504" t="s">
        <v>249</v>
      </c>
      <c r="H504" t="s">
        <v>511</v>
      </c>
      <c r="I504" t="s">
        <v>1530</v>
      </c>
      <c r="J504" s="4">
        <v>3300</v>
      </c>
    </row>
    <row r="505" spans="1:10" x14ac:dyDescent="0.25">
      <c r="A505" t="s">
        <v>8</v>
      </c>
      <c r="B505" t="s">
        <v>65</v>
      </c>
      <c r="C505">
        <v>2026</v>
      </c>
      <c r="D505">
        <v>8</v>
      </c>
      <c r="E505" t="s">
        <v>227</v>
      </c>
      <c r="F505" t="s">
        <v>226</v>
      </c>
      <c r="G505" t="s">
        <v>99</v>
      </c>
      <c r="H505" t="s">
        <v>451</v>
      </c>
      <c r="I505" t="s">
        <v>1864</v>
      </c>
      <c r="J505" s="4">
        <v>4607</v>
      </c>
    </row>
    <row r="506" spans="1:10" x14ac:dyDescent="0.25">
      <c r="A506" t="s">
        <v>8</v>
      </c>
      <c r="B506" t="s">
        <v>65</v>
      </c>
      <c r="C506">
        <v>2026</v>
      </c>
      <c r="D506">
        <v>3</v>
      </c>
      <c r="E506" t="s">
        <v>196</v>
      </c>
      <c r="F506" t="s">
        <v>195</v>
      </c>
      <c r="G506" t="s">
        <v>194</v>
      </c>
      <c r="H506" t="s">
        <v>511</v>
      </c>
      <c r="I506" t="s">
        <v>1818</v>
      </c>
      <c r="J506" s="4">
        <v>100.2</v>
      </c>
    </row>
    <row r="507" spans="1:10" x14ac:dyDescent="0.25">
      <c r="A507" t="s">
        <v>8</v>
      </c>
      <c r="B507" t="s">
        <v>65</v>
      </c>
      <c r="C507">
        <v>2026</v>
      </c>
      <c r="D507">
        <v>5</v>
      </c>
      <c r="E507" t="s">
        <v>158</v>
      </c>
      <c r="F507" t="s">
        <v>171</v>
      </c>
      <c r="G507" t="s">
        <v>85</v>
      </c>
      <c r="H507" t="s">
        <v>471</v>
      </c>
      <c r="I507" t="s">
        <v>471</v>
      </c>
      <c r="J507" s="4">
        <v>60000</v>
      </c>
    </row>
    <row r="508" spans="1:10" x14ac:dyDescent="0.25">
      <c r="A508" t="s">
        <v>8</v>
      </c>
      <c r="B508" t="s">
        <v>65</v>
      </c>
      <c r="C508">
        <v>2026</v>
      </c>
      <c r="D508">
        <v>3</v>
      </c>
      <c r="E508" t="s">
        <v>190</v>
      </c>
      <c r="F508" t="s">
        <v>189</v>
      </c>
      <c r="G508" t="s">
        <v>188</v>
      </c>
      <c r="H508" t="s">
        <v>451</v>
      </c>
      <c r="I508" t="s">
        <v>1831</v>
      </c>
      <c r="J508" s="4">
        <v>27000</v>
      </c>
    </row>
    <row r="509" spans="1:10" x14ac:dyDescent="0.25">
      <c r="A509" t="s">
        <v>8</v>
      </c>
      <c r="B509" t="s">
        <v>65</v>
      </c>
      <c r="C509">
        <v>2026</v>
      </c>
      <c r="D509">
        <v>2</v>
      </c>
      <c r="E509" t="s">
        <v>290</v>
      </c>
      <c r="F509" t="s">
        <v>367</v>
      </c>
      <c r="G509" t="s">
        <v>366</v>
      </c>
      <c r="H509" t="s">
        <v>451</v>
      </c>
      <c r="I509" t="s">
        <v>739</v>
      </c>
      <c r="J509" s="4">
        <v>55</v>
      </c>
    </row>
    <row r="510" spans="1:10" x14ac:dyDescent="0.25">
      <c r="A510" t="s">
        <v>8</v>
      </c>
      <c r="B510" t="s">
        <v>65</v>
      </c>
      <c r="C510">
        <v>2026</v>
      </c>
      <c r="D510">
        <v>8</v>
      </c>
      <c r="E510" t="s">
        <v>248</v>
      </c>
      <c r="F510" t="s">
        <v>387</v>
      </c>
      <c r="G510" t="s">
        <v>386</v>
      </c>
      <c r="H510" t="s">
        <v>451</v>
      </c>
      <c r="I510" t="s">
        <v>1850</v>
      </c>
      <c r="J510" s="4">
        <v>46</v>
      </c>
    </row>
    <row r="511" spans="1:10" x14ac:dyDescent="0.25">
      <c r="A511" t="s">
        <v>8</v>
      </c>
      <c r="B511" t="s">
        <v>65</v>
      </c>
      <c r="C511">
        <v>2026</v>
      </c>
      <c r="D511">
        <v>6</v>
      </c>
      <c r="E511" t="s">
        <v>268</v>
      </c>
      <c r="F511" t="s">
        <v>287</v>
      </c>
      <c r="G511" t="s">
        <v>286</v>
      </c>
      <c r="H511" t="s">
        <v>451</v>
      </c>
      <c r="I511" t="s">
        <v>1237</v>
      </c>
      <c r="J511" s="4">
        <v>900</v>
      </c>
    </row>
    <row r="512" spans="1:10" x14ac:dyDescent="0.25">
      <c r="A512" t="s">
        <v>8</v>
      </c>
      <c r="B512" t="s">
        <v>65</v>
      </c>
      <c r="C512">
        <v>2026</v>
      </c>
      <c r="D512">
        <v>4</v>
      </c>
      <c r="E512" t="s">
        <v>201</v>
      </c>
      <c r="F512" t="s">
        <v>200</v>
      </c>
      <c r="G512" t="s">
        <v>199</v>
      </c>
      <c r="H512" t="s">
        <v>1094</v>
      </c>
      <c r="I512" t="s">
        <v>1851</v>
      </c>
      <c r="J512" s="4">
        <v>4300</v>
      </c>
    </row>
    <row r="513" spans="1:10" x14ac:dyDescent="0.25">
      <c r="A513" t="s">
        <v>8</v>
      </c>
      <c r="B513" t="s">
        <v>65</v>
      </c>
      <c r="C513">
        <v>2026</v>
      </c>
      <c r="D513">
        <v>8</v>
      </c>
      <c r="E513" t="s">
        <v>268</v>
      </c>
      <c r="F513" t="s">
        <v>363</v>
      </c>
      <c r="G513" t="s">
        <v>362</v>
      </c>
      <c r="H513" t="s">
        <v>451</v>
      </c>
      <c r="I513" t="s">
        <v>1840</v>
      </c>
      <c r="J513" s="4">
        <v>234.64</v>
      </c>
    </row>
    <row r="514" spans="1:10" x14ac:dyDescent="0.25">
      <c r="A514" t="s">
        <v>8</v>
      </c>
      <c r="B514" t="s">
        <v>65</v>
      </c>
      <c r="C514">
        <v>2026</v>
      </c>
      <c r="D514">
        <v>1</v>
      </c>
      <c r="E514" t="s">
        <v>201</v>
      </c>
      <c r="F514" t="s">
        <v>200</v>
      </c>
      <c r="G514" t="s">
        <v>199</v>
      </c>
      <c r="H514" t="s">
        <v>1094</v>
      </c>
      <c r="I514" t="s">
        <v>1851</v>
      </c>
      <c r="J514" s="4">
        <v>4300</v>
      </c>
    </row>
    <row r="515" spans="1:10" x14ac:dyDescent="0.25">
      <c r="A515" t="s">
        <v>8</v>
      </c>
      <c r="B515" t="s">
        <v>65</v>
      </c>
      <c r="C515">
        <v>2026</v>
      </c>
      <c r="D515">
        <v>4</v>
      </c>
      <c r="E515" t="s">
        <v>196</v>
      </c>
      <c r="F515" t="s">
        <v>195</v>
      </c>
      <c r="G515" t="s">
        <v>194</v>
      </c>
      <c r="H515" t="s">
        <v>525</v>
      </c>
      <c r="I515" t="s">
        <v>1833</v>
      </c>
      <c r="J515" s="4">
        <v>4000</v>
      </c>
    </row>
    <row r="516" spans="1:10" x14ac:dyDescent="0.25">
      <c r="A516" t="s">
        <v>8</v>
      </c>
      <c r="B516" t="s">
        <v>65</v>
      </c>
      <c r="C516">
        <v>2026</v>
      </c>
      <c r="D516">
        <v>6</v>
      </c>
      <c r="E516" t="s">
        <v>232</v>
      </c>
      <c r="F516" t="s">
        <v>231</v>
      </c>
      <c r="G516" t="s">
        <v>230</v>
      </c>
      <c r="H516" t="s">
        <v>465</v>
      </c>
      <c r="I516" t="s">
        <v>1821</v>
      </c>
      <c r="J516" s="4">
        <v>1476.31</v>
      </c>
    </row>
    <row r="517" spans="1:10" x14ac:dyDescent="0.25">
      <c r="A517" t="s">
        <v>8</v>
      </c>
      <c r="B517" t="s">
        <v>65</v>
      </c>
      <c r="C517">
        <v>2026</v>
      </c>
      <c r="D517">
        <v>1</v>
      </c>
      <c r="E517" t="s">
        <v>178</v>
      </c>
      <c r="F517" t="s">
        <v>177</v>
      </c>
      <c r="G517" t="s">
        <v>176</v>
      </c>
      <c r="H517" t="s">
        <v>451</v>
      </c>
      <c r="I517" t="s">
        <v>1829</v>
      </c>
      <c r="J517" s="4">
        <v>2550</v>
      </c>
    </row>
    <row r="518" spans="1:10" x14ac:dyDescent="0.25">
      <c r="A518" t="s">
        <v>8</v>
      </c>
      <c r="B518" t="s">
        <v>65</v>
      </c>
      <c r="C518">
        <v>2026</v>
      </c>
      <c r="D518">
        <v>8</v>
      </c>
      <c r="E518" t="s">
        <v>227</v>
      </c>
      <c r="F518" t="s">
        <v>226</v>
      </c>
      <c r="G518" t="s">
        <v>99</v>
      </c>
      <c r="H518" t="s">
        <v>451</v>
      </c>
      <c r="I518" t="s">
        <v>1865</v>
      </c>
      <c r="J518" s="4">
        <v>13850</v>
      </c>
    </row>
    <row r="519" spans="1:10" x14ac:dyDescent="0.25">
      <c r="A519" t="s">
        <v>8</v>
      </c>
      <c r="B519" t="s">
        <v>65</v>
      </c>
      <c r="C519">
        <v>2026</v>
      </c>
      <c r="D519">
        <v>5</v>
      </c>
      <c r="E519" t="s">
        <v>248</v>
      </c>
      <c r="F519" t="s">
        <v>387</v>
      </c>
      <c r="G519" t="s">
        <v>386</v>
      </c>
      <c r="H519" t="s">
        <v>451</v>
      </c>
      <c r="I519" t="s">
        <v>824</v>
      </c>
      <c r="J519" s="4">
        <v>10.5</v>
      </c>
    </row>
    <row r="520" spans="1:10" x14ac:dyDescent="0.25">
      <c r="A520" t="s">
        <v>8</v>
      </c>
      <c r="B520" t="s">
        <v>65</v>
      </c>
      <c r="C520">
        <v>2026</v>
      </c>
      <c r="D520">
        <v>6</v>
      </c>
      <c r="E520" t="s">
        <v>201</v>
      </c>
      <c r="F520" t="s">
        <v>200</v>
      </c>
      <c r="G520" t="s">
        <v>199</v>
      </c>
      <c r="H520" t="s">
        <v>486</v>
      </c>
      <c r="I520" t="s">
        <v>1705</v>
      </c>
      <c r="J520" s="4">
        <v>1000</v>
      </c>
    </row>
    <row r="521" spans="1:10" x14ac:dyDescent="0.25">
      <c r="A521" t="s">
        <v>8</v>
      </c>
      <c r="B521" t="s">
        <v>65</v>
      </c>
      <c r="C521">
        <v>2026</v>
      </c>
      <c r="D521">
        <v>6</v>
      </c>
      <c r="E521" t="s">
        <v>201</v>
      </c>
      <c r="F521" t="s">
        <v>392</v>
      </c>
      <c r="G521" t="s">
        <v>99</v>
      </c>
      <c r="H521" t="s">
        <v>1094</v>
      </c>
      <c r="I521" t="s">
        <v>1836</v>
      </c>
      <c r="J521" s="4">
        <v>44.9</v>
      </c>
    </row>
    <row r="522" spans="1:10" x14ac:dyDescent="0.25">
      <c r="A522" t="s">
        <v>8</v>
      </c>
      <c r="B522" t="s">
        <v>65</v>
      </c>
      <c r="C522">
        <v>2026</v>
      </c>
      <c r="D522">
        <v>4</v>
      </c>
      <c r="E522" t="s">
        <v>158</v>
      </c>
      <c r="F522" t="s">
        <v>171</v>
      </c>
      <c r="G522" t="s">
        <v>85</v>
      </c>
      <c r="H522" t="s">
        <v>471</v>
      </c>
      <c r="I522" t="s">
        <v>471</v>
      </c>
      <c r="J522" s="4">
        <v>60000</v>
      </c>
    </row>
    <row r="523" spans="1:10" x14ac:dyDescent="0.25">
      <c r="A523" t="s">
        <v>8</v>
      </c>
      <c r="B523" t="s">
        <v>65</v>
      </c>
      <c r="C523">
        <v>2026</v>
      </c>
      <c r="D523">
        <v>6</v>
      </c>
      <c r="E523" t="s">
        <v>201</v>
      </c>
      <c r="F523" t="s">
        <v>304</v>
      </c>
      <c r="G523" t="s">
        <v>303</v>
      </c>
      <c r="H523" t="s">
        <v>474</v>
      </c>
      <c r="I523" t="s">
        <v>1860</v>
      </c>
      <c r="J523" s="4">
        <v>130</v>
      </c>
    </row>
    <row r="524" spans="1:10" x14ac:dyDescent="0.25">
      <c r="A524" t="s">
        <v>8</v>
      </c>
      <c r="B524" t="s">
        <v>65</v>
      </c>
      <c r="C524">
        <v>2026</v>
      </c>
      <c r="D524">
        <v>4</v>
      </c>
      <c r="E524" t="s">
        <v>201</v>
      </c>
      <c r="F524" t="s">
        <v>200</v>
      </c>
      <c r="G524" t="s">
        <v>199</v>
      </c>
      <c r="H524" t="s">
        <v>1094</v>
      </c>
      <c r="I524" t="s">
        <v>1825</v>
      </c>
      <c r="J524" s="4">
        <v>1137.2</v>
      </c>
    </row>
    <row r="525" spans="1:10" x14ac:dyDescent="0.25">
      <c r="A525" t="s">
        <v>8</v>
      </c>
      <c r="B525" t="s">
        <v>65</v>
      </c>
      <c r="C525">
        <v>2026</v>
      </c>
      <c r="D525">
        <v>3</v>
      </c>
      <c r="E525" t="s">
        <v>201</v>
      </c>
      <c r="F525" t="s">
        <v>304</v>
      </c>
      <c r="G525" t="s">
        <v>303</v>
      </c>
      <c r="H525" t="s">
        <v>474</v>
      </c>
      <c r="I525" t="s">
        <v>1860</v>
      </c>
      <c r="J525" s="4">
        <v>130</v>
      </c>
    </row>
    <row r="526" spans="1:10" x14ac:dyDescent="0.25">
      <c r="A526" t="s">
        <v>8</v>
      </c>
      <c r="B526" t="s">
        <v>65</v>
      </c>
      <c r="C526">
        <v>2026</v>
      </c>
      <c r="D526">
        <v>7</v>
      </c>
      <c r="E526" t="s">
        <v>201</v>
      </c>
      <c r="F526" t="s">
        <v>200</v>
      </c>
      <c r="G526" t="s">
        <v>199</v>
      </c>
      <c r="H526" t="s">
        <v>1094</v>
      </c>
      <c r="I526" t="s">
        <v>1693</v>
      </c>
      <c r="J526" s="4">
        <v>109.8</v>
      </c>
    </row>
    <row r="527" spans="1:10" x14ac:dyDescent="0.25">
      <c r="A527" t="s">
        <v>8</v>
      </c>
      <c r="B527" t="s">
        <v>65</v>
      </c>
      <c r="C527">
        <v>2026</v>
      </c>
      <c r="D527">
        <v>3</v>
      </c>
      <c r="E527" t="s">
        <v>290</v>
      </c>
      <c r="F527" t="s">
        <v>297</v>
      </c>
      <c r="G527" t="s">
        <v>296</v>
      </c>
      <c r="H527" t="s">
        <v>451</v>
      </c>
      <c r="I527" t="s">
        <v>743</v>
      </c>
      <c r="J527" s="4">
        <v>709.99</v>
      </c>
    </row>
    <row r="528" spans="1:10" x14ac:dyDescent="0.25">
      <c r="A528" t="s">
        <v>8</v>
      </c>
      <c r="B528" t="s">
        <v>65</v>
      </c>
      <c r="C528">
        <v>2026</v>
      </c>
      <c r="D528">
        <v>4</v>
      </c>
      <c r="E528" t="s">
        <v>248</v>
      </c>
      <c r="F528" t="s">
        <v>387</v>
      </c>
      <c r="G528" t="s">
        <v>386</v>
      </c>
      <c r="H528" t="s">
        <v>451</v>
      </c>
      <c r="I528" t="s">
        <v>824</v>
      </c>
      <c r="J528" s="4">
        <v>10.5</v>
      </c>
    </row>
    <row r="529" spans="1:10" x14ac:dyDescent="0.25">
      <c r="A529" t="s">
        <v>8</v>
      </c>
      <c r="B529" t="s">
        <v>65</v>
      </c>
      <c r="C529">
        <v>2026</v>
      </c>
      <c r="D529">
        <v>4</v>
      </c>
      <c r="E529" t="s">
        <v>316</v>
      </c>
      <c r="F529" t="s">
        <v>315</v>
      </c>
      <c r="G529" t="s">
        <v>314</v>
      </c>
      <c r="H529" t="s">
        <v>451</v>
      </c>
      <c r="I529" t="s">
        <v>1852</v>
      </c>
      <c r="J529" s="4">
        <v>177.05</v>
      </c>
    </row>
    <row r="530" spans="1:10" x14ac:dyDescent="0.25">
      <c r="A530" t="s">
        <v>8</v>
      </c>
      <c r="B530" t="s">
        <v>65</v>
      </c>
      <c r="C530">
        <v>2026</v>
      </c>
      <c r="D530">
        <v>3</v>
      </c>
      <c r="E530" t="s">
        <v>201</v>
      </c>
      <c r="F530" t="s">
        <v>200</v>
      </c>
      <c r="G530" t="s">
        <v>199</v>
      </c>
      <c r="H530" t="s">
        <v>1094</v>
      </c>
      <c r="I530" t="s">
        <v>1693</v>
      </c>
      <c r="J530" s="4">
        <v>109.8</v>
      </c>
    </row>
    <row r="531" spans="1:10" x14ac:dyDescent="0.25">
      <c r="A531" t="s">
        <v>8</v>
      </c>
      <c r="B531" t="s">
        <v>65</v>
      </c>
      <c r="C531">
        <v>2026</v>
      </c>
      <c r="D531">
        <v>3</v>
      </c>
      <c r="E531" t="s">
        <v>182</v>
      </c>
      <c r="F531" t="s">
        <v>181</v>
      </c>
      <c r="G531" t="s">
        <v>180</v>
      </c>
      <c r="H531" t="s">
        <v>451</v>
      </c>
      <c r="I531" t="s">
        <v>1144</v>
      </c>
      <c r="J531" s="4">
        <v>4000</v>
      </c>
    </row>
    <row r="532" spans="1:10" x14ac:dyDescent="0.25">
      <c r="A532" t="s">
        <v>8</v>
      </c>
      <c r="B532" t="s">
        <v>65</v>
      </c>
      <c r="C532">
        <v>2026</v>
      </c>
      <c r="D532">
        <v>8</v>
      </c>
      <c r="E532" t="s">
        <v>178</v>
      </c>
      <c r="F532" t="s">
        <v>177</v>
      </c>
      <c r="G532" t="s">
        <v>176</v>
      </c>
      <c r="H532" t="s">
        <v>451</v>
      </c>
      <c r="I532" t="s">
        <v>1829</v>
      </c>
      <c r="J532" s="4">
        <v>2550</v>
      </c>
    </row>
    <row r="533" spans="1:10" x14ac:dyDescent="0.25">
      <c r="A533" t="s">
        <v>8</v>
      </c>
      <c r="B533" t="s">
        <v>65</v>
      </c>
      <c r="C533">
        <v>2026</v>
      </c>
      <c r="D533">
        <v>1</v>
      </c>
      <c r="E533" t="s">
        <v>290</v>
      </c>
      <c r="F533" t="s">
        <v>373</v>
      </c>
      <c r="G533" t="s">
        <v>372</v>
      </c>
      <c r="H533" t="s">
        <v>451</v>
      </c>
      <c r="I533" t="s">
        <v>736</v>
      </c>
      <c r="J533" s="4">
        <v>170.91</v>
      </c>
    </row>
    <row r="534" spans="1:10" x14ac:dyDescent="0.25">
      <c r="A534" t="s">
        <v>8</v>
      </c>
      <c r="B534" t="s">
        <v>65</v>
      </c>
      <c r="C534">
        <v>2026</v>
      </c>
      <c r="D534">
        <v>4</v>
      </c>
      <c r="E534" t="s">
        <v>201</v>
      </c>
      <c r="F534" t="s">
        <v>200</v>
      </c>
      <c r="G534" t="s">
        <v>199</v>
      </c>
      <c r="H534" t="s">
        <v>467</v>
      </c>
      <c r="I534" t="s">
        <v>1705</v>
      </c>
      <c r="J534" s="4">
        <v>1000</v>
      </c>
    </row>
    <row r="535" spans="1:10" x14ac:dyDescent="0.25">
      <c r="A535" t="s">
        <v>8</v>
      </c>
      <c r="B535" t="s">
        <v>65</v>
      </c>
      <c r="C535">
        <v>2026</v>
      </c>
      <c r="D535">
        <v>4</v>
      </c>
      <c r="E535" t="s">
        <v>201</v>
      </c>
      <c r="F535" t="s">
        <v>200</v>
      </c>
      <c r="G535" t="s">
        <v>199</v>
      </c>
      <c r="H535" t="s">
        <v>1094</v>
      </c>
      <c r="I535" t="s">
        <v>1687</v>
      </c>
      <c r="J535" s="4">
        <v>10000</v>
      </c>
    </row>
    <row r="536" spans="1:10" x14ac:dyDescent="0.25">
      <c r="A536" t="s">
        <v>8</v>
      </c>
      <c r="B536" t="s">
        <v>65</v>
      </c>
      <c r="C536">
        <v>2026</v>
      </c>
      <c r="D536">
        <v>7</v>
      </c>
      <c r="E536" t="s">
        <v>178</v>
      </c>
      <c r="F536" t="s">
        <v>302</v>
      </c>
      <c r="G536" t="s">
        <v>301</v>
      </c>
      <c r="H536" t="s">
        <v>451</v>
      </c>
      <c r="I536" t="s">
        <v>1835</v>
      </c>
      <c r="J536" s="4">
        <v>1436.4</v>
      </c>
    </row>
    <row r="537" spans="1:10" x14ac:dyDescent="0.25">
      <c r="A537" t="s">
        <v>8</v>
      </c>
      <c r="B537" t="s">
        <v>65</v>
      </c>
      <c r="C537">
        <v>2026</v>
      </c>
      <c r="D537">
        <v>3</v>
      </c>
      <c r="E537" t="s">
        <v>196</v>
      </c>
      <c r="F537" t="s">
        <v>195</v>
      </c>
      <c r="G537" t="s">
        <v>194</v>
      </c>
      <c r="H537" t="s">
        <v>467</v>
      </c>
      <c r="I537" t="s">
        <v>1841</v>
      </c>
      <c r="J537" s="4">
        <v>1500</v>
      </c>
    </row>
    <row r="538" spans="1:10" x14ac:dyDescent="0.25">
      <c r="A538" t="s">
        <v>8</v>
      </c>
      <c r="B538" t="s">
        <v>65</v>
      </c>
      <c r="C538">
        <v>2026</v>
      </c>
      <c r="D538">
        <v>7</v>
      </c>
      <c r="E538" t="s">
        <v>201</v>
      </c>
      <c r="F538" t="s">
        <v>200</v>
      </c>
      <c r="G538" t="s">
        <v>199</v>
      </c>
      <c r="H538" t="s">
        <v>1094</v>
      </c>
      <c r="I538" t="s">
        <v>1832</v>
      </c>
      <c r="J538" s="4">
        <v>250</v>
      </c>
    </row>
    <row r="539" spans="1:10" x14ac:dyDescent="0.25">
      <c r="A539" t="s">
        <v>8</v>
      </c>
      <c r="B539" t="s">
        <v>65</v>
      </c>
      <c r="C539">
        <v>2026</v>
      </c>
      <c r="D539">
        <v>4</v>
      </c>
      <c r="E539" t="s">
        <v>201</v>
      </c>
      <c r="F539" t="s">
        <v>304</v>
      </c>
      <c r="G539" t="s">
        <v>303</v>
      </c>
      <c r="H539" t="s">
        <v>471</v>
      </c>
      <c r="I539" t="s">
        <v>1849</v>
      </c>
      <c r="J539" s="4">
        <v>130</v>
      </c>
    </row>
    <row r="540" spans="1:10" x14ac:dyDescent="0.25">
      <c r="A540" t="s">
        <v>8</v>
      </c>
      <c r="B540" t="s">
        <v>65</v>
      </c>
      <c r="C540">
        <v>2026</v>
      </c>
      <c r="D540">
        <v>3</v>
      </c>
      <c r="E540" t="s">
        <v>178</v>
      </c>
      <c r="F540" t="s">
        <v>177</v>
      </c>
      <c r="G540" t="s">
        <v>176</v>
      </c>
      <c r="H540" t="s">
        <v>451</v>
      </c>
      <c r="I540" t="s">
        <v>1829</v>
      </c>
      <c r="J540" s="4">
        <v>2550</v>
      </c>
    </row>
    <row r="541" spans="1:10" x14ac:dyDescent="0.25">
      <c r="A541" t="s">
        <v>8</v>
      </c>
      <c r="B541" t="s">
        <v>65</v>
      </c>
      <c r="C541">
        <v>2026</v>
      </c>
      <c r="D541">
        <v>6</v>
      </c>
      <c r="E541" t="s">
        <v>227</v>
      </c>
      <c r="F541" t="s">
        <v>226</v>
      </c>
      <c r="G541" t="s">
        <v>99</v>
      </c>
      <c r="H541" t="s">
        <v>451</v>
      </c>
      <c r="I541" t="s">
        <v>1866</v>
      </c>
      <c r="J541" s="4">
        <v>5960</v>
      </c>
    </row>
    <row r="542" spans="1:10" x14ac:dyDescent="0.25">
      <c r="A542" t="s">
        <v>8</v>
      </c>
      <c r="B542" t="s">
        <v>65</v>
      </c>
      <c r="C542">
        <v>2026</v>
      </c>
      <c r="D542">
        <v>5</v>
      </c>
      <c r="E542" t="s">
        <v>201</v>
      </c>
      <c r="F542" t="s">
        <v>392</v>
      </c>
      <c r="G542" t="s">
        <v>99</v>
      </c>
      <c r="H542" t="s">
        <v>1094</v>
      </c>
      <c r="I542" t="s">
        <v>1846</v>
      </c>
      <c r="J542" s="4">
        <v>74.9</v>
      </c>
    </row>
    <row r="543" spans="1:10" x14ac:dyDescent="0.25">
      <c r="A543" t="s">
        <v>8</v>
      </c>
      <c r="B543" t="s">
        <v>65</v>
      </c>
      <c r="C543">
        <v>2026</v>
      </c>
      <c r="D543">
        <v>7</v>
      </c>
      <c r="E543" t="s">
        <v>201</v>
      </c>
      <c r="F543" t="s">
        <v>304</v>
      </c>
      <c r="G543" t="s">
        <v>303</v>
      </c>
      <c r="H543" t="s">
        <v>1094</v>
      </c>
      <c r="I543" t="s">
        <v>1652</v>
      </c>
      <c r="J543" s="4">
        <v>56.6</v>
      </c>
    </row>
    <row r="544" spans="1:10" x14ac:dyDescent="0.25">
      <c r="A544" t="s">
        <v>8</v>
      </c>
      <c r="B544" t="s">
        <v>65</v>
      </c>
      <c r="C544">
        <v>2026</v>
      </c>
      <c r="D544">
        <v>2</v>
      </c>
      <c r="E544" t="s">
        <v>178</v>
      </c>
      <c r="F544" t="s">
        <v>177</v>
      </c>
      <c r="G544" t="s">
        <v>176</v>
      </c>
      <c r="H544" t="s">
        <v>451</v>
      </c>
      <c r="I544" t="s">
        <v>1843</v>
      </c>
      <c r="J544" s="4">
        <v>40000</v>
      </c>
    </row>
    <row r="545" spans="1:10" x14ac:dyDescent="0.25">
      <c r="A545" t="s">
        <v>8</v>
      </c>
      <c r="B545" t="s">
        <v>65</v>
      </c>
      <c r="C545">
        <v>2026</v>
      </c>
      <c r="D545">
        <v>7</v>
      </c>
      <c r="E545" t="s">
        <v>190</v>
      </c>
      <c r="F545" t="s">
        <v>189</v>
      </c>
      <c r="G545" t="s">
        <v>188</v>
      </c>
      <c r="H545" t="s">
        <v>451</v>
      </c>
      <c r="I545" t="s">
        <v>1831</v>
      </c>
      <c r="J545" s="4">
        <v>27000</v>
      </c>
    </row>
    <row r="546" spans="1:10" x14ac:dyDescent="0.25">
      <c r="A546" t="s">
        <v>8</v>
      </c>
      <c r="B546" t="s">
        <v>65</v>
      </c>
      <c r="C546">
        <v>2026</v>
      </c>
      <c r="D546">
        <v>1</v>
      </c>
      <c r="E546" t="s">
        <v>290</v>
      </c>
      <c r="F546" t="s">
        <v>367</v>
      </c>
      <c r="G546" t="s">
        <v>366</v>
      </c>
      <c r="H546" t="s">
        <v>451</v>
      </c>
      <c r="I546" t="s">
        <v>739</v>
      </c>
      <c r="J546" s="4">
        <v>85.84</v>
      </c>
    </row>
    <row r="547" spans="1:10" x14ac:dyDescent="0.25">
      <c r="A547" t="s">
        <v>8</v>
      </c>
      <c r="B547" t="s">
        <v>65</v>
      </c>
      <c r="C547">
        <v>2026</v>
      </c>
      <c r="D547">
        <v>2</v>
      </c>
      <c r="E547" t="s">
        <v>201</v>
      </c>
      <c r="F547" t="s">
        <v>200</v>
      </c>
      <c r="G547" t="s">
        <v>199</v>
      </c>
      <c r="H547" t="s">
        <v>1094</v>
      </c>
      <c r="I547" t="s">
        <v>1687</v>
      </c>
      <c r="J547" s="4">
        <v>10000</v>
      </c>
    </row>
    <row r="548" spans="1:10" x14ac:dyDescent="0.25">
      <c r="A548" t="s">
        <v>8</v>
      </c>
      <c r="B548" t="s">
        <v>65</v>
      </c>
      <c r="C548">
        <v>2026</v>
      </c>
      <c r="D548">
        <v>4</v>
      </c>
      <c r="E548" t="s">
        <v>290</v>
      </c>
      <c r="F548" t="s">
        <v>297</v>
      </c>
      <c r="G548" t="s">
        <v>296</v>
      </c>
      <c r="H548" t="s">
        <v>451</v>
      </c>
      <c r="I548" t="s">
        <v>1824</v>
      </c>
      <c r="J548" s="4">
        <v>1000</v>
      </c>
    </row>
    <row r="549" spans="1:10" x14ac:dyDescent="0.25">
      <c r="A549" t="s">
        <v>8</v>
      </c>
      <c r="B549" t="s">
        <v>65</v>
      </c>
      <c r="C549">
        <v>2026</v>
      </c>
      <c r="D549">
        <v>3</v>
      </c>
      <c r="E549" t="s">
        <v>227</v>
      </c>
      <c r="F549" t="s">
        <v>327</v>
      </c>
      <c r="G549" t="s">
        <v>326</v>
      </c>
      <c r="H549" t="s">
        <v>451</v>
      </c>
      <c r="I549" t="s">
        <v>1555</v>
      </c>
      <c r="J549" s="4">
        <v>704</v>
      </c>
    </row>
    <row r="550" spans="1:10" x14ac:dyDescent="0.25">
      <c r="A550" t="s">
        <v>8</v>
      </c>
      <c r="B550" t="s">
        <v>65</v>
      </c>
      <c r="C550">
        <v>2026</v>
      </c>
      <c r="D550">
        <v>2</v>
      </c>
      <c r="E550" t="s">
        <v>290</v>
      </c>
      <c r="F550" t="s">
        <v>367</v>
      </c>
      <c r="G550" t="s">
        <v>366</v>
      </c>
      <c r="H550" t="s">
        <v>451</v>
      </c>
      <c r="I550" t="s">
        <v>739</v>
      </c>
      <c r="J550" s="4">
        <v>60</v>
      </c>
    </row>
    <row r="551" spans="1:10" x14ac:dyDescent="0.25">
      <c r="A551" t="s">
        <v>8</v>
      </c>
      <c r="B551" t="s">
        <v>65</v>
      </c>
      <c r="C551">
        <v>2026</v>
      </c>
      <c r="D551">
        <v>5</v>
      </c>
      <c r="E551" t="s">
        <v>196</v>
      </c>
      <c r="F551" t="s">
        <v>195</v>
      </c>
      <c r="G551" t="s">
        <v>194</v>
      </c>
      <c r="H551" t="s">
        <v>445</v>
      </c>
      <c r="I551" t="s">
        <v>1862</v>
      </c>
      <c r="J551" s="4">
        <v>434.2</v>
      </c>
    </row>
    <row r="552" spans="1:10" x14ac:dyDescent="0.25">
      <c r="A552" t="s">
        <v>8</v>
      </c>
      <c r="B552" t="s">
        <v>65</v>
      </c>
      <c r="C552">
        <v>2026</v>
      </c>
      <c r="D552">
        <v>6</v>
      </c>
      <c r="E552" t="s">
        <v>290</v>
      </c>
      <c r="F552" t="s">
        <v>367</v>
      </c>
      <c r="G552" t="s">
        <v>366</v>
      </c>
      <c r="H552" t="s">
        <v>451</v>
      </c>
      <c r="I552" t="s">
        <v>739</v>
      </c>
      <c r="J552" s="4">
        <v>85.84</v>
      </c>
    </row>
    <row r="553" spans="1:10" x14ac:dyDescent="0.25">
      <c r="A553" t="s">
        <v>8</v>
      </c>
      <c r="B553" t="s">
        <v>65</v>
      </c>
      <c r="C553">
        <v>2026</v>
      </c>
      <c r="D553">
        <v>2</v>
      </c>
      <c r="E553" t="s">
        <v>201</v>
      </c>
      <c r="F553" t="s">
        <v>392</v>
      </c>
      <c r="G553" t="s">
        <v>99</v>
      </c>
      <c r="H553" t="s">
        <v>1094</v>
      </c>
      <c r="I553" t="s">
        <v>1836</v>
      </c>
      <c r="J553" s="4">
        <v>44.9</v>
      </c>
    </row>
    <row r="554" spans="1:10" x14ac:dyDescent="0.25">
      <c r="A554" t="s">
        <v>8</v>
      </c>
      <c r="B554" t="s">
        <v>65</v>
      </c>
      <c r="C554">
        <v>2026</v>
      </c>
      <c r="D554">
        <v>5</v>
      </c>
      <c r="E554" t="s">
        <v>196</v>
      </c>
      <c r="F554" t="s">
        <v>195</v>
      </c>
      <c r="G554" t="s">
        <v>194</v>
      </c>
      <c r="H554" t="s">
        <v>511</v>
      </c>
      <c r="I554" t="s">
        <v>1859</v>
      </c>
      <c r="J554" s="4">
        <v>3000</v>
      </c>
    </row>
    <row r="555" spans="1:10" x14ac:dyDescent="0.25">
      <c r="A555" t="s">
        <v>8</v>
      </c>
      <c r="B555" t="s">
        <v>65</v>
      </c>
      <c r="C555">
        <v>2026</v>
      </c>
      <c r="D555">
        <v>7</v>
      </c>
      <c r="E555" t="s">
        <v>290</v>
      </c>
      <c r="F555" t="s">
        <v>367</v>
      </c>
      <c r="G555" t="s">
        <v>366</v>
      </c>
      <c r="H555" t="s">
        <v>451</v>
      </c>
      <c r="I555" t="s">
        <v>739</v>
      </c>
      <c r="J555" s="4">
        <v>85.84</v>
      </c>
    </row>
    <row r="556" spans="1:10" x14ac:dyDescent="0.25">
      <c r="A556" t="s">
        <v>8</v>
      </c>
      <c r="B556" t="s">
        <v>65</v>
      </c>
      <c r="C556">
        <v>2026</v>
      </c>
      <c r="D556">
        <v>3</v>
      </c>
      <c r="E556" t="s">
        <v>222</v>
      </c>
      <c r="F556" t="s">
        <v>263</v>
      </c>
      <c r="G556" t="s">
        <v>262</v>
      </c>
      <c r="H556" t="s">
        <v>224</v>
      </c>
      <c r="I556" t="s">
        <v>822</v>
      </c>
      <c r="J556" s="4">
        <v>2500</v>
      </c>
    </row>
    <row r="557" spans="1:10" x14ac:dyDescent="0.25">
      <c r="A557" t="s">
        <v>8</v>
      </c>
      <c r="B557" t="s">
        <v>65</v>
      </c>
      <c r="C557">
        <v>2026</v>
      </c>
      <c r="D557">
        <v>7</v>
      </c>
      <c r="E557" t="s">
        <v>201</v>
      </c>
      <c r="F557" t="s">
        <v>304</v>
      </c>
      <c r="G557" t="s">
        <v>303</v>
      </c>
      <c r="H557" t="s">
        <v>465</v>
      </c>
      <c r="I557" t="s">
        <v>1830</v>
      </c>
      <c r="J557" s="4">
        <v>130</v>
      </c>
    </row>
    <row r="558" spans="1:10" x14ac:dyDescent="0.25">
      <c r="A558" t="s">
        <v>8</v>
      </c>
      <c r="B558" t="s">
        <v>65</v>
      </c>
      <c r="C558">
        <v>2026</v>
      </c>
      <c r="D558">
        <v>8</v>
      </c>
      <c r="E558" t="s">
        <v>178</v>
      </c>
      <c r="F558" t="s">
        <v>177</v>
      </c>
      <c r="G558" t="s">
        <v>176</v>
      </c>
      <c r="H558" t="s">
        <v>451</v>
      </c>
      <c r="I558" t="s">
        <v>1843</v>
      </c>
      <c r="J558" s="4">
        <v>40000</v>
      </c>
    </row>
    <row r="559" spans="1:10" x14ac:dyDescent="0.25">
      <c r="A559" t="s">
        <v>8</v>
      </c>
      <c r="B559" t="s">
        <v>65</v>
      </c>
      <c r="C559">
        <v>2026</v>
      </c>
      <c r="D559">
        <v>2</v>
      </c>
      <c r="E559" t="s">
        <v>232</v>
      </c>
      <c r="F559" t="s">
        <v>261</v>
      </c>
      <c r="G559" t="s">
        <v>260</v>
      </c>
      <c r="H559" t="s">
        <v>451</v>
      </c>
      <c r="I559" t="s">
        <v>1861</v>
      </c>
      <c r="J559" s="4">
        <v>182.98</v>
      </c>
    </row>
    <row r="560" spans="1:10" x14ac:dyDescent="0.25">
      <c r="A560" t="s">
        <v>8</v>
      </c>
      <c r="B560" t="s">
        <v>65</v>
      </c>
      <c r="C560">
        <v>2026</v>
      </c>
      <c r="D560">
        <v>6</v>
      </c>
      <c r="E560" t="s">
        <v>196</v>
      </c>
      <c r="F560" t="s">
        <v>195</v>
      </c>
      <c r="G560" t="s">
        <v>194</v>
      </c>
      <c r="H560" t="s">
        <v>511</v>
      </c>
      <c r="I560" t="s">
        <v>1818</v>
      </c>
      <c r="J560" s="4">
        <v>100.2</v>
      </c>
    </row>
    <row r="561" spans="1:10" x14ac:dyDescent="0.25">
      <c r="A561" t="s">
        <v>8</v>
      </c>
      <c r="B561" t="s">
        <v>65</v>
      </c>
      <c r="C561">
        <v>2026</v>
      </c>
      <c r="D561">
        <v>1</v>
      </c>
      <c r="E561" t="s">
        <v>232</v>
      </c>
      <c r="F561" t="s">
        <v>231</v>
      </c>
      <c r="G561" t="s">
        <v>230</v>
      </c>
      <c r="H561" t="s">
        <v>465</v>
      </c>
      <c r="I561" t="s">
        <v>1821</v>
      </c>
      <c r="J561" s="4">
        <v>1476.31</v>
      </c>
    </row>
    <row r="562" spans="1:10" x14ac:dyDescent="0.25">
      <c r="A562" t="s">
        <v>8</v>
      </c>
      <c r="B562" t="s">
        <v>65</v>
      </c>
      <c r="C562">
        <v>2026</v>
      </c>
      <c r="D562">
        <v>1</v>
      </c>
      <c r="E562" t="s">
        <v>201</v>
      </c>
      <c r="F562" t="s">
        <v>304</v>
      </c>
      <c r="G562" t="s">
        <v>303</v>
      </c>
      <c r="H562" t="s">
        <v>471</v>
      </c>
      <c r="I562" t="s">
        <v>1849</v>
      </c>
      <c r="J562" s="4">
        <v>130</v>
      </c>
    </row>
    <row r="563" spans="1:10" x14ac:dyDescent="0.25">
      <c r="A563" t="s">
        <v>8</v>
      </c>
      <c r="B563" t="s">
        <v>65</v>
      </c>
      <c r="C563">
        <v>2026</v>
      </c>
      <c r="D563">
        <v>5</v>
      </c>
      <c r="E563" t="s">
        <v>316</v>
      </c>
      <c r="F563" t="s">
        <v>315</v>
      </c>
      <c r="G563" t="s">
        <v>314</v>
      </c>
      <c r="H563" t="s">
        <v>451</v>
      </c>
      <c r="I563" t="s">
        <v>1837</v>
      </c>
      <c r="J563" s="4">
        <v>124.9</v>
      </c>
    </row>
    <row r="564" spans="1:10" x14ac:dyDescent="0.25">
      <c r="A564" t="s">
        <v>8</v>
      </c>
      <c r="B564" t="s">
        <v>65</v>
      </c>
      <c r="C564">
        <v>2026</v>
      </c>
      <c r="D564">
        <v>1</v>
      </c>
      <c r="E564" t="s">
        <v>218</v>
      </c>
      <c r="F564" t="s">
        <v>217</v>
      </c>
      <c r="G564" t="s">
        <v>99</v>
      </c>
      <c r="H564" t="s">
        <v>451</v>
      </c>
      <c r="I564" t="s">
        <v>1867</v>
      </c>
      <c r="J564" s="4">
        <v>86908</v>
      </c>
    </row>
    <row r="565" spans="1:10" x14ac:dyDescent="0.25">
      <c r="A565" t="s">
        <v>8</v>
      </c>
      <c r="B565" t="s">
        <v>65</v>
      </c>
      <c r="C565">
        <v>2026</v>
      </c>
      <c r="D565">
        <v>8</v>
      </c>
      <c r="E565" t="s">
        <v>316</v>
      </c>
      <c r="F565" t="s">
        <v>315</v>
      </c>
      <c r="G565" t="s">
        <v>314</v>
      </c>
      <c r="H565" t="s">
        <v>451</v>
      </c>
      <c r="I565" t="s">
        <v>1837</v>
      </c>
      <c r="J565" s="4">
        <v>124.9</v>
      </c>
    </row>
    <row r="566" spans="1:10" x14ac:dyDescent="0.25">
      <c r="A566" t="s">
        <v>8</v>
      </c>
      <c r="B566" t="s">
        <v>65</v>
      </c>
      <c r="C566">
        <v>2026</v>
      </c>
      <c r="D566">
        <v>7</v>
      </c>
      <c r="E566" t="s">
        <v>201</v>
      </c>
      <c r="F566" t="s">
        <v>304</v>
      </c>
      <c r="G566" t="s">
        <v>303</v>
      </c>
      <c r="H566" t="s">
        <v>1094</v>
      </c>
      <c r="I566" t="s">
        <v>1858</v>
      </c>
      <c r="J566" s="4">
        <v>350</v>
      </c>
    </row>
    <row r="567" spans="1:10" x14ac:dyDescent="0.25">
      <c r="A567" t="s">
        <v>8</v>
      </c>
      <c r="B567" t="s">
        <v>65</v>
      </c>
      <c r="C567">
        <v>2026</v>
      </c>
      <c r="D567">
        <v>1</v>
      </c>
      <c r="E567" t="s">
        <v>182</v>
      </c>
      <c r="F567" t="s">
        <v>181</v>
      </c>
      <c r="G567" t="s">
        <v>180</v>
      </c>
      <c r="H567" t="s">
        <v>451</v>
      </c>
      <c r="I567" t="s">
        <v>1135</v>
      </c>
      <c r="J567" s="4">
        <v>11062.4</v>
      </c>
    </row>
    <row r="568" spans="1:10" x14ac:dyDescent="0.25">
      <c r="A568" t="s">
        <v>8</v>
      </c>
      <c r="B568" t="s">
        <v>65</v>
      </c>
      <c r="C568">
        <v>2026</v>
      </c>
      <c r="D568">
        <v>7</v>
      </c>
      <c r="E568" t="s">
        <v>201</v>
      </c>
      <c r="F568" t="s">
        <v>304</v>
      </c>
      <c r="G568" t="s">
        <v>303</v>
      </c>
      <c r="H568" t="s">
        <v>1094</v>
      </c>
      <c r="I568" t="s">
        <v>1853</v>
      </c>
      <c r="J568" s="4">
        <v>200</v>
      </c>
    </row>
    <row r="569" spans="1:10" x14ac:dyDescent="0.25">
      <c r="A569" t="s">
        <v>8</v>
      </c>
      <c r="B569" t="s">
        <v>65</v>
      </c>
      <c r="C569">
        <v>2026</v>
      </c>
      <c r="D569">
        <v>6</v>
      </c>
      <c r="E569" t="s">
        <v>196</v>
      </c>
      <c r="F569" t="s">
        <v>195</v>
      </c>
      <c r="G569" t="s">
        <v>194</v>
      </c>
      <c r="H569" t="s">
        <v>525</v>
      </c>
      <c r="I569" t="s">
        <v>1833</v>
      </c>
      <c r="J569" s="4">
        <v>4000</v>
      </c>
    </row>
    <row r="570" spans="1:10" x14ac:dyDescent="0.25">
      <c r="A570" t="s">
        <v>8</v>
      </c>
      <c r="B570" t="s">
        <v>65</v>
      </c>
      <c r="C570">
        <v>2026</v>
      </c>
      <c r="D570">
        <v>8</v>
      </c>
      <c r="E570" t="s">
        <v>178</v>
      </c>
      <c r="F570" t="s">
        <v>177</v>
      </c>
      <c r="G570" t="s">
        <v>176</v>
      </c>
      <c r="H570" t="s">
        <v>474</v>
      </c>
      <c r="I570" t="s">
        <v>1839</v>
      </c>
      <c r="J570" s="4">
        <v>880</v>
      </c>
    </row>
    <row r="571" spans="1:10" x14ac:dyDescent="0.25">
      <c r="A571" t="s">
        <v>8</v>
      </c>
      <c r="B571" t="s">
        <v>65</v>
      </c>
      <c r="C571">
        <v>2026</v>
      </c>
      <c r="D571">
        <v>5</v>
      </c>
      <c r="E571" t="s">
        <v>178</v>
      </c>
      <c r="F571" t="s">
        <v>302</v>
      </c>
      <c r="G571" t="s">
        <v>301</v>
      </c>
      <c r="H571" t="s">
        <v>451</v>
      </c>
      <c r="I571" t="s">
        <v>1835</v>
      </c>
      <c r="J571" s="4">
        <v>1436.4</v>
      </c>
    </row>
    <row r="572" spans="1:10" x14ac:dyDescent="0.25">
      <c r="A572" t="s">
        <v>8</v>
      </c>
      <c r="B572" t="s">
        <v>65</v>
      </c>
      <c r="C572">
        <v>2026</v>
      </c>
      <c r="D572">
        <v>1</v>
      </c>
      <c r="E572" t="s">
        <v>201</v>
      </c>
      <c r="F572" t="s">
        <v>239</v>
      </c>
      <c r="G572" t="s">
        <v>238</v>
      </c>
      <c r="H572" t="s">
        <v>224</v>
      </c>
      <c r="I572" t="s">
        <v>1681</v>
      </c>
      <c r="J572" s="4">
        <v>1000</v>
      </c>
    </row>
    <row r="573" spans="1:10" x14ac:dyDescent="0.25">
      <c r="A573" t="s">
        <v>8</v>
      </c>
      <c r="B573" t="s">
        <v>65</v>
      </c>
      <c r="C573">
        <v>2026</v>
      </c>
      <c r="D573">
        <v>5</v>
      </c>
      <c r="E573" t="s">
        <v>182</v>
      </c>
      <c r="F573" t="s">
        <v>181</v>
      </c>
      <c r="G573" t="s">
        <v>180</v>
      </c>
      <c r="H573" t="s">
        <v>451</v>
      </c>
      <c r="I573" t="s">
        <v>1135</v>
      </c>
      <c r="J573" s="4">
        <v>11062.4</v>
      </c>
    </row>
    <row r="574" spans="1:10" x14ac:dyDescent="0.25">
      <c r="A574" t="s">
        <v>8</v>
      </c>
      <c r="B574" t="s">
        <v>65</v>
      </c>
      <c r="C574">
        <v>2026</v>
      </c>
      <c r="D574">
        <v>6</v>
      </c>
      <c r="E574" t="s">
        <v>316</v>
      </c>
      <c r="F574" t="s">
        <v>315</v>
      </c>
      <c r="G574" t="s">
        <v>314</v>
      </c>
      <c r="H574" t="s">
        <v>451</v>
      </c>
      <c r="I574" t="s">
        <v>1837</v>
      </c>
      <c r="J574" s="4">
        <v>124.9</v>
      </c>
    </row>
    <row r="575" spans="1:10" x14ac:dyDescent="0.25">
      <c r="A575" t="s">
        <v>8</v>
      </c>
      <c r="B575" t="s">
        <v>65</v>
      </c>
      <c r="C575">
        <v>2026</v>
      </c>
      <c r="D575">
        <v>2</v>
      </c>
      <c r="E575" t="s">
        <v>290</v>
      </c>
      <c r="F575" t="s">
        <v>373</v>
      </c>
      <c r="G575" t="s">
        <v>372</v>
      </c>
      <c r="H575" t="s">
        <v>451</v>
      </c>
      <c r="I575" t="s">
        <v>736</v>
      </c>
      <c r="J575" s="4">
        <v>170.91</v>
      </c>
    </row>
    <row r="576" spans="1:10" x14ac:dyDescent="0.25">
      <c r="A576" t="s">
        <v>8</v>
      </c>
      <c r="B576" t="s">
        <v>65</v>
      </c>
      <c r="C576">
        <v>2026</v>
      </c>
      <c r="D576">
        <v>4</v>
      </c>
      <c r="E576" t="s">
        <v>178</v>
      </c>
      <c r="F576" t="s">
        <v>177</v>
      </c>
      <c r="G576" t="s">
        <v>176</v>
      </c>
      <c r="H576" t="s">
        <v>474</v>
      </c>
      <c r="I576" t="s">
        <v>1828</v>
      </c>
      <c r="J576" s="4">
        <v>440.01</v>
      </c>
    </row>
    <row r="577" spans="1:10" x14ac:dyDescent="0.25">
      <c r="A577" t="s">
        <v>8</v>
      </c>
      <c r="B577" t="s">
        <v>65</v>
      </c>
      <c r="C577">
        <v>2026</v>
      </c>
      <c r="D577">
        <v>7</v>
      </c>
      <c r="E577" t="s">
        <v>201</v>
      </c>
      <c r="F577" t="s">
        <v>200</v>
      </c>
      <c r="G577" t="s">
        <v>199</v>
      </c>
      <c r="H577" t="s">
        <v>486</v>
      </c>
      <c r="I577" t="s">
        <v>1705</v>
      </c>
      <c r="J577" s="4">
        <v>1000</v>
      </c>
    </row>
    <row r="578" spans="1:10" x14ac:dyDescent="0.25">
      <c r="A578" t="s">
        <v>8</v>
      </c>
      <c r="B578" t="s">
        <v>65</v>
      </c>
      <c r="C578">
        <v>2026</v>
      </c>
      <c r="D578">
        <v>5</v>
      </c>
      <c r="E578" t="s">
        <v>222</v>
      </c>
      <c r="F578" t="s">
        <v>263</v>
      </c>
      <c r="G578" t="s">
        <v>262</v>
      </c>
      <c r="H578" t="s">
        <v>224</v>
      </c>
      <c r="I578" t="s">
        <v>822</v>
      </c>
      <c r="J578" s="4">
        <v>2500</v>
      </c>
    </row>
    <row r="579" spans="1:10" x14ac:dyDescent="0.25">
      <c r="A579" t="s">
        <v>8</v>
      </c>
      <c r="B579" t="s">
        <v>65</v>
      </c>
      <c r="C579">
        <v>2026</v>
      </c>
      <c r="D579">
        <v>2</v>
      </c>
      <c r="E579" t="s">
        <v>316</v>
      </c>
      <c r="F579" t="s">
        <v>315</v>
      </c>
      <c r="G579" t="s">
        <v>314</v>
      </c>
      <c r="H579" t="s">
        <v>451</v>
      </c>
      <c r="I579" t="s">
        <v>1823</v>
      </c>
      <c r="J579" s="4">
        <v>179</v>
      </c>
    </row>
    <row r="580" spans="1:10" x14ac:dyDescent="0.25">
      <c r="A580" t="s">
        <v>8</v>
      </c>
      <c r="B580" t="s">
        <v>65</v>
      </c>
      <c r="C580">
        <v>2026</v>
      </c>
      <c r="D580">
        <v>4</v>
      </c>
      <c r="E580" t="s">
        <v>290</v>
      </c>
      <c r="F580" t="s">
        <v>289</v>
      </c>
      <c r="G580" t="s">
        <v>288</v>
      </c>
      <c r="H580" t="s">
        <v>451</v>
      </c>
      <c r="I580" t="s">
        <v>734</v>
      </c>
      <c r="J580" s="4">
        <v>2100</v>
      </c>
    </row>
    <row r="581" spans="1:10" x14ac:dyDescent="0.25">
      <c r="A581" t="s">
        <v>8</v>
      </c>
      <c r="B581" t="s">
        <v>65</v>
      </c>
      <c r="C581">
        <v>2026</v>
      </c>
      <c r="D581">
        <v>5</v>
      </c>
      <c r="E581" t="s">
        <v>232</v>
      </c>
      <c r="F581" t="s">
        <v>250</v>
      </c>
      <c r="G581" t="s">
        <v>249</v>
      </c>
      <c r="H581" t="s">
        <v>511</v>
      </c>
      <c r="I581" t="s">
        <v>1530</v>
      </c>
      <c r="J581" s="4">
        <v>3300</v>
      </c>
    </row>
    <row r="582" spans="1:10" x14ac:dyDescent="0.25">
      <c r="A582" t="s">
        <v>8</v>
      </c>
      <c r="B582" t="s">
        <v>65</v>
      </c>
      <c r="C582">
        <v>2026</v>
      </c>
      <c r="D582">
        <v>1</v>
      </c>
      <c r="E582" t="s">
        <v>201</v>
      </c>
      <c r="F582" t="s">
        <v>304</v>
      </c>
      <c r="G582" t="s">
        <v>303</v>
      </c>
      <c r="H582" t="s">
        <v>467</v>
      </c>
      <c r="I582" t="s">
        <v>1842</v>
      </c>
      <c r="J582" s="4">
        <v>390</v>
      </c>
    </row>
    <row r="583" spans="1:10" x14ac:dyDescent="0.25">
      <c r="A583" t="s">
        <v>8</v>
      </c>
      <c r="B583" t="s">
        <v>65</v>
      </c>
      <c r="C583">
        <v>2026</v>
      </c>
      <c r="D583">
        <v>5</v>
      </c>
      <c r="E583" t="s">
        <v>316</v>
      </c>
      <c r="F583" t="s">
        <v>315</v>
      </c>
      <c r="G583" t="s">
        <v>314</v>
      </c>
      <c r="H583" t="s">
        <v>451</v>
      </c>
      <c r="I583" t="s">
        <v>1823</v>
      </c>
      <c r="J583" s="4">
        <v>179</v>
      </c>
    </row>
    <row r="584" spans="1:10" x14ac:dyDescent="0.25">
      <c r="A584" t="s">
        <v>8</v>
      </c>
      <c r="B584" t="s">
        <v>65</v>
      </c>
      <c r="C584">
        <v>2026</v>
      </c>
      <c r="D584">
        <v>4</v>
      </c>
      <c r="E584" t="s">
        <v>227</v>
      </c>
      <c r="F584" t="s">
        <v>327</v>
      </c>
      <c r="G584" t="s">
        <v>326</v>
      </c>
      <c r="H584" t="s">
        <v>451</v>
      </c>
      <c r="I584" t="s">
        <v>1555</v>
      </c>
      <c r="J584" s="4">
        <v>704</v>
      </c>
    </row>
    <row r="585" spans="1:10" x14ac:dyDescent="0.25">
      <c r="A585" t="s">
        <v>8</v>
      </c>
      <c r="B585" t="s">
        <v>65</v>
      </c>
      <c r="C585">
        <v>2026</v>
      </c>
      <c r="D585">
        <v>4</v>
      </c>
      <c r="E585" t="s">
        <v>201</v>
      </c>
      <c r="F585" t="s">
        <v>200</v>
      </c>
      <c r="G585" t="s">
        <v>199</v>
      </c>
      <c r="H585" t="s">
        <v>445</v>
      </c>
      <c r="I585" t="s">
        <v>1711</v>
      </c>
      <c r="J585" s="4">
        <v>1169.82</v>
      </c>
    </row>
    <row r="586" spans="1:10" x14ac:dyDescent="0.25">
      <c r="A586" t="s">
        <v>8</v>
      </c>
      <c r="B586" t="s">
        <v>65</v>
      </c>
      <c r="C586">
        <v>2026</v>
      </c>
      <c r="D586">
        <v>3</v>
      </c>
      <c r="E586" t="s">
        <v>232</v>
      </c>
      <c r="F586" t="s">
        <v>250</v>
      </c>
      <c r="G586" t="s">
        <v>249</v>
      </c>
      <c r="H586" t="s">
        <v>511</v>
      </c>
      <c r="I586" t="s">
        <v>1530</v>
      </c>
      <c r="J586" s="4">
        <v>3300</v>
      </c>
    </row>
    <row r="587" spans="1:10" x14ac:dyDescent="0.25">
      <c r="A587" t="s">
        <v>8</v>
      </c>
      <c r="B587" t="s">
        <v>65</v>
      </c>
      <c r="C587">
        <v>2026</v>
      </c>
      <c r="D587">
        <v>8</v>
      </c>
      <c r="E587" t="s">
        <v>227</v>
      </c>
      <c r="F587" t="s">
        <v>327</v>
      </c>
      <c r="G587" t="s">
        <v>326</v>
      </c>
      <c r="H587" t="s">
        <v>451</v>
      </c>
      <c r="I587" t="s">
        <v>1555</v>
      </c>
      <c r="J587" s="4">
        <v>704</v>
      </c>
    </row>
    <row r="588" spans="1:10" x14ac:dyDescent="0.25">
      <c r="A588" t="s">
        <v>8</v>
      </c>
      <c r="B588" t="s">
        <v>65</v>
      </c>
      <c r="C588">
        <v>2026</v>
      </c>
      <c r="D588">
        <v>3</v>
      </c>
      <c r="E588" t="s">
        <v>201</v>
      </c>
      <c r="F588" t="s">
        <v>392</v>
      </c>
      <c r="G588" t="s">
        <v>99</v>
      </c>
      <c r="H588" t="s">
        <v>1094</v>
      </c>
      <c r="I588" t="s">
        <v>1836</v>
      </c>
      <c r="J588" s="4">
        <v>44.9</v>
      </c>
    </row>
    <row r="589" spans="1:10" x14ac:dyDescent="0.25">
      <c r="A589" t="s">
        <v>8</v>
      </c>
      <c r="B589" t="s">
        <v>65</v>
      </c>
      <c r="C589">
        <v>2026</v>
      </c>
      <c r="D589">
        <v>7</v>
      </c>
      <c r="E589" t="s">
        <v>316</v>
      </c>
      <c r="F589" t="s">
        <v>315</v>
      </c>
      <c r="G589" t="s">
        <v>314</v>
      </c>
      <c r="H589" t="s">
        <v>451</v>
      </c>
      <c r="I589" t="s">
        <v>1837</v>
      </c>
      <c r="J589" s="4">
        <v>124.9</v>
      </c>
    </row>
    <row r="590" spans="1:10" x14ac:dyDescent="0.25">
      <c r="A590" t="s">
        <v>8</v>
      </c>
      <c r="B590" t="s">
        <v>65</v>
      </c>
      <c r="C590">
        <v>2026</v>
      </c>
      <c r="D590">
        <v>3</v>
      </c>
      <c r="E590" t="s">
        <v>268</v>
      </c>
      <c r="F590" t="s">
        <v>325</v>
      </c>
      <c r="G590" t="s">
        <v>99</v>
      </c>
      <c r="H590" t="s">
        <v>451</v>
      </c>
      <c r="I590" t="s">
        <v>451</v>
      </c>
      <c r="J590" s="4">
        <v>885</v>
      </c>
    </row>
    <row r="591" spans="1:10" x14ac:dyDescent="0.25">
      <c r="A591" t="s">
        <v>8</v>
      </c>
      <c r="B591" t="s">
        <v>65</v>
      </c>
      <c r="C591">
        <v>2026</v>
      </c>
      <c r="D591">
        <v>2</v>
      </c>
      <c r="E591" t="s">
        <v>196</v>
      </c>
      <c r="F591" t="s">
        <v>195</v>
      </c>
      <c r="G591" t="s">
        <v>194</v>
      </c>
      <c r="H591" t="s">
        <v>445</v>
      </c>
      <c r="I591" t="s">
        <v>1862</v>
      </c>
      <c r="J591" s="4">
        <v>434.2</v>
      </c>
    </row>
    <row r="592" spans="1:10" x14ac:dyDescent="0.25">
      <c r="A592" t="s">
        <v>8</v>
      </c>
      <c r="B592" t="s">
        <v>65</v>
      </c>
      <c r="C592">
        <v>2026</v>
      </c>
      <c r="D592">
        <v>2</v>
      </c>
      <c r="E592" t="s">
        <v>316</v>
      </c>
      <c r="F592" t="s">
        <v>315</v>
      </c>
      <c r="G592" t="s">
        <v>314</v>
      </c>
      <c r="H592" t="s">
        <v>451</v>
      </c>
      <c r="I592" t="s">
        <v>1837</v>
      </c>
      <c r="J592" s="4">
        <v>124.9</v>
      </c>
    </row>
    <row r="593" spans="1:10" x14ac:dyDescent="0.25">
      <c r="A593" t="s">
        <v>8</v>
      </c>
      <c r="B593" t="s">
        <v>65</v>
      </c>
      <c r="C593">
        <v>2026</v>
      </c>
      <c r="D593">
        <v>4</v>
      </c>
      <c r="E593" t="s">
        <v>227</v>
      </c>
      <c r="F593" t="s">
        <v>265</v>
      </c>
      <c r="G593" t="s">
        <v>99</v>
      </c>
      <c r="H593" t="s">
        <v>451</v>
      </c>
      <c r="I593" t="s">
        <v>1868</v>
      </c>
      <c r="J593" s="4">
        <v>1903.8</v>
      </c>
    </row>
    <row r="594" spans="1:10" x14ac:dyDescent="0.25">
      <c r="A594" t="s">
        <v>8</v>
      </c>
      <c r="B594" t="s">
        <v>65</v>
      </c>
      <c r="C594">
        <v>2026</v>
      </c>
      <c r="D594">
        <v>5</v>
      </c>
      <c r="E594" t="s">
        <v>196</v>
      </c>
      <c r="F594" t="s">
        <v>195</v>
      </c>
      <c r="G594" t="s">
        <v>194</v>
      </c>
      <c r="H594" t="s">
        <v>511</v>
      </c>
      <c r="I594" t="s">
        <v>1826</v>
      </c>
      <c r="J594" s="4">
        <v>100</v>
      </c>
    </row>
    <row r="595" spans="1:10" x14ac:dyDescent="0.25">
      <c r="A595" t="s">
        <v>8</v>
      </c>
      <c r="B595" t="s">
        <v>65</v>
      </c>
      <c r="C595">
        <v>2026</v>
      </c>
      <c r="D595">
        <v>4</v>
      </c>
      <c r="E595" t="s">
        <v>201</v>
      </c>
      <c r="F595" t="s">
        <v>200</v>
      </c>
      <c r="G595" t="s">
        <v>199</v>
      </c>
      <c r="H595" t="s">
        <v>1094</v>
      </c>
      <c r="I595" t="s">
        <v>1699</v>
      </c>
      <c r="J595" s="4">
        <v>275</v>
      </c>
    </row>
    <row r="596" spans="1:10" x14ac:dyDescent="0.25">
      <c r="A596" t="s">
        <v>8</v>
      </c>
      <c r="B596" t="s">
        <v>65</v>
      </c>
      <c r="C596">
        <v>2026</v>
      </c>
      <c r="D596">
        <v>3</v>
      </c>
      <c r="E596" t="s">
        <v>182</v>
      </c>
      <c r="F596" t="s">
        <v>245</v>
      </c>
      <c r="G596" t="s">
        <v>244</v>
      </c>
      <c r="H596" t="s">
        <v>451</v>
      </c>
      <c r="I596" t="s">
        <v>1130</v>
      </c>
      <c r="J596" s="4">
        <v>2544.15</v>
      </c>
    </row>
    <row r="597" spans="1:10" x14ac:dyDescent="0.25">
      <c r="A597" t="s">
        <v>8</v>
      </c>
      <c r="B597" t="s">
        <v>65</v>
      </c>
      <c r="C597">
        <v>2026</v>
      </c>
      <c r="D597">
        <v>2</v>
      </c>
      <c r="E597" t="s">
        <v>178</v>
      </c>
      <c r="F597" t="s">
        <v>177</v>
      </c>
      <c r="G597" t="s">
        <v>176</v>
      </c>
      <c r="H597" t="s">
        <v>474</v>
      </c>
      <c r="I597" t="s">
        <v>1839</v>
      </c>
      <c r="J597" s="4">
        <v>880</v>
      </c>
    </row>
    <row r="598" spans="1:10" x14ac:dyDescent="0.25">
      <c r="A598" t="s">
        <v>8</v>
      </c>
      <c r="B598" t="s">
        <v>65</v>
      </c>
      <c r="C598">
        <v>2026</v>
      </c>
      <c r="D598">
        <v>7</v>
      </c>
      <c r="E598" t="s">
        <v>196</v>
      </c>
      <c r="F598" t="s">
        <v>213</v>
      </c>
      <c r="G598" t="s">
        <v>212</v>
      </c>
      <c r="H598" t="s">
        <v>467</v>
      </c>
      <c r="I598" t="s">
        <v>1855</v>
      </c>
      <c r="J598" s="4">
        <v>2850</v>
      </c>
    </row>
    <row r="599" spans="1:10" x14ac:dyDescent="0.25">
      <c r="A599" t="s">
        <v>8</v>
      </c>
      <c r="B599" t="s">
        <v>65</v>
      </c>
      <c r="C599">
        <v>2026</v>
      </c>
      <c r="D599">
        <v>7</v>
      </c>
      <c r="E599" t="s">
        <v>201</v>
      </c>
      <c r="F599" t="s">
        <v>304</v>
      </c>
      <c r="G599" t="s">
        <v>303</v>
      </c>
      <c r="H599" t="s">
        <v>467</v>
      </c>
      <c r="I599" t="s">
        <v>1842</v>
      </c>
      <c r="J599" s="4">
        <v>390</v>
      </c>
    </row>
    <row r="600" spans="1:10" x14ac:dyDescent="0.25">
      <c r="A600" t="s">
        <v>8</v>
      </c>
      <c r="B600" t="s">
        <v>65</v>
      </c>
      <c r="C600">
        <v>2026</v>
      </c>
      <c r="D600">
        <v>5</v>
      </c>
      <c r="E600" t="s">
        <v>209</v>
      </c>
      <c r="F600" t="s">
        <v>208</v>
      </c>
      <c r="G600" t="s">
        <v>207</v>
      </c>
      <c r="H600" t="s">
        <v>451</v>
      </c>
      <c r="I600" t="s">
        <v>1498</v>
      </c>
      <c r="J600" s="4">
        <v>15000</v>
      </c>
    </row>
    <row r="601" spans="1:10" x14ac:dyDescent="0.25">
      <c r="A601" t="s">
        <v>8</v>
      </c>
      <c r="B601" t="s">
        <v>65</v>
      </c>
      <c r="C601">
        <v>2026</v>
      </c>
      <c r="D601">
        <v>1</v>
      </c>
      <c r="E601" t="s">
        <v>290</v>
      </c>
      <c r="F601" t="s">
        <v>367</v>
      </c>
      <c r="G601" t="s">
        <v>366</v>
      </c>
      <c r="H601" t="s">
        <v>451</v>
      </c>
      <c r="I601" t="s">
        <v>739</v>
      </c>
      <c r="J601" s="4">
        <v>55</v>
      </c>
    </row>
    <row r="602" spans="1:10" x14ac:dyDescent="0.25">
      <c r="A602" t="s">
        <v>8</v>
      </c>
      <c r="B602" t="s">
        <v>65</v>
      </c>
      <c r="C602">
        <v>2026</v>
      </c>
      <c r="D602">
        <v>5</v>
      </c>
      <c r="E602" t="s">
        <v>290</v>
      </c>
      <c r="F602" t="s">
        <v>297</v>
      </c>
      <c r="G602" t="s">
        <v>296</v>
      </c>
      <c r="H602" t="s">
        <v>451</v>
      </c>
      <c r="I602" t="s">
        <v>739</v>
      </c>
      <c r="J602" s="4">
        <v>165</v>
      </c>
    </row>
    <row r="603" spans="1:10" x14ac:dyDescent="0.25">
      <c r="A603" t="s">
        <v>8</v>
      </c>
      <c r="B603" t="s">
        <v>65</v>
      </c>
      <c r="C603">
        <v>2026</v>
      </c>
      <c r="D603">
        <v>3</v>
      </c>
      <c r="E603" t="s">
        <v>290</v>
      </c>
      <c r="F603" t="s">
        <v>309</v>
      </c>
      <c r="G603" t="s">
        <v>308</v>
      </c>
      <c r="H603" t="s">
        <v>451</v>
      </c>
      <c r="I603" t="s">
        <v>733</v>
      </c>
      <c r="J603" s="4">
        <v>1700</v>
      </c>
    </row>
    <row r="604" spans="1:10" x14ac:dyDescent="0.25">
      <c r="A604" t="s">
        <v>8</v>
      </c>
      <c r="B604" t="s">
        <v>65</v>
      </c>
      <c r="C604">
        <v>2026</v>
      </c>
      <c r="D604">
        <v>3</v>
      </c>
      <c r="E604" t="s">
        <v>232</v>
      </c>
      <c r="F604" t="s">
        <v>261</v>
      </c>
      <c r="G604" t="s">
        <v>260</v>
      </c>
      <c r="H604" t="s">
        <v>451</v>
      </c>
      <c r="I604" t="s">
        <v>1861</v>
      </c>
      <c r="J604" s="4">
        <v>182.98</v>
      </c>
    </row>
    <row r="605" spans="1:10" x14ac:dyDescent="0.25">
      <c r="A605" t="s">
        <v>8</v>
      </c>
      <c r="B605" t="s">
        <v>65</v>
      </c>
      <c r="C605">
        <v>2026</v>
      </c>
      <c r="D605">
        <v>2</v>
      </c>
      <c r="E605" t="s">
        <v>232</v>
      </c>
      <c r="F605" t="s">
        <v>261</v>
      </c>
      <c r="G605" t="s">
        <v>260</v>
      </c>
      <c r="H605" t="s">
        <v>511</v>
      </c>
      <c r="I605" t="s">
        <v>1820</v>
      </c>
      <c r="J605" s="4">
        <v>1053.1</v>
      </c>
    </row>
    <row r="606" spans="1:10" x14ac:dyDescent="0.25">
      <c r="A606" t="s">
        <v>8</v>
      </c>
      <c r="B606" t="s">
        <v>65</v>
      </c>
      <c r="C606">
        <v>2026</v>
      </c>
      <c r="D606">
        <v>5</v>
      </c>
      <c r="E606" t="s">
        <v>232</v>
      </c>
      <c r="F606" t="s">
        <v>261</v>
      </c>
      <c r="G606" t="s">
        <v>260</v>
      </c>
      <c r="H606" t="s">
        <v>511</v>
      </c>
      <c r="I606" t="s">
        <v>1820</v>
      </c>
      <c r="J606" s="4">
        <v>1053.1</v>
      </c>
    </row>
    <row r="607" spans="1:10" x14ac:dyDescent="0.25">
      <c r="A607" t="s">
        <v>8</v>
      </c>
      <c r="B607" t="s">
        <v>65</v>
      </c>
      <c r="C607">
        <v>2026</v>
      </c>
      <c r="D607">
        <v>3</v>
      </c>
      <c r="E607" t="s">
        <v>196</v>
      </c>
      <c r="F607" t="s">
        <v>195</v>
      </c>
      <c r="G607" t="s">
        <v>194</v>
      </c>
      <c r="H607" t="s">
        <v>511</v>
      </c>
      <c r="I607" t="s">
        <v>1826</v>
      </c>
      <c r="J607" s="4">
        <v>100</v>
      </c>
    </row>
    <row r="608" spans="1:10" x14ac:dyDescent="0.25">
      <c r="A608" t="s">
        <v>8</v>
      </c>
      <c r="B608" t="s">
        <v>65</v>
      </c>
      <c r="C608">
        <v>2026</v>
      </c>
      <c r="D608">
        <v>8</v>
      </c>
      <c r="E608" t="s">
        <v>182</v>
      </c>
      <c r="F608" t="s">
        <v>245</v>
      </c>
      <c r="G608" t="s">
        <v>244</v>
      </c>
      <c r="H608" t="s">
        <v>451</v>
      </c>
      <c r="I608" t="s">
        <v>1130</v>
      </c>
      <c r="J608" s="4">
        <v>2544.15</v>
      </c>
    </row>
    <row r="609" spans="1:10" x14ac:dyDescent="0.25">
      <c r="A609" t="s">
        <v>8</v>
      </c>
      <c r="B609" t="s">
        <v>65</v>
      </c>
      <c r="C609">
        <v>2026</v>
      </c>
      <c r="D609">
        <v>4</v>
      </c>
      <c r="E609" t="s">
        <v>227</v>
      </c>
      <c r="F609" t="s">
        <v>226</v>
      </c>
      <c r="G609" t="s">
        <v>225</v>
      </c>
      <c r="H609" t="s">
        <v>451</v>
      </c>
      <c r="I609" t="s">
        <v>1816</v>
      </c>
      <c r="J609" s="4">
        <v>4500</v>
      </c>
    </row>
    <row r="610" spans="1:10" x14ac:dyDescent="0.25">
      <c r="A610" t="s">
        <v>8</v>
      </c>
      <c r="B610" t="s">
        <v>65</v>
      </c>
      <c r="C610">
        <v>2026</v>
      </c>
      <c r="D610">
        <v>1</v>
      </c>
      <c r="E610" t="s">
        <v>268</v>
      </c>
      <c r="F610" t="s">
        <v>363</v>
      </c>
      <c r="G610" t="s">
        <v>362</v>
      </c>
      <c r="H610" t="s">
        <v>451</v>
      </c>
      <c r="I610" t="s">
        <v>1840</v>
      </c>
      <c r="J610" s="4">
        <v>234.64</v>
      </c>
    </row>
    <row r="611" spans="1:10" x14ac:dyDescent="0.25">
      <c r="A611" t="s">
        <v>8</v>
      </c>
      <c r="B611" t="s">
        <v>65</v>
      </c>
      <c r="C611">
        <v>2026</v>
      </c>
      <c r="D611">
        <v>6</v>
      </c>
      <c r="E611" t="s">
        <v>158</v>
      </c>
      <c r="F611" t="s">
        <v>171</v>
      </c>
      <c r="G611" t="s">
        <v>85</v>
      </c>
      <c r="H611" t="s">
        <v>471</v>
      </c>
      <c r="I611" t="s">
        <v>471</v>
      </c>
      <c r="J611" s="4">
        <v>60000</v>
      </c>
    </row>
    <row r="612" spans="1:10" x14ac:dyDescent="0.25">
      <c r="A612" t="s">
        <v>8</v>
      </c>
      <c r="B612" t="s">
        <v>65</v>
      </c>
      <c r="C612">
        <v>2026</v>
      </c>
      <c r="D612">
        <v>8</v>
      </c>
      <c r="E612" t="s">
        <v>196</v>
      </c>
      <c r="F612" t="s">
        <v>213</v>
      </c>
      <c r="G612" t="s">
        <v>212</v>
      </c>
      <c r="H612" t="s">
        <v>467</v>
      </c>
      <c r="I612" t="s">
        <v>1855</v>
      </c>
      <c r="J612" s="4">
        <v>2850</v>
      </c>
    </row>
    <row r="613" spans="1:10" x14ac:dyDescent="0.25">
      <c r="A613" t="s">
        <v>8</v>
      </c>
      <c r="B613" t="s">
        <v>65</v>
      </c>
      <c r="C613">
        <v>2026</v>
      </c>
      <c r="D613">
        <v>6</v>
      </c>
      <c r="E613" t="s">
        <v>201</v>
      </c>
      <c r="F613" t="s">
        <v>200</v>
      </c>
      <c r="G613" t="s">
        <v>199</v>
      </c>
      <c r="H613" t="s">
        <v>1094</v>
      </c>
      <c r="I613" t="s">
        <v>1700</v>
      </c>
      <c r="J613" s="4">
        <v>592.32</v>
      </c>
    </row>
    <row r="614" spans="1:10" x14ac:dyDescent="0.25">
      <c r="A614" t="s">
        <v>8</v>
      </c>
      <c r="B614" t="s">
        <v>65</v>
      </c>
      <c r="C614">
        <v>2026</v>
      </c>
      <c r="D614">
        <v>6</v>
      </c>
      <c r="E614" t="s">
        <v>182</v>
      </c>
      <c r="F614" t="s">
        <v>245</v>
      </c>
      <c r="G614" t="s">
        <v>244</v>
      </c>
      <c r="H614" t="s">
        <v>451</v>
      </c>
      <c r="I614" t="s">
        <v>1130</v>
      </c>
      <c r="J614" s="4">
        <v>2544.15</v>
      </c>
    </row>
    <row r="615" spans="1:10" x14ac:dyDescent="0.25">
      <c r="A615" t="s">
        <v>8</v>
      </c>
      <c r="B615" t="s">
        <v>65</v>
      </c>
      <c r="C615">
        <v>2026</v>
      </c>
      <c r="D615">
        <v>6</v>
      </c>
      <c r="E615" t="s">
        <v>178</v>
      </c>
      <c r="F615" t="s">
        <v>302</v>
      </c>
      <c r="G615" t="s">
        <v>301</v>
      </c>
      <c r="H615" t="s">
        <v>451</v>
      </c>
      <c r="I615" t="s">
        <v>1835</v>
      </c>
      <c r="J615" s="4">
        <v>1436.4</v>
      </c>
    </row>
    <row r="616" spans="1:10" x14ac:dyDescent="0.25">
      <c r="A616" t="s">
        <v>8</v>
      </c>
      <c r="B616" t="s">
        <v>65</v>
      </c>
      <c r="C616">
        <v>2026</v>
      </c>
      <c r="D616">
        <v>8</v>
      </c>
      <c r="E616" t="s">
        <v>201</v>
      </c>
      <c r="F616" t="s">
        <v>304</v>
      </c>
      <c r="G616" t="s">
        <v>303</v>
      </c>
      <c r="H616" t="s">
        <v>471</v>
      </c>
      <c r="I616" t="s">
        <v>1849</v>
      </c>
      <c r="J616" s="4">
        <v>130</v>
      </c>
    </row>
    <row r="617" spans="1:10" x14ac:dyDescent="0.25">
      <c r="A617" t="s">
        <v>8</v>
      </c>
      <c r="B617" t="s">
        <v>65</v>
      </c>
      <c r="C617">
        <v>2026</v>
      </c>
      <c r="D617">
        <v>4</v>
      </c>
      <c r="E617" t="s">
        <v>290</v>
      </c>
      <c r="F617" t="s">
        <v>365</v>
      </c>
      <c r="G617" t="s">
        <v>364</v>
      </c>
      <c r="H617" t="s">
        <v>451</v>
      </c>
      <c r="I617" t="s">
        <v>748</v>
      </c>
      <c r="J617" s="4">
        <v>217.74</v>
      </c>
    </row>
    <row r="618" spans="1:10" x14ac:dyDescent="0.25">
      <c r="A618" t="s">
        <v>8</v>
      </c>
      <c r="B618" t="s">
        <v>65</v>
      </c>
      <c r="C618">
        <v>2026</v>
      </c>
      <c r="D618">
        <v>8</v>
      </c>
      <c r="E618" t="s">
        <v>201</v>
      </c>
      <c r="F618" t="s">
        <v>239</v>
      </c>
      <c r="G618" t="s">
        <v>238</v>
      </c>
      <c r="H618" t="s">
        <v>1094</v>
      </c>
      <c r="I618" t="s">
        <v>1838</v>
      </c>
      <c r="J618" s="4">
        <v>1121</v>
      </c>
    </row>
    <row r="619" spans="1:10" x14ac:dyDescent="0.25">
      <c r="A619" t="s">
        <v>8</v>
      </c>
      <c r="B619" t="s">
        <v>65</v>
      </c>
      <c r="C619">
        <v>2026</v>
      </c>
      <c r="D619">
        <v>5</v>
      </c>
      <c r="E619" t="s">
        <v>201</v>
      </c>
      <c r="F619" t="s">
        <v>304</v>
      </c>
      <c r="G619" t="s">
        <v>303</v>
      </c>
      <c r="H619" t="s">
        <v>465</v>
      </c>
      <c r="I619" t="s">
        <v>1830</v>
      </c>
      <c r="J619" s="4">
        <v>130</v>
      </c>
    </row>
    <row r="620" spans="1:10" x14ac:dyDescent="0.25">
      <c r="A620" t="s">
        <v>8</v>
      </c>
      <c r="B620" t="s">
        <v>65</v>
      </c>
      <c r="C620">
        <v>2026</v>
      </c>
      <c r="D620">
        <v>2</v>
      </c>
      <c r="E620" t="s">
        <v>316</v>
      </c>
      <c r="F620" t="s">
        <v>371</v>
      </c>
      <c r="G620" t="s">
        <v>370</v>
      </c>
      <c r="H620" t="s">
        <v>451</v>
      </c>
      <c r="I620" t="s">
        <v>1834</v>
      </c>
      <c r="J620" s="4">
        <v>10</v>
      </c>
    </row>
    <row r="621" spans="1:10" x14ac:dyDescent="0.25">
      <c r="A621" t="s">
        <v>8</v>
      </c>
      <c r="B621" t="s">
        <v>65</v>
      </c>
      <c r="C621">
        <v>2026</v>
      </c>
      <c r="D621">
        <v>1</v>
      </c>
      <c r="E621" t="s">
        <v>201</v>
      </c>
      <c r="F621" t="s">
        <v>200</v>
      </c>
      <c r="G621" t="s">
        <v>199</v>
      </c>
      <c r="H621" t="s">
        <v>1094</v>
      </c>
      <c r="I621" t="s">
        <v>1699</v>
      </c>
      <c r="J621" s="4">
        <v>275</v>
      </c>
    </row>
    <row r="622" spans="1:10" x14ac:dyDescent="0.25">
      <c r="A622" t="s">
        <v>8</v>
      </c>
      <c r="B622" t="s">
        <v>65</v>
      </c>
      <c r="C622">
        <v>2026</v>
      </c>
      <c r="D622">
        <v>2</v>
      </c>
      <c r="E622" t="s">
        <v>209</v>
      </c>
      <c r="F622" t="s">
        <v>208</v>
      </c>
      <c r="G622" t="s">
        <v>207</v>
      </c>
      <c r="H622" t="s">
        <v>451</v>
      </c>
      <c r="I622" t="s">
        <v>1498</v>
      </c>
      <c r="J622" s="4">
        <v>15000</v>
      </c>
    </row>
    <row r="623" spans="1:10" x14ac:dyDescent="0.25">
      <c r="A623" t="s">
        <v>8</v>
      </c>
      <c r="B623" t="s">
        <v>65</v>
      </c>
      <c r="C623">
        <v>2026</v>
      </c>
      <c r="D623">
        <v>1</v>
      </c>
      <c r="E623" t="s">
        <v>201</v>
      </c>
      <c r="F623" t="s">
        <v>200</v>
      </c>
      <c r="G623" t="s">
        <v>199</v>
      </c>
      <c r="H623" t="s">
        <v>486</v>
      </c>
      <c r="I623" t="s">
        <v>1705</v>
      </c>
      <c r="J623" s="4">
        <v>1000</v>
      </c>
    </row>
    <row r="624" spans="1:10" x14ac:dyDescent="0.25">
      <c r="A624" t="s">
        <v>8</v>
      </c>
      <c r="B624" t="s">
        <v>65</v>
      </c>
      <c r="C624">
        <v>2026</v>
      </c>
      <c r="D624">
        <v>1</v>
      </c>
      <c r="E624" t="s">
        <v>178</v>
      </c>
      <c r="F624" t="s">
        <v>302</v>
      </c>
      <c r="G624" t="s">
        <v>301</v>
      </c>
      <c r="H624" t="s">
        <v>451</v>
      </c>
      <c r="I624" t="s">
        <v>1835</v>
      </c>
      <c r="J624" s="4">
        <v>1436.4</v>
      </c>
    </row>
    <row r="625" spans="1:10" x14ac:dyDescent="0.25">
      <c r="A625" t="s">
        <v>8</v>
      </c>
      <c r="B625" t="s">
        <v>65</v>
      </c>
      <c r="C625">
        <v>2026</v>
      </c>
      <c r="D625">
        <v>5</v>
      </c>
      <c r="E625" t="s">
        <v>196</v>
      </c>
      <c r="F625" t="s">
        <v>195</v>
      </c>
      <c r="G625" t="s">
        <v>194</v>
      </c>
      <c r="H625" t="s">
        <v>467</v>
      </c>
      <c r="I625" t="s">
        <v>1854</v>
      </c>
      <c r="J625" s="4">
        <v>4000</v>
      </c>
    </row>
    <row r="626" spans="1:10" x14ac:dyDescent="0.25">
      <c r="A626" t="s">
        <v>8</v>
      </c>
      <c r="B626" t="s">
        <v>65</v>
      </c>
      <c r="C626">
        <v>2026</v>
      </c>
      <c r="D626">
        <v>2</v>
      </c>
      <c r="E626" t="s">
        <v>232</v>
      </c>
      <c r="F626" t="s">
        <v>231</v>
      </c>
      <c r="G626" t="s">
        <v>230</v>
      </c>
      <c r="H626" t="s">
        <v>465</v>
      </c>
      <c r="I626" t="s">
        <v>1821</v>
      </c>
      <c r="J626" s="4">
        <v>1476.31</v>
      </c>
    </row>
    <row r="627" spans="1:10" x14ac:dyDescent="0.25">
      <c r="A627" t="s">
        <v>8</v>
      </c>
      <c r="B627" t="s">
        <v>65</v>
      </c>
      <c r="C627">
        <v>2026</v>
      </c>
      <c r="D627">
        <v>7</v>
      </c>
      <c r="E627" t="s">
        <v>158</v>
      </c>
      <c r="F627" t="s">
        <v>171</v>
      </c>
      <c r="G627" t="s">
        <v>85</v>
      </c>
      <c r="H627" t="s">
        <v>474</v>
      </c>
      <c r="I627" t="s">
        <v>474</v>
      </c>
      <c r="J627" s="4">
        <v>60000</v>
      </c>
    </row>
    <row r="628" spans="1:10" x14ac:dyDescent="0.25">
      <c r="A628" t="s">
        <v>8</v>
      </c>
      <c r="B628" t="s">
        <v>65</v>
      </c>
      <c r="C628">
        <v>2026</v>
      </c>
      <c r="D628">
        <v>5</v>
      </c>
      <c r="E628" t="s">
        <v>290</v>
      </c>
      <c r="F628" t="s">
        <v>367</v>
      </c>
      <c r="G628" t="s">
        <v>366</v>
      </c>
      <c r="H628" t="s">
        <v>451</v>
      </c>
      <c r="I628" t="s">
        <v>739</v>
      </c>
      <c r="J628" s="4">
        <v>60</v>
      </c>
    </row>
    <row r="629" spans="1:10" x14ac:dyDescent="0.25">
      <c r="A629" t="s">
        <v>8</v>
      </c>
      <c r="B629" t="s">
        <v>65</v>
      </c>
      <c r="C629">
        <v>2026</v>
      </c>
      <c r="D629">
        <v>4</v>
      </c>
      <c r="E629" t="s">
        <v>201</v>
      </c>
      <c r="F629" t="s">
        <v>200</v>
      </c>
      <c r="G629" t="s">
        <v>199</v>
      </c>
      <c r="H629" t="s">
        <v>1094</v>
      </c>
      <c r="I629" t="s">
        <v>1700</v>
      </c>
      <c r="J629" s="4">
        <v>592.32</v>
      </c>
    </row>
    <row r="630" spans="1:10" x14ac:dyDescent="0.25">
      <c r="A630" t="s">
        <v>8</v>
      </c>
      <c r="B630" t="s">
        <v>65</v>
      </c>
      <c r="C630">
        <v>2026</v>
      </c>
      <c r="D630">
        <v>4</v>
      </c>
      <c r="E630" t="s">
        <v>182</v>
      </c>
      <c r="F630" t="s">
        <v>350</v>
      </c>
      <c r="G630" t="s">
        <v>99</v>
      </c>
      <c r="H630" t="s">
        <v>451</v>
      </c>
      <c r="I630" t="s">
        <v>1819</v>
      </c>
      <c r="J630" s="4">
        <v>756</v>
      </c>
    </row>
    <row r="631" spans="1:10" x14ac:dyDescent="0.25">
      <c r="A631" t="s">
        <v>8</v>
      </c>
      <c r="B631" t="s">
        <v>65</v>
      </c>
      <c r="C631">
        <v>2026</v>
      </c>
      <c r="D631">
        <v>1</v>
      </c>
      <c r="E631" t="s">
        <v>178</v>
      </c>
      <c r="F631" t="s">
        <v>177</v>
      </c>
      <c r="G631" t="s">
        <v>176</v>
      </c>
      <c r="H631" t="s">
        <v>451</v>
      </c>
      <c r="I631" t="s">
        <v>1843</v>
      </c>
      <c r="J631" s="4">
        <v>40000</v>
      </c>
    </row>
    <row r="632" spans="1:10" x14ac:dyDescent="0.25">
      <c r="A632" t="s">
        <v>8</v>
      </c>
      <c r="B632" t="s">
        <v>65</v>
      </c>
      <c r="C632">
        <v>2026</v>
      </c>
      <c r="D632">
        <v>4</v>
      </c>
      <c r="E632" t="s">
        <v>268</v>
      </c>
      <c r="F632" t="s">
        <v>267</v>
      </c>
      <c r="G632" t="s">
        <v>99</v>
      </c>
      <c r="H632" t="s">
        <v>451</v>
      </c>
      <c r="I632" t="s">
        <v>1822</v>
      </c>
      <c r="J632" s="4">
        <v>2014</v>
      </c>
    </row>
    <row r="633" spans="1:10" x14ac:dyDescent="0.25">
      <c r="A633" t="s">
        <v>8</v>
      </c>
      <c r="B633" t="s">
        <v>65</v>
      </c>
      <c r="C633">
        <v>2026</v>
      </c>
      <c r="D633">
        <v>4</v>
      </c>
      <c r="E633" t="s">
        <v>201</v>
      </c>
      <c r="F633" t="s">
        <v>304</v>
      </c>
      <c r="G633" t="s">
        <v>303</v>
      </c>
      <c r="H633" t="s">
        <v>1094</v>
      </c>
      <c r="I633" t="s">
        <v>1652</v>
      </c>
      <c r="J633" s="4">
        <v>56.6</v>
      </c>
    </row>
    <row r="634" spans="1:10" x14ac:dyDescent="0.25">
      <c r="A634" t="s">
        <v>8</v>
      </c>
      <c r="B634" t="s">
        <v>65</v>
      </c>
      <c r="C634">
        <v>2026</v>
      </c>
      <c r="D634">
        <v>5</v>
      </c>
      <c r="E634" t="s">
        <v>201</v>
      </c>
      <c r="F634" t="s">
        <v>239</v>
      </c>
      <c r="G634" t="s">
        <v>238</v>
      </c>
      <c r="H634" t="s">
        <v>1094</v>
      </c>
      <c r="I634" t="s">
        <v>1838</v>
      </c>
      <c r="J634" s="4">
        <v>1121</v>
      </c>
    </row>
    <row r="635" spans="1:10" x14ac:dyDescent="0.25">
      <c r="A635" t="s">
        <v>8</v>
      </c>
      <c r="B635" t="s">
        <v>65</v>
      </c>
      <c r="C635">
        <v>2026</v>
      </c>
      <c r="D635">
        <v>3</v>
      </c>
      <c r="E635" t="s">
        <v>201</v>
      </c>
      <c r="F635" t="s">
        <v>239</v>
      </c>
      <c r="G635" t="s">
        <v>238</v>
      </c>
      <c r="H635" t="s">
        <v>1094</v>
      </c>
      <c r="I635" t="s">
        <v>1848</v>
      </c>
      <c r="J635" s="4">
        <v>1350</v>
      </c>
    </row>
    <row r="636" spans="1:10" x14ac:dyDescent="0.25">
      <c r="A636" t="s">
        <v>8</v>
      </c>
      <c r="B636" t="s">
        <v>65</v>
      </c>
      <c r="C636">
        <v>2026</v>
      </c>
      <c r="D636">
        <v>5</v>
      </c>
      <c r="E636" t="s">
        <v>201</v>
      </c>
      <c r="F636" t="s">
        <v>304</v>
      </c>
      <c r="G636" t="s">
        <v>303</v>
      </c>
      <c r="H636" t="s">
        <v>1094</v>
      </c>
      <c r="I636" t="s">
        <v>1858</v>
      </c>
      <c r="J636" s="4">
        <v>350</v>
      </c>
    </row>
    <row r="637" spans="1:10" x14ac:dyDescent="0.25">
      <c r="A637" t="s">
        <v>8</v>
      </c>
      <c r="B637" t="s">
        <v>65</v>
      </c>
      <c r="C637">
        <v>2026</v>
      </c>
      <c r="D637">
        <v>5</v>
      </c>
      <c r="E637" t="s">
        <v>182</v>
      </c>
      <c r="F637" t="s">
        <v>245</v>
      </c>
      <c r="G637" t="s">
        <v>244</v>
      </c>
      <c r="H637" t="s">
        <v>451</v>
      </c>
      <c r="I637" t="s">
        <v>1130</v>
      </c>
      <c r="J637" s="4">
        <v>2544.15</v>
      </c>
    </row>
    <row r="638" spans="1:10" x14ac:dyDescent="0.25">
      <c r="A638" t="s">
        <v>8</v>
      </c>
      <c r="B638" t="s">
        <v>65</v>
      </c>
      <c r="C638">
        <v>2026</v>
      </c>
      <c r="D638">
        <v>1</v>
      </c>
      <c r="E638" t="s">
        <v>182</v>
      </c>
      <c r="F638" t="s">
        <v>252</v>
      </c>
      <c r="G638" t="s">
        <v>251</v>
      </c>
      <c r="H638" t="s">
        <v>1094</v>
      </c>
      <c r="I638" t="s">
        <v>1093</v>
      </c>
      <c r="J638" s="4">
        <v>3006.07</v>
      </c>
    </row>
    <row r="639" spans="1:10" x14ac:dyDescent="0.25">
      <c r="A639" t="s">
        <v>8</v>
      </c>
      <c r="B639" t="s">
        <v>65</v>
      </c>
      <c r="C639">
        <v>2026</v>
      </c>
      <c r="D639">
        <v>6</v>
      </c>
      <c r="E639" t="s">
        <v>201</v>
      </c>
      <c r="F639" t="s">
        <v>239</v>
      </c>
      <c r="G639" t="s">
        <v>238</v>
      </c>
      <c r="H639" t="s">
        <v>224</v>
      </c>
      <c r="I639" t="s">
        <v>1681</v>
      </c>
      <c r="J639" s="4">
        <v>1000</v>
      </c>
    </row>
    <row r="640" spans="1:10" x14ac:dyDescent="0.25">
      <c r="A640" t="s">
        <v>8</v>
      </c>
      <c r="B640" t="s">
        <v>65</v>
      </c>
      <c r="C640">
        <v>2026</v>
      </c>
      <c r="D640">
        <v>8</v>
      </c>
      <c r="E640" t="s">
        <v>290</v>
      </c>
      <c r="F640" t="s">
        <v>297</v>
      </c>
      <c r="G640" t="s">
        <v>99</v>
      </c>
      <c r="H640" t="s">
        <v>451</v>
      </c>
      <c r="I640" t="s">
        <v>1844</v>
      </c>
      <c r="J640" s="4">
        <v>50</v>
      </c>
    </row>
    <row r="641" spans="1:10" x14ac:dyDescent="0.25">
      <c r="A641" t="s">
        <v>8</v>
      </c>
      <c r="B641" t="s">
        <v>65</v>
      </c>
      <c r="C641">
        <v>2026</v>
      </c>
      <c r="D641">
        <v>7</v>
      </c>
      <c r="E641" t="s">
        <v>201</v>
      </c>
      <c r="F641" t="s">
        <v>200</v>
      </c>
      <c r="G641" t="s">
        <v>199</v>
      </c>
      <c r="H641" t="s">
        <v>511</v>
      </c>
      <c r="I641" t="s">
        <v>1705</v>
      </c>
      <c r="J641" s="4">
        <v>1000</v>
      </c>
    </row>
    <row r="642" spans="1:10" x14ac:dyDescent="0.25">
      <c r="A642" t="s">
        <v>8</v>
      </c>
      <c r="B642" t="s">
        <v>65</v>
      </c>
      <c r="C642">
        <v>2026</v>
      </c>
      <c r="D642">
        <v>1</v>
      </c>
      <c r="E642" t="s">
        <v>316</v>
      </c>
      <c r="F642" t="s">
        <v>315</v>
      </c>
      <c r="G642" t="s">
        <v>314</v>
      </c>
      <c r="H642" t="s">
        <v>451</v>
      </c>
      <c r="I642" t="s">
        <v>1837</v>
      </c>
      <c r="J642" s="4">
        <v>124.9</v>
      </c>
    </row>
    <row r="643" spans="1:10" x14ac:dyDescent="0.25">
      <c r="A643" t="s">
        <v>8</v>
      </c>
      <c r="B643" t="s">
        <v>65</v>
      </c>
      <c r="C643">
        <v>2026</v>
      </c>
      <c r="D643">
        <v>6</v>
      </c>
      <c r="E643" t="s">
        <v>196</v>
      </c>
      <c r="F643" t="s">
        <v>195</v>
      </c>
      <c r="G643" t="s">
        <v>194</v>
      </c>
      <c r="H643" t="s">
        <v>467</v>
      </c>
      <c r="I643" t="s">
        <v>1841</v>
      </c>
      <c r="J643" s="4">
        <v>1500</v>
      </c>
    </row>
    <row r="644" spans="1:10" x14ac:dyDescent="0.25">
      <c r="A644" t="s">
        <v>8</v>
      </c>
      <c r="B644" t="s">
        <v>65</v>
      </c>
      <c r="C644">
        <v>2026</v>
      </c>
      <c r="D644">
        <v>2</v>
      </c>
      <c r="E644" t="s">
        <v>222</v>
      </c>
      <c r="F644" t="s">
        <v>263</v>
      </c>
      <c r="G644" t="s">
        <v>262</v>
      </c>
      <c r="H644" t="s">
        <v>224</v>
      </c>
      <c r="I644" t="s">
        <v>822</v>
      </c>
      <c r="J644" s="4">
        <v>2500</v>
      </c>
    </row>
    <row r="645" spans="1:10" x14ac:dyDescent="0.25">
      <c r="A645" t="s">
        <v>8</v>
      </c>
      <c r="B645" t="s">
        <v>65</v>
      </c>
      <c r="C645">
        <v>2026</v>
      </c>
      <c r="D645">
        <v>1</v>
      </c>
      <c r="E645" t="s">
        <v>201</v>
      </c>
      <c r="F645" t="s">
        <v>239</v>
      </c>
      <c r="G645" t="s">
        <v>238</v>
      </c>
      <c r="H645" t="s">
        <v>1094</v>
      </c>
      <c r="I645" t="s">
        <v>1848</v>
      </c>
      <c r="J645" s="4">
        <v>1350</v>
      </c>
    </row>
    <row r="646" spans="1:10" x14ac:dyDescent="0.25">
      <c r="A646" t="s">
        <v>8</v>
      </c>
      <c r="B646" t="s">
        <v>65</v>
      </c>
      <c r="C646">
        <v>2026</v>
      </c>
      <c r="D646">
        <v>5</v>
      </c>
      <c r="E646" t="s">
        <v>248</v>
      </c>
      <c r="F646" t="s">
        <v>387</v>
      </c>
      <c r="G646" t="s">
        <v>386</v>
      </c>
      <c r="H646" t="s">
        <v>451</v>
      </c>
      <c r="I646" t="s">
        <v>1850</v>
      </c>
      <c r="J646" s="4">
        <v>46</v>
      </c>
    </row>
    <row r="647" spans="1:10" x14ac:dyDescent="0.25">
      <c r="A647" t="s">
        <v>8</v>
      </c>
      <c r="B647" t="s">
        <v>65</v>
      </c>
      <c r="C647">
        <v>2026</v>
      </c>
      <c r="D647">
        <v>3</v>
      </c>
      <c r="E647" t="s">
        <v>290</v>
      </c>
      <c r="F647" t="s">
        <v>367</v>
      </c>
      <c r="G647" t="s">
        <v>366</v>
      </c>
      <c r="H647" t="s">
        <v>451</v>
      </c>
      <c r="I647" t="s">
        <v>739</v>
      </c>
      <c r="J647" s="4">
        <v>60</v>
      </c>
    </row>
    <row r="648" spans="1:10" x14ac:dyDescent="0.25">
      <c r="A648" t="s">
        <v>8</v>
      </c>
      <c r="B648" t="s">
        <v>65</v>
      </c>
      <c r="C648">
        <v>2026</v>
      </c>
      <c r="D648">
        <v>4</v>
      </c>
      <c r="E648" t="s">
        <v>290</v>
      </c>
      <c r="F648" t="s">
        <v>297</v>
      </c>
      <c r="G648" t="s">
        <v>296</v>
      </c>
      <c r="H648" t="s">
        <v>451</v>
      </c>
      <c r="I648" t="s">
        <v>739</v>
      </c>
      <c r="J648" s="4">
        <v>165</v>
      </c>
    </row>
    <row r="649" spans="1:10" x14ac:dyDescent="0.25">
      <c r="A649" t="s">
        <v>8</v>
      </c>
      <c r="B649" t="s">
        <v>65</v>
      </c>
      <c r="C649">
        <v>2026</v>
      </c>
      <c r="D649">
        <v>8</v>
      </c>
      <c r="E649" t="s">
        <v>201</v>
      </c>
      <c r="F649" t="s">
        <v>304</v>
      </c>
      <c r="G649" t="s">
        <v>303</v>
      </c>
      <c r="H649" t="s">
        <v>1094</v>
      </c>
      <c r="I649" t="s">
        <v>1652</v>
      </c>
      <c r="J649" s="4">
        <v>56.6</v>
      </c>
    </row>
    <row r="650" spans="1:10" x14ac:dyDescent="0.25">
      <c r="A650" t="s">
        <v>8</v>
      </c>
      <c r="B650" t="s">
        <v>65</v>
      </c>
      <c r="C650">
        <v>2026</v>
      </c>
      <c r="D650">
        <v>6</v>
      </c>
      <c r="E650" t="s">
        <v>158</v>
      </c>
      <c r="F650" t="s">
        <v>157</v>
      </c>
      <c r="G650" t="s">
        <v>156</v>
      </c>
      <c r="H650" t="s">
        <v>451</v>
      </c>
      <c r="I650" t="s">
        <v>956</v>
      </c>
      <c r="J650" s="4">
        <v>330000</v>
      </c>
    </row>
    <row r="651" spans="1:10" x14ac:dyDescent="0.25">
      <c r="A651" t="s">
        <v>8</v>
      </c>
      <c r="B651" t="s">
        <v>65</v>
      </c>
      <c r="C651">
        <v>2026</v>
      </c>
      <c r="D651">
        <v>6</v>
      </c>
      <c r="E651" t="s">
        <v>316</v>
      </c>
      <c r="F651" t="s">
        <v>315</v>
      </c>
      <c r="G651" t="s">
        <v>314</v>
      </c>
      <c r="H651" t="s">
        <v>451</v>
      </c>
      <c r="I651" t="s">
        <v>1852</v>
      </c>
      <c r="J651" s="4">
        <v>177.05</v>
      </c>
    </row>
    <row r="652" spans="1:10" x14ac:dyDescent="0.25">
      <c r="A652" t="s">
        <v>8</v>
      </c>
      <c r="B652" t="s">
        <v>65</v>
      </c>
      <c r="C652">
        <v>2026</v>
      </c>
      <c r="D652">
        <v>6</v>
      </c>
      <c r="E652" t="s">
        <v>182</v>
      </c>
      <c r="F652" t="s">
        <v>350</v>
      </c>
      <c r="G652" t="s">
        <v>99</v>
      </c>
      <c r="H652" t="s">
        <v>451</v>
      </c>
      <c r="I652" t="s">
        <v>1819</v>
      </c>
      <c r="J652" s="4">
        <v>756</v>
      </c>
    </row>
    <row r="653" spans="1:10" x14ac:dyDescent="0.25">
      <c r="A653" t="s">
        <v>8</v>
      </c>
      <c r="B653" t="s">
        <v>65</v>
      </c>
      <c r="C653">
        <v>2026</v>
      </c>
      <c r="D653">
        <v>6</v>
      </c>
      <c r="E653" t="s">
        <v>201</v>
      </c>
      <c r="F653" t="s">
        <v>200</v>
      </c>
      <c r="G653" t="s">
        <v>199</v>
      </c>
      <c r="H653" t="s">
        <v>1094</v>
      </c>
      <c r="I653" t="s">
        <v>1851</v>
      </c>
      <c r="J653" s="4">
        <v>4300</v>
      </c>
    </row>
    <row r="654" spans="1:10" x14ac:dyDescent="0.25">
      <c r="A654" t="s">
        <v>8</v>
      </c>
      <c r="B654" t="s">
        <v>65</v>
      </c>
      <c r="C654">
        <v>2026</v>
      </c>
      <c r="D654">
        <v>6</v>
      </c>
      <c r="E654" t="s">
        <v>209</v>
      </c>
      <c r="F654" t="s">
        <v>208</v>
      </c>
      <c r="G654" t="s">
        <v>207</v>
      </c>
      <c r="H654" t="s">
        <v>451</v>
      </c>
      <c r="I654" t="s">
        <v>1498</v>
      </c>
      <c r="J654" s="4">
        <v>15000</v>
      </c>
    </row>
    <row r="655" spans="1:10" x14ac:dyDescent="0.25">
      <c r="A655" t="s">
        <v>8</v>
      </c>
      <c r="B655" t="s">
        <v>65</v>
      </c>
      <c r="C655">
        <v>2026</v>
      </c>
      <c r="D655">
        <v>1</v>
      </c>
      <c r="E655" t="s">
        <v>190</v>
      </c>
      <c r="F655" t="s">
        <v>189</v>
      </c>
      <c r="G655" t="s">
        <v>188</v>
      </c>
      <c r="H655" t="s">
        <v>451</v>
      </c>
      <c r="I655" t="s">
        <v>1831</v>
      </c>
      <c r="J655" s="4">
        <v>27000</v>
      </c>
    </row>
    <row r="656" spans="1:10" x14ac:dyDescent="0.25">
      <c r="A656" t="s">
        <v>8</v>
      </c>
      <c r="B656" t="s">
        <v>65</v>
      </c>
      <c r="C656">
        <v>2026</v>
      </c>
      <c r="D656">
        <v>4</v>
      </c>
      <c r="E656" t="s">
        <v>196</v>
      </c>
      <c r="F656" t="s">
        <v>195</v>
      </c>
      <c r="G656" t="s">
        <v>194</v>
      </c>
      <c r="H656" t="s">
        <v>467</v>
      </c>
      <c r="I656" t="s">
        <v>1854</v>
      </c>
      <c r="J656" s="4">
        <v>4000</v>
      </c>
    </row>
    <row r="657" spans="1:10" x14ac:dyDescent="0.25">
      <c r="A657" t="s">
        <v>8</v>
      </c>
      <c r="B657" t="s">
        <v>65</v>
      </c>
      <c r="C657">
        <v>2026</v>
      </c>
      <c r="D657">
        <v>8</v>
      </c>
      <c r="E657" t="s">
        <v>178</v>
      </c>
      <c r="F657" t="s">
        <v>302</v>
      </c>
      <c r="G657" t="s">
        <v>301</v>
      </c>
      <c r="H657" t="s">
        <v>451</v>
      </c>
      <c r="I657" t="s">
        <v>1835</v>
      </c>
      <c r="J657" s="4">
        <v>1436.4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12" customWidth="1"/>
    <col min="5" max="5" width="50" customWidth="1"/>
  </cols>
  <sheetData>
    <row r="1" ht="30" customHeight="1" spans="1:5" s="2" customFormat="1" x14ac:dyDescent="0.25">
      <c r="A1" s="2" t="s">
        <v>1869</v>
      </c>
      <c r="B1" s="2" t="s">
        <v>1870</v>
      </c>
      <c r="C1" s="2" t="s">
        <v>1871</v>
      </c>
      <c r="D1" s="2" t="s">
        <v>1872</v>
      </c>
      <c r="E1" s="2" t="s">
        <v>72</v>
      </c>
    </row>
    <row r="2" spans="1:5" x14ac:dyDescent="0.25">
      <c r="A2" t="s">
        <v>1873</v>
      </c>
      <c r="B2">
        <v>11</v>
      </c>
      <c r="C2">
        <v>1</v>
      </c>
      <c r="D2">
        <v>11</v>
      </c>
      <c r="E2" t="s">
        <v>1874</v>
      </c>
    </row>
    <row r="3" spans="1:5" x14ac:dyDescent="0.25">
      <c r="A3" t="s">
        <v>1875</v>
      </c>
      <c r="B3">
        <v>11</v>
      </c>
      <c r="C3">
        <v>1</v>
      </c>
      <c r="D3">
        <v>11</v>
      </c>
      <c r="E3" t="s">
        <v>1874</v>
      </c>
    </row>
    <row r="4" spans="1:5" x14ac:dyDescent="0.25">
      <c r="A4" t="s">
        <v>1876</v>
      </c>
      <c r="B4">
        <v>7</v>
      </c>
      <c r="C4">
        <v>0.75</v>
      </c>
      <c r="D4">
        <v>5.25</v>
      </c>
      <c r="E4" t="s">
        <v>1877</v>
      </c>
    </row>
    <row r="5" spans="1:5" x14ac:dyDescent="0.25">
      <c r="A5" t="s">
        <v>1878</v>
      </c>
      <c r="B5">
        <v>4</v>
      </c>
      <c r="C5">
        <v>1</v>
      </c>
      <c r="D5">
        <v>4</v>
      </c>
      <c r="E5" t="s">
        <v>1874</v>
      </c>
    </row>
    <row r="6" spans="1:5" x14ac:dyDescent="0.25">
      <c r="A6" t="s">
        <v>1879</v>
      </c>
      <c r="B6">
        <v>4</v>
      </c>
      <c r="C6">
        <v>1</v>
      </c>
      <c r="D6">
        <v>4</v>
      </c>
      <c r="E6" t="s">
        <v>1874</v>
      </c>
    </row>
    <row r="7" spans="1:5" x14ac:dyDescent="0.25">
      <c r="A7" t="s">
        <v>1880</v>
      </c>
      <c r="B7">
        <v>3</v>
      </c>
      <c r="C7">
        <v>1</v>
      </c>
      <c r="D7">
        <v>3</v>
      </c>
      <c r="E7" t="s">
        <v>1874</v>
      </c>
    </row>
    <row r="8" spans="1:5" x14ac:dyDescent="0.25">
      <c r="A8" t="s">
        <v>1881</v>
      </c>
      <c r="B8">
        <v>2</v>
      </c>
      <c r="C8">
        <v>1</v>
      </c>
      <c r="D8">
        <v>2</v>
      </c>
      <c r="E8" t="s">
        <v>1874</v>
      </c>
    </row>
    <row r="9" spans="1:5" x14ac:dyDescent="0.25">
      <c r="A9" t="s">
        <v>1882</v>
      </c>
      <c r="B9">
        <v>2</v>
      </c>
      <c r="C9">
        <v>1</v>
      </c>
      <c r="D9">
        <v>2</v>
      </c>
      <c r="E9" t="s">
        <v>1874</v>
      </c>
    </row>
    <row r="10" spans="1:5" x14ac:dyDescent="0.25">
      <c r="A10" t="s">
        <v>1883</v>
      </c>
      <c r="B10">
        <v>2</v>
      </c>
      <c r="C10">
        <v>1</v>
      </c>
      <c r="D10">
        <v>2</v>
      </c>
      <c r="E10" t="s">
        <v>1874</v>
      </c>
    </row>
    <row r="11" spans="1:5" x14ac:dyDescent="0.25">
      <c r="A11" t="s">
        <v>1884</v>
      </c>
      <c r="B11">
        <v>1</v>
      </c>
      <c r="C11">
        <v>1</v>
      </c>
      <c r="D11">
        <v>1</v>
      </c>
      <c r="E11" t="s">
        <v>1874</v>
      </c>
    </row>
    <row r="12" spans="1:5" x14ac:dyDescent="0.25">
      <c r="A12" t="s">
        <v>1885</v>
      </c>
      <c r="B12">
        <v>1</v>
      </c>
      <c r="C12">
        <v>1</v>
      </c>
      <c r="D12">
        <v>1</v>
      </c>
      <c r="E12" t="s">
        <v>1874</v>
      </c>
    </row>
    <row r="13" spans="1:5" x14ac:dyDescent="0.25">
      <c r="A13" t="s">
        <v>1886</v>
      </c>
      <c r="B13">
        <v>1</v>
      </c>
      <c r="C13">
        <v>1</v>
      </c>
      <c r="D13">
        <v>1</v>
      </c>
      <c r="E13" t="s">
        <v>1874</v>
      </c>
    </row>
    <row r="14" spans="1:5" x14ac:dyDescent="0.25">
      <c r="A14" t="s">
        <v>1887</v>
      </c>
      <c r="B14">
        <v>1</v>
      </c>
      <c r="C14">
        <v>1</v>
      </c>
      <c r="D14">
        <v>1</v>
      </c>
      <c r="E14" t="s">
        <v>1874</v>
      </c>
    </row>
    <row r="15" spans="1:5" x14ac:dyDescent="0.25">
      <c r="A15" t="s">
        <v>1888</v>
      </c>
      <c r="B15">
        <v>1</v>
      </c>
      <c r="C15">
        <v>1</v>
      </c>
      <c r="D15">
        <v>1</v>
      </c>
      <c r="E15" t="s">
        <v>1874</v>
      </c>
    </row>
    <row r="16" spans="1:5" x14ac:dyDescent="0.25">
      <c r="A16" t="s">
        <v>1889</v>
      </c>
      <c r="B16">
        <v>1</v>
      </c>
      <c r="C16">
        <v>1</v>
      </c>
      <c r="D16">
        <v>1</v>
      </c>
      <c r="E16" t="s">
        <v>1874</v>
      </c>
    </row>
    <row r="17" spans="1:5" x14ac:dyDescent="0.25">
      <c r="A17" t="s">
        <v>1890</v>
      </c>
      <c r="B17">
        <v>1</v>
      </c>
      <c r="C17">
        <v>1</v>
      </c>
      <c r="D17">
        <v>1</v>
      </c>
      <c r="E17" t="s">
        <v>1874</v>
      </c>
    </row>
    <row r="18" spans="1:5" x14ac:dyDescent="0.25">
      <c r="A18" t="s">
        <v>1891</v>
      </c>
      <c r="B18">
        <v>1</v>
      </c>
      <c r="C18">
        <v>1</v>
      </c>
      <c r="D18">
        <v>1</v>
      </c>
      <c r="E18" t="s">
        <v>1874</v>
      </c>
    </row>
    <row r="19" spans="1:5" x14ac:dyDescent="0.25">
      <c r="A19" t="s">
        <v>1892</v>
      </c>
      <c r="B19">
        <v>1</v>
      </c>
      <c r="C19">
        <v>1</v>
      </c>
      <c r="D19">
        <v>1</v>
      </c>
      <c r="E19" t="s">
        <v>1874</v>
      </c>
    </row>
    <row r="20" spans="1:5" x14ac:dyDescent="0.25">
      <c r="A20" t="s">
        <v>1893</v>
      </c>
      <c r="B20">
        <v>1</v>
      </c>
      <c r="C20">
        <v>1</v>
      </c>
      <c r="D20">
        <v>1</v>
      </c>
      <c r="E20" t="s">
        <v>1874</v>
      </c>
    </row>
    <row r="21" spans="1:5" x14ac:dyDescent="0.25">
      <c r="A21" t="s">
        <v>1894</v>
      </c>
      <c r="B21">
        <v>1</v>
      </c>
      <c r="C21">
        <v>1</v>
      </c>
      <c r="D21">
        <v>1</v>
      </c>
      <c r="E21" t="s">
        <v>1874</v>
      </c>
    </row>
    <row r="22" spans="1:5" x14ac:dyDescent="0.25">
      <c r="A22" t="s">
        <v>1895</v>
      </c>
      <c r="B22">
        <v>1</v>
      </c>
      <c r="C22">
        <v>0.75</v>
      </c>
      <c r="D22">
        <v>0.75</v>
      </c>
      <c r="E22" t="s">
        <v>1877</v>
      </c>
    </row>
    <row r="23" spans="1:5" x14ac:dyDescent="0.25">
      <c r="A23" t="s">
        <v>1896</v>
      </c>
      <c r="B23">
        <v>1</v>
      </c>
      <c r="C23">
        <v>1</v>
      </c>
      <c r="D23">
        <v>1</v>
      </c>
      <c r="E23" t="s">
        <v>1874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Leia-me</vt:lpstr>
      <vt:lpstr>Configuracao</vt:lpstr>
      <vt:lpstr>Exclusoes</vt:lpstr>
      <vt:lpstr>Classificacao_contas</vt:lpstr>
      <vt:lpstr>Lancamentos</vt:lpstr>
      <vt:lpstr>Reconciliacao</vt:lpstr>
      <vt:lpstr>Excluidos_por_motivo</vt:lpstr>
      <vt:lpstr>Reembolsaveis_por_depto</vt:lpstr>
      <vt:lpstr>Controle_reembolso</vt:lpstr>
      <vt:lpstr>Repasse</vt:lpstr>
      <vt:lpstr>Repasse_lancamentos</vt:lpstr>
      <vt:lpstr>Repasse_sem_vinculo</vt:lpstr>
      <vt:lpstr>Tributos_mensal</vt:lpstr>
      <vt:lpstr>Socios_capital</vt:lpstr>
      <vt:lpstr>Provisao_13_ferias</vt:lpstr>
      <vt:lpstr>Alerta_outros</vt:lpstr>
      <vt:lpstr>Referencia_2026</vt:lpstr>
      <vt:lpstr>Pessoas_fte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SIOE</dc:creator>
  <dc:title/>
  <dc:subject/>
  <dc:description/>
  <cp:keywords/>
  <cp:category/>
  <cp:lastModifiedBy>Unknown</cp:lastModifiedBy>
  <dcterms:created xsi:type="dcterms:W3CDTF">2026-09-23T20:18:06Z</dcterms:created>
  <dcterms:modified xsi:type="dcterms:W3CDTF">2026-09-23T20:18:06Z</dcterms:modified>
</cp:coreProperties>
</file>